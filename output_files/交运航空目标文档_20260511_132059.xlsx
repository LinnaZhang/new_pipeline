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50" windowHeight="13410" tabRatio="600" firstSheet="2" activeTab="6" autoFilterDateGrouping="1"/>
  </bookViews>
  <sheets>
    <sheet xmlns:r="http://schemas.openxmlformats.org/officeDocument/2006/relationships" name="南方航空" sheetId="1" state="visible" r:id="rId1"/>
    <sheet xmlns:r="http://schemas.openxmlformats.org/officeDocument/2006/relationships" name="中国国航" sheetId="2" state="visible" r:id="rId2"/>
    <sheet xmlns:r="http://schemas.openxmlformats.org/officeDocument/2006/relationships" name="中国东航" sheetId="3" state="visible" r:id="rId3"/>
    <sheet xmlns:r="http://schemas.openxmlformats.org/officeDocument/2006/relationships" name="春秋航空" sheetId="4" state="visible" r:id="rId4"/>
    <sheet xmlns:r="http://schemas.openxmlformats.org/officeDocument/2006/relationships" name="吉祥航空" sheetId="5" state="visible" r:id="rId5"/>
    <sheet xmlns:r="http://schemas.openxmlformats.org/officeDocument/2006/relationships" name="海航控股" sheetId="6" state="visible" r:id="rId6"/>
    <sheet xmlns:r="http://schemas.openxmlformats.org/officeDocument/2006/relationships" name="国泰航空" sheetId="7" state="visible" r:id="rId7"/>
  </sheets>
  <externalReferences>
    <externalReference xmlns:r="http://schemas.openxmlformats.org/officeDocument/2006/relationships" r:id="rId8"/>
    <externalReference xmlns:r="http://schemas.openxmlformats.org/officeDocument/2006/relationships" r:id="rId9"/>
  </externalReferences>
  <definedNames>
    <definedName name="__FDS_HYPERLINK_TOGGLE_STATE__" hidden="1">"ON"</definedName>
    <definedName name="_bdm.02cbe60aba3a4473bc1538af461bcbb4.edm" hidden="1">#REF!</definedName>
    <definedName name="_bdm.2146E1E080234E2AA3383C2E53531D68.edm" hidden="1">[1]DCF!$1:$1048576</definedName>
    <definedName name="_bdm.3A1DD13DC7104A31B36B546CE1F0B34D.edm" hidden="1">[1]Model!$1:$1048576</definedName>
    <definedName name="_bdm.ca8bcc92b58840d2a99e5e4f8f9f8aba.edm" hidden="1">#REF!</definedName>
    <definedName name="_Order1" hidden="1">255</definedName>
    <definedName name="_Order1_1" hidden="1">255</definedName>
    <definedName name="_Order2" hidden="1">255</definedName>
    <definedName name="_Regression_Int" hidden="1">1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S2DocOpenMode" hidden="1">"AS2DocumentEdit"</definedName>
    <definedName name="AS2HasNoAutoHeaderFooter" hidden="1">" "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5" hidden="1">#REF!</definedName>
    <definedName name="BLPH6" hidden="1">#REF!</definedName>
    <definedName name="BLPH8" hidden="1">#REF!</definedName>
    <definedName name="BLPH9" hidden="1">#REF!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4E6EA1E_opts" hidden="1">"1, 9, 1, False, 2, False, False, , 0, False, False, 1, 2"</definedName>
    <definedName name="cb_sChart14E6EB91_opts" hidden="1">"1, 9, 1, False, 2, False, False, , 0, False, False, 1, 1"</definedName>
    <definedName name="cb_sChart14E6ED99_opts" hidden="1">"1, 9, 1, False, 2, False, False, , 0, False, False, 1, 1"</definedName>
    <definedName name="cb_sChart14E6F3EE_opts" hidden="1">"1, 9, 1, False, 2, False, False, , 0, False, False, 1, 1"</definedName>
    <definedName name="cb_sChart14E81502_opts" hidden="1">"1, 9, 1, False, 2, False, False, , 0, False, False, 1, 2"</definedName>
    <definedName name="cb_sChart14E81DF6_opts" hidden="1">"1, 9, 1, False, 2, False, False, , 0, False, False, 1, 2"</definedName>
    <definedName name="cb_sChart14E82800_opts" hidden="1">"1, 9, 1, False, 2, False, False, , 0, False, False, 1, 2"</definedName>
    <definedName name="cb_sChart14E83288_opts" hidden="1">"1, 9, 1, False, 2, False, False, , 0, False, False, 1, 2"</definedName>
    <definedName name="cb_sChart14E8F629_opts" hidden="1">"1, 9, 1, False, 2, False, False, , 0, False, False, 1, 2"</definedName>
    <definedName name="cb_sChart14F787E8_opts" hidden="1">"1, 9, 1, False, 2, False, False, , 0, False, False, 1, 2"</definedName>
    <definedName name="cb_sChart14F7947A_opts" hidden="1">"1, 9, 1, False, 2, False, False, , 0, False, False, 1, 2"</definedName>
    <definedName name="cb_sChart14F79A09_opts" hidden="1">"1, 9, 1, False, 2, False, False, , 0, False, False, 1, 2"</definedName>
    <definedName name="cb_sChart14FA60AB_opts" hidden="1">"1, 9, 1, False, 2, False, False, , 0, False, False, 1, 2"</definedName>
    <definedName name="cb_sChart14FA650D_opts" hidden="1">"1, 9, 1, False, 2, False, False, , 0, False, False, 1, 2"</definedName>
    <definedName name="cb_sChart1501ACE3_opts" hidden="1">"1, 8, 1, False, 2, False, False, , 0, False, False, 1, 2"</definedName>
    <definedName name="cb_sChart1501AEF7_opts" hidden="1">"1, 9, 1, False, 2, False, False, , 0, False, False, 1, 2"</definedName>
    <definedName name="cb_sChart1501DCE6_opts" hidden="1">"1, 9, 1, False, 2, False, False, , 0, False, False, 1, 2"</definedName>
    <definedName name="cb_sChart1501EF92_opts" hidden="1">"1, 9, 1, False, 2, False, False, , 0, False, False, 1, 2"</definedName>
    <definedName name="cb_sChart1501F8CB_opts" hidden="1">"1, 9, 1, False, 2, False, False, , 0, False, False, 1, 2"</definedName>
    <definedName name="cb_sChart150208AA_opts" hidden="1">"1, 9, 1, False, 2, False, False, , 0, False, False, 1, 2"</definedName>
    <definedName name="cb_sChart15020EC4_opts" hidden="1">"1, 9, 1, False, 2, False, False, , 0, False, False, 1, 2"</definedName>
    <definedName name="cb_sChart150212BF_opts" hidden="1">"1, 9, 1, False, 2, False, False, , 0, False, False, 1, 2"</definedName>
    <definedName name="cb_sChart15021F68_opts" hidden="1">"1, 9, 1, False, 2, False, False, , 0, False, False, 1, 1"</definedName>
    <definedName name="cb_sChart15022484_opts" hidden="1">"1, 9, 1, False, 2, False, False, , 0, False, False, 1, 2"</definedName>
    <definedName name="cb_sChart150226F5_opts" hidden="1">"1, 9, 1, False, 2, False, False, , 0, False, False, 1, 2"</definedName>
    <definedName name="cb_sChart15144595_opts" hidden="1">"1, 9, 1, False, 2, False, False, , 0, False, False, 1, 2"</definedName>
    <definedName name="cb_sChart15145615_opts" hidden="1">"1, 9, 1, False, 2, False, False, , 0, False, False, 1, 2"</definedName>
    <definedName name="cb_sChart151464B0_opts" hidden="1">"1, 9, 1, False, 2, False, False, , 0, False, False, 1, 2"</definedName>
    <definedName name="cb_sChart15146FA1_opts" hidden="1">"1, 9, 1, False, 2, False, False, , 0, False, False, 1, 2"</definedName>
    <definedName name="cb_sChart15149A94_opts" hidden="1">"1, 9, 1, False, 2, False, False, , 0, False, False, 1, 2"</definedName>
    <definedName name="cb_sChart1514EEC3_opts" hidden="1">"1, 9, 1, False, 2, False, False, , 0, False, False, 1, 2"</definedName>
    <definedName name="cb_sChart1514F2E0_opts" hidden="1">"1, 9, 1, False, 2, False, False, , 0, False, False, 1, 2"</definedName>
    <definedName name="cb_sChart151510A0_opts" hidden="1">"1, 9, 1, False, 2, False, False, , 0, False, False, 1, 2"</definedName>
    <definedName name="cb_sChart15154C37_opts" hidden="1">"1, 9, 1, False, 2, False, False, , 0, False, False, 1, 2"</definedName>
    <definedName name="cb_sChart15157034_opts" hidden="1">"1, 9, 1, False, 2, False, False, , 0, False, False, 1, 2"</definedName>
    <definedName name="cb_sChart1515F81B_opts" hidden="1">"1, 9, 1, False, 2, False, False, , 0, False, False, 1, 2"</definedName>
    <definedName name="cb_sChart1515F9EA_opts" hidden="1">"1, 9, 1, False, 2, False, False, , 0, False, False, 1, 2"</definedName>
    <definedName name="cb_sChart15161029_opts" hidden="1">"1, 9, 1, False, 2, False, False, , 0, False, False, 1, 2"</definedName>
    <definedName name="cb_sChart15163773_opts" hidden="1">"1, 9, 1, False, 2, False, False, , 0, False, False, 1, 2"</definedName>
    <definedName name="cb_sChart15164F8C_opts" hidden="1">"1, 9, 1, False, 2, False, False, , 0, False, False, 1, 2"</definedName>
    <definedName name="cb_sChart15165265_opts" hidden="1">"1, 9, 1, False, 2, False, False, , 0, False, False, 1, 2"</definedName>
    <definedName name="cb_sChart15166173_opts" hidden="1">"1, 9, 1, False, 2, False, False, , 0, False, False, 1, 2"</definedName>
    <definedName name="cb_sChart1516A84C_opts" hidden="1">"1, 9, 1, False, 2, False, False, , 0, False, False, 1,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9EB7A17_opts" hidden="1">"1, 3, 1, False, 2, False, False, , 0, False, True, 1, 1"</definedName>
    <definedName name="cb_sChart19EB7D70_opts" hidden="1">"1, 5, 1, False, 2, False, False, , 0, False, True, 1, 1"</definedName>
    <definedName name="cb_sChart19EB7F61_opts" hidden="1">"1, 3, 1, False,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ethg" hidden="1">{"'RCIM'!$E$128"}</definedName>
    <definedName name="ev.Calculation" hidden="1">-4135</definedName>
    <definedName name="ev.Initialized" hidden="1">FALSE</definedName>
    <definedName name="help" hidden="1">{"'RCIM'!$E$128"}</definedName>
    <definedName name="hn.ModelVersion" hidden="1">1</definedName>
    <definedName name="hn.NoUpload" hidden="1">0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Count" hidden="1">1</definedName>
    <definedName name="Img_ML_1e1k9n5y" hidden="1">"IMG_52"</definedName>
    <definedName name="Img_ML_1k4g9u7k" hidden="1">"IMG_52"</definedName>
    <definedName name="Img_ML_1y7a6c1t" hidden="1">"IMG_52"</definedName>
    <definedName name="Img_ML_2e1r5p2m" hidden="1">"IMG_52"</definedName>
    <definedName name="Img_ML_2j4h5d5y" hidden="1">"IMG_52"</definedName>
    <definedName name="Img_ML_2v6s9i5c" hidden="1">"IMG_52"</definedName>
    <definedName name="Img_ML_2x1b8j5c" hidden="1">"IMG_52"</definedName>
    <definedName name="Img_ML_3b3j3x9k" hidden="1">"IMG_6"</definedName>
    <definedName name="Img_ML_3c6e9c4g" hidden="1">"IMG_52"</definedName>
    <definedName name="Img_ML_3e2q4k7i" hidden="1">"IMG_52"</definedName>
    <definedName name="Img_ML_3t5w7a1m" hidden="1">"IMG_52"</definedName>
    <definedName name="Img_ML_3y1j4m2m" hidden="1">"IMG_52"</definedName>
    <definedName name="Img_ML_4b5r5k9y" hidden="1">"IMG_10"</definedName>
    <definedName name="Img_ML_4k8k7q4x" hidden="1">"IMG_10"</definedName>
    <definedName name="Img_ML_4n6t1k1h" hidden="1">"IMG_52"</definedName>
    <definedName name="Img_ML_5e7s6t2u" hidden="1">"IMG_52"</definedName>
    <definedName name="Img_ML_5h6q3g8u" hidden="1">"IMG_5"</definedName>
    <definedName name="Img_ML_6a6y1x1h" hidden="1">"IMG_52"</definedName>
    <definedName name="Img_ML_6f2p1m9g" hidden="1">"IMG_18"</definedName>
    <definedName name="Img_ML_6m3p7m9h" hidden="1">"IMG_52"</definedName>
    <definedName name="Img_ML_6m6i9t6k" hidden="1">"IMG_52"</definedName>
    <definedName name="Img_ML_6n6c2h1d" hidden="1">"IMG_52"</definedName>
    <definedName name="Img_ML_6u1b6h4m" hidden="1">"IMG_52"</definedName>
    <definedName name="Img_ML_6u4t7r7e" hidden="1">"IMG_52"</definedName>
    <definedName name="Img_ML_6w6m7b7r" hidden="1">"IMG_40"</definedName>
    <definedName name="Img_ML_6y9f7y3n" hidden="1">"IMG_18"</definedName>
    <definedName name="Img_ML_7b3x8f2f" hidden="1">"IMG_52"</definedName>
    <definedName name="Img_ML_7e1g7x4r" hidden="1">"IMG_52"</definedName>
    <definedName name="Img_ML_7g4k9d6i" hidden="1">"IMG_52"</definedName>
    <definedName name="Img_ML_7m3b4p7p" hidden="1">"IMG_52"</definedName>
    <definedName name="Img_ML_7m5m4k3b" hidden="1">"IMG_52"</definedName>
    <definedName name="Img_ML_7n6h3t1t" hidden="1">"IMG_6"</definedName>
    <definedName name="Img_ML_7s4w7c6r" hidden="1">"IMG_52"</definedName>
    <definedName name="Img_ML_8a8m2p9x" hidden="1">"IMG_52"</definedName>
    <definedName name="Img_ML_8b9j5t1p" hidden="1">"IMG_12"</definedName>
    <definedName name="Img_ML_8h3m3i1m" hidden="1">"IMG_52"</definedName>
    <definedName name="Img_ML_8r1k8t4y" hidden="1">"IMG_52"</definedName>
    <definedName name="Img_ML_8r9f4n4f" hidden="1">"IMG_52"</definedName>
    <definedName name="Img_ML_8s3q3c1i" hidden="1">"IMG_52"</definedName>
    <definedName name="Img_ML_8t3m5u6f" hidden="1">"IMG_11"</definedName>
    <definedName name="Img_ML_9g2r1i7c" hidden="1">"IMG_52"</definedName>
    <definedName name="Img_ML_9g3r6t7h" hidden="1">"IMG_52"</definedName>
    <definedName name="Img_ML_9v6s2g1u" hidden="1">"IMG_52"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Q_EST_REUT" hidden="1">"c6800"</definedName>
    <definedName name="IQ_CAL_Q_EST_THOM" hidden="1">"c6804"</definedName>
    <definedName name="IQ_CAL_Y" hidden="1">"c102"</definedName>
    <definedName name="IQ_CAL_Y_EST" hidden="1">"c6797"</definedName>
    <definedName name="IQ_CAL_Y_EST_CIQ" hidden="1">"c6809"</definedName>
    <definedName name="IQ_CAL_Y_EST_REUT" hidden="1">"c6801"</definedName>
    <definedName name="IQ_CAL_Y_EST_THOM" hidden="1">"c6805"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ANNOUNCE_DATE_THOM" hidden="1">"c5093"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CT_OR_EST_THOM" hidden="1">"c5298"</definedName>
    <definedName name="IQ_EPS_AP" hidden="1">"c8880"</definedName>
    <definedName name="IQ_EPS_AP_ABS" hidden="1">"c8899"</definedName>
    <definedName name="IQ_EPS_EST" hidden="1">"c399"</definedName>
    <definedName name="IQ_EPS_EST_BOTTOM_UP" hidden="1">"c5489"</definedName>
    <definedName name="IQ_EPS_EST_BOTTOM_UP_THOM" hidden="1">"c5647"</definedName>
    <definedName name="IQ_EPS_EST_CIQ" hidden="1">"c4994"</definedName>
    <definedName name="IQ_EPS_EST_REUT" hidden="1">"c5453"</definedName>
    <definedName name="IQ_EPS_EST_THOM" hidden="1">"c5290"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CIQ" hidden="1">"c4995"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CIQ" hidden="1">"c4996"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MEDIAN_EST_THOM" hidden="1">"c5293"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NUM_EST_THOM" hidden="1">"c5288"</definedName>
    <definedName name="IQ_EPS_REPORT_ACT_OR_EST_CIQ" hidden="1">"c5067"</definedName>
    <definedName name="IQ_EPS_REPORT_ACT_OR_EST_THOM" hidden="1">"c5307"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CIQ" hidden="1">"c4769"</definedName>
    <definedName name="IQ_EST_CURRENCY_REUT" hidden="1">"c5437"</definedName>
    <definedName name="IQ_EST_CURRENCY_THOM" hidden="1">"c5280"</definedName>
    <definedName name="IQ_EST_DATE" hidden="1">"c1634"</definedName>
    <definedName name="IQ_EST_DATE_CIQ" hidden="1">"c4770"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HIGH_THOM" hidden="1">"c5101"</definedName>
    <definedName name="IQ_EST_EPS_GROWTH_5YR_LOW" hidden="1">"c1658"</definedName>
    <definedName name="IQ_EST_EPS_GROWTH_5YR_LOW_CIQ" hidden="1">"c4664"</definedName>
    <definedName name="IQ_EST_EPS_GROWTH_5YR_LOW_THOM" hidden="1">"c5102"</definedName>
    <definedName name="IQ_EST_EPS_GROWTH_5YR_MEDIAN" hidden="1">"c1656"</definedName>
    <definedName name="IQ_EST_EPS_GROWTH_5YR_MEDIAN_CIQ" hidden="1">"c5480"</definedName>
    <definedName name="IQ_EST_EPS_GROWTH_5YR_MEDIAN_THOM" hidden="1">"c5100"</definedName>
    <definedName name="IQ_EST_EPS_GROWTH_5YR_NUM" hidden="1">"c1659"</definedName>
    <definedName name="IQ_EST_EPS_GROWTH_5YR_NUM_CIQ" hidden="1">"c4665"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" hidden="1">"c4435"</definedName>
    <definedName name="IQ_FFO_ADJ_ACT_OR_EST_CIQ" hidden="1">"c4960"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THOM" hidden="1">"c4004"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Q_EST_REUT" hidden="1">"c6798"</definedName>
    <definedName name="IQ_FISCAL_Q_EST_THOM" hidden="1">"c6802"</definedName>
    <definedName name="IQ_FISCAL_Y" hidden="1">"c441"</definedName>
    <definedName name="IQ_FISCAL_Y_EST" hidden="1">"c6795"</definedName>
    <definedName name="IQ_FISCAL_Y_EST_CIQ" hidden="1">"c6807"</definedName>
    <definedName name="IQ_FISCAL_Y_EST_REUT" hidden="1">"c6799"</definedName>
    <definedName name="IQ_FISCAL_Y_EST_THOM" hidden="1">"c6803"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_TARGET_PRICE_THOM" hidden="1">"c5097"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ULTIFAMILY_RESIDENTIAL_LOANS_FDIC" hidden="1">"c6311"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EST_THOM" hidden="1">"c5126"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TDDEV_EST_THOM" hidden="1">"c5131"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HARMBIO_NUMBER_PROD_DISCOVERY_RESEARCH" hidden="1">"c10019"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THOM" hidden="1">"c5305"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STDDEV_EST_THOM" hidden="1">"c3657"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ACT_OR_EST_THOM" hidden="1">"c5299"</definedName>
    <definedName name="IQ_REVENUE_EST" hidden="1">"c1126"</definedName>
    <definedName name="IQ_REVENUE_EST_CIQ" hidden="1">"c3616"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ENUE_NUM_EST_THOM" hidden="1">"c3656"</definedName>
    <definedName name="IQ_REVISION_DATE_" hidden="1">39734.3457291667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hiuh" hidden="1">{"'RCIM'!$E$128"}</definedName>
    <definedName name="joimnf" hidden="1">{"'RCIM'!$E$128"}</definedName>
    <definedName name="kw" hidden="1">{"fdsup://Directions/FactSet Auditing Viewer?action=AUDIT_VALUE&amp;DB=129&amp;ID1=03783310&amp;VALUEID=02001&amp;SDATE=2009&amp;PERIODTYPE=ANN_STD&amp;window=popup_no_bar&amp;width=385&amp;height=120&amp;START_MAXIMIZED=FALSE&amp;creator=factset&amp;display_string=Audit"}</definedName>
    <definedName name="mfpoerjf" hidden="1">{"'RCIM'!$E$128"}</definedName>
    <definedName name="mvropemld" hidden="1">{"'RCIM'!$E$128"}</definedName>
    <definedName name="ncowe" hidden="1">{"'RCIM'!$E$128"}</definedName>
    <definedName name="PUB_FileID" hidden="1">"L10003363.xls"</definedName>
    <definedName name="PUB_UserID" hidden="1">"MAYERX"</definedName>
    <definedName name="rrrrrrrr" hidden="1">{"'RCIM'!$E$128"}</definedName>
    <definedName name="solver_lin" hidden="1">0</definedName>
    <definedName name="solver_num" hidden="1">0</definedName>
    <definedName name="solver_typ" hidden="1">3</definedName>
    <definedName name="solver_val" hidden="1">0.1076</definedName>
    <definedName name="spebdy" hidden="1">{"'RCIM'!$E$128"}</definedName>
    <definedName name="TextRefCopyRangeCount" hidden="1">4</definedName>
    <definedName name="Tigr_Exhibit00d07aea_19c5_4c20_87f3_8c7506c0d5b1" hidden="1">#REF!</definedName>
    <definedName name="Tigr_Exhibit22c7330d_a258_482c_bf7b_ef38acf77783" hidden="1">#REF!</definedName>
    <definedName name="Tigr_Exhibit46e88557_223b_4984_b14a_14868175e844" hidden="1">#REF!</definedName>
    <definedName name="Tigr_Exhibit7b8e52fb_d23c_430f_8926_f84a52ce1371" hidden="1">#REF!</definedName>
    <definedName name="Tigr_Exhibit7eae4b22_2b33_4c3a_8eca_a208e4d2986c" hidden="1">#REF!</definedName>
    <definedName name="Tigr_Exhibitc399ee5b_65e3_4d0a_8431_4d8262ee5983" hidden="1">#REF!</definedName>
    <definedName name="Tigr_Exhibitcabe2d91_6fed_4616_b450_b1439bfa3afd" hidden="1">#REF!</definedName>
    <definedName name="Tigr_Exhibitd0876916_90db_4009_b30e_9761c0b7be3d" hidden="1">#REF!</definedName>
    <definedName name="TRNR_1180eb8d96fb47679c4ab59fe9eafe04_133_1" hidden="1">#REF!</definedName>
    <definedName name="TRNR_16ddb252d6df4c098daa00598362f690_21_2" hidden="1">#REF!</definedName>
    <definedName name="TRNR_3e49fd75c16b4c13a1ca76e4e8823956_2_1" hidden="1">#REF!</definedName>
    <definedName name="TRNR_417776c3905e405797feeac435a09a3f_217_1" hidden="1">#REF!</definedName>
    <definedName name="TRNR_4af14a62ddaa4272ba13a574f700fcb2_4617_1" hidden="1">#REF!</definedName>
    <definedName name="TRNR_78c85a35c2654644a50f88217dd07620_1_2" hidden="1">#REF!</definedName>
    <definedName name="TRNR_8a55c40894394ced83c161878694e66f_76_4" hidden="1">#REF!</definedName>
    <definedName name="TRNR_92051ca81f0a4964b1626eae55abdc92_216_3" hidden="1">#REF!</definedName>
    <definedName name="TRNR_a12a0a9e82d84d928fcd8ed7bd76cb60_529_2" hidden="1">#REF!</definedName>
    <definedName name="TRNR_a2913fdf96144578af846658f826842a_24_2" hidden="1">#REF!</definedName>
    <definedName name="TRNR_a488e20940aa4d5a815c951a0dd4bb38_85_2" hidden="1">#REF!</definedName>
    <definedName name="TRNR_aa9fd5e19690431eb2849cee79b1aae1_32_2" hidden="1">#REF!</definedName>
    <definedName name="TRNR_c9dccc187fc8463e95fcff256e3c2091_1_2" hidden="1">#REF!</definedName>
    <definedName name="TRNR_db6b60ebe7a04038be8dcdf8e1ac6a13_1_1" hidden="1">#REF!</definedName>
    <definedName name="TRNR_ec66f06124bd49c99350b24442aa2a6c_10_1" hidden="1">#REF!</definedName>
    <definedName name="TRNR_f1875740f25e40ef84f2f1ef18b99a71_644_2" hidden="1">#REF!</definedName>
    <definedName name="TRNR_f8201041c5864be8a4870755850ccef9_250_2" hidden="1">#REF!</definedName>
  </definedNames>
  <calcPr calcId="191029" fullCalcOnLoad="1"/>
</workbook>
</file>

<file path=xl/styles.xml><?xml version="1.0" encoding="utf-8"?>
<styleSheet xmlns="http://schemas.openxmlformats.org/spreadsheetml/2006/main">
  <numFmts count="16">
    <numFmt numFmtId="164" formatCode="###,###,###,##0.0000"/>
    <numFmt numFmtId="165" formatCode="yyyy/mm;@"/>
    <numFmt numFmtId="166" formatCode="###,###,###,###,##0.00_ "/>
    <numFmt numFmtId="167" formatCode="###,###,###,###,##0.0000_ "/>
    <numFmt numFmtId="168" formatCode="yyyy/mm"/>
    <numFmt numFmtId="169" formatCode="###,###,###,##0.00"/>
    <numFmt numFmtId="170" formatCode="#,##0.00_ "/>
    <numFmt numFmtId="171" formatCode="#,##0.0_ "/>
    <numFmt numFmtId="172" formatCode="0.00_);[Red]\(0.00\)"/>
    <numFmt numFmtId="173" formatCode="0_);[Red]\(0\)"/>
    <numFmt numFmtId="174" formatCode="0.0"/>
    <numFmt numFmtId="175" formatCode="0.0%"/>
    <numFmt numFmtId="176" formatCode="###,###,###,##0"/>
    <numFmt numFmtId="177" formatCode="###,###,###,###,##0_ "/>
    <numFmt numFmtId="178" formatCode="0.0000_ "/>
    <numFmt numFmtId="179" formatCode="yyyy-mm"/>
  </numFmts>
  <fonts count="29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b val="1"/>
      <color theme="1"/>
      <sz val="10"/>
      <scheme val="minor"/>
    </font>
    <font>
      <name val="等线"/>
      <charset val="134"/>
      <color theme="1"/>
      <sz val="10"/>
      <scheme val="minor"/>
    </font>
    <font>
      <name val="等线"/>
      <charset val="134"/>
      <color rgb="FFFF0000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theme="1"/>
      <sz val="12"/>
      <scheme val="minor"/>
    </font>
    <font>
      <name val="宋体"/>
      <charset val="134"/>
      <b val="1"/>
      <color rgb="FF000000"/>
      <sz val="9"/>
    </font>
    <font>
      <b val="1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79247413556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1" fillId="9" borderId="1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" applyAlignment="1">
      <alignment vertical="center"/>
    </xf>
    <xf numFmtId="0" fontId="13" fillId="0" borderId="2" applyAlignment="1">
      <alignment vertical="center"/>
    </xf>
    <xf numFmtId="0" fontId="14" fillId="0" borderId="3" applyAlignment="1">
      <alignment vertical="center"/>
    </xf>
    <xf numFmtId="0" fontId="14" fillId="0" borderId="0" applyAlignment="1">
      <alignment vertical="center"/>
    </xf>
    <xf numFmtId="0" fontId="15" fillId="10" borderId="4" applyAlignment="1">
      <alignment vertical="center"/>
    </xf>
    <xf numFmtId="0" fontId="16" fillId="11" borderId="5" applyAlignment="1">
      <alignment vertical="center"/>
    </xf>
    <xf numFmtId="0" fontId="17" fillId="11" borderId="4" applyAlignment="1">
      <alignment vertical="center"/>
    </xf>
    <xf numFmtId="0" fontId="18" fillId="12" borderId="6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  <xf numFmtId="0" fontId="26" fillId="0" borderId="0"/>
    <xf numFmtId="0" fontId="1" fillId="0" borderId="0" applyAlignment="1">
      <alignment vertical="center"/>
    </xf>
  </cellStyleXfs>
  <cellXfs count="4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164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left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right" vertical="center"/>
    </xf>
    <xf numFmtId="165" fontId="4" fillId="2" borderId="0" applyAlignment="1" pivotButton="0" quotePrefix="0" xfId="0">
      <alignment horizontal="left" vertical="center"/>
    </xf>
    <xf numFmtId="167" fontId="4" fillId="2" borderId="0" applyAlignment="1" pivotButton="0" quotePrefix="0" xfId="0">
      <alignment horizontal="left" vertical="center"/>
    </xf>
    <xf numFmtId="10" fontId="4" fillId="2" borderId="0" applyAlignment="1" pivotButton="0" quotePrefix="0" xfId="0">
      <alignment horizontal="left" vertical="center"/>
    </xf>
    <xf numFmtId="10" fontId="4" fillId="2" borderId="0" applyAlignment="1" pivotButton="0" quotePrefix="0" xfId="0">
      <alignment horizontal="right" vertical="center"/>
    </xf>
    <xf numFmtId="165" fontId="3" fillId="3" borderId="0" applyAlignment="1" pivotButton="0" quotePrefix="0" xfId="0">
      <alignment vertical="center"/>
    </xf>
    <xf numFmtId="166" fontId="3" fillId="4" borderId="0" applyAlignment="1" pivotButton="0" quotePrefix="0" xfId="0">
      <alignment horizontal="right" vertical="center"/>
    </xf>
    <xf numFmtId="10" fontId="3" fillId="5" borderId="0" applyAlignment="1" pivotButton="0" quotePrefix="0" xfId="0">
      <alignment horizontal="right" vertical="center"/>
    </xf>
    <xf numFmtId="168" fontId="1" fillId="2" borderId="0" applyAlignment="1" pivotButton="0" quotePrefix="0" xfId="0">
      <alignment vertical="top"/>
    </xf>
    <xf numFmtId="169" fontId="1" fillId="2" borderId="0" applyAlignment="1" pivotButton="0" quotePrefix="0" xfId="0">
      <alignment vertical="top" wrapText="1"/>
    </xf>
    <xf numFmtId="10" fontId="1" fillId="5" borderId="0" applyAlignment="1" pivotButton="0" quotePrefix="0" xfId="0">
      <alignment vertical="top" wrapText="1"/>
    </xf>
    <xf numFmtId="10" fontId="1" fillId="5" borderId="0" applyAlignment="1" pivotButton="0" quotePrefix="0" xfId="0">
      <alignment horizontal="right" vertical="top" wrapText="1"/>
    </xf>
    <xf numFmtId="170" fontId="3" fillId="5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4" fontId="1" fillId="6" borderId="0" applyAlignment="1" pivotButton="0" quotePrefix="0" xfId="0">
      <alignment vertical="center"/>
    </xf>
    <xf numFmtId="168" fontId="1" fillId="3" borderId="0" applyAlignment="1" pivotButton="0" quotePrefix="0" xfId="0">
      <alignment vertical="top"/>
    </xf>
    <xf numFmtId="169" fontId="1" fillId="7" borderId="0" applyAlignment="1" pivotButton="0" quotePrefix="0" xfId="0">
      <alignment vertical="top" wrapText="1"/>
    </xf>
    <xf numFmtId="171" fontId="3" fillId="5" borderId="0" applyAlignment="1" pivotButton="0" quotePrefix="0" xfId="0">
      <alignment horizontal="right" vertical="center"/>
    </xf>
    <xf numFmtId="168" fontId="1" fillId="0" borderId="0" applyAlignment="1" pivotButton="0" quotePrefix="0" xfId="0">
      <alignment vertical="top"/>
    </xf>
    <xf numFmtId="165" fontId="3" fillId="0" borderId="0" applyAlignment="1" pivotButton="0" quotePrefix="0" xfId="0">
      <alignment vertical="center"/>
    </xf>
    <xf numFmtId="4" fontId="1" fillId="0" borderId="0" applyAlignment="1" pivotButton="0" quotePrefix="0" xfId="0">
      <alignment vertical="center"/>
    </xf>
    <xf numFmtId="169" fontId="0" fillId="2" borderId="0" applyAlignment="1" pivotButton="0" quotePrefix="0" xfId="50">
      <alignment vertical="top" wrapText="1"/>
    </xf>
    <xf numFmtId="169" fontId="0" fillId="7" borderId="0" applyAlignment="1" pivotButton="0" quotePrefix="0" xfId="50">
      <alignment vertical="top" wrapText="1"/>
    </xf>
    <xf numFmtId="0" fontId="3" fillId="5" borderId="0" applyAlignment="1" pivotButton="0" quotePrefix="0" xfId="0">
      <alignment horizontal="right" vertical="center"/>
    </xf>
    <xf numFmtId="165" fontId="5" fillId="0" borderId="0" applyAlignment="1" pivotButton="0" quotePrefix="0" xfId="0">
      <alignment vertical="center"/>
    </xf>
    <xf numFmtId="1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10" fontId="3" fillId="0" borderId="0" applyAlignment="1" pivotButton="0" quotePrefix="0" xfId="3">
      <alignment horizontal="right" vertical="center"/>
    </xf>
    <xf numFmtId="10" fontId="3" fillId="0" borderId="0" applyAlignment="1" pivotButton="0" quotePrefix="0" xfId="3">
      <alignment horizontal="right" vertical="center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72" fontId="3" fillId="0" borderId="0" applyAlignment="1" pivotButton="0" quotePrefix="0" xfId="3">
      <alignment horizontal="right" vertical="center"/>
    </xf>
    <xf numFmtId="2" fontId="3" fillId="0" borderId="0" applyAlignment="1" pivotButton="0" quotePrefix="0" xfId="3">
      <alignment horizontal="right" vertical="center"/>
    </xf>
    <xf numFmtId="165" fontId="3" fillId="0" borderId="0" applyAlignment="1" pivotButton="0" quotePrefix="0" xfId="50">
      <alignment vertical="center"/>
    </xf>
    <xf numFmtId="166" fontId="3" fillId="0" borderId="0" applyAlignment="1" pivotButton="0" quotePrefix="0" xfId="50">
      <alignment horizontal="right" vertical="center"/>
    </xf>
    <xf numFmtId="10" fontId="3" fillId="0" borderId="0" applyAlignment="1" pivotButton="0" quotePrefix="0" xfId="50">
      <alignment horizontal="right" vertical="center"/>
    </xf>
    <xf numFmtId="2" fontId="3" fillId="0" borderId="0" applyAlignment="1" pivotButton="0" quotePrefix="0" xfId="50">
      <alignment horizontal="right" vertical="center"/>
    </xf>
    <xf numFmtId="173" fontId="3" fillId="3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0" fontId="3" fillId="0" borderId="0" applyAlignment="1" pivotButton="0" quotePrefix="0" xfId="3">
      <alignment vertical="center"/>
    </xf>
    <xf numFmtId="0" fontId="3" fillId="0" borderId="0" applyAlignment="1" pivotButton="0" quotePrefix="0" xfId="3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74" fontId="3" fillId="0" borderId="0" applyAlignment="1" pivotButton="0" quotePrefix="0" xfId="3">
      <alignment horizontal="right" vertical="center"/>
    </xf>
    <xf numFmtId="165" fontId="3" fillId="0" borderId="0" applyAlignment="1" pivotButton="0" quotePrefix="0" xfId="50">
      <alignment horizontal="left" vertical="center"/>
    </xf>
    <xf numFmtId="165" fontId="6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right" vertical="center"/>
    </xf>
    <xf numFmtId="10" fontId="6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5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50">
      <alignment vertical="center"/>
    </xf>
    <xf numFmtId="0" fontId="6" fillId="0" borderId="0" applyAlignment="1" pivotButton="0" quotePrefix="0" xfId="0">
      <alignment vertical="center"/>
    </xf>
    <xf numFmtId="175" fontId="1" fillId="0" borderId="0" applyAlignment="1" pivotButton="0" quotePrefix="0" xfId="3">
      <alignment vertical="center"/>
    </xf>
    <xf numFmtId="176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76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76" fontId="3" fillId="2" borderId="0" applyAlignment="1" pivotButton="0" quotePrefix="0" xfId="0">
      <alignment horizontal="left" vertical="center"/>
    </xf>
    <xf numFmtId="166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76" fontId="4" fillId="2" borderId="0" applyAlignment="1" pivotButton="0" quotePrefix="0" xfId="0">
      <alignment horizontal="left" vertical="center"/>
    </xf>
    <xf numFmtId="176" fontId="3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top" wrapText="1"/>
    </xf>
    <xf numFmtId="169" fontId="1" fillId="0" borderId="0" applyAlignment="1" pivotButton="0" quotePrefix="0" xfId="0">
      <alignment vertical="top" wrapText="1"/>
    </xf>
    <xf numFmtId="175" fontId="1" fillId="0" borderId="0" applyAlignment="1" pivotButton="0" quotePrefix="0" xfId="3">
      <alignment vertical="center"/>
    </xf>
    <xf numFmtId="176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/>
    </xf>
    <xf numFmtId="0" fontId="3" fillId="0" borderId="0" applyAlignment="1" pivotButton="0" quotePrefix="0" xfId="3">
      <alignment horizontal="right" vertical="center"/>
    </xf>
    <xf numFmtId="176" fontId="1" fillId="0" borderId="0" applyAlignment="1" pivotButton="0" quotePrefix="0" xfId="0">
      <alignment vertical="top" wrapText="1"/>
    </xf>
    <xf numFmtId="169" fontId="1" fillId="0" borderId="0" applyAlignment="1" pivotButton="0" quotePrefix="0" xfId="0">
      <alignment vertical="top"/>
    </xf>
    <xf numFmtId="169" fontId="1" fillId="0" borderId="0" applyAlignment="1" pivotButton="0" quotePrefix="0" xfId="0">
      <alignment vertical="center"/>
    </xf>
    <xf numFmtId="176" fontId="3" fillId="0" borderId="0" applyAlignment="1" pivotButton="0" quotePrefix="0" xfId="0">
      <alignment vertical="center"/>
    </xf>
    <xf numFmtId="169" fontId="0" fillId="0" borderId="0" applyAlignment="1" pivotButton="0" quotePrefix="0" xfId="50">
      <alignment vertical="top" wrapText="1"/>
    </xf>
    <xf numFmtId="176" fontId="3" fillId="0" borderId="0" applyAlignment="1" pivotButton="0" quotePrefix="0" xfId="50">
      <alignment horizontal="right" vertical="center"/>
    </xf>
    <xf numFmtId="166" fontId="5" fillId="0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71" fontId="5" fillId="0" borderId="0" applyAlignment="1" pivotButton="0" quotePrefix="0" xfId="0">
      <alignment horizontal="right" vertical="center"/>
    </xf>
    <xf numFmtId="177" fontId="3" fillId="0" borderId="0" applyAlignment="1" pivotButton="0" quotePrefix="0" xfId="0">
      <alignment horizontal="right" vertical="center"/>
    </xf>
    <xf numFmtId="166" fontId="6" fillId="0" borderId="0" applyAlignment="1" pivotButton="0" quotePrefix="0" xfId="50">
      <alignment horizontal="right" vertical="center"/>
    </xf>
    <xf numFmtId="10" fontId="6" fillId="0" borderId="0" applyAlignment="1" pivotButton="0" quotePrefix="0" xfId="3">
      <alignment horizontal="right" vertical="center"/>
    </xf>
    <xf numFmtId="10" fontId="6" fillId="0" borderId="0" applyAlignment="1" pivotButton="0" quotePrefix="0" xfId="3">
      <alignment horizontal="right" vertical="center"/>
    </xf>
    <xf numFmtId="177" fontId="6" fillId="0" borderId="0" applyAlignment="1" pivotButton="0" quotePrefix="0" xfId="50">
      <alignment horizontal="right" vertical="center"/>
    </xf>
    <xf numFmtId="0" fontId="6" fillId="0" borderId="0" applyAlignment="1" pivotButton="0" quotePrefix="0" xfId="50">
      <alignment horizontal="right" vertical="center"/>
    </xf>
    <xf numFmtId="175" fontId="3" fillId="0" borderId="0" applyAlignment="1" pivotButton="0" quotePrefix="0" xfId="3">
      <alignment horizontal="right" vertical="center"/>
    </xf>
    <xf numFmtId="10" fontId="3" fillId="0" borderId="0" applyAlignment="1" pivotButton="0" quotePrefix="0" xfId="3">
      <alignment vertical="center"/>
    </xf>
    <xf numFmtId="175" fontId="3" fillId="0" borderId="0" applyAlignment="1" pivotButton="0" quotePrefix="0" xfId="3">
      <alignment vertical="center"/>
    </xf>
    <xf numFmtId="178" fontId="1" fillId="0" borderId="0" applyAlignment="1" pivotButton="0" quotePrefix="0" xfId="0">
      <alignment vertical="center"/>
    </xf>
    <xf numFmtId="170" fontId="1" fillId="0" borderId="0" applyAlignment="1" pivotButton="0" quotePrefix="0" xfId="0">
      <alignment vertical="center"/>
    </xf>
    <xf numFmtId="178" fontId="0" fillId="0" borderId="0" applyAlignment="1" pivotButton="0" quotePrefix="0" xfId="50">
      <alignment vertical="center"/>
    </xf>
    <xf numFmtId="170" fontId="0" fillId="0" borderId="0" applyAlignment="1" pivotButton="0" quotePrefix="0" xfId="50">
      <alignment vertical="center"/>
    </xf>
    <xf numFmtId="0" fontId="0" fillId="0" borderId="0" applyAlignment="1" pivotButton="0" quotePrefix="0" xfId="50">
      <alignment vertical="center"/>
    </xf>
    <xf numFmtId="176" fontId="0" fillId="0" borderId="0" applyAlignment="1" pivotButton="0" quotePrefix="0" xfId="50">
      <alignment vertical="center"/>
    </xf>
    <xf numFmtId="175" fontId="3" fillId="0" borderId="0" applyAlignment="1" pivotButton="0" quotePrefix="0" xfId="3">
      <alignment horizontal="right" vertical="center"/>
    </xf>
    <xf numFmtId="170" fontId="3" fillId="0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167" fontId="4" fillId="0" borderId="0" applyAlignment="1" pivotButton="0" quotePrefix="0" xfId="0">
      <alignment horizontal="left" vertical="center"/>
    </xf>
    <xf numFmtId="10" fontId="3" fillId="5" borderId="0" applyAlignment="1" pivotButton="0" quotePrefix="0" xfId="50">
      <alignment horizontal="right" vertical="center"/>
    </xf>
    <xf numFmtId="10" fontId="5" fillId="5" borderId="0" applyAlignment="1" pivotButton="0" quotePrefix="0" xfId="0">
      <alignment horizontal="right" vertical="center"/>
    </xf>
    <xf numFmtId="0" fontId="2" fillId="0" borderId="0" applyAlignment="1" pivotButton="0" quotePrefix="0" xfId="50">
      <alignment horizontal="left" vertical="center"/>
    </xf>
    <xf numFmtId="0" fontId="3" fillId="0" borderId="0" applyAlignment="1" pivotButton="0" quotePrefix="0" xfId="50">
      <alignment horizontal="left" vertical="center"/>
    </xf>
    <xf numFmtId="0" fontId="4" fillId="0" borderId="0" applyAlignment="1" pivotButton="0" quotePrefix="0" xfId="50">
      <alignment horizontal="left" vertical="center"/>
    </xf>
    <xf numFmtId="0" fontId="3" fillId="0" borderId="0" applyAlignment="1" pivotButton="0" quotePrefix="0" xfId="50">
      <alignment vertical="center"/>
    </xf>
    <xf numFmtId="0" fontId="0" fillId="0" borderId="0" applyAlignment="1" pivotButton="0" quotePrefix="0" xfId="50">
      <alignment vertical="center"/>
    </xf>
    <xf numFmtId="0" fontId="5" fillId="0" borderId="0" applyAlignment="1" pivotButton="0" quotePrefix="0" xfId="50">
      <alignment vertical="center"/>
    </xf>
    <xf numFmtId="0" fontId="6" fillId="0" borderId="0" applyAlignment="1" pivotButton="0" quotePrefix="0" xfId="50">
      <alignment vertical="center"/>
    </xf>
    <xf numFmtId="10" fontId="0" fillId="0" borderId="0" applyAlignment="1" pivotButton="0" quotePrefix="0" xfId="50">
      <alignment vertical="center"/>
    </xf>
    <xf numFmtId="175" fontId="0" fillId="0" borderId="0" applyAlignment="1" pivotButton="0" quotePrefix="0" xfId="3">
      <alignment vertical="center"/>
    </xf>
    <xf numFmtId="164" fontId="2" fillId="2" borderId="0" applyAlignment="1" pivotButton="0" quotePrefix="0" xfId="50">
      <alignment horizontal="left" vertical="center"/>
    </xf>
    <xf numFmtId="10" fontId="2" fillId="2" borderId="0" applyAlignment="1" pivotButton="0" quotePrefix="0" xfId="50">
      <alignment horizontal="right" vertical="center"/>
    </xf>
    <xf numFmtId="0" fontId="2" fillId="2" borderId="0" applyAlignment="1" pivotButton="0" quotePrefix="0" xfId="50">
      <alignment horizontal="left" vertical="center"/>
    </xf>
    <xf numFmtId="176" fontId="2" fillId="2" borderId="0" applyAlignment="1" pivotButton="0" quotePrefix="0" xfId="50">
      <alignment horizontal="left" vertical="center"/>
    </xf>
    <xf numFmtId="165" fontId="3" fillId="2" borderId="0" applyAlignment="1" pivotButton="0" quotePrefix="0" xfId="50">
      <alignment horizontal="left" vertical="center"/>
    </xf>
    <xf numFmtId="166" fontId="3" fillId="2" borderId="0" applyAlignment="1" pivotButton="0" quotePrefix="0" xfId="50">
      <alignment horizontal="left" vertical="center"/>
    </xf>
    <xf numFmtId="10" fontId="3" fillId="2" borderId="0" applyAlignment="1" pivotButton="0" quotePrefix="0" xfId="50">
      <alignment horizontal="left" vertical="center"/>
    </xf>
    <xf numFmtId="10" fontId="3" fillId="2" borderId="0" applyAlignment="1" pivotButton="0" quotePrefix="0" xfId="50">
      <alignment horizontal="right" vertical="center"/>
    </xf>
    <xf numFmtId="0" fontId="3" fillId="2" borderId="0" applyAlignment="1" pivotButton="0" quotePrefix="0" xfId="50">
      <alignment horizontal="left" vertical="center"/>
    </xf>
    <xf numFmtId="176" fontId="3" fillId="2" borderId="0" applyAlignment="1" pivotButton="0" quotePrefix="0" xfId="50">
      <alignment horizontal="left" vertical="center"/>
    </xf>
    <xf numFmtId="165" fontId="4" fillId="2" borderId="0" applyAlignment="1" pivotButton="0" quotePrefix="0" xfId="50">
      <alignment horizontal="left" vertical="center"/>
    </xf>
    <xf numFmtId="167" fontId="4" fillId="2" borderId="0" applyAlignment="1" pivotButton="0" quotePrefix="0" xfId="50">
      <alignment horizontal="left" vertical="center"/>
    </xf>
    <xf numFmtId="10" fontId="4" fillId="2" borderId="0" applyAlignment="1" pivotButton="0" quotePrefix="0" xfId="50">
      <alignment horizontal="left" vertical="center"/>
    </xf>
    <xf numFmtId="10" fontId="4" fillId="2" borderId="0" applyAlignment="1" pivotButton="0" quotePrefix="0" xfId="50">
      <alignment horizontal="right" vertical="center"/>
    </xf>
    <xf numFmtId="166" fontId="4" fillId="2" borderId="0" applyAlignment="1" pivotButton="0" quotePrefix="0" xfId="50">
      <alignment horizontal="left" vertical="center"/>
    </xf>
    <xf numFmtId="0" fontId="4" fillId="2" borderId="0" applyAlignment="1" pivotButton="0" quotePrefix="0" xfId="50">
      <alignment horizontal="left" vertical="center"/>
    </xf>
    <xf numFmtId="176" fontId="4" fillId="2" borderId="0" applyAlignment="1" pivotButton="0" quotePrefix="0" xfId="50">
      <alignment horizontal="left" vertical="center"/>
    </xf>
    <xf numFmtId="165" fontId="3" fillId="3" borderId="0" applyAlignment="1" pivotButton="0" quotePrefix="0" xfId="50">
      <alignment vertical="center"/>
    </xf>
    <xf numFmtId="166" fontId="3" fillId="4" borderId="0" applyAlignment="1" pivotButton="0" quotePrefix="0" xfId="50">
      <alignment horizontal="right" vertical="center"/>
    </xf>
    <xf numFmtId="166" fontId="3" fillId="0" borderId="0" applyAlignment="1" pivotButton="0" quotePrefix="0" xfId="50">
      <alignment horizontal="right" vertical="center"/>
    </xf>
    <xf numFmtId="10" fontId="3" fillId="0" borderId="0" applyAlignment="1" pivotButton="0" quotePrefix="0" xfId="50">
      <alignment horizontal="right" vertical="center"/>
    </xf>
    <xf numFmtId="176" fontId="3" fillId="0" borderId="0" applyAlignment="1" pivotButton="0" quotePrefix="0" xfId="50">
      <alignment horizontal="right" vertical="center"/>
    </xf>
    <xf numFmtId="168" fontId="0" fillId="2" borderId="0" applyAlignment="1" pivotButton="0" quotePrefix="0" xfId="50">
      <alignment vertical="top"/>
    </xf>
    <xf numFmtId="10" fontId="0" fillId="5" borderId="0" applyAlignment="1" pivotButton="0" quotePrefix="0" xfId="50">
      <alignment vertical="top" wrapText="1"/>
    </xf>
    <xf numFmtId="10" fontId="0" fillId="5" borderId="0" applyAlignment="1" pivotButton="0" quotePrefix="0" xfId="50">
      <alignment horizontal="right" vertical="top" wrapText="1"/>
    </xf>
    <xf numFmtId="164" fontId="0" fillId="0" borderId="0" applyAlignment="1" pivotButton="0" quotePrefix="0" xfId="50">
      <alignment vertical="top" wrapText="1"/>
    </xf>
    <xf numFmtId="169" fontId="0" fillId="0" borderId="0" applyAlignment="1" pivotButton="0" quotePrefix="0" xfId="50">
      <alignment vertical="top" wrapText="1"/>
    </xf>
    <xf numFmtId="175" fontId="0" fillId="0" borderId="0" applyAlignment="1" pivotButton="0" quotePrefix="0" xfId="3">
      <alignment vertical="center"/>
    </xf>
    <xf numFmtId="176" fontId="0" fillId="0" borderId="0" applyAlignment="1" pivotButton="0" quotePrefix="0" xfId="50">
      <alignment vertical="top"/>
    </xf>
    <xf numFmtId="49" fontId="0" fillId="0" borderId="0" applyAlignment="1" pivotButton="0" quotePrefix="0" xfId="50">
      <alignment vertical="top"/>
    </xf>
    <xf numFmtId="0" fontId="3" fillId="5" borderId="0" applyAlignment="1" pivotButton="0" quotePrefix="0" xfId="50">
      <alignment horizontal="right" vertical="center"/>
    </xf>
    <xf numFmtId="166" fontId="3" fillId="6" borderId="0" applyAlignment="1" pivotButton="0" quotePrefix="0" xfId="50">
      <alignment horizontal="right" vertical="center"/>
    </xf>
    <xf numFmtId="176" fontId="0" fillId="0" borderId="0" applyAlignment="1" pivotButton="0" quotePrefix="0" xfId="50">
      <alignment vertical="top" wrapText="1"/>
    </xf>
    <xf numFmtId="169" fontId="0" fillId="0" borderId="0" applyAlignment="1" pivotButton="0" quotePrefix="0" xfId="50">
      <alignment vertical="top"/>
    </xf>
    <xf numFmtId="169" fontId="0" fillId="0" borderId="0" applyAlignment="1" pivotButton="0" quotePrefix="0" xfId="50">
      <alignment vertical="center"/>
    </xf>
    <xf numFmtId="176" fontId="0" fillId="0" borderId="0" applyAlignment="1" pivotButton="0" quotePrefix="0" xfId="50">
      <alignment vertical="center"/>
    </xf>
    <xf numFmtId="4" fontId="0" fillId="6" borderId="0" applyAlignment="1" pivotButton="0" quotePrefix="0" xfId="50">
      <alignment vertical="center"/>
    </xf>
    <xf numFmtId="176" fontId="3" fillId="0" borderId="0" applyAlignment="1" pivotButton="0" quotePrefix="0" xfId="50">
      <alignment vertical="center"/>
    </xf>
    <xf numFmtId="168" fontId="0" fillId="3" borderId="0" applyAlignment="1" pivotButton="0" quotePrefix="0" xfId="50">
      <alignment vertical="top"/>
    </xf>
    <xf numFmtId="171" fontId="3" fillId="5" borderId="0" applyAlignment="1" pivotButton="0" quotePrefix="0" xfId="50">
      <alignment horizontal="right" vertical="center"/>
    </xf>
    <xf numFmtId="168" fontId="0" fillId="0" borderId="0" applyAlignment="1" pivotButton="0" quotePrefix="0" xfId="50">
      <alignment vertical="top"/>
    </xf>
    <xf numFmtId="4" fontId="0" fillId="0" borderId="0" applyAlignment="1" pivotButton="0" quotePrefix="0" xfId="50">
      <alignment vertical="center"/>
    </xf>
    <xf numFmtId="165" fontId="5" fillId="0" borderId="0" applyAlignment="1" pivotButton="0" quotePrefix="0" xfId="50">
      <alignment vertical="center"/>
    </xf>
    <xf numFmtId="10" fontId="5" fillId="5" borderId="0" applyAlignment="1" pivotButton="0" quotePrefix="0" xfId="50">
      <alignment horizontal="right" vertical="center"/>
    </xf>
    <xf numFmtId="170" fontId="3" fillId="5" borderId="0" applyAlignment="1" pivotButton="0" quotePrefix="0" xfId="50">
      <alignment horizontal="right" vertical="center"/>
    </xf>
    <xf numFmtId="166" fontId="5" fillId="0" borderId="0" applyAlignment="1" pivotButton="0" quotePrefix="0" xfId="50">
      <alignment horizontal="right" vertical="center"/>
    </xf>
    <xf numFmtId="176" fontId="5" fillId="0" borderId="0" applyAlignment="1" pivotButton="0" quotePrefix="0" xfId="50">
      <alignment horizontal="right" vertical="center"/>
    </xf>
    <xf numFmtId="4" fontId="0" fillId="0" borderId="0" applyAlignment="1" pivotButton="0" quotePrefix="0" xfId="50">
      <alignment vertical="center"/>
    </xf>
    <xf numFmtId="10" fontId="5" fillId="0" borderId="0" applyAlignment="1" pivotButton="0" quotePrefix="0" xfId="50">
      <alignment horizontal="right" vertical="center"/>
    </xf>
    <xf numFmtId="0" fontId="5" fillId="0" borderId="0" applyAlignment="1" pivotButton="0" quotePrefix="0" xfId="50">
      <alignment horizontal="right" vertical="center"/>
    </xf>
    <xf numFmtId="171" fontId="5" fillId="0" borderId="0" applyAlignment="1" pivotButton="0" quotePrefix="0" xfId="50">
      <alignment horizontal="right" vertical="center"/>
    </xf>
    <xf numFmtId="165" fontId="4" fillId="0" borderId="0" applyAlignment="1" pivotButton="0" quotePrefix="0" xfId="50">
      <alignment vertical="center"/>
    </xf>
    <xf numFmtId="165" fontId="3" fillId="0" borderId="0" applyAlignment="1" pivotButton="0" quotePrefix="0" xfId="50">
      <alignment vertical="center"/>
    </xf>
    <xf numFmtId="0" fontId="3" fillId="0" borderId="0" applyAlignment="1" pivotButton="0" quotePrefix="0" xfId="50">
      <alignment horizontal="right" vertical="center"/>
    </xf>
    <xf numFmtId="10" fontId="3" fillId="0" borderId="0" applyAlignment="1" pivotButton="0" quotePrefix="0" xfId="50">
      <alignment vertical="center"/>
    </xf>
    <xf numFmtId="177" fontId="3" fillId="0" borderId="0" applyAlignment="1" pivotButton="0" quotePrefix="0" xfId="50">
      <alignment horizontal="right" vertical="center"/>
    </xf>
    <xf numFmtId="172" fontId="3" fillId="0" borderId="0" applyAlignment="1" pivotButton="0" quotePrefix="0" xfId="3">
      <alignment horizontal="right" vertical="center"/>
    </xf>
    <xf numFmtId="2" fontId="3" fillId="0" borderId="0" applyAlignment="1" pivotButton="0" quotePrefix="0" xfId="3">
      <alignment horizontal="right" vertical="center"/>
    </xf>
    <xf numFmtId="166" fontId="6" fillId="0" borderId="0" applyAlignment="1" pivotButton="0" quotePrefix="0" xfId="50">
      <alignment horizontal="right" vertical="center"/>
    </xf>
    <xf numFmtId="177" fontId="6" fillId="0" borderId="0" applyAlignment="1" pivotButton="0" quotePrefix="0" xfId="50">
      <alignment horizontal="right" vertical="center"/>
    </xf>
    <xf numFmtId="2" fontId="3" fillId="0" borderId="0" applyAlignment="1" pivotButton="0" quotePrefix="0" xfId="50">
      <alignment horizontal="right" vertical="center"/>
    </xf>
    <xf numFmtId="0" fontId="6" fillId="0" borderId="0" applyAlignment="1" pivotButton="0" quotePrefix="0" xfId="50">
      <alignment horizontal="right" vertical="center"/>
    </xf>
    <xf numFmtId="173" fontId="3" fillId="0" borderId="0" applyAlignment="1" pivotButton="0" quotePrefix="0" xfId="50">
      <alignment horizontal="left" vertical="center"/>
    </xf>
    <xf numFmtId="165" fontId="3" fillId="0" borderId="0" applyAlignment="1" pivotButton="0" quotePrefix="0" xfId="50">
      <alignment horizontal="left" vertical="center"/>
    </xf>
    <xf numFmtId="0" fontId="3" fillId="0" borderId="0" applyAlignment="1" pivotButton="0" quotePrefix="0" xfId="3">
      <alignment vertical="center"/>
    </xf>
    <xf numFmtId="175" fontId="3" fillId="0" borderId="0" applyAlignment="1" pivotButton="0" quotePrefix="0" xfId="3">
      <alignment vertical="center"/>
    </xf>
    <xf numFmtId="0" fontId="3" fillId="0" borderId="0" applyAlignment="1" pivotButton="0" quotePrefix="0" xfId="50">
      <alignment horizontal="left" vertical="center"/>
    </xf>
    <xf numFmtId="0" fontId="3" fillId="0" borderId="0" applyAlignment="1" pivotButton="0" quotePrefix="0" xfId="50">
      <alignment horizontal="right" vertical="center"/>
    </xf>
    <xf numFmtId="174" fontId="3" fillId="0" borderId="0" applyAlignment="1" pivotButton="0" quotePrefix="0" xfId="3">
      <alignment horizontal="right" vertical="center"/>
    </xf>
    <xf numFmtId="178" fontId="0" fillId="0" borderId="0" applyAlignment="1" pivotButton="0" quotePrefix="0" xfId="50">
      <alignment vertical="center"/>
    </xf>
    <xf numFmtId="170" fontId="0" fillId="0" borderId="0" applyAlignment="1" pivotButton="0" quotePrefix="0" xfId="50">
      <alignment vertical="center"/>
    </xf>
    <xf numFmtId="165" fontId="6" fillId="0" borderId="0" applyAlignment="1" pivotButton="0" quotePrefix="0" xfId="50">
      <alignment vertical="center"/>
    </xf>
    <xf numFmtId="10" fontId="6" fillId="0" borderId="0" applyAlignment="1" pivotButton="0" quotePrefix="0" xfId="50">
      <alignment horizontal="right" vertical="center"/>
    </xf>
    <xf numFmtId="165" fontId="6" fillId="0" borderId="0" applyAlignment="1" pivotButton="0" quotePrefix="0" xfId="50">
      <alignment vertical="center"/>
    </xf>
    <xf numFmtId="10" fontId="6" fillId="0" borderId="0" applyAlignment="1" pivotButton="0" quotePrefix="0" xfId="50">
      <alignment horizontal="right" vertical="center"/>
    </xf>
    <xf numFmtId="170" fontId="3" fillId="0" borderId="0" applyAlignment="1" pivotButton="0" quotePrefix="0" xfId="50">
      <alignment horizontal="right" vertical="center"/>
    </xf>
    <xf numFmtId="170" fontId="6" fillId="0" borderId="0" applyAlignment="1" pivotButton="0" quotePrefix="0" xfId="50">
      <alignment horizontal="right" vertical="center"/>
    </xf>
    <xf numFmtId="0" fontId="3" fillId="4" borderId="0" applyAlignment="1" pivotButton="0" quotePrefix="0" xfId="50">
      <alignment vertical="center"/>
    </xf>
    <xf numFmtId="0" fontId="3" fillId="6" borderId="0" applyAlignment="1" pivotButton="0" quotePrefix="0" xfId="50">
      <alignment vertical="center"/>
    </xf>
    <xf numFmtId="0" fontId="0" fillId="6" borderId="0" applyAlignment="1" pivotButton="0" quotePrefix="0" xfId="50">
      <alignment vertical="center"/>
    </xf>
    <xf numFmtId="0" fontId="3" fillId="7" borderId="0" applyAlignment="1" pivotButton="0" quotePrefix="0" xfId="50">
      <alignment vertical="center"/>
    </xf>
    <xf numFmtId="0" fontId="5" fillId="0" borderId="0" applyAlignment="1" pivotButton="0" quotePrefix="0" xfId="50">
      <alignment vertical="center"/>
    </xf>
    <xf numFmtId="0" fontId="0" fillId="0" borderId="0" applyAlignment="1" pivotButton="0" quotePrefix="0" xfId="50">
      <alignment horizontal="right" vertical="center"/>
    </xf>
    <xf numFmtId="0" fontId="2" fillId="2" borderId="0" applyAlignment="1" pivotButton="0" quotePrefix="0" xfId="50">
      <alignment horizontal="right" vertical="center"/>
    </xf>
    <xf numFmtId="0" fontId="3" fillId="2" borderId="0" applyAlignment="1" pivotButton="0" quotePrefix="0" xfId="50">
      <alignment horizontal="right" vertical="center"/>
    </xf>
    <xf numFmtId="0" fontId="4" fillId="2" borderId="0" applyAlignment="1" pivotButton="0" quotePrefix="0" xfId="50">
      <alignment horizontal="right" vertical="center"/>
    </xf>
    <xf numFmtId="177" fontId="3" fillId="4" borderId="0" applyAlignment="1" pivotButton="0" quotePrefix="0" xfId="50">
      <alignment horizontal="right" vertical="center"/>
    </xf>
    <xf numFmtId="10" fontId="3" fillId="4" borderId="0" applyAlignment="1" pivotButton="0" quotePrefix="0" xfId="50">
      <alignment horizontal="right" vertical="center"/>
    </xf>
    <xf numFmtId="176" fontId="3" fillId="4" borderId="0" applyAlignment="1" pivotButton="0" quotePrefix="0" xfId="50">
      <alignment horizontal="right" vertical="center"/>
    </xf>
    <xf numFmtId="177" fontId="0" fillId="2" borderId="0" applyAlignment="1" pivotButton="0" quotePrefix="0" xfId="50">
      <alignment horizontal="right" vertical="top" wrapText="1"/>
    </xf>
    <xf numFmtId="164" fontId="0" fillId="0" borderId="0" applyAlignment="1" pivotButton="0" quotePrefix="0" xfId="50">
      <alignment vertical="top" wrapText="1"/>
    </xf>
    <xf numFmtId="176" fontId="0" fillId="0" borderId="0" applyAlignment="1" pivotButton="0" quotePrefix="0" xfId="50">
      <alignment vertical="top"/>
    </xf>
    <xf numFmtId="49" fontId="0" fillId="0" borderId="0" applyAlignment="1" pivotButton="0" quotePrefix="0" xfId="50">
      <alignment vertical="top"/>
    </xf>
    <xf numFmtId="0" fontId="3" fillId="4" borderId="0" applyAlignment="1" pivotButton="0" quotePrefix="0" xfId="3">
      <alignment horizontal="right" vertical="center"/>
    </xf>
    <xf numFmtId="177" fontId="3" fillId="6" borderId="0" applyAlignment="1" pivotButton="0" quotePrefix="0" xfId="50">
      <alignment horizontal="right" vertical="center"/>
    </xf>
    <xf numFmtId="10" fontId="3" fillId="6" borderId="0" applyAlignment="1" pivotButton="0" quotePrefix="0" xfId="50">
      <alignment horizontal="right" vertical="center"/>
    </xf>
    <xf numFmtId="0" fontId="3" fillId="6" borderId="0" applyAlignment="1" pivotButton="0" quotePrefix="0" xfId="3">
      <alignment horizontal="right" vertical="center"/>
    </xf>
    <xf numFmtId="176" fontId="3" fillId="6" borderId="0" applyAlignment="1" pivotButton="0" quotePrefix="0" xfId="50">
      <alignment horizontal="right" vertical="center"/>
    </xf>
    <xf numFmtId="176" fontId="0" fillId="0" borderId="0" applyAlignment="1" pivotButton="0" quotePrefix="0" xfId="50">
      <alignment vertical="top" wrapText="1"/>
    </xf>
    <xf numFmtId="169" fontId="0" fillId="0" borderId="0" applyAlignment="1" pivotButton="0" quotePrefix="0" xfId="50">
      <alignment vertical="top"/>
    </xf>
    <xf numFmtId="169" fontId="0" fillId="6" borderId="0" applyAlignment="1" pivotButton="0" quotePrefix="0" xfId="50">
      <alignment vertical="top" wrapText="1"/>
    </xf>
    <xf numFmtId="169" fontId="0" fillId="0" borderId="0" applyAlignment="1" pivotButton="0" quotePrefix="0" xfId="50">
      <alignment vertical="center"/>
    </xf>
    <xf numFmtId="177" fontId="0" fillId="6" borderId="0" applyAlignment="1" pivotButton="0" quotePrefix="0" xfId="50">
      <alignment horizontal="right" vertical="center"/>
    </xf>
    <xf numFmtId="164" fontId="0" fillId="6" borderId="0" applyAlignment="1" pivotButton="0" quotePrefix="0" xfId="50">
      <alignment vertical="top" wrapText="1"/>
    </xf>
    <xf numFmtId="169" fontId="0" fillId="6" borderId="0" applyAlignment="1" pivotButton="0" quotePrefix="0" xfId="50">
      <alignment vertical="center"/>
    </xf>
    <xf numFmtId="176" fontId="0" fillId="6" borderId="0" applyAlignment="1" pivotButton="0" quotePrefix="0" xfId="50">
      <alignment vertical="top" wrapText="1"/>
    </xf>
    <xf numFmtId="176" fontId="0" fillId="6" borderId="0" applyAlignment="1" pivotButton="0" quotePrefix="0" xfId="50">
      <alignment vertical="center"/>
    </xf>
    <xf numFmtId="176" fontId="3" fillId="0" borderId="0" applyAlignment="1" pivotButton="0" quotePrefix="0" xfId="50">
      <alignment vertical="center"/>
    </xf>
    <xf numFmtId="177" fontId="0" fillId="7" borderId="0" applyAlignment="1" pivotButton="0" quotePrefix="0" xfId="50">
      <alignment horizontal="right" vertical="top" wrapText="1"/>
    </xf>
    <xf numFmtId="164" fontId="0" fillId="7" borderId="0" applyAlignment="1" pivotButton="0" quotePrefix="0" xfId="50">
      <alignment vertical="top" wrapText="1"/>
    </xf>
    <xf numFmtId="10" fontId="3" fillId="7" borderId="0" applyAlignment="1" pivotButton="0" quotePrefix="0" xfId="50">
      <alignment horizontal="right" vertical="center"/>
    </xf>
    <xf numFmtId="166" fontId="3" fillId="7" borderId="0" applyAlignment="1" pivotButton="0" quotePrefix="0" xfId="50">
      <alignment horizontal="right" vertical="center"/>
    </xf>
    <xf numFmtId="0" fontId="3" fillId="7" borderId="0" applyAlignment="1" pivotButton="0" quotePrefix="0" xfId="3">
      <alignment horizontal="right" vertical="center"/>
    </xf>
    <xf numFmtId="0" fontId="0" fillId="7" borderId="0" applyAlignment="1" pivotButton="0" quotePrefix="0" xfId="50">
      <alignment vertical="center"/>
    </xf>
    <xf numFmtId="176" fontId="3" fillId="7" borderId="0" applyAlignment="1" pivotButton="0" quotePrefix="0" xfId="50">
      <alignment vertical="center"/>
    </xf>
    <xf numFmtId="168" fontId="0" fillId="8" borderId="0" applyAlignment="1" pivotButton="0" quotePrefix="0" xfId="50">
      <alignment vertical="top"/>
    </xf>
    <xf numFmtId="177" fontId="0" fillId="0" borderId="0" applyAlignment="1" pivotButton="0" quotePrefix="0" xfId="50">
      <alignment horizontal="right" vertical="center"/>
    </xf>
    <xf numFmtId="176" fontId="3" fillId="7" borderId="0" applyAlignment="1" pivotButton="0" quotePrefix="0" xfId="50">
      <alignment horizontal="right" vertical="center"/>
    </xf>
    <xf numFmtId="166" fontId="5" fillId="0" borderId="0" applyAlignment="1" pivotButton="0" quotePrefix="0" xfId="50">
      <alignment horizontal="right" vertical="center"/>
    </xf>
    <xf numFmtId="176" fontId="5" fillId="0" borderId="0" applyAlignment="1" pivotButton="0" quotePrefix="0" xfId="50">
      <alignment horizontal="right" vertical="center"/>
    </xf>
    <xf numFmtId="165" fontId="5" fillId="0" borderId="0" applyAlignment="1" pivotButton="0" quotePrefix="0" xfId="50">
      <alignment vertical="center"/>
    </xf>
    <xf numFmtId="177" fontId="0" fillId="0" borderId="0" applyAlignment="1" pivotButton="0" quotePrefix="0" xfId="50">
      <alignment horizontal="right" vertical="center"/>
    </xf>
    <xf numFmtId="0" fontId="3" fillId="4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right" vertical="center"/>
    </xf>
    <xf numFmtId="10" fontId="3" fillId="4" borderId="0" applyAlignment="1" pivotButton="0" quotePrefix="0" xfId="0">
      <alignment horizontal="right" vertical="center"/>
    </xf>
    <xf numFmtId="176" fontId="3" fillId="4" borderId="0" applyAlignment="1" pivotButton="0" quotePrefix="0" xfId="0">
      <alignment horizontal="right" vertical="center"/>
    </xf>
    <xf numFmtId="10" fontId="3" fillId="6" borderId="0" applyAlignment="1" pivotButton="0" quotePrefix="0" xfId="0">
      <alignment horizontal="right" vertical="center"/>
    </xf>
    <xf numFmtId="176" fontId="3" fillId="6" borderId="0" applyAlignment="1" pivotButton="0" quotePrefix="0" xfId="0">
      <alignment horizontal="right" vertical="center"/>
    </xf>
    <xf numFmtId="169" fontId="1" fillId="6" borderId="0" applyAlignment="1" pivotButton="0" quotePrefix="0" xfId="0">
      <alignment vertical="top" wrapText="1"/>
    </xf>
    <xf numFmtId="164" fontId="1" fillId="6" borderId="0" applyAlignment="1" pivotButton="0" quotePrefix="0" xfId="0">
      <alignment vertical="top" wrapText="1"/>
    </xf>
    <xf numFmtId="169" fontId="1" fillId="6" borderId="0" applyAlignment="1" pivotButton="0" quotePrefix="0" xfId="0">
      <alignment vertical="center"/>
    </xf>
    <xf numFmtId="176" fontId="1" fillId="6" borderId="0" applyAlignment="1" pivotButton="0" quotePrefix="0" xfId="0">
      <alignment vertical="top" wrapText="1"/>
    </xf>
    <xf numFmtId="176" fontId="1" fillId="6" borderId="0" applyAlignment="1" pivotButton="0" quotePrefix="0" xfId="0">
      <alignment vertical="center"/>
    </xf>
    <xf numFmtId="164" fontId="1" fillId="7" borderId="0" applyAlignment="1" pivotButton="0" quotePrefix="0" xfId="0">
      <alignment vertical="top" wrapText="1"/>
    </xf>
    <xf numFmtId="10" fontId="3" fillId="7" borderId="0" applyAlignment="1" pivotButton="0" quotePrefix="0" xfId="0">
      <alignment horizontal="right" vertical="center"/>
    </xf>
    <xf numFmtId="166" fontId="3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vertical="center"/>
    </xf>
    <xf numFmtId="176" fontId="3" fillId="7" borderId="0" applyAlignment="1" pivotButton="0" quotePrefix="0" xfId="0">
      <alignment vertical="center"/>
    </xf>
    <xf numFmtId="176" fontId="3" fillId="7" borderId="0" applyAlignment="1" pivotButton="0" quotePrefix="0" xfId="0">
      <alignment horizontal="right" vertical="center"/>
    </xf>
    <xf numFmtId="177" fontId="1" fillId="0" borderId="0" applyAlignment="1" pivotButton="0" quotePrefix="0" xfId="0">
      <alignment horizontal="right" vertical="center"/>
    </xf>
    <xf numFmtId="0" fontId="3" fillId="0" borderId="0" applyAlignment="1" pivotButton="0" quotePrefix="0" xfId="50">
      <alignment horizontal="right" vertical="center"/>
    </xf>
    <xf numFmtId="175" fontId="1" fillId="0" borderId="0" applyAlignment="1" pivotButton="0" quotePrefix="0" xfId="3">
      <alignment vertical="center"/>
    </xf>
    <xf numFmtId="176" fontId="1" fillId="0" borderId="0" applyAlignment="1" pivotButton="0" quotePrefix="0" xfId="0">
      <alignment vertical="center"/>
    </xf>
    <xf numFmtId="164" fontId="2" fillId="2" borderId="0" applyAlignment="1" pivotButton="0" quotePrefix="0" xfId="0">
      <alignment horizontal="left" vertical="center"/>
    </xf>
    <xf numFmtId="176" fontId="2" fillId="2" borderId="0" applyAlignment="1" pivotButton="0" quotePrefix="0" xfId="0">
      <alignment horizontal="left" vertical="center"/>
    </xf>
    <xf numFmtId="165" fontId="3" fillId="2" borderId="0" applyAlignment="1" pivotButton="0" quotePrefix="0" xfId="0">
      <alignment horizontal="left" vertical="center"/>
    </xf>
    <xf numFmtId="166" fontId="3" fillId="2" borderId="0" applyAlignment="1" pivotButton="0" quotePrefix="0" xfId="0">
      <alignment horizontal="left" vertical="center"/>
    </xf>
    <xf numFmtId="176" fontId="3" fillId="2" borderId="0" applyAlignment="1" pivotButton="0" quotePrefix="0" xfId="0">
      <alignment horizontal="left" vertical="center"/>
    </xf>
    <xf numFmtId="165" fontId="4" fillId="2" borderId="0" applyAlignment="1" pivotButton="0" quotePrefix="0" xfId="0">
      <alignment horizontal="left" vertical="center"/>
    </xf>
    <xf numFmtId="167" fontId="4" fillId="2" borderId="0" applyAlignment="1" pivotButton="0" quotePrefix="0" xfId="0">
      <alignment horizontal="left" vertical="center"/>
    </xf>
    <xf numFmtId="166" fontId="4" fillId="2" borderId="0" applyAlignment="1" pivotButton="0" quotePrefix="0" xfId="0">
      <alignment horizontal="left" vertical="center"/>
    </xf>
    <xf numFmtId="176" fontId="4" fillId="2" borderId="0" applyAlignment="1" pivotButton="0" quotePrefix="0" xfId="0">
      <alignment horizontal="left" vertical="center"/>
    </xf>
    <xf numFmtId="179" fontId="3" fillId="3" borderId="0" applyAlignment="1" pivotButton="0" quotePrefix="0" xfId="0">
      <alignment vertical="center"/>
    </xf>
    <xf numFmtId="166" fontId="3" fillId="4" borderId="0" applyAlignment="1" pivotButton="0" quotePrefix="0" xfId="0">
      <alignment horizontal="right" vertical="center"/>
    </xf>
    <xf numFmtId="2" fontId="3" fillId="4" borderId="0" applyAlignment="1" pivotButton="0" quotePrefix="0" xfId="0">
      <alignment horizontal="right" vertical="center"/>
    </xf>
    <xf numFmtId="176" fontId="3" fillId="4" borderId="0" applyAlignment="1" pivotButton="0" quotePrefix="0" xfId="0">
      <alignment horizontal="right" vertical="center"/>
    </xf>
    <xf numFmtId="179" fontId="1" fillId="2" borderId="0" applyAlignment="1" pivotButton="0" quotePrefix="0" xfId="0">
      <alignment vertical="top"/>
    </xf>
    <xf numFmtId="169" fontId="1" fillId="2" borderId="0" applyAlignment="1" pivotButton="0" quotePrefix="0" xfId="0">
      <alignment vertical="top" wrapText="1"/>
    </xf>
    <xf numFmtId="2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9" fontId="1" fillId="0" borderId="0" applyAlignment="1" pivotButton="0" quotePrefix="0" xfId="0">
      <alignment vertical="top" wrapText="1"/>
    </xf>
    <xf numFmtId="176" fontId="1" fillId="0" borderId="0" applyAlignment="1" pivotButton="0" quotePrefix="0" xfId="0">
      <alignment vertical="top"/>
    </xf>
    <xf numFmtId="2" fontId="3" fillId="5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3" fillId="6" borderId="0" applyAlignment="1" pivotButton="0" quotePrefix="0" xfId="0">
      <alignment horizontal="right" vertical="center"/>
    </xf>
    <xf numFmtId="2" fontId="3" fillId="6" borderId="0" applyAlignment="1" pivotButton="0" quotePrefix="0" xfId="0">
      <alignment horizontal="right" vertical="center"/>
    </xf>
    <xf numFmtId="176" fontId="3" fillId="6" borderId="0" applyAlignment="1" pivotButton="0" quotePrefix="0" xfId="0">
      <alignment horizontal="right" vertical="center"/>
    </xf>
    <xf numFmtId="176" fontId="1" fillId="0" borderId="0" applyAlignment="1" pivotButton="0" quotePrefix="0" xfId="0">
      <alignment vertical="top" wrapText="1"/>
    </xf>
    <xf numFmtId="169" fontId="1" fillId="0" borderId="0" applyAlignment="1" pivotButton="0" quotePrefix="0" xfId="0">
      <alignment vertical="top"/>
    </xf>
    <xf numFmtId="169" fontId="1" fillId="6" borderId="0" applyAlignment="1" pivotButton="0" quotePrefix="0" xfId="0">
      <alignment vertical="top" wrapText="1"/>
    </xf>
    <xf numFmtId="169" fontId="1" fillId="0" borderId="0" applyAlignment="1" pivotButton="0" quotePrefix="0" xfId="0">
      <alignment vertical="center"/>
    </xf>
    <xf numFmtId="2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top" wrapText="1"/>
    </xf>
    <xf numFmtId="169" fontId="1" fillId="6" borderId="0" applyAlignment="1" pivotButton="0" quotePrefix="0" xfId="0">
      <alignment vertical="center"/>
    </xf>
    <xf numFmtId="176" fontId="1" fillId="6" borderId="0" applyAlignment="1" pivotButton="0" quotePrefix="0" xfId="0">
      <alignment vertical="top" wrapText="1"/>
    </xf>
    <xf numFmtId="176" fontId="1" fillId="6" borderId="0" applyAlignment="1" pivotButton="0" quotePrefix="0" xfId="0">
      <alignment vertical="center"/>
    </xf>
    <xf numFmtId="176" fontId="3" fillId="0" borderId="0" applyAlignment="1" pivotButton="0" quotePrefix="0" xfId="0">
      <alignment vertical="center"/>
    </xf>
    <xf numFmtId="179" fontId="1" fillId="3" borderId="0" applyAlignment="1" pivotButton="0" quotePrefix="0" xfId="0">
      <alignment vertical="top"/>
    </xf>
    <xf numFmtId="169" fontId="1" fillId="7" borderId="0" applyAlignment="1" pivotButton="0" quotePrefix="0" xfId="0">
      <alignment vertical="top" wrapText="1"/>
    </xf>
    <xf numFmtId="2" fontId="1" fillId="7" borderId="0" applyAlignment="1" pivotButton="0" quotePrefix="0" xfId="0">
      <alignment vertical="top" wrapText="1"/>
    </xf>
    <xf numFmtId="164" fontId="1" fillId="7" borderId="0" applyAlignment="1" pivotButton="0" quotePrefix="0" xfId="0">
      <alignment vertical="top" wrapText="1"/>
    </xf>
    <xf numFmtId="166" fontId="3" fillId="7" borderId="0" applyAlignment="1" pivotButton="0" quotePrefix="0" xfId="0">
      <alignment horizontal="right" vertical="center"/>
    </xf>
    <xf numFmtId="176" fontId="3" fillId="7" borderId="0" applyAlignment="1" pivotButton="0" quotePrefix="0" xfId="0">
      <alignment vertical="center"/>
    </xf>
    <xf numFmtId="176" fontId="3" fillId="0" borderId="0" applyAlignment="1" pivotButton="0" quotePrefix="0" xfId="0">
      <alignment horizontal="right" vertical="center"/>
    </xf>
    <xf numFmtId="179" fontId="1" fillId="0" borderId="0" applyAlignment="1" pivotButton="0" quotePrefix="0" xfId="0">
      <alignment vertical="top"/>
    </xf>
    <xf numFmtId="179" fontId="3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169" fontId="0" fillId="2" borderId="0" applyAlignment="1" pivotButton="0" quotePrefix="0" xfId="50">
      <alignment vertical="top" wrapText="1"/>
    </xf>
    <xf numFmtId="2" fontId="0" fillId="2" borderId="0" applyAlignment="1" pivotButton="0" quotePrefix="0" xfId="50">
      <alignment vertical="top" wrapText="1"/>
    </xf>
    <xf numFmtId="166" fontId="3" fillId="0" borderId="0" applyAlignment="1" pivotButton="0" quotePrefix="0" xfId="50">
      <alignment horizontal="right" vertical="center"/>
    </xf>
    <xf numFmtId="169" fontId="0" fillId="0" borderId="0" applyAlignment="1" pivotButton="0" quotePrefix="0" xfId="50">
      <alignment vertical="top" wrapText="1"/>
    </xf>
    <xf numFmtId="176" fontId="3" fillId="0" borderId="0" applyAlignment="1" pivotButton="0" quotePrefix="0" xfId="50">
      <alignment horizontal="right" vertical="center"/>
    </xf>
    <xf numFmtId="169" fontId="0" fillId="7" borderId="0" applyAlignment="1" pivotButton="0" quotePrefix="0" xfId="50">
      <alignment vertical="top" wrapText="1"/>
    </xf>
    <xf numFmtId="2" fontId="0" fillId="7" borderId="0" applyAlignment="1" pivotButton="0" quotePrefix="0" xfId="50">
      <alignment vertical="top" wrapText="1"/>
    </xf>
    <xf numFmtId="176" fontId="3" fillId="7" borderId="0" applyAlignment="1" pivotButton="0" quotePrefix="0" xfId="0">
      <alignment horizontal="right" vertical="center"/>
    </xf>
    <xf numFmtId="179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horizontal="right" vertical="center"/>
    </xf>
    <xf numFmtId="176" fontId="5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vertical="center"/>
    </xf>
    <xf numFmtId="170" fontId="3" fillId="5" borderId="0" applyAlignment="1" pivotButton="0" quotePrefix="0" xfId="0">
      <alignment horizontal="right" vertical="center"/>
    </xf>
    <xf numFmtId="165" fontId="28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5" fontId="3" fillId="3" borderId="0" applyAlignment="1" pivotButton="0" quotePrefix="0" xfId="0">
      <alignment vertical="center"/>
    </xf>
    <xf numFmtId="165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right" vertical="center"/>
    </xf>
    <xf numFmtId="171" fontId="5" fillId="0" borderId="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right" vertical="center"/>
    </xf>
    <xf numFmtId="177" fontId="3" fillId="0" borderId="0" applyAlignment="1" pivotButton="0" quotePrefix="0" xfId="0">
      <alignment horizontal="right" vertical="center"/>
    </xf>
    <xf numFmtId="172" fontId="3" fillId="0" borderId="0" applyAlignment="1" pivotButton="0" quotePrefix="0" xfId="3">
      <alignment horizontal="right" vertical="center"/>
    </xf>
    <xf numFmtId="165" fontId="28" fillId="40" borderId="0" applyAlignment="1" pivotButton="0" quotePrefix="0" xfId="50">
      <alignment vertical="center"/>
    </xf>
    <xf numFmtId="166" fontId="6" fillId="0" borderId="0" applyAlignment="1" pivotButton="0" quotePrefix="0" xfId="50">
      <alignment horizontal="right" vertical="center"/>
    </xf>
    <xf numFmtId="177" fontId="6" fillId="0" borderId="0" applyAlignment="1" pivotButton="0" quotePrefix="0" xfId="50">
      <alignment horizontal="right" vertical="center"/>
    </xf>
    <xf numFmtId="165" fontId="3" fillId="0" borderId="0" applyAlignment="1" pivotButton="0" quotePrefix="0" xfId="50">
      <alignment vertical="center"/>
    </xf>
    <xf numFmtId="175" fontId="3" fillId="0" borderId="0" applyAlignment="1" pivotButton="0" quotePrefix="0" xfId="3">
      <alignment horizontal="right" vertical="center"/>
    </xf>
    <xf numFmtId="173" fontId="3" fillId="3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3" fillId="0" borderId="0" applyAlignment="1" pivotButton="0" quotePrefix="0" xfId="3">
      <alignment vertical="center"/>
    </xf>
    <xf numFmtId="165" fontId="28" fillId="0" borderId="0" applyAlignment="1" pivotButton="0" quotePrefix="0" xfId="0">
      <alignment horizontal="left" vertical="center"/>
    </xf>
    <xf numFmtId="175" fontId="3" fillId="0" borderId="0" applyAlignment="1" pivotButton="0" quotePrefix="0" xfId="0">
      <alignment horizontal="right" vertical="center"/>
    </xf>
    <xf numFmtId="178" fontId="1" fillId="0" borderId="0" applyAlignment="1" pivotButton="0" quotePrefix="0" xfId="0">
      <alignment vertical="center"/>
    </xf>
    <xf numFmtId="170" fontId="1" fillId="0" borderId="0" applyAlignment="1" pivotButton="0" quotePrefix="0" xfId="0">
      <alignment vertical="center"/>
    </xf>
    <xf numFmtId="165" fontId="3" fillId="0" borderId="0" applyAlignment="1" pivotButton="0" quotePrefix="0" xfId="50">
      <alignment horizontal="left" vertical="center"/>
    </xf>
    <xf numFmtId="174" fontId="3" fillId="0" borderId="0" applyAlignment="1" pivotButton="0" quotePrefix="0" xfId="3">
      <alignment horizontal="right" vertical="center"/>
    </xf>
    <xf numFmtId="175" fontId="3" fillId="0" borderId="0" applyAlignment="1" pivotButton="0" quotePrefix="0" xfId="50">
      <alignment horizontal="right" vertical="center"/>
    </xf>
    <xf numFmtId="178" fontId="0" fillId="0" borderId="0" applyAlignment="1" pivotButton="0" quotePrefix="0" xfId="50">
      <alignment vertical="center"/>
    </xf>
    <xf numFmtId="170" fontId="0" fillId="0" borderId="0" applyAlignment="1" pivotButton="0" quotePrefix="0" xfId="50">
      <alignment vertical="center"/>
    </xf>
    <xf numFmtId="176" fontId="0" fillId="0" borderId="0" applyAlignment="1" pivotButton="0" quotePrefix="0" xfId="50">
      <alignment vertical="center"/>
    </xf>
    <xf numFmtId="166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vertical="center"/>
    </xf>
    <xf numFmtId="170" fontId="3" fillId="0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  <xf numFmtId="175" fontId="0" fillId="0" borderId="0" applyAlignment="1" pivotButton="0" quotePrefix="0" xfId="3">
      <alignment vertical="center"/>
    </xf>
    <xf numFmtId="164" fontId="2" fillId="2" borderId="0" applyAlignment="1" pivotButton="0" quotePrefix="0" xfId="50">
      <alignment horizontal="left" vertical="center"/>
    </xf>
    <xf numFmtId="176" fontId="2" fillId="2" borderId="0" applyAlignment="1" pivotButton="0" quotePrefix="0" xfId="50">
      <alignment horizontal="left" vertical="center"/>
    </xf>
    <xf numFmtId="165" fontId="3" fillId="2" borderId="0" applyAlignment="1" pivotButton="0" quotePrefix="0" xfId="50">
      <alignment horizontal="left" vertical="center"/>
    </xf>
    <xf numFmtId="166" fontId="3" fillId="2" borderId="0" applyAlignment="1" pivotButton="0" quotePrefix="0" xfId="50">
      <alignment horizontal="left" vertical="center"/>
    </xf>
    <xf numFmtId="176" fontId="3" fillId="2" borderId="0" applyAlignment="1" pivotButton="0" quotePrefix="0" xfId="50">
      <alignment horizontal="left" vertical="center"/>
    </xf>
    <xf numFmtId="165" fontId="4" fillId="2" borderId="0" applyAlignment="1" pivotButton="0" quotePrefix="0" xfId="50">
      <alignment horizontal="left" vertical="center"/>
    </xf>
    <xf numFmtId="167" fontId="4" fillId="2" borderId="0" applyAlignment="1" pivotButton="0" quotePrefix="0" xfId="50">
      <alignment horizontal="left" vertical="center"/>
    </xf>
    <xf numFmtId="166" fontId="4" fillId="2" borderId="0" applyAlignment="1" pivotButton="0" quotePrefix="0" xfId="50">
      <alignment horizontal="left" vertical="center"/>
    </xf>
    <xf numFmtId="176" fontId="4" fillId="2" borderId="0" applyAlignment="1" pivotButton="0" quotePrefix="0" xfId="50">
      <alignment horizontal="left" vertical="center"/>
    </xf>
    <xf numFmtId="179" fontId="3" fillId="3" borderId="0" applyAlignment="1" pivotButton="0" quotePrefix="0" xfId="50">
      <alignment vertical="center"/>
    </xf>
    <xf numFmtId="166" fontId="3" fillId="4" borderId="0" applyAlignment="1" pivotButton="0" quotePrefix="0" xfId="50">
      <alignment horizontal="right" vertical="center"/>
    </xf>
    <xf numFmtId="2" fontId="3" fillId="4" borderId="0" applyAlignment="1" pivotButton="0" quotePrefix="0" xfId="50">
      <alignment horizontal="right" vertical="center"/>
    </xf>
    <xf numFmtId="177" fontId="3" fillId="4" borderId="0" applyAlignment="1" pivotButton="0" quotePrefix="0" xfId="50">
      <alignment horizontal="right" vertical="center"/>
    </xf>
    <xf numFmtId="176" fontId="3" fillId="4" borderId="0" applyAlignment="1" pivotButton="0" quotePrefix="0" xfId="50">
      <alignment horizontal="right" vertical="center"/>
    </xf>
    <xf numFmtId="179" fontId="0" fillId="2" borderId="0" applyAlignment="1" pivotButton="0" quotePrefix="0" xfId="50">
      <alignment vertical="top"/>
    </xf>
    <xf numFmtId="177" fontId="0" fillId="2" borderId="0" applyAlignment="1" pivotButton="0" quotePrefix="0" xfId="50">
      <alignment horizontal="right" vertical="top" wrapText="1"/>
    </xf>
    <xf numFmtId="164" fontId="0" fillId="0" borderId="0" applyAlignment="1" pivotButton="0" quotePrefix="0" xfId="50">
      <alignment vertical="top" wrapText="1"/>
    </xf>
    <xf numFmtId="176" fontId="0" fillId="0" borderId="0" applyAlignment="1" pivotButton="0" quotePrefix="0" xfId="50">
      <alignment vertical="top"/>
    </xf>
    <xf numFmtId="2" fontId="3" fillId="5" borderId="0" applyAlignment="1" pivotButton="0" quotePrefix="0" xfId="50">
      <alignment horizontal="right" vertical="center"/>
    </xf>
    <xf numFmtId="166" fontId="3" fillId="6" borderId="0" applyAlignment="1" pivotButton="0" quotePrefix="0" xfId="50">
      <alignment horizontal="right" vertical="center"/>
    </xf>
    <xf numFmtId="2" fontId="3" fillId="6" borderId="0" applyAlignment="1" pivotButton="0" quotePrefix="0" xfId="50">
      <alignment horizontal="right" vertical="center"/>
    </xf>
    <xf numFmtId="177" fontId="3" fillId="6" borderId="0" applyAlignment="1" pivotButton="0" quotePrefix="0" xfId="50">
      <alignment horizontal="right" vertical="center"/>
    </xf>
    <xf numFmtId="176" fontId="3" fillId="6" borderId="0" applyAlignment="1" pivotButton="0" quotePrefix="0" xfId="50">
      <alignment horizontal="right" vertical="center"/>
    </xf>
    <xf numFmtId="176" fontId="0" fillId="0" borderId="0" applyAlignment="1" pivotButton="0" quotePrefix="0" xfId="50">
      <alignment vertical="top" wrapText="1"/>
    </xf>
    <xf numFmtId="169" fontId="0" fillId="0" borderId="0" applyAlignment="1" pivotButton="0" quotePrefix="0" xfId="50">
      <alignment vertical="top"/>
    </xf>
    <xf numFmtId="169" fontId="0" fillId="6" borderId="0" applyAlignment="1" pivotButton="0" quotePrefix="0" xfId="50">
      <alignment vertical="top" wrapText="1"/>
    </xf>
    <xf numFmtId="169" fontId="0" fillId="0" borderId="0" applyAlignment="1" pivotButton="0" quotePrefix="0" xfId="50">
      <alignment vertical="center"/>
    </xf>
    <xf numFmtId="2" fontId="0" fillId="6" borderId="0" applyAlignment="1" pivotButton="0" quotePrefix="0" xfId="50">
      <alignment vertical="center"/>
    </xf>
    <xf numFmtId="177" fontId="0" fillId="6" borderId="0" applyAlignment="1" pivotButton="0" quotePrefix="0" xfId="50">
      <alignment horizontal="right" vertical="center"/>
    </xf>
    <xf numFmtId="164" fontId="0" fillId="6" borderId="0" applyAlignment="1" pivotButton="0" quotePrefix="0" xfId="50">
      <alignment vertical="top" wrapText="1"/>
    </xf>
    <xf numFmtId="169" fontId="0" fillId="6" borderId="0" applyAlignment="1" pivotButton="0" quotePrefix="0" xfId="50">
      <alignment vertical="center"/>
    </xf>
    <xf numFmtId="176" fontId="0" fillId="6" borderId="0" applyAlignment="1" pivotButton="0" quotePrefix="0" xfId="50">
      <alignment vertical="top" wrapText="1"/>
    </xf>
    <xf numFmtId="176" fontId="0" fillId="6" borderId="0" applyAlignment="1" pivotButton="0" quotePrefix="0" xfId="50">
      <alignment vertical="center"/>
    </xf>
    <xf numFmtId="176" fontId="3" fillId="0" borderId="0" applyAlignment="1" pivotButton="0" quotePrefix="0" xfId="50">
      <alignment vertical="center"/>
    </xf>
    <xf numFmtId="179" fontId="0" fillId="3" borderId="0" applyAlignment="1" pivotButton="0" quotePrefix="0" xfId="50">
      <alignment vertical="top"/>
    </xf>
    <xf numFmtId="177" fontId="0" fillId="7" borderId="0" applyAlignment="1" pivotButton="0" quotePrefix="0" xfId="50">
      <alignment horizontal="right" vertical="top" wrapText="1"/>
    </xf>
    <xf numFmtId="164" fontId="0" fillId="7" borderId="0" applyAlignment="1" pivotButton="0" quotePrefix="0" xfId="50">
      <alignment vertical="top" wrapText="1"/>
    </xf>
    <xf numFmtId="166" fontId="3" fillId="7" borderId="0" applyAlignment="1" pivotButton="0" quotePrefix="0" xfId="50">
      <alignment horizontal="right" vertical="center"/>
    </xf>
    <xf numFmtId="176" fontId="3" fillId="7" borderId="0" applyAlignment="1" pivotButton="0" quotePrefix="0" xfId="50">
      <alignment vertical="center"/>
    </xf>
    <xf numFmtId="179" fontId="0" fillId="8" borderId="0" applyAlignment="1" pivotButton="0" quotePrefix="0" xfId="50">
      <alignment vertical="top"/>
    </xf>
    <xf numFmtId="179" fontId="3" fillId="0" borderId="0" applyAlignment="1" pivotButton="0" quotePrefix="0" xfId="50">
      <alignment vertical="center"/>
    </xf>
    <xf numFmtId="2" fontId="0" fillId="0" borderId="0" applyAlignment="1" pivotButton="0" quotePrefix="0" xfId="50">
      <alignment vertical="center"/>
    </xf>
    <xf numFmtId="177" fontId="0" fillId="0" borderId="0" applyAlignment="1" pivotButton="0" quotePrefix="0" xfId="50">
      <alignment horizontal="right" vertical="center"/>
    </xf>
    <xf numFmtId="176" fontId="3" fillId="7" borderId="0" applyAlignment="1" pivotButton="0" quotePrefix="0" xfId="50">
      <alignment horizontal="right" vertical="center"/>
    </xf>
    <xf numFmtId="179" fontId="5" fillId="0" borderId="0" applyAlignment="1" pivotButton="0" quotePrefix="0" xfId="50">
      <alignment vertical="center"/>
    </xf>
    <xf numFmtId="166" fontId="5" fillId="0" borderId="0" applyAlignment="1" pivotButton="0" quotePrefix="0" xfId="50">
      <alignment horizontal="right" vertical="center"/>
    </xf>
    <xf numFmtId="176" fontId="5" fillId="0" borderId="0" applyAlignment="1" pivotButton="0" quotePrefix="0" xfId="50">
      <alignment horizontal="right" vertical="center"/>
    </xf>
    <xf numFmtId="2" fontId="5" fillId="0" borderId="0" applyAlignment="1" pivotButton="0" quotePrefix="0" xfId="50">
      <alignment horizontal="right" vertical="center"/>
    </xf>
    <xf numFmtId="179" fontId="4" fillId="0" borderId="0" applyAlignment="1" pivotButton="0" quotePrefix="0" xfId="50">
      <alignment vertical="center"/>
    </xf>
    <xf numFmtId="165" fontId="28" fillId="0" borderId="0" applyAlignment="1" pivotButton="0" quotePrefix="0" xfId="50">
      <alignment vertical="center"/>
    </xf>
    <xf numFmtId="177" fontId="3" fillId="0" borderId="0" applyAlignment="1" pivotButton="0" quotePrefix="0" xfId="50">
      <alignment horizontal="right" vertical="center"/>
    </xf>
    <xf numFmtId="166" fontId="0" fillId="0" borderId="0" pivotButton="0" quotePrefix="0" xfId="0"/>
    <xf numFmtId="2" fontId="0" fillId="0" borderId="0" pivotButton="0" quotePrefix="0" xfId="0"/>
    <xf numFmtId="165" fontId="4" fillId="0" borderId="0" applyAlignment="1" pivotButton="0" quotePrefix="0" xfId="50">
      <alignment vertical="center"/>
    </xf>
    <xf numFmtId="0" fontId="28" fillId="0" borderId="0" pivotButton="0" quotePrefix="0" xfId="0"/>
    <xf numFmtId="173" fontId="28" fillId="40" borderId="0" applyAlignment="1" pivotButton="0" quotePrefix="0" xfId="50">
      <alignment horizontal="left" vertical="center"/>
    </xf>
    <xf numFmtId="2" fontId="3" fillId="0" borderId="0" applyAlignment="1" pivotButton="0" quotePrefix="0" xfId="3">
      <alignment vertical="center"/>
    </xf>
    <xf numFmtId="165" fontId="6" fillId="0" borderId="0" applyAlignment="1" pivotButton="0" quotePrefix="0" xfId="50">
      <alignment vertical="center"/>
    </xf>
    <xf numFmtId="175" fontId="6" fillId="0" borderId="0" applyAlignment="1" pivotButton="0" quotePrefix="0" xfId="50">
      <alignment horizontal="right" vertical="center"/>
    </xf>
    <xf numFmtId="2" fontId="6" fillId="0" borderId="0" applyAlignment="1" pivotButton="0" quotePrefix="0" xfId="50">
      <alignment horizontal="right" vertical="center"/>
    </xf>
    <xf numFmtId="175" fontId="3" fillId="0" borderId="0" applyAlignment="1" pivotButton="0" quotePrefix="0" xfId="50">
      <alignment vertical="center"/>
    </xf>
    <xf numFmtId="170" fontId="6" fillId="0" borderId="0" applyAlignment="1" pivotButton="0" quotePrefix="0" xfId="50">
      <alignment horizontal="right" vertical="center"/>
    </xf>
    <xf numFmtId="179" fontId="0" fillId="0" borderId="0" applyAlignment="1" pivotButton="0" quotePrefix="0" xfId="50">
      <alignment vertical="top"/>
    </xf>
    <xf numFmtId="173" fontId="28" fillId="0" borderId="0" applyAlignment="1" pivotButton="0" quotePrefix="0" xfId="50">
      <alignment horizontal="left" vertical="center"/>
    </xf>
    <xf numFmtId="165" fontId="28" fillId="40" borderId="0" applyAlignment="1" pivotButton="0" quotePrefix="0" xfId="50">
      <alignment horizontal="left" vertical="center"/>
    </xf>
    <xf numFmtId="170" fontId="3" fillId="0" borderId="0" applyAlignment="1" pivotButton="0" quotePrefix="0" xfId="50">
      <alignment horizontal="right" vertical="center"/>
    </xf>
    <xf numFmtId="168" fontId="1" fillId="2" borderId="0" applyAlignment="1" pivotButton="0" quotePrefix="0" xfId="0">
      <alignment vertical="top"/>
    </xf>
    <xf numFmtId="168" fontId="1" fillId="3" borderId="0" applyAlignment="1" pivotButton="0" quotePrefix="0" xfId="0">
      <alignment vertical="top"/>
    </xf>
    <xf numFmtId="171" fontId="3" fillId="5" borderId="0" applyAlignment="1" pivotButton="0" quotePrefix="0" xfId="0">
      <alignment horizontal="right" vertical="center"/>
    </xf>
    <xf numFmtId="168" fontId="1" fillId="0" borderId="0" applyAlignment="1" pivotButton="0" quotePrefix="0" xfId="0">
      <alignment vertical="top"/>
    </xf>
    <xf numFmtId="164" fontId="2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left" vertical="center"/>
    </xf>
    <xf numFmtId="167" fontId="4" fillId="0" borderId="0" applyAlignment="1" pivotButton="0" quotePrefix="0" xfId="0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externalLink" Target="/xl/externalLinks/externalLink1.xml" Id="rId8"/><Relationship Type="http://schemas.openxmlformats.org/officeDocument/2006/relationships/externalLink" Target="/xl/externalLinks/externalLink2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刘衣云</author>
  </authors>
  <commentList>
    <comment ref="A114" authorId="0" shapeId="0">
      <text>
        <t>山航并入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Users\rinning\Library\Containers\com.tencent.xinWeChat\Data\Library\Application%20Support\com.tencent.xinWeChat\2.0b4.0.9\4fe3fdb8e66dfbf15c26b782e39508f0\Message\MessageTemp\30d02a10e359168614ea81ea9399551b\File\C:\31D1806C\MM_model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&#25968;&#25454;&#27835;&#29702;\&#34892;&#19994;_&#20132;&#36816;\&#24213;&#31295;&#25968;&#25454;&#24211;-&#26032;\&#33322;&#31354;_&#33322;&#31354;&#26376;&#24230;&#25968;&#25454;_&#26356;&#26032;&#33267;2025&#24180;3&#26376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CF"/>
      <sheetName val="Model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025月度汇总表"/>
      <sheetName val="2024季度汇总表"/>
      <sheetName val="中国国航"/>
      <sheetName val="南方航空"/>
      <sheetName val="中国东航"/>
      <sheetName val="春秋航空"/>
      <sheetName val="吉祥航空"/>
      <sheetName val="海航控股"/>
      <sheetName val="国泰航空"/>
      <sheetName val="国航自动更新"/>
      <sheetName val="南航自动更新"/>
      <sheetName val="东航自动更新"/>
      <sheetName val="吉祥自动更新"/>
      <sheetName val="春秋自动更新"/>
      <sheetName val="海航自动更新"/>
      <sheetName val="国泰航空自动更新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24">
          <cell r="R124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4" tint="0.799920651875362"/>
    <outlinePr summaryBelow="1" summaryRight="1"/>
    <pageSetUpPr/>
  </sheetPr>
  <dimension ref="A1:EM231"/>
  <sheetViews>
    <sheetView zoomScale="70" zoomScaleNormal="70" workbookViewId="0">
      <pane xSplit="1" ySplit="3" topLeftCell="AB4" activePane="bottomRight" state="frozen"/>
      <selection activeCell="A1" sqref="A1"/>
      <selection pane="topRight" activeCell="A1" sqref="A1"/>
      <selection pane="bottomLeft" activeCell="A1" sqref="A1"/>
      <selection pane="bottomRight" activeCell="A223" sqref="$A4:$XFD223"/>
    </sheetView>
  </sheetViews>
  <sheetFormatPr baseColWidth="8" defaultColWidth="8.75" defaultRowHeight="14"/>
  <cols>
    <col width="8.75" customWidth="1" style="1" min="1" max="1"/>
    <col width="16.75" customWidth="1" style="1" min="2" max="2"/>
    <col width="9.75" customWidth="1" style="2" min="3" max="3"/>
    <col width="8" customWidth="1" style="2" min="4" max="4"/>
    <col width="16.75" customWidth="1" style="1" min="5" max="5"/>
    <col width="9.75" customWidth="1" style="2" min="6" max="6"/>
    <col width="7.875" customWidth="1" style="2" min="7" max="7"/>
    <col width="16.75" customWidth="1" style="1" min="8" max="8"/>
    <col width="9.75" customWidth="1" style="2" min="9" max="9"/>
    <col width="8" customWidth="1" style="2" min="10" max="10"/>
    <col width="16.75" customWidth="1" style="1" min="11" max="11"/>
    <col width="9.75" customWidth="1" style="2" min="12" max="12"/>
    <col width="8" customWidth="1" style="2" min="13" max="13"/>
    <col width="16.75" customWidth="1" style="1" min="14" max="14"/>
    <col width="9.75" customWidth="1" style="2" min="15" max="15"/>
    <col width="8" customWidth="1" style="2" min="16" max="16"/>
    <col width="16.75" customWidth="1" style="1" min="17" max="17"/>
    <col width="9.375" customWidth="1" style="2" min="18" max="19"/>
    <col width="16.75" customWidth="1" style="1" min="20" max="20"/>
    <col width="8.375" customWidth="1" style="2" min="21" max="22"/>
    <col width="16.75" customWidth="1" style="1" min="23" max="23"/>
    <col width="10" customWidth="1" style="2" min="24" max="24"/>
    <col width="8" customWidth="1" style="2" min="25" max="25"/>
    <col width="16.75" customWidth="1" style="1" min="26" max="26"/>
    <col width="9.75" customWidth="1" style="2" min="27" max="27"/>
    <col width="8" customWidth="1" style="2" min="28" max="28"/>
    <col width="16.75" customWidth="1" style="1" min="29" max="29"/>
    <col width="9.75" customWidth="1" style="2" min="30" max="30"/>
    <col width="7.875" customWidth="1" style="2" min="31" max="31"/>
    <col width="11.375" customWidth="1" style="1" min="32" max="32"/>
    <col width="9.75" customWidth="1" style="2" min="33" max="33"/>
    <col width="8" customWidth="1" style="2" min="34" max="34"/>
    <col width="11.375" customWidth="1" style="1" min="35" max="35"/>
    <col width="10" customWidth="1" style="2" min="36" max="36"/>
    <col width="8" customWidth="1" style="2" min="37" max="37"/>
    <col width="7.125" customWidth="1" style="1" min="38" max="38"/>
    <col width="9.75" customWidth="1" style="1" min="39" max="39"/>
    <col width="10" customWidth="1" style="1" min="40" max="40"/>
    <col width="11.375" customWidth="1" style="1" min="41" max="41"/>
    <col width="9.75" customWidth="1" style="1" min="42" max="42"/>
    <col width="9.125" customWidth="1" style="1" min="43" max="43"/>
    <col width="11.375" customWidth="1" style="1" min="44" max="44"/>
    <col width="9.75" customWidth="1" style="1" min="45" max="45"/>
    <col width="7.875" customWidth="1" style="1" min="46" max="46"/>
    <col width="11.375" customWidth="1" style="1" min="47" max="47"/>
    <col width="9.75" customWidth="1" style="1" min="48" max="48"/>
    <col width="7.875" customWidth="1" style="1" min="49" max="49"/>
    <col width="17.375" customWidth="1" style="248" min="50" max="50"/>
    <col width="11.375" customWidth="1" style="1" min="51" max="51"/>
    <col width="8.375" customWidth="1" style="1" min="52" max="52"/>
    <col width="10.375" customWidth="1" style="1" min="53" max="53"/>
    <col width="8.375" customWidth="1" style="1" min="54" max="54"/>
    <col width="9" customWidth="1" style="1" min="55" max="55"/>
    <col width="8.375" customWidth="1" style="1" min="56" max="57"/>
    <col width="17.375" customWidth="1" style="1" min="58" max="58"/>
    <col width="31" customWidth="1" style="1" min="59" max="59"/>
    <col width="20.375" customWidth="1" style="1" min="60" max="60"/>
    <col width="16.125" customWidth="1" style="1" min="61" max="61"/>
    <col width="18.375" customWidth="1" style="1" min="62" max="62"/>
    <col width="16.375" customWidth="1" style="1" min="63" max="63"/>
    <col width="14.625" customWidth="1" style="1" min="64" max="64"/>
    <col width="8.375" customWidth="1" style="1" min="65" max="65"/>
    <col width="27" customWidth="1" style="1" min="66" max="66"/>
    <col width="9" customWidth="1" style="1" min="67" max="67"/>
    <col width="16" customWidth="1" style="1" min="68" max="68"/>
    <col width="8.375" customWidth="1" style="1" min="69" max="73"/>
    <col width="14.625" customWidth="1" style="1" min="74" max="74"/>
    <col width="8.375" customWidth="1" style="1" min="75" max="75"/>
    <col width="16" customWidth="1" style="1" min="76" max="76"/>
    <col width="8.375" customWidth="1" style="1" min="77" max="79"/>
    <col width="18.375" customWidth="1" style="1" min="80" max="80"/>
    <col width="17.375" customWidth="1" style="1" min="81" max="81"/>
    <col width="13.625" customWidth="1" style="1" min="82" max="82"/>
    <col width="24" customWidth="1" style="1" min="83" max="83"/>
    <col width="12" customWidth="1" style="1" min="84" max="84"/>
    <col width="17.625" customWidth="1" style="1" min="85" max="85"/>
    <col width="15.75" customWidth="1" style="1" min="86" max="86"/>
    <col width="20.375" customWidth="1" style="1" min="87" max="87"/>
    <col width="18.75" customWidth="1" style="1" min="88" max="88"/>
    <col width="21.75" customWidth="1" style="1" min="89" max="89"/>
    <col width="12.375" customWidth="1" style="1" min="90" max="90"/>
    <col width="14.375" customWidth="1" style="1" min="91" max="91"/>
    <col width="10.375" customWidth="1" style="1" min="92" max="92"/>
    <col width="14.375" customWidth="1" style="1" min="93" max="93"/>
    <col width="15.375" customWidth="1" style="269" min="94" max="94"/>
    <col width="15.125" customWidth="1" style="1" min="95" max="95"/>
    <col width="19.375" customWidth="1" style="269" min="96" max="96"/>
    <col width="15.125" customWidth="1" style="1" min="97" max="97"/>
    <col width="10" customWidth="1" style="269" min="98" max="98"/>
    <col width="16.375" customWidth="1" style="1" min="99" max="99"/>
    <col width="14.625" customWidth="1" style="269" min="100" max="100"/>
    <col width="12" customWidth="1" style="1" min="101" max="101"/>
    <col width="8.375" customWidth="1" style="1" min="102" max="102"/>
    <col width="10.375" customWidth="1" style="1" min="103" max="103"/>
    <col width="8.375" customWidth="1" style="1" min="104" max="104"/>
    <col width="10.375" customWidth="1" style="1" min="105" max="105"/>
    <col width="13.625" customWidth="1" style="1" min="106" max="106"/>
    <col width="18.625" customWidth="1" style="1" min="107" max="107"/>
    <col width="17.75" customWidth="1" style="1" min="108" max="108"/>
    <col width="8.75" customWidth="1" style="270" min="109" max="110"/>
    <col width="8.75" customWidth="1" style="1" min="111" max="16384"/>
  </cols>
  <sheetData>
    <row r="1" customFormat="1" s="59">
      <c r="A1" s="271" t="inlineStr">
        <is>
          <t>指标名称</t>
        </is>
      </c>
      <c r="B1" s="271" t="inlineStr">
        <is>
          <t>可用座公里（百万）</t>
        </is>
      </c>
      <c r="C1" s="4" t="inlineStr">
        <is>
          <t>同比上年</t>
        </is>
      </c>
      <c r="D1" s="4" t="inlineStr">
        <is>
          <t>同比19</t>
        </is>
      </c>
      <c r="E1" s="271" t="inlineStr">
        <is>
          <t>可用座公里:国内</t>
        </is>
      </c>
      <c r="F1" s="4" t="inlineStr">
        <is>
          <t>同比上年</t>
        </is>
      </c>
      <c r="G1" s="4" t="inlineStr">
        <is>
          <t>同比19</t>
        </is>
      </c>
      <c r="H1" s="271" t="inlineStr">
        <is>
          <t>可用座公里:国际</t>
        </is>
      </c>
      <c r="I1" s="4" t="inlineStr">
        <is>
          <t>同比上年</t>
        </is>
      </c>
      <c r="J1" s="4" t="inlineStr">
        <is>
          <t>同比19</t>
        </is>
      </c>
      <c r="K1" s="271" t="inlineStr">
        <is>
          <t>可用座公里:地区</t>
        </is>
      </c>
      <c r="L1" s="4" t="inlineStr">
        <is>
          <t>同比上年</t>
        </is>
      </c>
      <c r="M1" s="4" t="inlineStr">
        <is>
          <t>同比19</t>
        </is>
      </c>
      <c r="N1" s="271" t="inlineStr">
        <is>
          <t>收入客公里（百万）</t>
        </is>
      </c>
      <c r="O1" s="4" t="inlineStr">
        <is>
          <t>同比上年</t>
        </is>
      </c>
      <c r="P1" s="4" t="inlineStr">
        <is>
          <t>同比19</t>
        </is>
      </c>
      <c r="Q1" s="271" t="inlineStr">
        <is>
          <t>收入客公里:国内</t>
        </is>
      </c>
      <c r="R1" s="4" t="inlineStr">
        <is>
          <t>同比上年</t>
        </is>
      </c>
      <c r="S1" s="4" t="inlineStr">
        <is>
          <t>同比19</t>
        </is>
      </c>
      <c r="T1" s="271" t="inlineStr">
        <is>
          <t>收入客公里:国际</t>
        </is>
      </c>
      <c r="U1" s="4" t="inlineStr">
        <is>
          <t>同比上年</t>
        </is>
      </c>
      <c r="V1" s="4" t="inlineStr">
        <is>
          <t>同比19</t>
        </is>
      </c>
      <c r="W1" s="271" t="inlineStr">
        <is>
          <t>收入客公里:地区</t>
        </is>
      </c>
      <c r="X1" s="4" t="inlineStr">
        <is>
          <t>同比上年</t>
        </is>
      </c>
      <c r="Y1" s="4" t="inlineStr">
        <is>
          <t>同比19</t>
        </is>
      </c>
      <c r="Z1" s="271" t="inlineStr">
        <is>
          <t>客运量（千人次）</t>
        </is>
      </c>
      <c r="AA1" s="4" t="inlineStr">
        <is>
          <t>同比上年</t>
        </is>
      </c>
      <c r="AB1" s="4" t="inlineStr">
        <is>
          <t>同比19</t>
        </is>
      </c>
      <c r="AC1" s="271" t="inlineStr">
        <is>
          <t>客运量:国内</t>
        </is>
      </c>
      <c r="AD1" s="4" t="inlineStr">
        <is>
          <t>同比上年</t>
        </is>
      </c>
      <c r="AE1" s="4" t="inlineStr">
        <is>
          <t>同比19</t>
        </is>
      </c>
      <c r="AF1" s="271" t="inlineStr">
        <is>
          <t>客运量:国际</t>
        </is>
      </c>
      <c r="AG1" s="4" t="inlineStr">
        <is>
          <t>同比上年</t>
        </is>
      </c>
      <c r="AH1" s="4" t="inlineStr">
        <is>
          <t>同比19</t>
        </is>
      </c>
      <c r="AI1" s="271" t="inlineStr">
        <is>
          <t>客运量:地区</t>
        </is>
      </c>
      <c r="AJ1" s="4" t="inlineStr">
        <is>
          <t>同比上年</t>
        </is>
      </c>
      <c r="AK1" s="4" t="inlineStr">
        <is>
          <t>同比19</t>
        </is>
      </c>
      <c r="AL1" s="271" t="inlineStr">
        <is>
          <t>客座率</t>
        </is>
      </c>
      <c r="AM1" s="4" t="inlineStr">
        <is>
          <t>同比上年</t>
        </is>
      </c>
      <c r="AN1" s="4" t="inlineStr">
        <is>
          <t>同比19</t>
        </is>
      </c>
      <c r="AO1" s="271" t="inlineStr">
        <is>
          <t>客座率:国内</t>
        </is>
      </c>
      <c r="AP1" s="4" t="inlineStr">
        <is>
          <t>同比上年</t>
        </is>
      </c>
      <c r="AQ1" s="4" t="inlineStr">
        <is>
          <t>同比19</t>
        </is>
      </c>
      <c r="AR1" s="271" t="inlineStr">
        <is>
          <t>客座率:国际</t>
        </is>
      </c>
      <c r="AS1" s="4" t="inlineStr">
        <is>
          <t>同比上年</t>
        </is>
      </c>
      <c r="AT1" s="4" t="inlineStr">
        <is>
          <t>同比19</t>
        </is>
      </c>
      <c r="AU1" s="271" t="inlineStr">
        <is>
          <t>客座率:地区</t>
        </is>
      </c>
      <c r="AV1" s="4" t="inlineStr">
        <is>
          <t>同比上年</t>
        </is>
      </c>
      <c r="AW1" s="4" t="inlineStr">
        <is>
          <t>同比19</t>
        </is>
      </c>
      <c r="AX1" s="249" t="inlineStr">
        <is>
          <t>运营飞机数</t>
        </is>
      </c>
      <c r="AY1" s="4" t="inlineStr">
        <is>
          <t>同比上年</t>
        </is>
      </c>
      <c r="AZ1" s="4" t="inlineStr">
        <is>
          <t>同比19</t>
        </is>
      </c>
      <c r="BA1" s="271" t="n"/>
      <c r="BB1" s="271" t="n"/>
      <c r="BC1" s="271" t="n"/>
      <c r="BD1" s="271" t="n"/>
      <c r="BE1" s="271" t="n"/>
      <c r="BF1" s="271" t="n"/>
      <c r="BG1" s="271" t="n"/>
      <c r="BH1" s="271" t="n"/>
      <c r="BI1" s="271" t="n"/>
      <c r="BJ1" s="271" t="n"/>
      <c r="BK1" s="271" t="n"/>
      <c r="BL1" s="271" t="n"/>
      <c r="BM1" s="271" t="n"/>
      <c r="BN1" s="271" t="n"/>
      <c r="BO1" s="271" t="n"/>
      <c r="BP1" s="271" t="n"/>
      <c r="BQ1" s="271" t="n"/>
      <c r="BR1" s="271" t="n"/>
      <c r="BS1" s="271" t="n"/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1" t="n"/>
      <c r="CE1" s="271" t="n"/>
      <c r="CF1" s="271" t="n"/>
      <c r="CG1" s="271" t="n"/>
      <c r="CH1" s="271" t="n"/>
      <c r="CI1" s="271" t="n"/>
      <c r="CJ1" s="271" t="n"/>
      <c r="CK1" s="271" t="n"/>
      <c r="CL1" s="271" t="n"/>
      <c r="CM1" s="271" t="n"/>
      <c r="CN1" s="271" t="n"/>
      <c r="CO1" s="271" t="n"/>
      <c r="CP1" s="271" t="n"/>
      <c r="CQ1" s="271" t="n"/>
      <c r="CR1" s="271" t="n"/>
      <c r="CS1" s="271" t="n"/>
      <c r="CT1" s="271" t="n"/>
      <c r="CU1" s="271" t="n"/>
      <c r="CV1" s="67" t="n"/>
      <c r="CW1" s="271" t="n"/>
      <c r="CX1" s="271" t="n"/>
      <c r="CY1" s="271" t="n"/>
      <c r="CZ1" s="271" t="n"/>
      <c r="DA1" s="271" t="n"/>
      <c r="DB1" s="271" t="n"/>
      <c r="DC1" s="271" t="n"/>
      <c r="DD1" s="271" t="n"/>
      <c r="DE1" s="272" t="n"/>
      <c r="DF1" s="272" t="n"/>
      <c r="DG1" s="271" t="n"/>
      <c r="DH1" s="67" t="n"/>
      <c r="DI1" s="67" t="n"/>
      <c r="DJ1" s="67" t="n"/>
      <c r="DK1" s="67" t="n"/>
      <c r="DL1" s="67" t="n"/>
      <c r="DM1" s="67" t="n"/>
      <c r="DN1" s="67" t="n"/>
      <c r="DO1" s="67" t="n"/>
      <c r="DP1" s="67" t="n"/>
      <c r="DQ1" s="67" t="n"/>
      <c r="DR1" s="67" t="n"/>
    </row>
    <row r="2" ht="13" customFormat="1" customHeight="1" s="52">
      <c r="A2" s="273" t="inlineStr">
        <is>
          <t>频率</t>
        </is>
      </c>
      <c r="B2" s="274" t="inlineStr">
        <is>
          <t>月</t>
        </is>
      </c>
      <c r="C2" s="7" t="n"/>
      <c r="D2" s="7" t="n"/>
      <c r="E2" s="274" t="inlineStr">
        <is>
          <t>月</t>
        </is>
      </c>
      <c r="F2" s="8" t="n"/>
      <c r="G2" s="8" t="n"/>
      <c r="H2" s="274" t="inlineStr">
        <is>
          <t>月</t>
        </is>
      </c>
      <c r="I2" s="8" t="n"/>
      <c r="J2" s="8" t="n"/>
      <c r="K2" s="274" t="inlineStr">
        <is>
          <t>月</t>
        </is>
      </c>
      <c r="L2" s="8" t="n"/>
      <c r="M2" s="8" t="n"/>
      <c r="N2" s="274" t="inlineStr">
        <is>
          <t>月</t>
        </is>
      </c>
      <c r="O2" s="8" t="n"/>
      <c r="P2" s="8" t="n"/>
      <c r="Q2" s="274" t="inlineStr">
        <is>
          <t>月</t>
        </is>
      </c>
      <c r="R2" s="8" t="n"/>
      <c r="S2" s="8" t="n"/>
      <c r="T2" s="274" t="inlineStr">
        <is>
          <t>月</t>
        </is>
      </c>
      <c r="U2" s="8" t="n"/>
      <c r="V2" s="8" t="n"/>
      <c r="W2" s="274" t="inlineStr">
        <is>
          <t>月</t>
        </is>
      </c>
      <c r="X2" s="8" t="n"/>
      <c r="Y2" s="8" t="n"/>
      <c r="Z2" s="274" t="inlineStr">
        <is>
          <t>月</t>
        </is>
      </c>
      <c r="AA2" s="8" t="n"/>
      <c r="AB2" s="8" t="n"/>
      <c r="AC2" s="274" t="inlineStr">
        <is>
          <t>月</t>
        </is>
      </c>
      <c r="AD2" s="8" t="n"/>
      <c r="AE2" s="8" t="n"/>
      <c r="AF2" s="274" t="inlineStr">
        <is>
          <t>月</t>
        </is>
      </c>
      <c r="AG2" s="8" t="n"/>
      <c r="AH2" s="8" t="n"/>
      <c r="AI2" s="274" t="inlineStr">
        <is>
          <t>月</t>
        </is>
      </c>
      <c r="AJ2" s="8" t="n"/>
      <c r="AK2" s="8" t="n"/>
      <c r="AL2" s="274" t="inlineStr">
        <is>
          <t>月</t>
        </is>
      </c>
      <c r="AM2" s="8" t="n"/>
      <c r="AN2" s="8" t="n"/>
      <c r="AO2" s="274" t="inlineStr">
        <is>
          <t>月</t>
        </is>
      </c>
      <c r="AP2" s="8" t="n"/>
      <c r="AQ2" s="8" t="n"/>
      <c r="AR2" s="274" t="inlineStr">
        <is>
          <t>月</t>
        </is>
      </c>
      <c r="AS2" s="8" t="n"/>
      <c r="AT2" s="8" t="n"/>
      <c r="AU2" s="274" t="inlineStr">
        <is>
          <t>月</t>
        </is>
      </c>
      <c r="AV2" s="8" t="n"/>
      <c r="AW2" s="8" t="n"/>
      <c r="AX2" s="250" t="n"/>
      <c r="AY2" s="8" t="n"/>
      <c r="AZ2" s="8" t="n"/>
      <c r="BA2" s="274" t="n"/>
      <c r="BB2" s="274" t="n"/>
      <c r="BC2" s="274" t="n"/>
      <c r="BD2" s="274" t="n"/>
      <c r="BE2" s="274" t="n"/>
      <c r="BF2" s="274" t="n"/>
      <c r="BG2" s="274" t="n"/>
      <c r="BH2" s="274" t="n"/>
      <c r="BI2" s="274" t="n"/>
      <c r="BJ2" s="274" t="n"/>
      <c r="BK2" s="274" t="n"/>
      <c r="BL2" s="274" t="n"/>
      <c r="BM2" s="274" t="n"/>
      <c r="BN2" s="274" t="n"/>
      <c r="BO2" s="274" t="n"/>
      <c r="BP2" s="274" t="n"/>
      <c r="BQ2" s="274" t="n"/>
      <c r="BR2" s="274" t="n"/>
      <c r="BS2" s="274" t="n"/>
      <c r="BT2" s="274" t="n"/>
      <c r="BU2" s="274" t="n"/>
      <c r="BV2" s="274" t="n"/>
      <c r="BW2" s="274" t="n"/>
      <c r="BX2" s="274" t="n"/>
      <c r="BY2" s="274" t="n"/>
      <c r="BZ2" s="274" t="n"/>
      <c r="CA2" s="274" t="n"/>
      <c r="CB2" s="274" t="n"/>
      <c r="CC2" s="274" t="n"/>
      <c r="CD2" s="274" t="n"/>
      <c r="CE2" s="274" t="n"/>
      <c r="CF2" s="274" t="n"/>
      <c r="CG2" s="274" t="n"/>
      <c r="CH2" s="274" t="n"/>
      <c r="CI2" s="274" t="n"/>
      <c r="CJ2" s="274" t="n"/>
      <c r="CK2" s="274" t="n"/>
      <c r="CL2" s="274" t="n"/>
      <c r="CM2" s="274" t="n"/>
      <c r="CN2" s="274" t="n"/>
      <c r="CO2" s="274" t="n"/>
      <c r="CP2" s="274" t="n"/>
      <c r="CQ2" s="274" t="n"/>
      <c r="CR2" s="274" t="n"/>
      <c r="CS2" s="274" t="n"/>
      <c r="CT2" s="274" t="n"/>
      <c r="CU2" s="274" t="n"/>
      <c r="CV2" s="69" t="n"/>
      <c r="CW2" s="274" t="n"/>
      <c r="CX2" s="274" t="n"/>
      <c r="CY2" s="274" t="n"/>
      <c r="CZ2" s="274" t="n"/>
      <c r="DA2" s="274" t="n"/>
      <c r="DB2" s="274" t="n"/>
      <c r="DC2" s="274" t="n"/>
      <c r="DD2" s="274" t="n"/>
      <c r="DE2" s="275" t="n"/>
      <c r="DF2" s="275" t="n"/>
      <c r="DG2" s="69" t="n"/>
      <c r="DH2" s="69" t="n"/>
      <c r="DI2" s="69" t="n"/>
      <c r="DJ2" s="69" t="n"/>
      <c r="DK2" s="69" t="n"/>
      <c r="DL2" s="69" t="n"/>
      <c r="DM2" s="69" t="n"/>
      <c r="DN2" s="69" t="n"/>
      <c r="DO2" s="69" t="n"/>
      <c r="DP2" s="69" t="n"/>
      <c r="DQ2" s="69" t="n"/>
      <c r="DR2" s="69" t="n"/>
    </row>
    <row r="3" ht="13" customFormat="1" customHeight="1" s="60">
      <c r="A3" s="276" t="n"/>
      <c r="B3" s="277" t="inlineStr">
        <is>
          <t>ASK</t>
        </is>
      </c>
      <c r="C3" s="11" t="n"/>
      <c r="D3" s="11" t="n"/>
      <c r="E3" s="277" t="inlineStr">
        <is>
          <t>Domestic</t>
        </is>
      </c>
      <c r="F3" s="12" t="n"/>
      <c r="G3" s="12" t="n"/>
      <c r="H3" s="277" t="inlineStr">
        <is>
          <t>International</t>
        </is>
      </c>
      <c r="I3" s="12" t="n"/>
      <c r="J3" s="12" t="n"/>
      <c r="K3" s="277" t="inlineStr">
        <is>
          <t>Regional</t>
        </is>
      </c>
      <c r="L3" s="12" t="n"/>
      <c r="M3" s="12" t="n"/>
      <c r="N3" s="277" t="inlineStr">
        <is>
          <t>RPK</t>
        </is>
      </c>
      <c r="O3" s="12" t="n"/>
      <c r="P3" s="12" t="n"/>
      <c r="Q3" s="277" t="inlineStr">
        <is>
          <t>Domestic</t>
        </is>
      </c>
      <c r="R3" s="12" t="n"/>
      <c r="S3" s="12" t="n"/>
      <c r="T3" s="277" t="inlineStr">
        <is>
          <t>International</t>
        </is>
      </c>
      <c r="U3" s="12" t="n"/>
      <c r="V3" s="12" t="n"/>
      <c r="W3" s="277" t="inlineStr">
        <is>
          <t>Regional</t>
        </is>
      </c>
      <c r="X3" s="12" t="n"/>
      <c r="Y3" s="12" t="n"/>
      <c r="Z3" s="277" t="inlineStr">
        <is>
          <t>Pax volume</t>
        </is>
      </c>
      <c r="AA3" s="12" t="n"/>
      <c r="AB3" s="12" t="n"/>
      <c r="AC3" s="277" t="inlineStr">
        <is>
          <t>Domestic</t>
        </is>
      </c>
      <c r="AD3" s="12" t="n"/>
      <c r="AE3" s="12" t="n"/>
      <c r="AF3" s="277" t="inlineStr">
        <is>
          <t>International</t>
        </is>
      </c>
      <c r="AG3" s="12" t="n"/>
      <c r="AH3" s="12" t="n"/>
      <c r="AI3" s="277" t="inlineStr">
        <is>
          <t>Regional</t>
        </is>
      </c>
      <c r="AJ3" s="12" t="n"/>
      <c r="AK3" s="12" t="n"/>
      <c r="AL3" s="278" t="inlineStr">
        <is>
          <t>PLF</t>
        </is>
      </c>
      <c r="AM3" s="12" t="n"/>
      <c r="AN3" s="12" t="n"/>
      <c r="AO3" s="277" t="inlineStr">
        <is>
          <t>Domestic</t>
        </is>
      </c>
      <c r="AP3" s="12" t="n"/>
      <c r="AQ3" s="12" t="n"/>
      <c r="AR3" s="277" t="inlineStr">
        <is>
          <t>International</t>
        </is>
      </c>
      <c r="AS3" s="12" t="n"/>
      <c r="AT3" s="12" t="n"/>
      <c r="AU3" s="277" t="inlineStr">
        <is>
          <t>Regional</t>
        </is>
      </c>
      <c r="AV3" s="12" t="n"/>
      <c r="AW3" s="12" t="n"/>
      <c r="AX3" s="251" t="n"/>
      <c r="AY3" s="12" t="n"/>
      <c r="AZ3" s="12" t="n"/>
      <c r="BA3" s="277" t="n"/>
      <c r="BB3" s="277" t="n"/>
      <c r="BC3" s="277" t="n"/>
      <c r="BD3" s="277" t="n"/>
      <c r="BE3" s="277" t="n"/>
      <c r="BF3" s="277" t="n"/>
      <c r="BG3" s="277" t="n"/>
      <c r="BH3" s="277" t="n"/>
      <c r="BI3" s="277" t="n"/>
      <c r="BJ3" s="277" t="n"/>
      <c r="BK3" s="277" t="n"/>
      <c r="BL3" s="277" t="n"/>
      <c r="BM3" s="277" t="n"/>
      <c r="BN3" s="277" t="n"/>
      <c r="BO3" s="277" t="n"/>
      <c r="BP3" s="277" t="n"/>
      <c r="BQ3" s="277" t="n"/>
      <c r="BR3" s="277" t="n"/>
      <c r="BS3" s="277" t="n"/>
      <c r="BT3" s="277" t="n"/>
      <c r="BU3" s="277" t="n"/>
      <c r="BV3" s="277" t="n"/>
      <c r="BW3" s="277" t="n"/>
      <c r="BX3" s="277" t="n"/>
      <c r="BY3" s="277" t="n"/>
      <c r="BZ3" s="277" t="n"/>
      <c r="CA3" s="277" t="n"/>
      <c r="CB3" s="277" t="n"/>
      <c r="CC3" s="277" t="n"/>
      <c r="CD3" s="277" t="n"/>
      <c r="CE3" s="277" t="n"/>
      <c r="CF3" s="278" t="n"/>
      <c r="CG3" s="277" t="n"/>
      <c r="CH3" s="277" t="n"/>
      <c r="CI3" s="277" t="n"/>
      <c r="CJ3" s="277" t="n"/>
      <c r="CK3" s="277" t="n"/>
      <c r="CL3" s="277" t="n"/>
      <c r="CM3" s="277" t="n"/>
      <c r="CN3" s="278" t="n"/>
      <c r="CO3" s="278" t="n"/>
      <c r="CP3" s="277" t="n"/>
      <c r="CQ3" s="277" t="n"/>
      <c r="CR3" s="277" t="n"/>
      <c r="CS3" s="277" t="n"/>
      <c r="CT3" s="277" t="n"/>
      <c r="CU3" s="277" t="n"/>
      <c r="CV3" s="72" t="n"/>
      <c r="CW3" s="277" t="n"/>
      <c r="CX3" s="277" t="n"/>
      <c r="CY3" s="277" t="n"/>
      <c r="CZ3" s="277" t="n"/>
      <c r="DA3" s="277" t="n"/>
      <c r="DB3" s="277" t="n"/>
      <c r="DC3" s="277" t="n"/>
      <c r="DD3" s="277" t="n"/>
      <c r="DE3" s="279" t="n"/>
      <c r="DF3" s="279" t="n"/>
      <c r="DG3" s="72" t="n"/>
      <c r="DH3" s="72" t="n"/>
      <c r="DI3" s="72" t="n"/>
      <c r="DJ3" s="72" t="n"/>
      <c r="DK3" s="72" t="n"/>
      <c r="DL3" s="72" t="n"/>
      <c r="DM3" s="72" t="n"/>
      <c r="DN3" s="72" t="n"/>
      <c r="DO3" s="72" t="n"/>
      <c r="DP3" s="72" t="n"/>
      <c r="DQ3" s="72" t="n"/>
      <c r="DR3" s="72" t="n"/>
    </row>
    <row r="4" ht="13" customFormat="1" customHeight="1" s="244">
      <c r="A4" s="280" t="n">
        <v>41670</v>
      </c>
      <c r="B4" s="281" t="n">
        <v>17392.78</v>
      </c>
      <c r="C4" s="15" t="n"/>
      <c r="D4" s="15" t="n"/>
      <c r="E4" s="281" t="n">
        <v>13175.67</v>
      </c>
      <c r="F4" s="15" t="n"/>
      <c r="G4" s="15" t="n"/>
      <c r="H4" s="281" t="n">
        <v>3861.34</v>
      </c>
      <c r="I4" s="15" t="n"/>
      <c r="J4" s="15" t="n"/>
      <c r="K4" s="281" t="n">
        <v>355.78</v>
      </c>
      <c r="L4" s="15" t="n"/>
      <c r="M4" s="15" t="n"/>
      <c r="N4" s="281" t="n">
        <v>13703.67</v>
      </c>
      <c r="O4" s="15" t="n"/>
      <c r="P4" s="15" t="n"/>
      <c r="Q4" s="281" t="n">
        <v>10456.44</v>
      </c>
      <c r="R4" s="15" t="n"/>
      <c r="S4" s="15" t="n"/>
      <c r="T4" s="281" t="n">
        <v>3004.42</v>
      </c>
      <c r="U4" s="15" t="n"/>
      <c r="V4" s="15" t="n"/>
      <c r="W4" s="281" t="n">
        <v>242.81</v>
      </c>
      <c r="X4" s="15" t="n"/>
      <c r="Y4" s="15" t="n"/>
      <c r="Z4" s="281" t="n">
        <v>8064.37</v>
      </c>
      <c r="AA4" s="15" t="n"/>
      <c r="AB4" s="15" t="n"/>
      <c r="AC4" s="281" t="n">
        <v>7136.69</v>
      </c>
      <c r="AD4" s="15" t="n"/>
      <c r="AE4" s="15" t="n"/>
      <c r="AF4" s="281" t="n">
        <v>737.53</v>
      </c>
      <c r="AG4" s="15" t="n"/>
      <c r="AH4" s="15" t="n"/>
      <c r="AI4" s="281" t="n">
        <v>190.15</v>
      </c>
      <c r="AJ4" s="15" t="n"/>
      <c r="AK4" s="15" t="n"/>
      <c r="AL4" s="282" t="n">
        <v>78.8</v>
      </c>
      <c r="AM4" s="15" t="n"/>
      <c r="AN4" s="15" t="n"/>
      <c r="AO4" s="282" t="n">
        <v>79.40000000000001</v>
      </c>
      <c r="AP4" s="15" t="n"/>
      <c r="AQ4" s="15" t="n"/>
      <c r="AR4" s="282" t="n">
        <v>77.8</v>
      </c>
      <c r="AS4" s="15" t="n"/>
      <c r="AT4" s="15" t="n"/>
      <c r="AU4" s="282" t="n">
        <v>68.2</v>
      </c>
      <c r="AV4" s="15" t="n"/>
      <c r="AW4" s="15" t="n"/>
      <c r="AX4" s="281" t="n">
        <v>0</v>
      </c>
      <c r="AY4" s="15" t="n"/>
      <c r="AZ4" s="15" t="n"/>
      <c r="BA4" s="281" t="n"/>
      <c r="BB4" s="37" t="n"/>
      <c r="BC4" s="281" t="n"/>
      <c r="BD4" s="252" t="n"/>
      <c r="BE4" s="281" t="n"/>
      <c r="BF4" s="252" t="n"/>
      <c r="BG4" s="281" t="n"/>
      <c r="BH4" s="252" t="n"/>
      <c r="BI4" s="281" t="n"/>
      <c r="BJ4" s="252" t="n"/>
      <c r="BK4" s="281" t="n"/>
      <c r="BL4" s="252" t="n"/>
      <c r="BM4" s="281" t="n"/>
      <c r="BN4" s="252" t="n"/>
      <c r="BO4" s="281" t="n"/>
      <c r="BP4" s="281" t="n"/>
      <c r="BQ4" s="252" t="n"/>
      <c r="BR4" s="281" t="n"/>
      <c r="BS4" s="252" t="n"/>
      <c r="BT4" s="281" t="n"/>
      <c r="BU4" s="252" t="n"/>
      <c r="BV4" s="281" t="n"/>
      <c r="BW4" s="252" t="n"/>
      <c r="BX4" s="281" t="n"/>
      <c r="BY4" s="252" t="n"/>
      <c r="BZ4" s="281" t="n"/>
      <c r="CA4" s="252" t="n"/>
      <c r="CB4" s="281" t="n"/>
      <c r="CC4" s="252" t="n"/>
      <c r="CD4" s="281" t="n"/>
      <c r="CE4" s="252" t="n"/>
      <c r="CF4" s="281" t="n"/>
      <c r="CG4" s="281" t="n"/>
      <c r="CH4" s="281" t="n"/>
      <c r="CI4" s="281" t="n"/>
      <c r="CJ4" s="281" t="n"/>
      <c r="CK4" s="281" t="n"/>
      <c r="CL4" s="281" t="n"/>
      <c r="CM4" s="281" t="n"/>
      <c r="CN4" s="281" t="n"/>
      <c r="CO4" s="281" t="n"/>
      <c r="CP4" s="281" t="n"/>
      <c r="CQ4" s="281" t="n"/>
      <c r="CR4" s="281" t="n"/>
      <c r="CS4" s="281" t="n"/>
      <c r="CT4" s="281" t="n"/>
      <c r="CU4" s="281" t="n"/>
      <c r="CW4" s="281" t="n"/>
      <c r="CX4" s="252" t="n"/>
      <c r="CY4" s="281" t="n"/>
      <c r="CZ4" s="252" t="n"/>
      <c r="DA4" s="281" t="n"/>
      <c r="DB4" s="252" t="n"/>
      <c r="DC4" s="281" t="n"/>
      <c r="DD4" s="252" t="n"/>
      <c r="DE4" s="283" t="n"/>
      <c r="DF4" s="283" t="n"/>
    </row>
    <row r="5">
      <c r="A5" s="284" t="n">
        <v>41698</v>
      </c>
      <c r="B5" s="285" t="n">
        <v>16291.4</v>
      </c>
      <c r="C5" s="18" t="n"/>
      <c r="D5" s="18" t="n"/>
      <c r="E5" s="285" t="n">
        <v>12453.16</v>
      </c>
      <c r="F5" s="19" t="n"/>
      <c r="G5" s="19" t="n"/>
      <c r="H5" s="285" t="n">
        <v>3508.26</v>
      </c>
      <c r="I5" s="19" t="n"/>
      <c r="J5" s="19" t="n"/>
      <c r="K5" s="285" t="n">
        <v>329.98</v>
      </c>
      <c r="L5" s="19" t="n"/>
      <c r="M5" s="19" t="n"/>
      <c r="N5" s="285" t="n">
        <v>13622.57</v>
      </c>
      <c r="O5" s="19" t="n"/>
      <c r="P5" s="19" t="n"/>
      <c r="Q5" s="285" t="n">
        <v>10632.03</v>
      </c>
      <c r="R5" s="19" t="n"/>
      <c r="S5" s="19" t="n"/>
      <c r="T5" s="285" t="n">
        <v>2742.79</v>
      </c>
      <c r="U5" s="19" t="n"/>
      <c r="V5" s="19" t="n"/>
      <c r="W5" s="285" t="n">
        <v>247.74</v>
      </c>
      <c r="X5" s="19" t="n"/>
      <c r="Y5" s="19" t="n"/>
      <c r="Z5" s="285" t="n">
        <v>8119.94</v>
      </c>
      <c r="AA5" s="19" t="n"/>
      <c r="AB5" s="19" t="n"/>
      <c r="AC5" s="285" t="n">
        <v>7214.23</v>
      </c>
      <c r="AD5" s="19" t="n"/>
      <c r="AE5" s="19" t="n"/>
      <c r="AF5" s="285" t="n">
        <v>713.21</v>
      </c>
      <c r="AG5" s="19" t="n"/>
      <c r="AH5" s="19" t="n"/>
      <c r="AI5" s="285" t="n">
        <v>192.5</v>
      </c>
      <c r="AJ5" s="19" t="n"/>
      <c r="AK5" s="19" t="n"/>
      <c r="AL5" s="286" t="n">
        <v>83.62</v>
      </c>
      <c r="AM5" s="19" t="n"/>
      <c r="AN5" s="19" t="n"/>
      <c r="AO5" s="286" t="n">
        <v>85.38</v>
      </c>
      <c r="AP5" s="19" t="n"/>
      <c r="AQ5" s="19" t="n"/>
      <c r="AR5" s="286" t="n">
        <v>78.18000000000001</v>
      </c>
      <c r="AS5" s="19" t="n"/>
      <c r="AT5" s="19" t="n"/>
      <c r="AU5" s="286" t="n">
        <v>75.08</v>
      </c>
      <c r="AV5" s="19" t="n"/>
      <c r="AW5" s="19" t="n"/>
      <c r="AX5" s="285" t="n">
        <v>0</v>
      </c>
      <c r="AY5" s="19" t="n"/>
      <c r="AZ5" s="19" t="n"/>
      <c r="BA5" s="287" t="n"/>
      <c r="BB5" s="287" t="n"/>
      <c r="BC5" s="287" t="n"/>
      <c r="BD5" s="287" t="n"/>
      <c r="BE5" s="287" t="n"/>
      <c r="BF5" s="287" t="n"/>
      <c r="BG5" s="287" t="n"/>
      <c r="BH5" s="287" t="n"/>
      <c r="BI5" s="288" t="n"/>
      <c r="BJ5" s="288" t="n"/>
      <c r="BK5" s="288" t="n"/>
      <c r="BL5" s="288" t="n"/>
      <c r="BM5" s="288" t="n"/>
      <c r="BN5" s="288" t="n"/>
      <c r="BO5" s="288" t="n"/>
      <c r="BP5" s="288" t="n"/>
      <c r="BQ5" s="288" t="n"/>
      <c r="BR5" s="288" t="n"/>
      <c r="BS5" s="288" t="n"/>
      <c r="BT5" s="288" t="n"/>
      <c r="BU5" s="288" t="n"/>
      <c r="BV5" s="288" t="n"/>
      <c r="BW5" s="288" t="n"/>
      <c r="BX5" s="288" t="n"/>
      <c r="BY5" s="288" t="n"/>
      <c r="BZ5" s="288" t="n"/>
      <c r="CA5" s="288" t="n"/>
      <c r="CB5" s="288" t="n"/>
      <c r="CC5" s="288" t="n"/>
      <c r="CD5" s="288" t="n"/>
      <c r="CE5" s="288" t="n"/>
      <c r="CF5" s="288" t="n"/>
      <c r="CG5" s="288" t="n"/>
      <c r="CH5" s="288" t="n"/>
      <c r="CI5" s="288" t="n"/>
      <c r="CJ5" s="288" t="n"/>
      <c r="CK5" s="288" t="n"/>
      <c r="CL5" s="288" t="n"/>
      <c r="CM5" s="288" t="n"/>
      <c r="CN5" s="288" t="n"/>
      <c r="CO5" s="288" t="n"/>
      <c r="CP5" s="288" t="n"/>
      <c r="CQ5" s="288" t="n"/>
      <c r="CR5" s="288" t="n"/>
      <c r="CS5" s="288" t="n"/>
      <c r="CT5" s="288" t="n"/>
      <c r="CU5" s="288" t="n"/>
      <c r="CW5" s="288" t="n"/>
      <c r="CX5" s="288" t="n"/>
      <c r="CY5" s="288" t="n"/>
      <c r="CZ5" s="288" t="n"/>
      <c r="DA5" s="288" t="n"/>
      <c r="DB5" s="288" t="n"/>
      <c r="DC5" s="288" t="n"/>
      <c r="DD5" s="288" t="n"/>
      <c r="DE5" s="289" t="n"/>
      <c r="DF5" s="289" t="n"/>
      <c r="DG5" s="79" t="n"/>
    </row>
    <row r="6">
      <c r="A6" s="284" t="n">
        <v>41729</v>
      </c>
      <c r="B6" s="285" t="n">
        <v>16516.43</v>
      </c>
      <c r="C6" s="18" t="n"/>
      <c r="D6" s="18" t="n"/>
      <c r="E6" s="285" t="n">
        <v>12656.77</v>
      </c>
      <c r="F6" s="19" t="n"/>
      <c r="G6" s="19" t="n"/>
      <c r="H6" s="285" t="n">
        <v>3525.76</v>
      </c>
      <c r="I6" s="19" t="n"/>
      <c r="J6" s="19" t="n"/>
      <c r="K6" s="285" t="n">
        <v>333.9</v>
      </c>
      <c r="L6" s="19" t="n"/>
      <c r="M6" s="19" t="n"/>
      <c r="N6" s="285" t="n">
        <v>12878.98</v>
      </c>
      <c r="O6" s="19" t="n"/>
      <c r="P6" s="19" t="n"/>
      <c r="Q6" s="285" t="n">
        <v>9980.459999999999</v>
      </c>
      <c r="R6" s="19" t="n"/>
      <c r="S6" s="19" t="n"/>
      <c r="T6" s="285" t="n">
        <v>2652.18</v>
      </c>
      <c r="U6" s="19" t="n"/>
      <c r="V6" s="19" t="n"/>
      <c r="W6" s="285" t="n">
        <v>246.34</v>
      </c>
      <c r="X6" s="19" t="n"/>
      <c r="Y6" s="19" t="n"/>
      <c r="Z6" s="285" t="n">
        <v>7776.95</v>
      </c>
      <c r="AA6" s="19" t="n"/>
      <c r="AB6" s="19" t="n"/>
      <c r="AC6" s="285" t="n">
        <v>6907.97</v>
      </c>
      <c r="AD6" s="19" t="n"/>
      <c r="AE6" s="19" t="n"/>
      <c r="AF6" s="285" t="n">
        <v>684.26</v>
      </c>
      <c r="AG6" s="19" t="n"/>
      <c r="AH6" s="19" t="n"/>
      <c r="AI6" s="285" t="n">
        <v>184.72</v>
      </c>
      <c r="AJ6" s="19" t="n"/>
      <c r="AK6" s="19" t="n"/>
      <c r="AL6" s="286" t="n">
        <v>77.98</v>
      </c>
      <c r="AM6" s="19" t="n"/>
      <c r="AN6" s="19" t="n"/>
      <c r="AO6" s="286" t="n">
        <v>78.84999999999999</v>
      </c>
      <c r="AP6" s="19" t="n"/>
      <c r="AQ6" s="19" t="n"/>
      <c r="AR6" s="286" t="n">
        <v>75.22</v>
      </c>
      <c r="AS6" s="19" t="n"/>
      <c r="AT6" s="19" t="n"/>
      <c r="AU6" s="286" t="n">
        <v>73.78</v>
      </c>
      <c r="AV6" s="19" t="n"/>
      <c r="AW6" s="19" t="n"/>
      <c r="AX6" s="285" t="n">
        <v>0</v>
      </c>
      <c r="AY6" s="19" t="n"/>
      <c r="AZ6" s="19" t="n"/>
      <c r="BA6" s="287" t="n"/>
      <c r="BB6" s="287" t="n"/>
      <c r="BC6" s="287" t="n"/>
      <c r="BD6" s="287" t="n"/>
      <c r="BE6" s="287" t="n"/>
      <c r="BF6" s="287" t="n"/>
      <c r="BG6" s="287" t="n"/>
      <c r="BH6" s="287" t="n"/>
      <c r="BI6" s="288" t="n"/>
      <c r="BJ6" s="288" t="n"/>
      <c r="BK6" s="288" t="n"/>
      <c r="BL6" s="288" t="n"/>
      <c r="BM6" s="288" t="n"/>
      <c r="BN6" s="288" t="n"/>
      <c r="BO6" s="288" t="n"/>
      <c r="BP6" s="288" t="n"/>
      <c r="BQ6" s="288" t="n"/>
      <c r="BR6" s="288" t="n"/>
      <c r="BS6" s="288" t="n"/>
      <c r="BT6" s="288" t="n"/>
      <c r="BU6" s="288" t="n"/>
      <c r="BV6" s="288" t="n"/>
      <c r="BW6" s="288" t="n"/>
      <c r="BX6" s="288" t="n"/>
      <c r="BY6" s="288" t="n"/>
      <c r="BZ6" s="288" t="n"/>
      <c r="CA6" s="288" t="n"/>
      <c r="CB6" s="288" t="n"/>
      <c r="CC6" s="288" t="n"/>
      <c r="CD6" s="288" t="n"/>
      <c r="CE6" s="288" t="n"/>
      <c r="CF6" s="288" t="n"/>
      <c r="CG6" s="288" t="n"/>
      <c r="CH6" s="288" t="n"/>
      <c r="CI6" s="288" t="n"/>
      <c r="CJ6" s="288" t="n"/>
      <c r="CK6" s="288" t="n"/>
      <c r="CL6" s="288" t="n"/>
      <c r="CM6" s="288" t="n"/>
      <c r="CN6" s="288" t="n"/>
      <c r="CO6" s="288" t="n"/>
      <c r="CP6" s="288" t="n"/>
      <c r="CQ6" s="288" t="n"/>
      <c r="CR6" s="288" t="n"/>
      <c r="CS6" s="288" t="n"/>
      <c r="CT6" s="288" t="n"/>
      <c r="CU6" s="288" t="n"/>
      <c r="CW6" s="288" t="n"/>
      <c r="CX6" s="288" t="n"/>
      <c r="CY6" s="288" t="n"/>
      <c r="CZ6" s="288" t="n"/>
      <c r="DA6" s="288" t="n"/>
      <c r="DB6" s="288" t="n"/>
      <c r="DC6" s="288" t="n"/>
      <c r="DD6" s="288" t="n"/>
      <c r="DE6" s="289" t="n"/>
      <c r="DF6" s="289" t="n"/>
      <c r="DG6" s="79" t="n"/>
    </row>
    <row r="7">
      <c r="A7" s="284" t="n">
        <v>41759</v>
      </c>
      <c r="B7" s="285" t="n">
        <v>16111.46</v>
      </c>
      <c r="C7" s="18" t="n"/>
      <c r="D7" s="18" t="n"/>
      <c r="E7" s="285" t="n">
        <v>12335.24</v>
      </c>
      <c r="F7" s="19" t="n"/>
      <c r="G7" s="19" t="n"/>
      <c r="H7" s="285" t="n">
        <v>3403.01</v>
      </c>
      <c r="I7" s="19" t="n"/>
      <c r="J7" s="19" t="n"/>
      <c r="K7" s="285" t="n">
        <v>373.22</v>
      </c>
      <c r="L7" s="19" t="n"/>
      <c r="M7" s="19" t="n"/>
      <c r="N7" s="285" t="n">
        <v>12807.55</v>
      </c>
      <c r="O7" s="19" t="n"/>
      <c r="P7" s="19" t="n"/>
      <c r="Q7" s="285" t="n">
        <v>9851.16</v>
      </c>
      <c r="R7" s="19" t="n"/>
      <c r="S7" s="19" t="n"/>
      <c r="T7" s="285" t="n">
        <v>2674.7</v>
      </c>
      <c r="U7" s="19" t="n"/>
      <c r="V7" s="19" t="n"/>
      <c r="W7" s="285" t="n">
        <v>281.69</v>
      </c>
      <c r="X7" s="19" t="n"/>
      <c r="Y7" s="19" t="n"/>
      <c r="Z7" s="285" t="n">
        <v>7915.46</v>
      </c>
      <c r="AA7" s="19" t="n"/>
      <c r="AB7" s="19" t="n"/>
      <c r="AC7" s="285" t="n">
        <v>7001.39</v>
      </c>
      <c r="AD7" s="19" t="n"/>
      <c r="AE7" s="19" t="n"/>
      <c r="AF7" s="285" t="n">
        <v>702.6799999999999</v>
      </c>
      <c r="AG7" s="19" t="n"/>
      <c r="AH7" s="19" t="n"/>
      <c r="AI7" s="285" t="n">
        <v>211.39</v>
      </c>
      <c r="AJ7" s="19" t="n"/>
      <c r="AK7" s="19" t="n"/>
      <c r="AL7" s="286" t="n">
        <v>79.48999999999999</v>
      </c>
      <c r="AM7" s="19" t="n"/>
      <c r="AN7" s="19" t="n"/>
      <c r="AO7" s="286" t="n">
        <v>79.86</v>
      </c>
      <c r="AP7" s="19" t="n"/>
      <c r="AQ7" s="19" t="n"/>
      <c r="AR7" s="286" t="n">
        <v>78.59999999999999</v>
      </c>
      <c r="AS7" s="19" t="n"/>
      <c r="AT7" s="19" t="n"/>
      <c r="AU7" s="286" t="n">
        <v>75.48</v>
      </c>
      <c r="AV7" s="19" t="n"/>
      <c r="AW7" s="19" t="n"/>
      <c r="AX7" s="285" t="n">
        <v>0</v>
      </c>
      <c r="AY7" s="19" t="n"/>
      <c r="AZ7" s="19" t="n"/>
      <c r="BA7" s="287" t="n"/>
      <c r="BB7" s="287" t="n"/>
      <c r="BC7" s="287" t="n"/>
      <c r="BD7" s="287" t="n"/>
      <c r="BE7" s="287" t="n"/>
      <c r="BF7" s="287" t="n"/>
      <c r="BG7" s="287" t="n"/>
      <c r="BH7" s="287" t="n"/>
      <c r="BI7" s="288" t="n"/>
      <c r="BJ7" s="288" t="n"/>
      <c r="BK7" s="288" t="n"/>
      <c r="BL7" s="288" t="n"/>
      <c r="BM7" s="288" t="n"/>
      <c r="BN7" s="288" t="n"/>
      <c r="BO7" s="288" t="n"/>
      <c r="BP7" s="288" t="n"/>
      <c r="BQ7" s="288" t="n"/>
      <c r="BR7" s="288" t="n"/>
      <c r="BS7" s="288" t="n"/>
      <c r="BT7" s="288" t="n"/>
      <c r="BU7" s="288" t="n"/>
      <c r="BV7" s="288" t="n"/>
      <c r="BW7" s="288" t="n"/>
      <c r="BX7" s="288" t="n"/>
      <c r="BY7" s="288" t="n"/>
      <c r="BZ7" s="288" t="n"/>
      <c r="CA7" s="288" t="n"/>
      <c r="CB7" s="288" t="n"/>
      <c r="CC7" s="288" t="n"/>
      <c r="CD7" s="288" t="n"/>
      <c r="CE7" s="288" t="n"/>
      <c r="CF7" s="288" t="n"/>
      <c r="CG7" s="288" t="n"/>
      <c r="CH7" s="288" t="n"/>
      <c r="CI7" s="288" t="n"/>
      <c r="CJ7" s="288" t="n"/>
      <c r="CK7" s="288" t="n"/>
      <c r="CL7" s="288" t="n"/>
      <c r="CM7" s="288" t="n"/>
      <c r="CN7" s="288" t="n"/>
      <c r="CO7" s="288" t="n"/>
      <c r="CP7" s="288" t="n"/>
      <c r="CQ7" s="288" t="n"/>
      <c r="CR7" s="288" t="n"/>
      <c r="CS7" s="288" t="n"/>
      <c r="CT7" s="288" t="n"/>
      <c r="CU7" s="288" t="n"/>
      <c r="CW7" s="288" t="n"/>
      <c r="CX7" s="288" t="n"/>
      <c r="CY7" s="288" t="n"/>
      <c r="CZ7" s="288" t="n"/>
      <c r="DA7" s="288" t="n"/>
      <c r="DB7" s="288" t="n"/>
      <c r="DC7" s="288" t="n"/>
      <c r="DD7" s="288" t="n"/>
      <c r="DE7" s="289" t="n"/>
      <c r="DF7" s="289" t="n"/>
      <c r="DG7" s="79" t="n"/>
    </row>
    <row r="8">
      <c r="A8" s="284" t="n">
        <v>41790</v>
      </c>
      <c r="B8" s="285" t="n">
        <v>16257.53</v>
      </c>
      <c r="C8" s="18" t="n"/>
      <c r="D8" s="18" t="n"/>
      <c r="E8" s="285" t="n">
        <v>12497.14</v>
      </c>
      <c r="F8" s="19" t="n"/>
      <c r="G8" s="19" t="n"/>
      <c r="H8" s="285" t="n">
        <v>3376.85</v>
      </c>
      <c r="I8" s="19" t="n"/>
      <c r="J8" s="19" t="n"/>
      <c r="K8" s="285" t="n">
        <v>383.54</v>
      </c>
      <c r="L8" s="19" t="n"/>
      <c r="M8" s="19" t="n"/>
      <c r="N8" s="285" t="n">
        <v>12608.99</v>
      </c>
      <c r="O8" s="19" t="n"/>
      <c r="P8" s="19" t="n"/>
      <c r="Q8" s="285" t="n">
        <v>9801.15</v>
      </c>
      <c r="R8" s="19" t="n"/>
      <c r="S8" s="19" t="n"/>
      <c r="T8" s="285" t="n">
        <v>2532.93</v>
      </c>
      <c r="U8" s="19" t="n"/>
      <c r="V8" s="19" t="n"/>
      <c r="W8" s="285" t="n">
        <v>274.91</v>
      </c>
      <c r="X8" s="19" t="n"/>
      <c r="Y8" s="19" t="n"/>
      <c r="Z8" s="285" t="n">
        <v>7863.87</v>
      </c>
      <c r="AA8" s="19" t="n"/>
      <c r="AB8" s="19" t="n"/>
      <c r="AC8" s="285" t="n">
        <v>7010.85</v>
      </c>
      <c r="AD8" s="19" t="n"/>
      <c r="AE8" s="19" t="n"/>
      <c r="AF8" s="285" t="n">
        <v>651.4400000000001</v>
      </c>
      <c r="AG8" s="19" t="n"/>
      <c r="AH8" s="19" t="n"/>
      <c r="AI8" s="285" t="n">
        <v>201.58</v>
      </c>
      <c r="AJ8" s="19" t="n"/>
      <c r="AK8" s="19" t="n"/>
      <c r="AL8" s="286" t="n">
        <v>77.56</v>
      </c>
      <c r="AM8" s="19" t="n"/>
      <c r="AN8" s="19" t="n"/>
      <c r="AO8" s="286" t="n">
        <v>78.43000000000001</v>
      </c>
      <c r="AP8" s="19" t="n"/>
      <c r="AQ8" s="19" t="n"/>
      <c r="AR8" s="286" t="n">
        <v>75.01000000000001</v>
      </c>
      <c r="AS8" s="19" t="n"/>
      <c r="AT8" s="19" t="n"/>
      <c r="AU8" s="286" t="n">
        <v>71.68000000000001</v>
      </c>
      <c r="AV8" s="19" t="n"/>
      <c r="AW8" s="19" t="n"/>
      <c r="AX8" s="285" t="n">
        <v>0</v>
      </c>
      <c r="AY8" s="19" t="n"/>
      <c r="AZ8" s="19" t="n"/>
      <c r="BA8" s="287" t="n"/>
      <c r="BB8" s="287" t="n"/>
      <c r="BC8" s="287" t="n"/>
      <c r="BD8" s="287" t="n"/>
      <c r="BE8" s="287" t="n"/>
      <c r="BF8" s="287" t="n"/>
      <c r="BG8" s="287" t="n"/>
      <c r="BH8" s="287" t="n"/>
      <c r="BI8" s="288" t="n"/>
      <c r="BJ8" s="288" t="n"/>
      <c r="BK8" s="288" t="n"/>
      <c r="BL8" s="288" t="n"/>
      <c r="BM8" s="288" t="n"/>
      <c r="BN8" s="288" t="n"/>
      <c r="BO8" s="288" t="n"/>
      <c r="BP8" s="288" t="n"/>
      <c r="BQ8" s="288" t="n"/>
      <c r="BR8" s="288" t="n"/>
      <c r="BS8" s="288" t="n"/>
      <c r="BT8" s="288" t="n"/>
      <c r="BU8" s="288" t="n"/>
      <c r="BV8" s="288" t="n"/>
      <c r="BW8" s="288" t="n"/>
      <c r="BX8" s="288" t="n"/>
      <c r="BY8" s="288" t="n"/>
      <c r="BZ8" s="288" t="n"/>
      <c r="CA8" s="288" t="n"/>
      <c r="CB8" s="288" t="n"/>
      <c r="CC8" s="288" t="n"/>
      <c r="CD8" s="288" t="n"/>
      <c r="CE8" s="288" t="n"/>
      <c r="CF8" s="288" t="n"/>
      <c r="CG8" s="288" t="n"/>
      <c r="CH8" s="288" t="n"/>
      <c r="CI8" s="288" t="n"/>
      <c r="CJ8" s="288" t="n"/>
      <c r="CK8" s="288" t="n"/>
      <c r="CL8" s="288" t="n"/>
      <c r="CM8" s="288" t="n"/>
      <c r="CN8" s="288" t="n"/>
      <c r="CO8" s="288" t="n"/>
      <c r="CP8" s="288" t="n"/>
      <c r="CQ8" s="288" t="n"/>
      <c r="CR8" s="288" t="n"/>
      <c r="CS8" s="288" t="n"/>
      <c r="CT8" s="288" t="n"/>
      <c r="CU8" s="288" t="n"/>
      <c r="CW8" s="288" t="n"/>
      <c r="CX8" s="288" t="n"/>
      <c r="CY8" s="288" t="n"/>
      <c r="CZ8" s="288" t="n"/>
      <c r="DA8" s="288" t="n"/>
      <c r="DB8" s="288" t="n"/>
      <c r="DC8" s="288" t="n"/>
      <c r="DD8" s="288" t="n"/>
      <c r="DE8" s="289" t="n"/>
      <c r="DF8" s="289" t="n"/>
      <c r="DG8" s="79" t="n"/>
    </row>
    <row r="9">
      <c r="A9" s="284" t="n">
        <v>41820</v>
      </c>
      <c r="B9" s="285" t="n">
        <v>15814.08</v>
      </c>
      <c r="C9" s="18" t="n"/>
      <c r="D9" s="18" t="n"/>
      <c r="E9" s="285" t="n">
        <v>12239.75</v>
      </c>
      <c r="F9" s="19" t="n"/>
      <c r="G9" s="19" t="n"/>
      <c r="H9" s="285" t="n">
        <v>3215.94</v>
      </c>
      <c r="I9" s="19" t="n"/>
      <c r="J9" s="19" t="n"/>
      <c r="K9" s="285" t="n">
        <v>358.4</v>
      </c>
      <c r="L9" s="19" t="n"/>
      <c r="M9" s="19" t="n"/>
      <c r="N9" s="285" t="n">
        <v>12317.56</v>
      </c>
      <c r="O9" s="19" t="n"/>
      <c r="P9" s="19" t="n"/>
      <c r="Q9" s="285" t="n">
        <v>9581.59</v>
      </c>
      <c r="R9" s="19" t="n"/>
      <c r="S9" s="19" t="n"/>
      <c r="T9" s="285" t="n">
        <v>2473.34</v>
      </c>
      <c r="U9" s="19" t="n"/>
      <c r="V9" s="19" t="n"/>
      <c r="W9" s="285" t="n">
        <v>262.63</v>
      </c>
      <c r="X9" s="19" t="n"/>
      <c r="Y9" s="19" t="n"/>
      <c r="Z9" s="285" t="n">
        <v>7644.58</v>
      </c>
      <c r="AA9" s="19" t="n"/>
      <c r="AB9" s="19" t="n"/>
      <c r="AC9" s="285" t="n">
        <v>6837.11</v>
      </c>
      <c r="AD9" s="19" t="n"/>
      <c r="AE9" s="19" t="n"/>
      <c r="AF9" s="285" t="n">
        <v>616.52</v>
      </c>
      <c r="AG9" s="19" t="n"/>
      <c r="AH9" s="19" t="n"/>
      <c r="AI9" s="285" t="n">
        <v>190.95</v>
      </c>
      <c r="AJ9" s="19" t="n"/>
      <c r="AK9" s="19" t="n"/>
      <c r="AL9" s="286" t="n">
        <v>77.90000000000001</v>
      </c>
      <c r="AM9" s="19" t="n"/>
      <c r="AN9" s="19" t="n"/>
      <c r="AO9" s="286" t="n">
        <v>78.3</v>
      </c>
      <c r="AP9" s="19" t="n"/>
      <c r="AQ9" s="19" t="n"/>
      <c r="AR9" s="286" t="n">
        <v>76.90000000000001</v>
      </c>
      <c r="AS9" s="19" t="n"/>
      <c r="AT9" s="19" t="n"/>
      <c r="AU9" s="286" t="n">
        <v>73.3</v>
      </c>
      <c r="AV9" s="19" t="n"/>
      <c r="AW9" s="19" t="n"/>
      <c r="AX9" s="285" t="n">
        <v>0</v>
      </c>
      <c r="AY9" s="19" t="n"/>
      <c r="AZ9" s="19" t="n"/>
      <c r="BA9" s="287" t="n"/>
      <c r="BB9" s="287" t="n"/>
      <c r="BC9" s="287" t="n"/>
      <c r="BD9" s="287" t="n"/>
      <c r="BE9" s="287" t="n"/>
      <c r="BF9" s="287" t="n"/>
      <c r="BG9" s="287" t="n"/>
      <c r="BH9" s="287" t="n"/>
      <c r="BI9" s="288" t="n"/>
      <c r="BJ9" s="288" t="n"/>
      <c r="BK9" s="288" t="n"/>
      <c r="BL9" s="288" t="n"/>
      <c r="BM9" s="288" t="n"/>
      <c r="BN9" s="288" t="n"/>
      <c r="BO9" s="288" t="n"/>
      <c r="BP9" s="288" t="n"/>
      <c r="BQ9" s="288" t="n"/>
      <c r="BR9" s="288" t="n"/>
      <c r="BS9" s="288" t="n"/>
      <c r="BT9" s="288" t="n"/>
      <c r="BU9" s="288" t="n"/>
      <c r="BV9" s="288" t="n"/>
      <c r="BW9" s="288" t="n"/>
      <c r="BX9" s="288" t="n"/>
      <c r="BY9" s="288" t="n"/>
      <c r="BZ9" s="288" t="n"/>
      <c r="CA9" s="288" t="n"/>
      <c r="CB9" s="288" t="n"/>
      <c r="CC9" s="288" t="n"/>
      <c r="CD9" s="288" t="n"/>
      <c r="CE9" s="288" t="n"/>
      <c r="CF9" s="288" t="n"/>
      <c r="CG9" s="288" t="n"/>
      <c r="CH9" s="288" t="n"/>
      <c r="CI9" s="288" t="n"/>
      <c r="CJ9" s="288" t="n"/>
      <c r="CK9" s="288" t="n"/>
      <c r="CL9" s="288" t="n"/>
      <c r="CM9" s="288" t="n"/>
      <c r="CN9" s="288" t="n"/>
      <c r="CO9" s="288" t="n"/>
      <c r="CP9" s="288" t="n"/>
      <c r="CQ9" s="288" t="n"/>
      <c r="CR9" s="288" t="n"/>
      <c r="CS9" s="288" t="n"/>
      <c r="CT9" s="288" t="n"/>
      <c r="CU9" s="288" t="n"/>
      <c r="CW9" s="288" t="n"/>
      <c r="CX9" s="288" t="n"/>
      <c r="CY9" s="288" t="n"/>
      <c r="CZ9" s="288" t="n"/>
      <c r="DA9" s="288" t="n"/>
      <c r="DB9" s="288" t="n"/>
      <c r="DC9" s="288" t="n"/>
      <c r="DD9" s="288" t="n"/>
      <c r="DE9" s="289" t="n"/>
      <c r="DF9" s="289" t="n"/>
      <c r="DG9" s="79" t="n"/>
    </row>
    <row r="10">
      <c r="A10" s="284" t="n">
        <v>41851</v>
      </c>
      <c r="B10" s="285" t="n">
        <v>19019.31</v>
      </c>
      <c r="C10" s="18" t="n"/>
      <c r="D10" s="18" t="n"/>
      <c r="E10" s="285" t="n">
        <v>14849.91</v>
      </c>
      <c r="F10" s="19" t="n"/>
      <c r="G10" s="19" t="n"/>
      <c r="H10" s="285" t="n">
        <v>3781.86</v>
      </c>
      <c r="I10" s="19" t="n"/>
      <c r="J10" s="19" t="n"/>
      <c r="K10" s="285" t="n">
        <v>387.54</v>
      </c>
      <c r="L10" s="19" t="n"/>
      <c r="M10" s="19" t="n"/>
      <c r="N10" s="285" t="n">
        <v>15256.42</v>
      </c>
      <c r="O10" s="19" t="n"/>
      <c r="P10" s="19" t="n"/>
      <c r="Q10" s="285" t="n">
        <v>11889.79</v>
      </c>
      <c r="R10" s="19" t="n"/>
      <c r="S10" s="19" t="n"/>
      <c r="T10" s="285" t="n">
        <v>3078.03</v>
      </c>
      <c r="U10" s="19" t="n"/>
      <c r="V10" s="19" t="n"/>
      <c r="W10" s="285" t="n">
        <v>288.6</v>
      </c>
      <c r="X10" s="19" t="n"/>
      <c r="Y10" s="19" t="n"/>
      <c r="Z10" s="285" t="n">
        <v>9458.5</v>
      </c>
      <c r="AA10" s="19" t="n"/>
      <c r="AB10" s="19" t="n"/>
      <c r="AC10" s="285" t="n">
        <v>8427.690000000001</v>
      </c>
      <c r="AD10" s="19" t="n"/>
      <c r="AE10" s="19" t="n"/>
      <c r="AF10" s="285" t="n">
        <v>816.5599999999999</v>
      </c>
      <c r="AG10" s="19" t="n"/>
      <c r="AH10" s="19" t="n"/>
      <c r="AI10" s="285" t="n">
        <v>214.25</v>
      </c>
      <c r="AJ10" s="19" t="n"/>
      <c r="AK10" s="19" t="n"/>
      <c r="AL10" s="286" t="n">
        <v>80.22</v>
      </c>
      <c r="AM10" s="19" t="n"/>
      <c r="AN10" s="19" t="n"/>
      <c r="AO10" s="286" t="n">
        <v>80.06999999999999</v>
      </c>
      <c r="AP10" s="19" t="n"/>
      <c r="AQ10" s="19" t="n"/>
      <c r="AR10" s="286" t="n">
        <v>81.39</v>
      </c>
      <c r="AS10" s="19" t="n"/>
      <c r="AT10" s="19" t="n"/>
      <c r="AU10" s="286" t="n">
        <v>74.47</v>
      </c>
      <c r="AV10" s="19" t="n"/>
      <c r="AW10" s="19" t="n"/>
      <c r="AX10" s="285" t="n">
        <v>0</v>
      </c>
      <c r="AY10" s="19" t="n"/>
      <c r="AZ10" s="19" t="n"/>
      <c r="BA10" s="287" t="n"/>
      <c r="BB10" s="287" t="n"/>
      <c r="BC10" s="287" t="n"/>
      <c r="BD10" s="287" t="n"/>
      <c r="BE10" s="287" t="n"/>
      <c r="BF10" s="287" t="n"/>
      <c r="BG10" s="287" t="n"/>
      <c r="BH10" s="287" t="n"/>
      <c r="BI10" s="288" t="n"/>
      <c r="BJ10" s="288" t="n"/>
      <c r="BK10" s="288" t="n"/>
      <c r="BL10" s="288" t="n"/>
      <c r="BM10" s="288" t="n"/>
      <c r="BN10" s="288" t="n"/>
      <c r="BO10" s="288" t="n"/>
      <c r="BP10" s="288" t="n"/>
      <c r="BQ10" s="288" t="n"/>
      <c r="BR10" s="288" t="n"/>
      <c r="BS10" s="288" t="n"/>
      <c r="BT10" s="288" t="n"/>
      <c r="BU10" s="288" t="n"/>
      <c r="BV10" s="288" t="n"/>
      <c r="BW10" s="288" t="n"/>
      <c r="BX10" s="288" t="n"/>
      <c r="BY10" s="288" t="n"/>
      <c r="BZ10" s="288" t="n"/>
      <c r="CA10" s="288" t="n"/>
      <c r="CB10" s="288" t="n"/>
      <c r="CC10" s="288" t="n"/>
      <c r="CD10" s="288" t="n"/>
      <c r="CE10" s="288" t="n"/>
      <c r="CF10" s="288" t="n"/>
      <c r="CG10" s="288" t="n"/>
      <c r="CH10" s="288" t="n"/>
      <c r="CI10" s="288" t="n"/>
      <c r="CJ10" s="288" t="n"/>
      <c r="CK10" s="288" t="n"/>
      <c r="CL10" s="288" t="n"/>
      <c r="CM10" s="288" t="n"/>
      <c r="CN10" s="288" t="n"/>
      <c r="CO10" s="288" t="n"/>
      <c r="CP10" s="288" t="n"/>
      <c r="CQ10" s="288" t="n"/>
      <c r="CR10" s="288" t="n"/>
      <c r="CS10" s="288" t="n"/>
      <c r="CT10" s="288" t="n"/>
      <c r="CU10" s="288" t="n"/>
      <c r="CW10" s="288" t="n"/>
      <c r="CX10" s="288" t="n"/>
      <c r="CY10" s="288" t="n"/>
      <c r="CZ10" s="288" t="n"/>
      <c r="DA10" s="288" t="n"/>
      <c r="DB10" s="288" t="n"/>
      <c r="DC10" s="288" t="n"/>
      <c r="DD10" s="288" t="n"/>
      <c r="DE10" s="289" t="n"/>
      <c r="DF10" s="289" t="n"/>
      <c r="DG10" s="79" t="n"/>
    </row>
    <row r="11">
      <c r="A11" s="284" t="n">
        <v>41882</v>
      </c>
      <c r="B11" s="285" t="n">
        <v>19782.35</v>
      </c>
      <c r="C11" s="18" t="n"/>
      <c r="D11" s="18" t="n"/>
      <c r="E11" s="285" t="n">
        <v>15334.36</v>
      </c>
      <c r="F11" s="19" t="n"/>
      <c r="G11" s="19" t="n"/>
      <c r="H11" s="285" t="n">
        <v>4074.34</v>
      </c>
      <c r="I11" s="19" t="n"/>
      <c r="J11" s="19" t="n"/>
      <c r="K11" s="285" t="n">
        <v>373.64</v>
      </c>
      <c r="L11" s="19" t="n"/>
      <c r="M11" s="19" t="n"/>
      <c r="N11" s="285" t="n">
        <v>16076.05</v>
      </c>
      <c r="O11" s="19" t="n"/>
      <c r="P11" s="19" t="n"/>
      <c r="Q11" s="285" t="n">
        <v>12333.56</v>
      </c>
      <c r="R11" s="19" t="n"/>
      <c r="S11" s="19" t="n"/>
      <c r="T11" s="285" t="n">
        <v>3465.98</v>
      </c>
      <c r="U11" s="19" t="n"/>
      <c r="V11" s="19" t="n"/>
      <c r="W11" s="285" t="n">
        <v>276.51</v>
      </c>
      <c r="X11" s="19" t="n"/>
      <c r="Y11" s="19" t="n"/>
      <c r="Z11" s="285" t="n">
        <v>9883.59</v>
      </c>
      <c r="AA11" s="19" t="n"/>
      <c r="AB11" s="19" t="n"/>
      <c r="AC11" s="285" t="n">
        <v>8740.379999999999</v>
      </c>
      <c r="AD11" s="19" t="n"/>
      <c r="AE11" s="19" t="n"/>
      <c r="AF11" s="285" t="n">
        <v>934.72</v>
      </c>
      <c r="AG11" s="19" t="n"/>
      <c r="AH11" s="19" t="n"/>
      <c r="AI11" s="285" t="n">
        <v>208.5</v>
      </c>
      <c r="AJ11" s="19" t="n"/>
      <c r="AK11" s="19" t="n"/>
      <c r="AL11" s="286" t="n">
        <v>81.26000000000001</v>
      </c>
      <c r="AM11" s="19" t="n"/>
      <c r="AN11" s="19" t="n"/>
      <c r="AO11" s="286" t="n">
        <v>80.43000000000001</v>
      </c>
      <c r="AP11" s="19" t="n"/>
      <c r="AQ11" s="19" t="n"/>
      <c r="AR11" s="286" t="n">
        <v>85.06999999999999</v>
      </c>
      <c r="AS11" s="19" t="n"/>
      <c r="AT11" s="19" t="n"/>
      <c r="AU11" s="286" t="n">
        <v>74.01000000000001</v>
      </c>
      <c r="AV11" s="19" t="n"/>
      <c r="AW11" s="19" t="n"/>
      <c r="AX11" s="285" t="n">
        <v>0</v>
      </c>
      <c r="AY11" s="19" t="n"/>
      <c r="AZ11" s="19" t="n"/>
      <c r="BA11" s="287" t="n"/>
      <c r="BB11" s="287" t="n"/>
      <c r="BC11" s="287" t="n"/>
      <c r="BD11" s="287" t="n"/>
      <c r="BE11" s="287" t="n"/>
      <c r="BF11" s="287" t="n"/>
      <c r="BG11" s="287" t="n"/>
      <c r="BH11" s="287" t="n"/>
      <c r="BI11" s="288" t="n"/>
      <c r="BJ11" s="288" t="n"/>
      <c r="BK11" s="288" t="n"/>
      <c r="BL11" s="288" t="n"/>
      <c r="BM11" s="288" t="n"/>
      <c r="BN11" s="288" t="n"/>
      <c r="BO11" s="288" t="n"/>
      <c r="BP11" s="288" t="n"/>
      <c r="BQ11" s="288" t="n"/>
      <c r="BR11" s="288" t="n"/>
      <c r="BS11" s="288" t="n"/>
      <c r="BT11" s="288" t="n"/>
      <c r="BU11" s="288" t="n"/>
      <c r="BV11" s="288" t="n"/>
      <c r="BW11" s="288" t="n"/>
      <c r="BX11" s="288" t="n"/>
      <c r="BY11" s="288" t="n"/>
      <c r="BZ11" s="288" t="n"/>
      <c r="CA11" s="288" t="n"/>
      <c r="CB11" s="288" t="n"/>
      <c r="CC11" s="288" t="n"/>
      <c r="CD11" s="288" t="n"/>
      <c r="CE11" s="288" t="n"/>
      <c r="CF11" s="288" t="n"/>
      <c r="CG11" s="288" t="n"/>
      <c r="CH11" s="288" t="n"/>
      <c r="CI11" s="288" t="n"/>
      <c r="CJ11" s="288" t="n"/>
      <c r="CK11" s="288" t="n"/>
      <c r="CL11" s="288" t="n"/>
      <c r="CM11" s="288" t="n"/>
      <c r="CN11" s="288" t="n"/>
      <c r="CO11" s="288" t="n"/>
      <c r="CP11" s="288" t="n"/>
      <c r="CQ11" s="288" t="n"/>
      <c r="CR11" s="288" t="n"/>
      <c r="CS11" s="288" t="n"/>
      <c r="CT11" s="288" t="n"/>
      <c r="CU11" s="288" t="n"/>
      <c r="CW11" s="288" t="n"/>
      <c r="CX11" s="288" t="n"/>
      <c r="CY11" s="288" t="n"/>
      <c r="CZ11" s="288" t="n"/>
      <c r="DA11" s="288" t="n"/>
      <c r="DB11" s="288" t="n"/>
      <c r="DC11" s="288" t="n"/>
      <c r="DD11" s="288" t="n"/>
      <c r="DE11" s="289" t="n"/>
      <c r="DF11" s="289" t="n"/>
      <c r="DG11" s="79" t="n"/>
    </row>
    <row r="12">
      <c r="A12" s="284" t="n">
        <v>41912</v>
      </c>
      <c r="B12" s="285" t="n">
        <v>17990.68</v>
      </c>
      <c r="C12" s="18" t="n"/>
      <c r="D12" s="18" t="n"/>
      <c r="E12" s="285" t="n">
        <v>13803.26</v>
      </c>
      <c r="F12" s="19" t="n"/>
      <c r="G12" s="19" t="n"/>
      <c r="H12" s="285" t="n">
        <v>3832.22</v>
      </c>
      <c r="I12" s="19" t="n"/>
      <c r="J12" s="19" t="n"/>
      <c r="K12" s="285" t="n">
        <v>355.2</v>
      </c>
      <c r="L12" s="19" t="n"/>
      <c r="M12" s="19" t="n"/>
      <c r="N12" s="285" t="n">
        <v>14216.46</v>
      </c>
      <c r="O12" s="19" t="n"/>
      <c r="P12" s="19" t="n"/>
      <c r="Q12" s="285" t="n">
        <v>10836.77</v>
      </c>
      <c r="R12" s="19" t="n"/>
      <c r="S12" s="19" t="n"/>
      <c r="T12" s="285" t="n">
        <v>3123.42</v>
      </c>
      <c r="U12" s="19" t="n"/>
      <c r="V12" s="19" t="n"/>
      <c r="W12" s="285" t="n">
        <v>256.27</v>
      </c>
      <c r="X12" s="19" t="n"/>
      <c r="Y12" s="19" t="n"/>
      <c r="Z12" s="285" t="n">
        <v>8584.879999999999</v>
      </c>
      <c r="AA12" s="19" t="n"/>
      <c r="AB12" s="19" t="n"/>
      <c r="AC12" s="285" t="n">
        <v>7598.79</v>
      </c>
      <c r="AD12" s="19" t="n"/>
      <c r="AE12" s="19" t="n"/>
      <c r="AF12" s="285" t="n">
        <v>799.38</v>
      </c>
      <c r="AG12" s="19" t="n"/>
      <c r="AH12" s="19" t="n"/>
      <c r="AI12" s="285" t="n">
        <v>186.71</v>
      </c>
      <c r="AJ12" s="19" t="n"/>
      <c r="AK12" s="19" t="n"/>
      <c r="AL12" s="286" t="n">
        <v>79.02</v>
      </c>
      <c r="AM12" s="19" t="n"/>
      <c r="AN12" s="19" t="n"/>
      <c r="AO12" s="286" t="n">
        <v>78.51000000000001</v>
      </c>
      <c r="AP12" s="19" t="n"/>
      <c r="AQ12" s="19" t="n"/>
      <c r="AR12" s="286" t="n">
        <v>81.5</v>
      </c>
      <c r="AS12" s="19" t="n"/>
      <c r="AT12" s="19" t="n"/>
      <c r="AU12" s="286" t="n">
        <v>72.15000000000001</v>
      </c>
      <c r="AV12" s="19" t="n"/>
      <c r="AW12" s="19" t="n"/>
      <c r="AX12" s="285" t="n">
        <v>0</v>
      </c>
      <c r="AY12" s="19" t="n"/>
      <c r="AZ12" s="19" t="n"/>
      <c r="BA12" s="287" t="n"/>
      <c r="BB12" s="287" t="n"/>
      <c r="BC12" s="287" t="n"/>
      <c r="BD12" s="287" t="n"/>
      <c r="BE12" s="287" t="n"/>
      <c r="BF12" s="287" t="n"/>
      <c r="BG12" s="287" t="n"/>
      <c r="BH12" s="287" t="n"/>
      <c r="BI12" s="288" t="n"/>
      <c r="BJ12" s="288" t="n"/>
      <c r="BK12" s="288" t="n"/>
      <c r="BL12" s="288" t="n"/>
      <c r="BM12" s="288" t="n"/>
      <c r="BN12" s="288" t="n"/>
      <c r="BO12" s="288" t="n"/>
      <c r="BP12" s="288" t="n"/>
      <c r="BQ12" s="288" t="n"/>
      <c r="BR12" s="288" t="n"/>
      <c r="BS12" s="288" t="n"/>
      <c r="BT12" s="288" t="n"/>
      <c r="BU12" s="288" t="n"/>
      <c r="BV12" s="288" t="n"/>
      <c r="BW12" s="288" t="n"/>
      <c r="BX12" s="288" t="n"/>
      <c r="BY12" s="288" t="n"/>
      <c r="BZ12" s="288" t="n"/>
      <c r="CA12" s="288" t="n"/>
      <c r="CB12" s="288" t="n"/>
      <c r="CC12" s="288" t="n"/>
      <c r="CD12" s="288" t="n"/>
      <c r="CE12" s="288" t="n"/>
      <c r="CF12" s="288" t="n"/>
      <c r="CG12" s="288" t="n"/>
      <c r="CH12" s="288" t="n"/>
      <c r="CI12" s="288" t="n"/>
      <c r="CJ12" s="288" t="n"/>
      <c r="CK12" s="288" t="n"/>
      <c r="CL12" s="288" t="n"/>
      <c r="CM12" s="288" t="n"/>
      <c r="CN12" s="288" t="n"/>
      <c r="CO12" s="288" t="n"/>
      <c r="CP12" s="288" t="n"/>
      <c r="CQ12" s="288" t="n"/>
      <c r="CR12" s="288" t="n"/>
      <c r="CS12" s="288" t="n"/>
      <c r="CT12" s="288" t="n"/>
      <c r="CU12" s="288" t="n"/>
      <c r="CW12" s="288" t="n"/>
      <c r="CX12" s="288" t="n"/>
      <c r="CY12" s="288" t="n"/>
      <c r="CZ12" s="288" t="n"/>
      <c r="DA12" s="288" t="n"/>
      <c r="DB12" s="288" t="n"/>
      <c r="DC12" s="288" t="n"/>
      <c r="DD12" s="288" t="n"/>
      <c r="DE12" s="289" t="n"/>
      <c r="DF12" s="289" t="n"/>
      <c r="DG12" s="79" t="n"/>
    </row>
    <row r="13">
      <c r="A13" s="284" t="n">
        <v>41943</v>
      </c>
      <c r="B13" s="285" t="n">
        <v>18649.94</v>
      </c>
      <c r="C13" s="18" t="n"/>
      <c r="D13" s="18" t="n"/>
      <c r="E13" s="285" t="n">
        <v>14214.6</v>
      </c>
      <c r="F13" s="19" t="n"/>
      <c r="G13" s="19" t="n"/>
      <c r="H13" s="285" t="n">
        <v>4050.87</v>
      </c>
      <c r="I13" s="19" t="n"/>
      <c r="J13" s="19" t="n"/>
      <c r="K13" s="285" t="n">
        <v>384.47</v>
      </c>
      <c r="L13" s="19" t="n"/>
      <c r="M13" s="19" t="n"/>
      <c r="N13" s="285" t="n">
        <v>14764.03</v>
      </c>
      <c r="O13" s="19" t="n"/>
      <c r="P13" s="19" t="n"/>
      <c r="Q13" s="285" t="n">
        <v>11202.94</v>
      </c>
      <c r="R13" s="19" t="n"/>
      <c r="S13" s="19" t="n"/>
      <c r="T13" s="285" t="n">
        <v>3280.64</v>
      </c>
      <c r="U13" s="19" t="n"/>
      <c r="V13" s="19" t="n"/>
      <c r="W13" s="285" t="n">
        <v>280.45</v>
      </c>
      <c r="X13" s="19" t="n"/>
      <c r="Y13" s="19" t="n"/>
      <c r="Z13" s="285" t="n">
        <v>8964.08</v>
      </c>
      <c r="AA13" s="19" t="n"/>
      <c r="AB13" s="19" t="n"/>
      <c r="AC13" s="285" t="n">
        <v>7914.27</v>
      </c>
      <c r="AD13" s="19" t="n"/>
      <c r="AE13" s="19" t="n"/>
      <c r="AF13" s="285" t="n">
        <v>845.67</v>
      </c>
      <c r="AG13" s="19" t="n"/>
      <c r="AH13" s="19" t="n"/>
      <c r="AI13" s="285" t="n">
        <v>204.14</v>
      </c>
      <c r="AJ13" s="19" t="n"/>
      <c r="AK13" s="19" t="n"/>
      <c r="AL13" s="286" t="n">
        <v>79.16</v>
      </c>
      <c r="AM13" s="19" t="n"/>
      <c r="AN13" s="19" t="n"/>
      <c r="AO13" s="286" t="n">
        <v>78.81</v>
      </c>
      <c r="AP13" s="19" t="n"/>
      <c r="AQ13" s="19" t="n"/>
      <c r="AR13" s="286" t="n">
        <v>80.98999999999999</v>
      </c>
      <c r="AS13" s="19" t="n"/>
      <c r="AT13" s="19" t="n"/>
      <c r="AU13" s="286" t="n">
        <v>72.95</v>
      </c>
      <c r="AV13" s="19" t="n"/>
      <c r="AW13" s="19" t="n"/>
      <c r="AX13" s="285" t="n">
        <v>0</v>
      </c>
      <c r="AY13" s="19" t="n"/>
      <c r="AZ13" s="19" t="n"/>
      <c r="BA13" s="287" t="n"/>
      <c r="BB13" s="287" t="n"/>
      <c r="BC13" s="287" t="n"/>
      <c r="BD13" s="287" t="n"/>
      <c r="BE13" s="287" t="n"/>
      <c r="BF13" s="287" t="n"/>
      <c r="BG13" s="287" t="n"/>
      <c r="BH13" s="287" t="n"/>
      <c r="BI13" s="288" t="n"/>
      <c r="BJ13" s="288" t="n"/>
      <c r="BK13" s="288" t="n"/>
      <c r="BL13" s="288" t="n"/>
      <c r="BM13" s="288" t="n"/>
      <c r="BN13" s="288" t="n"/>
      <c r="BO13" s="288" t="n"/>
      <c r="BP13" s="288" t="n"/>
      <c r="BQ13" s="288" t="n"/>
      <c r="BR13" s="288" t="n"/>
      <c r="BS13" s="288" t="n"/>
      <c r="BT13" s="288" t="n"/>
      <c r="BU13" s="288" t="n"/>
      <c r="BV13" s="288" t="n"/>
      <c r="BW13" s="288" t="n"/>
      <c r="BX13" s="288" t="n"/>
      <c r="BY13" s="288" t="n"/>
      <c r="BZ13" s="288" t="n"/>
      <c r="CA13" s="288" t="n"/>
      <c r="CB13" s="288" t="n"/>
      <c r="CC13" s="288" t="n"/>
      <c r="CD13" s="288" t="n"/>
      <c r="CE13" s="288" t="n"/>
      <c r="CF13" s="288" t="n"/>
      <c r="CG13" s="288" t="n"/>
      <c r="CH13" s="288" t="n"/>
      <c r="CI13" s="288" t="n"/>
      <c r="CJ13" s="288" t="n"/>
      <c r="CK13" s="288" t="n"/>
      <c r="CL13" s="288" t="n"/>
      <c r="CM13" s="288" t="n"/>
      <c r="CN13" s="288" t="n"/>
      <c r="CO13" s="288" t="n"/>
      <c r="CP13" s="288" t="n"/>
      <c r="CQ13" s="288" t="n"/>
      <c r="CR13" s="288" t="n"/>
      <c r="CS13" s="288" t="n"/>
      <c r="CT13" s="288" t="n"/>
      <c r="CU13" s="288" t="n"/>
      <c r="CW13" s="288" t="n"/>
      <c r="CX13" s="288" t="n"/>
      <c r="CY13" s="288" t="n"/>
      <c r="CZ13" s="288" t="n"/>
      <c r="DA13" s="288" t="n"/>
      <c r="DB13" s="288" t="n"/>
      <c r="DC13" s="288" t="n"/>
      <c r="DD13" s="288" t="n"/>
      <c r="DE13" s="289" t="n"/>
      <c r="DF13" s="289" t="n"/>
      <c r="DG13" s="79" t="n"/>
    </row>
    <row r="14">
      <c r="A14" s="284" t="n">
        <v>41973</v>
      </c>
      <c r="B14" s="285" t="n">
        <v>17655.69</v>
      </c>
      <c r="C14" s="18" t="n"/>
      <c r="D14" s="18" t="n"/>
      <c r="E14" s="285" t="n">
        <v>13285.69</v>
      </c>
      <c r="F14" s="19" t="n"/>
      <c r="G14" s="19" t="n"/>
      <c r="H14" s="285" t="n">
        <v>4000.11</v>
      </c>
      <c r="I14" s="19" t="n"/>
      <c r="J14" s="19" t="n"/>
      <c r="K14" s="285" t="n">
        <v>369.89</v>
      </c>
      <c r="L14" s="19" t="n"/>
      <c r="M14" s="19" t="n"/>
      <c r="N14" s="285" t="n">
        <v>14049.27</v>
      </c>
      <c r="O14" s="19" t="n"/>
      <c r="P14" s="19" t="n"/>
      <c r="Q14" s="285" t="n">
        <v>10585.65</v>
      </c>
      <c r="R14" s="19" t="n"/>
      <c r="S14" s="19" t="n"/>
      <c r="T14" s="285" t="n">
        <v>3190.32</v>
      </c>
      <c r="U14" s="19" t="n"/>
      <c r="V14" s="19" t="n"/>
      <c r="W14" s="285" t="n">
        <v>273.31</v>
      </c>
      <c r="X14" s="19" t="n"/>
      <c r="Y14" s="19" t="n"/>
      <c r="Z14" s="285" t="n">
        <v>8318.049999999999</v>
      </c>
      <c r="AA14" s="19" t="n"/>
      <c r="AB14" s="19" t="n"/>
      <c r="AC14" s="285" t="n">
        <v>7315.63</v>
      </c>
      <c r="AD14" s="19" t="n"/>
      <c r="AE14" s="19" t="n"/>
      <c r="AF14" s="285" t="n">
        <v>807.29</v>
      </c>
      <c r="AG14" s="19" t="n"/>
      <c r="AH14" s="19" t="n"/>
      <c r="AI14" s="285" t="n">
        <v>195.13</v>
      </c>
      <c r="AJ14" s="19" t="n"/>
      <c r="AK14" s="19" t="n"/>
      <c r="AL14" s="286" t="n">
        <v>79.56999999999999</v>
      </c>
      <c r="AM14" s="19" t="n"/>
      <c r="AN14" s="19" t="n"/>
      <c r="AO14" s="286" t="n">
        <v>79.68000000000001</v>
      </c>
      <c r="AP14" s="19" t="n"/>
      <c r="AQ14" s="19" t="n"/>
      <c r="AR14" s="286" t="n">
        <v>79.76000000000001</v>
      </c>
      <c r="AS14" s="19" t="n"/>
      <c r="AT14" s="19" t="n"/>
      <c r="AU14" s="286" t="n">
        <v>73.89</v>
      </c>
      <c r="AV14" s="19" t="n"/>
      <c r="AW14" s="19" t="n"/>
      <c r="AX14" s="285" t="n">
        <v>0</v>
      </c>
      <c r="AY14" s="19" t="n"/>
      <c r="AZ14" s="19" t="n"/>
      <c r="BA14" s="287" t="n"/>
      <c r="BB14" s="287" t="n"/>
      <c r="BC14" s="287" t="n"/>
      <c r="BD14" s="287" t="n"/>
      <c r="BE14" s="287" t="n"/>
      <c r="BF14" s="287" t="n"/>
      <c r="BG14" s="287" t="n"/>
      <c r="BH14" s="287" t="n"/>
      <c r="BI14" s="288" t="n"/>
      <c r="BJ14" s="288" t="n"/>
      <c r="BK14" s="288" t="n"/>
      <c r="BL14" s="288" t="n"/>
      <c r="BM14" s="288" t="n"/>
      <c r="BN14" s="288" t="n"/>
      <c r="BO14" s="288" t="n"/>
      <c r="BP14" s="288" t="n"/>
      <c r="BQ14" s="288" t="n"/>
      <c r="BR14" s="288" t="n"/>
      <c r="BS14" s="288" t="n"/>
      <c r="BT14" s="288" t="n"/>
      <c r="BU14" s="288" t="n"/>
      <c r="BV14" s="288" t="n"/>
      <c r="BW14" s="288" t="n"/>
      <c r="BX14" s="288" t="n"/>
      <c r="BY14" s="288" t="n"/>
      <c r="BZ14" s="288" t="n"/>
      <c r="CA14" s="288" t="n"/>
      <c r="CB14" s="288" t="n"/>
      <c r="CC14" s="288" t="n"/>
      <c r="CD14" s="288" t="n"/>
      <c r="CE14" s="288" t="n"/>
      <c r="CF14" s="288" t="n"/>
      <c r="CG14" s="288" t="n"/>
      <c r="CH14" s="288" t="n"/>
      <c r="CI14" s="288" t="n"/>
      <c r="CJ14" s="288" t="n"/>
      <c r="CK14" s="288" t="n"/>
      <c r="CL14" s="288" t="n"/>
      <c r="CM14" s="288" t="n"/>
      <c r="CN14" s="288" t="n"/>
      <c r="CO14" s="288" t="n"/>
      <c r="CP14" s="288" t="n"/>
      <c r="CQ14" s="288" t="n"/>
      <c r="CR14" s="288" t="n"/>
      <c r="CS14" s="288" t="n"/>
      <c r="CT14" s="288" t="n"/>
      <c r="CU14" s="288" t="n"/>
      <c r="CW14" s="288" t="n"/>
      <c r="CX14" s="288" t="n"/>
      <c r="CY14" s="288" t="n"/>
      <c r="CZ14" s="288" t="n"/>
      <c r="DA14" s="288" t="n"/>
      <c r="DB14" s="288" t="n"/>
      <c r="DC14" s="288" t="n"/>
      <c r="DD14" s="288" t="n"/>
      <c r="DE14" s="289" t="n"/>
      <c r="DF14" s="289" t="n"/>
      <c r="DG14" s="79" t="n"/>
    </row>
    <row r="15">
      <c r="A15" s="284" t="n">
        <v>42004</v>
      </c>
      <c r="B15" s="285" t="n">
        <v>18401.96</v>
      </c>
      <c r="C15" s="18" t="n"/>
      <c r="D15" s="18" t="n"/>
      <c r="E15" s="285" t="n">
        <v>13654.17</v>
      </c>
      <c r="F15" s="19" t="n"/>
      <c r="G15" s="19" t="n"/>
      <c r="H15" s="285" t="n">
        <v>4364.99</v>
      </c>
      <c r="I15" s="19" t="n"/>
      <c r="J15" s="19" t="n"/>
      <c r="K15" s="285" t="n">
        <v>382.79</v>
      </c>
      <c r="L15" s="19" t="n"/>
      <c r="M15" s="19" t="n"/>
      <c r="N15" s="285" t="n">
        <v>14322.49</v>
      </c>
      <c r="O15" s="19" t="n"/>
      <c r="P15" s="19" t="n"/>
      <c r="Q15" s="285" t="n">
        <v>10520.59</v>
      </c>
      <c r="R15" s="19" t="n"/>
      <c r="S15" s="19" t="n"/>
      <c r="T15" s="285" t="n">
        <v>3512.69</v>
      </c>
      <c r="U15" s="19" t="n"/>
      <c r="V15" s="19" t="n"/>
      <c r="W15" s="285" t="n">
        <v>289.21</v>
      </c>
      <c r="X15" s="19" t="n"/>
      <c r="Y15" s="19" t="n"/>
      <c r="Z15" s="285" t="n">
        <v>8319.719999999999</v>
      </c>
      <c r="AA15" s="19" t="n"/>
      <c r="AB15" s="19" t="n"/>
      <c r="AC15" s="285" t="n">
        <v>7250.91</v>
      </c>
      <c r="AD15" s="19" t="n"/>
      <c r="AE15" s="19" t="n"/>
      <c r="AF15" s="285" t="n">
        <v>861.03</v>
      </c>
      <c r="AG15" s="19" t="n"/>
      <c r="AH15" s="19" t="n"/>
      <c r="AI15" s="285" t="n">
        <v>207.77</v>
      </c>
      <c r="AJ15" s="19" t="n"/>
      <c r="AK15" s="19" t="n"/>
      <c r="AL15" s="286" t="n">
        <v>77.83</v>
      </c>
      <c r="AM15" s="19" t="n"/>
      <c r="AN15" s="19" t="n"/>
      <c r="AO15" s="286" t="n">
        <v>77.05</v>
      </c>
      <c r="AP15" s="19" t="n"/>
      <c r="AQ15" s="19" t="n"/>
      <c r="AR15" s="286" t="n">
        <v>80.47</v>
      </c>
      <c r="AS15" s="19" t="n"/>
      <c r="AT15" s="19" t="n"/>
      <c r="AU15" s="286" t="n">
        <v>75.55</v>
      </c>
      <c r="AV15" s="19" t="n"/>
      <c r="AW15" s="19" t="n"/>
      <c r="AX15" s="285" t="n">
        <v>0</v>
      </c>
      <c r="AY15" s="19" t="n"/>
      <c r="AZ15" s="19" t="n"/>
      <c r="BA15" s="287" t="n"/>
      <c r="BB15" s="287" t="n"/>
      <c r="BC15" s="287" t="n"/>
      <c r="BD15" s="287" t="n"/>
      <c r="BE15" s="287" t="n"/>
      <c r="BF15" s="287" t="n"/>
      <c r="BG15" s="287" t="n"/>
      <c r="BH15" s="287" t="n"/>
      <c r="BI15" s="288" t="n"/>
      <c r="BJ15" s="288" t="n"/>
      <c r="BK15" s="288" t="n"/>
      <c r="BL15" s="288" t="n"/>
      <c r="BM15" s="288" t="n"/>
      <c r="BN15" s="288" t="n"/>
      <c r="BO15" s="288" t="n"/>
      <c r="BP15" s="288" t="n"/>
      <c r="BQ15" s="288" t="n"/>
      <c r="BR15" s="288" t="n"/>
      <c r="BS15" s="288" t="n"/>
      <c r="BT15" s="288" t="n"/>
      <c r="BU15" s="288" t="n"/>
      <c r="BV15" s="288" t="n"/>
      <c r="BW15" s="288" t="n"/>
      <c r="BX15" s="288" t="n"/>
      <c r="BY15" s="288" t="n"/>
      <c r="BZ15" s="288" t="n"/>
      <c r="CA15" s="288" t="n"/>
      <c r="CB15" s="288" t="n"/>
      <c r="CC15" s="288" t="n"/>
      <c r="CD15" s="288" t="n"/>
      <c r="CE15" s="288" t="n"/>
      <c r="CF15" s="288" t="n"/>
      <c r="CG15" s="288" t="n"/>
      <c r="CH15" s="288" t="n"/>
      <c r="CI15" s="288" t="n"/>
      <c r="CJ15" s="288" t="n"/>
      <c r="CK15" s="288" t="n"/>
      <c r="CL15" s="288" t="n"/>
      <c r="CM15" s="288" t="n"/>
      <c r="CN15" s="288" t="n"/>
      <c r="CO15" s="288" t="n"/>
      <c r="CP15" s="288" t="n"/>
      <c r="CQ15" s="288" t="n"/>
      <c r="CR15" s="288" t="n"/>
      <c r="CS15" s="288" t="n"/>
      <c r="CT15" s="288" t="n"/>
      <c r="CU15" s="288" t="n"/>
      <c r="CW15" s="288" t="n"/>
      <c r="CX15" s="288" t="n"/>
      <c r="CY15" s="288" t="n"/>
      <c r="CZ15" s="288" t="n"/>
      <c r="DA15" s="288" t="n"/>
      <c r="DB15" s="288" t="n"/>
      <c r="DC15" s="288" t="n"/>
      <c r="DD15" s="288" t="n"/>
      <c r="DE15" s="289" t="n"/>
      <c r="DF15" s="289" t="n"/>
      <c r="DG15" s="79" t="n"/>
    </row>
    <row r="16" ht="13" customFormat="1" customHeight="1" s="244">
      <c r="A16" s="280" t="n">
        <v>42035</v>
      </c>
      <c r="B16" s="281" t="n">
        <v>18820.46</v>
      </c>
      <c r="C16" s="15">
        <f>B16/B4-1</f>
        <v/>
      </c>
      <c r="D16" s="15" t="n"/>
      <c r="E16" s="281" t="n">
        <v>13887.41</v>
      </c>
      <c r="F16" s="15">
        <f>E16/E4-1</f>
        <v/>
      </c>
      <c r="G16" s="15" t="n"/>
      <c r="H16" s="281" t="n">
        <v>4545.82</v>
      </c>
      <c r="I16" s="15">
        <f>H16/H4-1</f>
        <v/>
      </c>
      <c r="J16" s="15" t="n"/>
      <c r="K16" s="281" t="n">
        <v>387.23</v>
      </c>
      <c r="L16" s="15">
        <f>K16/K4-1</f>
        <v/>
      </c>
      <c r="M16" s="15" t="n"/>
      <c r="N16" s="281" t="n">
        <v>14741.89</v>
      </c>
      <c r="O16" s="15">
        <f>N16/N4-1</f>
        <v/>
      </c>
      <c r="P16" s="15" t="n"/>
      <c r="Q16" s="281" t="n">
        <v>10853.34</v>
      </c>
      <c r="R16" s="15">
        <f>Q16/Q4-1</f>
        <v/>
      </c>
      <c r="S16" s="15" t="n"/>
      <c r="T16" s="281" t="n">
        <v>3604.97</v>
      </c>
      <c r="U16" s="15">
        <f>T16/T4-1</f>
        <v/>
      </c>
      <c r="V16" s="15" t="n"/>
      <c r="W16" s="281" t="n">
        <v>283.58</v>
      </c>
      <c r="X16" s="15">
        <f>W16/W4-1</f>
        <v/>
      </c>
      <c r="Y16" s="15" t="n"/>
      <c r="Z16" s="281" t="n">
        <v>8378.450000000001</v>
      </c>
      <c r="AA16" s="15">
        <f>Z16/Z4-1</f>
        <v/>
      </c>
      <c r="AB16" s="15" t="n"/>
      <c r="AC16" s="281" t="n">
        <v>7294.68</v>
      </c>
      <c r="AD16" s="15">
        <f>AC16/AC4-1</f>
        <v/>
      </c>
      <c r="AE16" s="15" t="n"/>
      <c r="AF16" s="281" t="n">
        <v>882.14</v>
      </c>
      <c r="AG16" s="15">
        <f>AF16/AF4-1</f>
        <v/>
      </c>
      <c r="AH16" s="15" t="n"/>
      <c r="AI16" s="281" t="n">
        <v>201.62</v>
      </c>
      <c r="AJ16" s="15">
        <f>AI16/AI4-1</f>
        <v/>
      </c>
      <c r="AK16" s="15" t="n"/>
      <c r="AL16" s="282" t="n">
        <v>78.33</v>
      </c>
      <c r="AM16" s="290">
        <f>AL16-AL4</f>
        <v/>
      </c>
      <c r="AN16" s="15" t="n"/>
      <c r="AO16" s="282" t="n">
        <v>78.15000000000001</v>
      </c>
      <c r="AP16" s="290">
        <f>AO16-AO4</f>
        <v/>
      </c>
      <c r="AQ16" s="15" t="n"/>
      <c r="AR16" s="282" t="n">
        <v>79.3</v>
      </c>
      <c r="AS16" s="290">
        <f>AR16-AR4</f>
        <v/>
      </c>
      <c r="AT16" s="15" t="n"/>
      <c r="AU16" s="282" t="n">
        <v>73.23</v>
      </c>
      <c r="AV16" s="290">
        <f>AU16-AU4</f>
        <v/>
      </c>
      <c r="AW16" s="15" t="n"/>
      <c r="AX16" s="281" t="n">
        <v>0</v>
      </c>
      <c r="AY16" s="15">
        <f>AX16/AX4-1</f>
        <v/>
      </c>
      <c r="AZ16" s="15" t="n"/>
      <c r="BA16" s="281" t="n"/>
      <c r="BB16" s="37" t="n"/>
      <c r="BC16" s="281" t="n"/>
      <c r="BD16" s="252" t="n"/>
      <c r="BE16" s="281" t="n"/>
      <c r="BF16" s="252" t="n"/>
      <c r="BG16" s="281" t="n"/>
      <c r="BH16" s="252" t="n"/>
      <c r="BI16" s="281" t="n"/>
      <c r="BJ16" s="252" t="n"/>
      <c r="BK16" s="281" t="n"/>
      <c r="BL16" s="252" t="n"/>
      <c r="BM16" s="281" t="n"/>
      <c r="BN16" s="252" t="n"/>
      <c r="BO16" s="281" t="n"/>
      <c r="BP16" s="281" t="n"/>
      <c r="BQ16" s="252" t="n"/>
      <c r="BR16" s="281" t="n"/>
      <c r="BS16" s="252" t="n"/>
      <c r="BT16" s="281" t="n"/>
      <c r="BU16" s="252" t="n"/>
      <c r="BV16" s="281" t="n"/>
      <c r="BW16" s="252" t="n"/>
      <c r="BX16" s="281" t="n"/>
      <c r="BY16" s="252" t="n"/>
      <c r="BZ16" s="281" t="n"/>
      <c r="CA16" s="252" t="n"/>
      <c r="CB16" s="281" t="n"/>
      <c r="CC16" s="252" t="n"/>
      <c r="CD16" s="281" t="n"/>
      <c r="CE16" s="252" t="n"/>
      <c r="CF16" s="281" t="n"/>
      <c r="CG16" s="281" t="n"/>
      <c r="CH16" s="281" t="n"/>
      <c r="CI16" s="281" t="n"/>
      <c r="CJ16" s="281" t="n"/>
      <c r="CK16" s="281" t="n"/>
      <c r="CL16" s="281" t="n"/>
      <c r="CM16" s="281" t="n"/>
      <c r="CN16" s="281" t="n"/>
      <c r="CO16" s="215" t="n"/>
      <c r="CP16" s="281" t="n"/>
      <c r="CQ16" s="215" t="n"/>
      <c r="CR16" s="281" t="n"/>
      <c r="CS16" s="215" t="n"/>
      <c r="CT16" s="281" t="n"/>
      <c r="CU16" s="215" t="n"/>
      <c r="CW16" s="281" t="n"/>
      <c r="CX16" s="252" t="n"/>
      <c r="CY16" s="281" t="n"/>
      <c r="CZ16" s="252" t="n"/>
      <c r="DA16" s="281" t="n"/>
      <c r="DB16" s="252" t="n"/>
      <c r="DC16" s="281" t="n"/>
      <c r="DD16" s="252" t="n"/>
      <c r="DE16" s="283" t="n"/>
      <c r="DF16" s="283" t="n"/>
    </row>
    <row r="17">
      <c r="A17" s="284" t="n">
        <v>42063</v>
      </c>
      <c r="B17" s="285" t="n">
        <v>18792.86</v>
      </c>
      <c r="C17" s="15">
        <f>B17/B5-1</f>
        <v/>
      </c>
      <c r="D17" s="15" t="n"/>
      <c r="E17" s="285" t="n">
        <v>13933.5</v>
      </c>
      <c r="F17" s="15">
        <f>E17/E5-1</f>
        <v/>
      </c>
      <c r="G17" s="15" t="n"/>
      <c r="H17" s="285" t="n">
        <v>4451.16</v>
      </c>
      <c r="I17" s="15">
        <f>H17/H5-1</f>
        <v/>
      </c>
      <c r="J17" s="15" t="n"/>
      <c r="K17" s="285" t="n">
        <v>408.21</v>
      </c>
      <c r="L17" s="15">
        <f>K17/K5-1</f>
        <v/>
      </c>
      <c r="M17" s="15" t="n"/>
      <c r="N17" s="285" t="n">
        <v>15626.78</v>
      </c>
      <c r="O17" s="15">
        <f>N17/N5-1</f>
        <v/>
      </c>
      <c r="P17" s="15" t="n"/>
      <c r="Q17" s="285" t="n">
        <v>11562.17</v>
      </c>
      <c r="R17" s="15">
        <f>Q17/Q5-1</f>
        <v/>
      </c>
      <c r="S17" s="15" t="n"/>
      <c r="T17" s="285" t="n">
        <v>3755.09</v>
      </c>
      <c r="U17" s="15">
        <f>T17/T5-1</f>
        <v/>
      </c>
      <c r="V17" s="15" t="n"/>
      <c r="W17" s="285" t="n">
        <v>309.52</v>
      </c>
      <c r="X17" s="15">
        <f>W17/W5-1</f>
        <v/>
      </c>
      <c r="Y17" s="15" t="n"/>
      <c r="Z17" s="285" t="n">
        <v>9064.459999999999</v>
      </c>
      <c r="AA17" s="15">
        <f>Z17/Z5-1</f>
        <v/>
      </c>
      <c r="AB17" s="15" t="n"/>
      <c r="AC17" s="285" t="n">
        <v>7841.45</v>
      </c>
      <c r="AD17" s="15">
        <f>AC17/AC5-1</f>
        <v/>
      </c>
      <c r="AE17" s="15" t="n"/>
      <c r="AF17" s="285" t="n">
        <v>995.24</v>
      </c>
      <c r="AG17" s="15">
        <f>AF17/AF5-1</f>
        <v/>
      </c>
      <c r="AH17" s="15" t="n"/>
      <c r="AI17" s="285" t="n">
        <v>227.78</v>
      </c>
      <c r="AJ17" s="15">
        <f>AI17/AI5-1</f>
        <v/>
      </c>
      <c r="AK17" s="15" t="n"/>
      <c r="AL17" s="286" t="n">
        <v>83.15000000000001</v>
      </c>
      <c r="AM17" s="290">
        <f>AL17-AL5</f>
        <v/>
      </c>
      <c r="AN17" s="15" t="n"/>
      <c r="AO17" s="286" t="n">
        <v>82.98</v>
      </c>
      <c r="AP17" s="290">
        <f>AO17-AO5</f>
        <v/>
      </c>
      <c r="AQ17" s="15" t="n"/>
      <c r="AR17" s="286" t="n">
        <v>84.36</v>
      </c>
      <c r="AS17" s="290">
        <f>AR17-AR5</f>
        <v/>
      </c>
      <c r="AT17" s="15" t="n"/>
      <c r="AU17" s="286" t="n">
        <v>75.81999999999999</v>
      </c>
      <c r="AV17" s="290">
        <f>AU17-AU5</f>
        <v/>
      </c>
      <c r="AW17" s="15" t="n"/>
      <c r="AX17" s="285" t="n">
        <v>0</v>
      </c>
      <c r="AY17" s="15">
        <f>AX17/AX5-1</f>
        <v/>
      </c>
      <c r="AZ17" s="15" t="n"/>
      <c r="BA17" s="287" t="n"/>
      <c r="BB17" s="37" t="n"/>
      <c r="BC17" s="287" t="n"/>
      <c r="BD17" s="37" t="n"/>
      <c r="BE17" s="287" t="n"/>
      <c r="BF17" s="37" t="n"/>
      <c r="BG17" s="287" t="n"/>
      <c r="BH17" s="37" t="n"/>
      <c r="BI17" s="288" t="n"/>
      <c r="BJ17" s="37" t="n"/>
      <c r="BK17" s="288" t="n"/>
      <c r="BL17" s="37" t="n"/>
      <c r="BM17" s="288" t="n"/>
      <c r="BN17" s="37" t="n"/>
      <c r="BO17" s="288" t="n"/>
      <c r="BP17" s="288" t="n"/>
      <c r="BQ17" s="37" t="n"/>
      <c r="BR17" s="288" t="n"/>
      <c r="BS17" s="37" t="n"/>
      <c r="BT17" s="288" t="n"/>
      <c r="BU17" s="37" t="n"/>
      <c r="BV17" s="288" t="n"/>
      <c r="BW17" s="37" t="n"/>
      <c r="BX17" s="288" t="n"/>
      <c r="BY17" s="37" t="n"/>
      <c r="BZ17" s="288" t="n"/>
      <c r="CA17" s="37" t="n"/>
      <c r="CB17" s="288" t="n"/>
      <c r="CC17" s="37" t="n"/>
      <c r="CD17" s="288" t="n"/>
      <c r="CE17" s="37" t="n"/>
      <c r="CF17" s="288" t="n"/>
      <c r="CG17" s="291" t="n"/>
      <c r="CH17" s="288" t="n"/>
      <c r="CI17" s="291" t="n"/>
      <c r="CJ17" s="288" t="n"/>
      <c r="CK17" s="291" t="n"/>
      <c r="CL17" s="288" t="n"/>
      <c r="CM17" s="291" t="n"/>
      <c r="CN17" s="288" t="n"/>
      <c r="CO17" s="80" t="n"/>
      <c r="CP17" s="288" t="n"/>
      <c r="CQ17" s="80" t="n"/>
      <c r="CR17" s="288" t="n"/>
      <c r="CS17" s="80" t="n"/>
      <c r="CT17" s="288" t="n"/>
      <c r="CU17" s="80" t="n"/>
      <c r="CW17" s="288" t="n"/>
      <c r="CX17" s="37" t="n"/>
      <c r="CY17" s="288" t="n"/>
      <c r="CZ17" s="37" t="n"/>
      <c r="DA17" s="288" t="n"/>
      <c r="DB17" s="37" t="n"/>
      <c r="DC17" s="288" t="n"/>
      <c r="DD17" s="37" t="n"/>
      <c r="DE17" s="289" t="n"/>
      <c r="DF17" s="289" t="n"/>
      <c r="DG17" s="79" t="n"/>
    </row>
    <row r="18">
      <c r="A18" s="284" t="n">
        <v>42094</v>
      </c>
      <c r="B18" s="285" t="n">
        <v>19442.46</v>
      </c>
      <c r="C18" s="15">
        <f>B18/B6-1</f>
        <v/>
      </c>
      <c r="D18" s="15" t="n"/>
      <c r="E18" s="285" t="n">
        <v>14606.24</v>
      </c>
      <c r="F18" s="15">
        <f>E18/E6-1</f>
        <v/>
      </c>
      <c r="G18" s="15" t="n"/>
      <c r="H18" s="285" t="n">
        <v>4449.68</v>
      </c>
      <c r="I18" s="15">
        <f>H18/H6-1</f>
        <v/>
      </c>
      <c r="J18" s="15" t="n"/>
      <c r="K18" s="285" t="n">
        <v>386.54</v>
      </c>
      <c r="L18" s="15">
        <f>K18/K6-1</f>
        <v/>
      </c>
      <c r="M18" s="15" t="n"/>
      <c r="N18" s="285" t="n">
        <v>16058.79</v>
      </c>
      <c r="O18" s="15">
        <f>N18/N6-1</f>
        <v/>
      </c>
      <c r="P18" s="15" t="n"/>
      <c r="Q18" s="285" t="n">
        <v>12167.7</v>
      </c>
      <c r="R18" s="15">
        <f>Q18/Q6-1</f>
        <v/>
      </c>
      <c r="S18" s="15" t="n"/>
      <c r="T18" s="285" t="n">
        <v>3626.1</v>
      </c>
      <c r="U18" s="15">
        <f>T18/T6-1</f>
        <v/>
      </c>
      <c r="V18" s="15" t="n"/>
      <c r="W18" s="285" t="n">
        <v>264.99</v>
      </c>
      <c r="X18" s="15">
        <f>W18/W6-1</f>
        <v/>
      </c>
      <c r="Y18" s="15" t="n"/>
      <c r="Z18" s="285" t="n">
        <v>9399.42</v>
      </c>
      <c r="AA18" s="15">
        <f>Z18/Z6-1</f>
        <v/>
      </c>
      <c r="AB18" s="15" t="n"/>
      <c r="AC18" s="285" t="n">
        <v>8266.59</v>
      </c>
      <c r="AD18" s="15">
        <f>AC18/AC6-1</f>
        <v/>
      </c>
      <c r="AE18" s="15" t="n"/>
      <c r="AF18" s="285" t="n">
        <v>938.41</v>
      </c>
      <c r="AG18" s="15">
        <f>AF18/AF6-1</f>
        <v/>
      </c>
      <c r="AH18" s="15" t="n"/>
      <c r="AI18" s="285" t="n">
        <v>194.42</v>
      </c>
      <c r="AJ18" s="15">
        <f>AI18/AI6-1</f>
        <v/>
      </c>
      <c r="AK18" s="15" t="n"/>
      <c r="AL18" s="286" t="n">
        <v>82.59999999999999</v>
      </c>
      <c r="AM18" s="290">
        <f>AL18-AL6</f>
        <v/>
      </c>
      <c r="AN18" s="15" t="n"/>
      <c r="AO18" s="286" t="n">
        <v>83.3</v>
      </c>
      <c r="AP18" s="290">
        <f>AO18-AO6</f>
        <v/>
      </c>
      <c r="AQ18" s="15" t="n"/>
      <c r="AR18" s="286" t="n">
        <v>81.48999999999999</v>
      </c>
      <c r="AS18" s="290">
        <f>AR18-AR6</f>
        <v/>
      </c>
      <c r="AT18" s="15" t="n"/>
      <c r="AU18" s="286" t="n">
        <v>68.55</v>
      </c>
      <c r="AV18" s="290">
        <f>AU18-AU6</f>
        <v/>
      </c>
      <c r="AW18" s="15" t="n"/>
      <c r="AX18" s="285" t="n">
        <v>0</v>
      </c>
      <c r="AY18" s="15">
        <f>AX18/AX6-1</f>
        <v/>
      </c>
      <c r="AZ18" s="15" t="n"/>
      <c r="BA18" s="287" t="n"/>
      <c r="BB18" s="37" t="n"/>
      <c r="BC18" s="287" t="n"/>
      <c r="BD18" s="37" t="n"/>
      <c r="BE18" s="287" t="n"/>
      <c r="BF18" s="37" t="n"/>
      <c r="BG18" s="287" t="n"/>
      <c r="BH18" s="37" t="n"/>
      <c r="BI18" s="288" t="n"/>
      <c r="BJ18" s="37" t="n"/>
      <c r="BK18" s="288" t="n"/>
      <c r="BL18" s="37" t="n"/>
      <c r="BM18" s="288" t="n"/>
      <c r="BN18" s="37" t="n"/>
      <c r="BO18" s="288" t="n"/>
      <c r="BP18" s="288" t="n"/>
      <c r="BQ18" s="37" t="n"/>
      <c r="BR18" s="288" t="n"/>
      <c r="BS18" s="37" t="n"/>
      <c r="BT18" s="288" t="n"/>
      <c r="BU18" s="37" t="n"/>
      <c r="BV18" s="288" t="n"/>
      <c r="BW18" s="37" t="n"/>
      <c r="BX18" s="288" t="n"/>
      <c r="BY18" s="37" t="n"/>
      <c r="BZ18" s="288" t="n"/>
      <c r="CA18" s="37" t="n"/>
      <c r="CB18" s="288" t="n"/>
      <c r="CC18" s="37" t="n"/>
      <c r="CD18" s="288" t="n"/>
      <c r="CE18" s="37" t="n"/>
      <c r="CF18" s="288" t="n"/>
      <c r="CG18" s="291" t="n"/>
      <c r="CH18" s="288" t="n"/>
      <c r="CI18" s="291" t="n"/>
      <c r="CJ18" s="288" t="n"/>
      <c r="CK18" s="291" t="n"/>
      <c r="CL18" s="288" t="n"/>
      <c r="CM18" s="291" t="n"/>
      <c r="CN18" s="288" t="n"/>
      <c r="CO18" s="80" t="n"/>
      <c r="CP18" s="288" t="n"/>
      <c r="CQ18" s="80" t="n"/>
      <c r="CR18" s="288" t="n"/>
      <c r="CS18" s="80" t="n"/>
      <c r="CT18" s="288" t="n"/>
      <c r="CU18" s="80" t="n"/>
      <c r="CW18" s="288" t="n"/>
      <c r="CX18" s="37" t="n"/>
      <c r="CY18" s="288" t="n"/>
      <c r="CZ18" s="37" t="n"/>
      <c r="DA18" s="288" t="n"/>
      <c r="DB18" s="37" t="n"/>
      <c r="DC18" s="288" t="n"/>
      <c r="DD18" s="37" t="n"/>
      <c r="DE18" s="289" t="n"/>
      <c r="DF18" s="289" t="n"/>
      <c r="DG18" s="79" t="n"/>
    </row>
    <row r="19">
      <c r="A19" s="284" t="n">
        <v>42124</v>
      </c>
      <c r="B19" s="285" t="n">
        <v>18873.97</v>
      </c>
      <c r="C19" s="15">
        <f>B19/B7-1</f>
        <v/>
      </c>
      <c r="D19" s="15" t="n"/>
      <c r="E19" s="285" t="n">
        <v>14114.25</v>
      </c>
      <c r="F19" s="15">
        <f>E19/E7-1</f>
        <v/>
      </c>
      <c r="G19" s="15" t="n"/>
      <c r="H19" s="285" t="n">
        <v>4347.77</v>
      </c>
      <c r="I19" s="15">
        <f>H19/H7-1</f>
        <v/>
      </c>
      <c r="J19" s="15" t="n"/>
      <c r="K19" s="285" t="n">
        <v>411.96</v>
      </c>
      <c r="L19" s="15">
        <f>K19/K7-1</f>
        <v/>
      </c>
      <c r="M19" s="15" t="n"/>
      <c r="N19" s="285" t="n">
        <v>15457.62</v>
      </c>
      <c r="O19" s="15">
        <f>N19/N7-1</f>
        <v/>
      </c>
      <c r="P19" s="15" t="n"/>
      <c r="Q19" s="285" t="n">
        <v>11573.67</v>
      </c>
      <c r="R19" s="15">
        <f>Q19/Q7-1</f>
        <v/>
      </c>
      <c r="S19" s="15" t="n"/>
      <c r="T19" s="285" t="n">
        <v>3581.64</v>
      </c>
      <c r="U19" s="15">
        <f>T19/T7-1</f>
        <v/>
      </c>
      <c r="V19" s="15" t="n"/>
      <c r="W19" s="285" t="n">
        <v>302.3</v>
      </c>
      <c r="X19" s="15">
        <f>W19/W7-1</f>
        <v/>
      </c>
      <c r="Y19" s="15" t="n"/>
      <c r="Z19" s="285" t="n">
        <v>9264.030000000001</v>
      </c>
      <c r="AA19" s="15">
        <f>Z19/Z7-1</f>
        <v/>
      </c>
      <c r="AB19" s="15" t="n"/>
      <c r="AC19" s="285" t="n">
        <v>8085.25</v>
      </c>
      <c r="AD19" s="15">
        <f>AC19/AC7-1</f>
        <v/>
      </c>
      <c r="AE19" s="15" t="n"/>
      <c r="AF19" s="285" t="n">
        <v>956.38</v>
      </c>
      <c r="AG19" s="15">
        <f>AF19/AF7-1</f>
        <v/>
      </c>
      <c r="AH19" s="15" t="n"/>
      <c r="AI19" s="285" t="n">
        <v>222.4</v>
      </c>
      <c r="AJ19" s="15">
        <f>AI19/AI7-1</f>
        <v/>
      </c>
      <c r="AK19" s="15" t="n"/>
      <c r="AL19" s="286" t="n">
        <v>81.90000000000001</v>
      </c>
      <c r="AM19" s="290">
        <f>AL19-AL7</f>
        <v/>
      </c>
      <c r="AN19" s="15" t="n"/>
      <c r="AO19" s="286" t="n">
        <v>82</v>
      </c>
      <c r="AP19" s="290">
        <f>AO19-AO7</f>
        <v/>
      </c>
      <c r="AQ19" s="15" t="n"/>
      <c r="AR19" s="286" t="n">
        <v>82.38</v>
      </c>
      <c r="AS19" s="290">
        <f>AR19-AR7</f>
        <v/>
      </c>
      <c r="AT19" s="15" t="n"/>
      <c r="AU19" s="286" t="n">
        <v>73.36</v>
      </c>
      <c r="AV19" s="290">
        <f>AU19-AU7</f>
        <v/>
      </c>
      <c r="AW19" s="15" t="n"/>
      <c r="AX19" s="285" t="n">
        <v>0</v>
      </c>
      <c r="AY19" s="15">
        <f>AX19/AX7-1</f>
        <v/>
      </c>
      <c r="AZ19" s="15" t="n"/>
      <c r="BA19" s="287" t="n"/>
      <c r="BB19" s="37" t="n"/>
      <c r="BC19" s="287" t="n"/>
      <c r="BD19" s="37" t="n"/>
      <c r="BE19" s="287" t="n"/>
      <c r="BF19" s="37" t="n"/>
      <c r="BG19" s="287" t="n"/>
      <c r="BH19" s="37" t="n"/>
      <c r="BI19" s="288" t="n"/>
      <c r="BJ19" s="37" t="n"/>
      <c r="BK19" s="288" t="n"/>
      <c r="BL19" s="37" t="n"/>
      <c r="BM19" s="288" t="n"/>
      <c r="BN19" s="37" t="n"/>
      <c r="BO19" s="288" t="n"/>
      <c r="BP19" s="288" t="n"/>
      <c r="BQ19" s="37" t="n"/>
      <c r="BR19" s="288" t="n"/>
      <c r="BS19" s="37" t="n"/>
      <c r="BT19" s="288" t="n"/>
      <c r="BU19" s="37" t="n"/>
      <c r="BV19" s="288" t="n"/>
      <c r="BW19" s="37" t="n"/>
      <c r="BX19" s="288" t="n"/>
      <c r="BY19" s="37" t="n"/>
      <c r="BZ19" s="288" t="n"/>
      <c r="CA19" s="37" t="n"/>
      <c r="CB19" s="288" t="n"/>
      <c r="CC19" s="37" t="n"/>
      <c r="CD19" s="288" t="n"/>
      <c r="CE19" s="37" t="n"/>
      <c r="CF19" s="288" t="n"/>
      <c r="CG19" s="291" t="n"/>
      <c r="CH19" s="288" t="n"/>
      <c r="CI19" s="291" t="n"/>
      <c r="CJ19" s="288" t="n"/>
      <c r="CK19" s="291" t="n"/>
      <c r="CL19" s="288" t="n"/>
      <c r="CM19" s="291" t="n"/>
      <c r="CN19" s="288" t="n"/>
      <c r="CO19" s="80" t="n"/>
      <c r="CP19" s="288" t="n"/>
      <c r="CQ19" s="80" t="n"/>
      <c r="CR19" s="288" t="n"/>
      <c r="CS19" s="80" t="n"/>
      <c r="CT19" s="288" t="n"/>
      <c r="CU19" s="80" t="n"/>
      <c r="CW19" s="288" t="n"/>
      <c r="CX19" s="37" t="n"/>
      <c r="CY19" s="288" t="n"/>
      <c r="CZ19" s="37" t="n"/>
      <c r="DA19" s="288" t="n"/>
      <c r="DB19" s="37" t="n"/>
      <c r="DC19" s="288" t="n"/>
      <c r="DD19" s="37" t="n"/>
      <c r="DE19" s="289" t="n"/>
      <c r="DF19" s="289" t="n"/>
      <c r="DG19" s="79" t="n"/>
    </row>
    <row r="20">
      <c r="A20" s="284" t="n">
        <v>42155</v>
      </c>
      <c r="B20" s="285" t="n">
        <v>18616.95</v>
      </c>
      <c r="C20" s="15">
        <f>B20/B8-1</f>
        <v/>
      </c>
      <c r="D20" s="15" t="n"/>
      <c r="E20" s="285" t="n">
        <v>13655.86</v>
      </c>
      <c r="F20" s="15">
        <f>E20/E8-1</f>
        <v/>
      </c>
      <c r="G20" s="15" t="n"/>
      <c r="H20" s="285" t="n">
        <v>4546.76</v>
      </c>
      <c r="I20" s="15">
        <f>H20/H8-1</f>
        <v/>
      </c>
      <c r="J20" s="15" t="n"/>
      <c r="K20" s="285" t="n">
        <v>414.33</v>
      </c>
      <c r="L20" s="15">
        <f>K20/K8-1</f>
        <v/>
      </c>
      <c r="M20" s="15" t="n"/>
      <c r="N20" s="285" t="n">
        <v>14776.7</v>
      </c>
      <c r="O20" s="15">
        <f>N20/N8-1</f>
        <v/>
      </c>
      <c r="P20" s="15" t="n"/>
      <c r="Q20" s="285" t="n">
        <v>10897.48</v>
      </c>
      <c r="R20" s="15">
        <f>Q20/Q8-1</f>
        <v/>
      </c>
      <c r="S20" s="15" t="n"/>
      <c r="T20" s="285" t="n">
        <v>3570.61</v>
      </c>
      <c r="U20" s="15">
        <f>T20/T8-1</f>
        <v/>
      </c>
      <c r="V20" s="15" t="n"/>
      <c r="W20" s="285" t="n">
        <v>308.61</v>
      </c>
      <c r="X20" s="15">
        <f>W20/W8-1</f>
        <v/>
      </c>
      <c r="Y20" s="15" t="n"/>
      <c r="Z20" s="285" t="n">
        <v>8778.35</v>
      </c>
      <c r="AA20" s="15">
        <f>Z20/Z8-1</f>
        <v/>
      </c>
      <c r="AB20" s="15" t="n"/>
      <c r="AC20" s="285" t="n">
        <v>7603.02</v>
      </c>
      <c r="AD20" s="15">
        <f>AC20/AC8-1</f>
        <v/>
      </c>
      <c r="AE20" s="15" t="n"/>
      <c r="AF20" s="285" t="n">
        <v>952.4</v>
      </c>
      <c r="AG20" s="15">
        <f>AF20/AF8-1</f>
        <v/>
      </c>
      <c r="AH20" s="15" t="n"/>
      <c r="AI20" s="285" t="n">
        <v>222.94</v>
      </c>
      <c r="AJ20" s="15">
        <f>AI20/AI8-1</f>
        <v/>
      </c>
      <c r="AK20" s="15" t="n"/>
      <c r="AL20" s="286" t="n">
        <v>79.37</v>
      </c>
      <c r="AM20" s="290">
        <f>AL20-AL8</f>
        <v/>
      </c>
      <c r="AN20" s="15" t="n"/>
      <c r="AO20" s="286" t="n">
        <v>79.8</v>
      </c>
      <c r="AP20" s="290">
        <f>AO20-AO8</f>
        <v/>
      </c>
      <c r="AQ20" s="15" t="n"/>
      <c r="AR20" s="286" t="n">
        <v>78.53</v>
      </c>
      <c r="AS20" s="290">
        <f>AR20-AR8</f>
        <v/>
      </c>
      <c r="AT20" s="15" t="n"/>
      <c r="AU20" s="286" t="n">
        <v>74.48999999999999</v>
      </c>
      <c r="AV20" s="290">
        <f>AU20-AU8</f>
        <v/>
      </c>
      <c r="AW20" s="15" t="n"/>
      <c r="AX20" s="285" t="n">
        <v>0</v>
      </c>
      <c r="AY20" s="15">
        <f>AX20/AX8-1</f>
        <v/>
      </c>
      <c r="AZ20" s="15" t="n"/>
      <c r="BA20" s="287" t="n"/>
      <c r="BB20" s="37" t="n"/>
      <c r="BC20" s="287" t="n"/>
      <c r="BD20" s="37" t="n"/>
      <c r="BE20" s="287" t="n"/>
      <c r="BF20" s="37" t="n"/>
      <c r="BG20" s="287" t="n"/>
      <c r="BH20" s="37" t="n"/>
      <c r="BI20" s="288" t="n"/>
      <c r="BJ20" s="37" t="n"/>
      <c r="BK20" s="288" t="n"/>
      <c r="BL20" s="37" t="n"/>
      <c r="BM20" s="288" t="n"/>
      <c r="BN20" s="37" t="n"/>
      <c r="BO20" s="288" t="n"/>
      <c r="BP20" s="288" t="n"/>
      <c r="BQ20" s="37" t="n"/>
      <c r="BR20" s="288" t="n"/>
      <c r="BS20" s="37" t="n"/>
      <c r="BT20" s="288" t="n"/>
      <c r="BU20" s="37" t="n"/>
      <c r="BV20" s="288" t="n"/>
      <c r="BW20" s="37" t="n"/>
      <c r="BX20" s="288" t="n"/>
      <c r="BY20" s="37" t="n"/>
      <c r="BZ20" s="288" t="n"/>
      <c r="CA20" s="37" t="n"/>
      <c r="CB20" s="288" t="n"/>
      <c r="CC20" s="37" t="n"/>
      <c r="CD20" s="288" t="n"/>
      <c r="CE20" s="37" t="n"/>
      <c r="CF20" s="288" t="n"/>
      <c r="CG20" s="291" t="n"/>
      <c r="CH20" s="288" t="n"/>
      <c r="CI20" s="291" t="n"/>
      <c r="CJ20" s="288" t="n"/>
      <c r="CK20" s="291" t="n"/>
      <c r="CL20" s="288" t="n"/>
      <c r="CM20" s="291" t="n"/>
      <c r="CN20" s="288" t="n"/>
      <c r="CO20" s="80" t="n"/>
      <c r="CP20" s="288" t="n"/>
      <c r="CQ20" s="80" t="n"/>
      <c r="CR20" s="288" t="n"/>
      <c r="CS20" s="80" t="n"/>
      <c r="CT20" s="288" t="n"/>
      <c r="CU20" s="80" t="n"/>
      <c r="CW20" s="288" t="n"/>
      <c r="CX20" s="37" t="n"/>
      <c r="CY20" s="288" t="n"/>
      <c r="CZ20" s="37" t="n"/>
      <c r="DA20" s="288" t="n"/>
      <c r="DB20" s="37" t="n"/>
      <c r="DC20" s="288" t="n"/>
      <c r="DD20" s="37" t="n"/>
      <c r="DE20" s="289" t="n"/>
      <c r="DF20" s="289" t="n"/>
      <c r="DG20" s="79" t="n"/>
    </row>
    <row r="21">
      <c r="A21" s="284" t="n">
        <v>42185</v>
      </c>
      <c r="B21" s="285" t="n">
        <v>18388.6</v>
      </c>
      <c r="C21" s="15">
        <f>B21/B9-1</f>
        <v/>
      </c>
      <c r="D21" s="15" t="n"/>
      <c r="E21" s="285" t="n">
        <v>13550.01</v>
      </c>
      <c r="F21" s="15">
        <f>E21/E9-1</f>
        <v/>
      </c>
      <c r="G21" s="15" t="n"/>
      <c r="H21" s="285" t="n">
        <v>4452.39</v>
      </c>
      <c r="I21" s="15">
        <f>H21/H9-1</f>
        <v/>
      </c>
      <c r="J21" s="15" t="n"/>
      <c r="K21" s="285" t="n">
        <v>386.2</v>
      </c>
      <c r="L21" s="15">
        <f>K21/K9-1</f>
        <v/>
      </c>
      <c r="M21" s="15" t="n"/>
      <c r="N21" s="285" t="n">
        <v>14669.74</v>
      </c>
      <c r="O21" s="15">
        <f>N21/N9-1</f>
        <v/>
      </c>
      <c r="P21" s="15" t="n"/>
      <c r="Q21" s="285" t="n">
        <v>10859.87</v>
      </c>
      <c r="R21" s="15">
        <f>Q21/Q9-1</f>
        <v/>
      </c>
      <c r="S21" s="15" t="n"/>
      <c r="T21" s="285" t="n">
        <v>3531.98</v>
      </c>
      <c r="U21" s="15">
        <f>T21/T9-1</f>
        <v/>
      </c>
      <c r="V21" s="15" t="n"/>
      <c r="W21" s="285" t="n">
        <v>277.89</v>
      </c>
      <c r="X21" s="15">
        <f>W21/W9-1</f>
        <v/>
      </c>
      <c r="Y21" s="15" t="n"/>
      <c r="Z21" s="285" t="n">
        <v>8593.5</v>
      </c>
      <c r="AA21" s="15">
        <f>Z21/Z9-1</f>
        <v/>
      </c>
      <c r="AB21" s="15" t="n"/>
      <c r="AC21" s="285" t="n">
        <v>7532.16</v>
      </c>
      <c r="AD21" s="15">
        <f>AC21/AC9-1</f>
        <v/>
      </c>
      <c r="AE21" s="15" t="n"/>
      <c r="AF21" s="285" t="n">
        <v>857.25</v>
      </c>
      <c r="AG21" s="15">
        <f>AF21/AF9-1</f>
        <v/>
      </c>
      <c r="AH21" s="15" t="n"/>
      <c r="AI21" s="285" t="n">
        <v>204.1</v>
      </c>
      <c r="AJ21" s="15">
        <f>AI21/AI9-1</f>
        <v/>
      </c>
      <c r="AK21" s="15" t="n"/>
      <c r="AL21" s="286" t="n">
        <v>79.78</v>
      </c>
      <c r="AM21" s="290">
        <f>AL21-AL9</f>
        <v/>
      </c>
      <c r="AN21" s="15" t="n"/>
      <c r="AO21" s="286" t="n">
        <v>80.15000000000001</v>
      </c>
      <c r="AP21" s="290">
        <f>AO21-AO9</f>
        <v/>
      </c>
      <c r="AQ21" s="15" t="n"/>
      <c r="AR21" s="286" t="n">
        <v>79.33</v>
      </c>
      <c r="AS21" s="290">
        <f>AR21-AR9</f>
        <v/>
      </c>
      <c r="AT21" s="15" t="n"/>
      <c r="AU21" s="286" t="n">
        <v>71.95</v>
      </c>
      <c r="AV21" s="290">
        <f>AU21-AU9</f>
        <v/>
      </c>
      <c r="AW21" s="15" t="n"/>
      <c r="AX21" s="285" t="n">
        <v>0</v>
      </c>
      <c r="AY21" s="15">
        <f>AX21/AX9-1</f>
        <v/>
      </c>
      <c r="AZ21" s="15" t="n"/>
      <c r="BA21" s="287" t="n"/>
      <c r="BB21" s="37" t="n"/>
      <c r="BC21" s="287" t="n"/>
      <c r="BD21" s="37" t="n"/>
      <c r="BE21" s="287" t="n"/>
      <c r="BF21" s="37" t="n"/>
      <c r="BG21" s="287" t="n"/>
      <c r="BH21" s="37" t="n"/>
      <c r="BI21" s="288" t="n"/>
      <c r="BJ21" s="37" t="n"/>
      <c r="BK21" s="288" t="n"/>
      <c r="BL21" s="37" t="n"/>
      <c r="BM21" s="288" t="n"/>
      <c r="BN21" s="37" t="n"/>
      <c r="BO21" s="288" t="n"/>
      <c r="BP21" s="288" t="n"/>
      <c r="BQ21" s="37" t="n"/>
      <c r="BR21" s="288" t="n"/>
      <c r="BS21" s="37" t="n"/>
      <c r="BT21" s="288" t="n"/>
      <c r="BU21" s="37" t="n"/>
      <c r="BV21" s="288" t="n"/>
      <c r="BW21" s="37" t="n"/>
      <c r="BX21" s="288" t="n"/>
      <c r="BY21" s="37" t="n"/>
      <c r="BZ21" s="288" t="n"/>
      <c r="CA21" s="37" t="n"/>
      <c r="CB21" s="288" t="n"/>
      <c r="CC21" s="37" t="n"/>
      <c r="CD21" s="288" t="n"/>
      <c r="CE21" s="37" t="n"/>
      <c r="CF21" s="288" t="n"/>
      <c r="CG21" s="291" t="n"/>
      <c r="CH21" s="288" t="n"/>
      <c r="CI21" s="291" t="n"/>
      <c r="CJ21" s="288" t="n"/>
      <c r="CK21" s="291" t="n"/>
      <c r="CL21" s="288" t="n"/>
      <c r="CM21" s="291" t="n"/>
      <c r="CN21" s="288" t="n"/>
      <c r="CO21" s="80" t="n"/>
      <c r="CP21" s="288" t="n"/>
      <c r="CQ21" s="80" t="n"/>
      <c r="CR21" s="288" t="n"/>
      <c r="CS21" s="80" t="n"/>
      <c r="CT21" s="288" t="n"/>
      <c r="CU21" s="80" t="n"/>
      <c r="CW21" s="288" t="n"/>
      <c r="CX21" s="37" t="n"/>
      <c r="CY21" s="288" t="n"/>
      <c r="CZ21" s="37" t="n"/>
      <c r="DA21" s="288" t="n"/>
      <c r="DB21" s="37" t="n"/>
      <c r="DC21" s="288" t="n"/>
      <c r="DD21" s="37" t="n"/>
      <c r="DE21" s="289" t="n"/>
      <c r="DF21" s="289" t="n"/>
      <c r="DG21" s="79" t="n"/>
    </row>
    <row r="22">
      <c r="A22" s="284" t="n">
        <v>42216</v>
      </c>
      <c r="B22" s="285" t="n">
        <v>21249.13</v>
      </c>
      <c r="C22" s="15">
        <f>B22/B10-1</f>
        <v/>
      </c>
      <c r="D22" s="15" t="n"/>
      <c r="E22" s="285" t="n">
        <v>15707.61</v>
      </c>
      <c r="F22" s="15">
        <f>E22/E10-1</f>
        <v/>
      </c>
      <c r="G22" s="15" t="n"/>
      <c r="H22" s="285" t="n">
        <v>5136.76</v>
      </c>
      <c r="I22" s="15">
        <f>H22/H10-1</f>
        <v/>
      </c>
      <c r="J22" s="15" t="n"/>
      <c r="K22" s="285" t="n">
        <v>404.76</v>
      </c>
      <c r="L22" s="15">
        <f>K22/K10-1</f>
        <v/>
      </c>
      <c r="M22" s="15" t="n"/>
      <c r="N22" s="285" t="n">
        <v>17218</v>
      </c>
      <c r="O22" s="15">
        <f>N22/N10-1</f>
        <v/>
      </c>
      <c r="P22" s="15" t="n"/>
      <c r="Q22" s="285" t="n">
        <v>12662.23</v>
      </c>
      <c r="R22" s="15">
        <f>Q22/Q10-1</f>
        <v/>
      </c>
      <c r="S22" s="15" t="n"/>
      <c r="T22" s="285" t="n">
        <v>4248.13</v>
      </c>
      <c r="U22" s="15">
        <f>T22/T10-1</f>
        <v/>
      </c>
      <c r="V22" s="15" t="n"/>
      <c r="W22" s="285" t="n">
        <v>307.64</v>
      </c>
      <c r="X22" s="15">
        <f>W22/W10-1</f>
        <v/>
      </c>
      <c r="Y22" s="15" t="n"/>
      <c r="Z22" s="285" t="n">
        <v>9950.23</v>
      </c>
      <c r="AA22" s="15">
        <f>Z22/Z10-1</f>
        <v/>
      </c>
      <c r="AB22" s="15" t="n"/>
      <c r="AC22" s="285" t="n">
        <v>8714.870000000001</v>
      </c>
      <c r="AD22" s="15">
        <f>AC22/AC10-1</f>
        <v/>
      </c>
      <c r="AE22" s="15" t="n"/>
      <c r="AF22" s="285" t="n">
        <v>1009.28</v>
      </c>
      <c r="AG22" s="15">
        <f>AF22/AF10-1</f>
        <v/>
      </c>
      <c r="AH22" s="15" t="n"/>
      <c r="AI22" s="285" t="n">
        <v>226.08</v>
      </c>
      <c r="AJ22" s="15">
        <f>AI22/AI10-1</f>
        <v/>
      </c>
      <c r="AK22" s="15" t="n"/>
      <c r="AL22" s="286" t="n">
        <v>81.03</v>
      </c>
      <c r="AM22" s="290">
        <f>AL22-AL10</f>
        <v/>
      </c>
      <c r="AN22" s="15" t="n"/>
      <c r="AO22" s="286" t="n">
        <v>80.61</v>
      </c>
      <c r="AP22" s="290">
        <f>AO22-AO10</f>
        <v/>
      </c>
      <c r="AQ22" s="15" t="n"/>
      <c r="AR22" s="286" t="n">
        <v>82.7</v>
      </c>
      <c r="AS22" s="290">
        <f>AR22-AR10</f>
        <v/>
      </c>
      <c r="AT22" s="15" t="n"/>
      <c r="AU22" s="286" t="n">
        <v>76</v>
      </c>
      <c r="AV22" s="290">
        <f>AU22-AU10</f>
        <v/>
      </c>
      <c r="AW22" s="15" t="n"/>
      <c r="AX22" s="285" t="n">
        <v>0</v>
      </c>
      <c r="AY22" s="15">
        <f>AX22/AX10-1</f>
        <v/>
      </c>
      <c r="AZ22" s="15" t="n"/>
      <c r="BA22" s="287" t="n"/>
      <c r="BB22" s="37" t="n"/>
      <c r="BC22" s="287" t="n"/>
      <c r="BD22" s="37" t="n"/>
      <c r="BE22" s="287" t="n"/>
      <c r="BF22" s="37" t="n"/>
      <c r="BG22" s="287" t="n"/>
      <c r="BH22" s="37" t="n"/>
      <c r="BI22" s="288" t="n"/>
      <c r="BJ22" s="37" t="n"/>
      <c r="BK22" s="288" t="n"/>
      <c r="BL22" s="37" t="n"/>
      <c r="BM22" s="288" t="n"/>
      <c r="BN22" s="37" t="n"/>
      <c r="BO22" s="288" t="n"/>
      <c r="BP22" s="288" t="n"/>
      <c r="BQ22" s="37" t="n"/>
      <c r="BR22" s="288" t="n"/>
      <c r="BS22" s="37" t="n"/>
      <c r="BT22" s="288" t="n"/>
      <c r="BU22" s="37" t="n"/>
      <c r="BV22" s="288" t="n"/>
      <c r="BW22" s="37" t="n"/>
      <c r="BX22" s="288" t="n"/>
      <c r="BY22" s="37" t="n"/>
      <c r="BZ22" s="288" t="n"/>
      <c r="CA22" s="37" t="n"/>
      <c r="CB22" s="288" t="n"/>
      <c r="CC22" s="37" t="n"/>
      <c r="CD22" s="288" t="n"/>
      <c r="CE22" s="37" t="n"/>
      <c r="CF22" s="288" t="n"/>
      <c r="CG22" s="291" t="n"/>
      <c r="CH22" s="288" t="n"/>
      <c r="CI22" s="291" t="n"/>
      <c r="CJ22" s="288" t="n"/>
      <c r="CK22" s="291" t="n"/>
      <c r="CL22" s="288" t="n"/>
      <c r="CM22" s="291" t="n"/>
      <c r="CN22" s="288" t="n"/>
      <c r="CO22" s="80" t="n"/>
      <c r="CP22" s="288" t="n"/>
      <c r="CQ22" s="80" t="n"/>
      <c r="CR22" s="288" t="n"/>
      <c r="CS22" s="80" t="n"/>
      <c r="CT22" s="288" t="n"/>
      <c r="CU22" s="80" t="n"/>
      <c r="CW22" s="288" t="n"/>
      <c r="CX22" s="37" t="n"/>
      <c r="CY22" s="288" t="n"/>
      <c r="CZ22" s="37" t="n"/>
      <c r="DA22" s="288" t="n"/>
      <c r="DB22" s="37" t="n"/>
      <c r="DC22" s="288" t="n"/>
      <c r="DD22" s="37" t="n"/>
      <c r="DE22" s="289" t="n"/>
      <c r="DF22" s="289" t="n"/>
      <c r="DG22" s="79" t="n"/>
    </row>
    <row r="23">
      <c r="A23" s="284" t="n">
        <v>42247</v>
      </c>
      <c r="B23" s="285" t="n">
        <v>21962.61</v>
      </c>
      <c r="C23" s="15">
        <f>B23/B11-1</f>
        <v/>
      </c>
      <c r="D23" s="15" t="n"/>
      <c r="E23" s="285" t="n">
        <v>16183.57</v>
      </c>
      <c r="F23" s="15">
        <f>E23/E11-1</f>
        <v/>
      </c>
      <c r="G23" s="15" t="n"/>
      <c r="H23" s="285" t="n">
        <v>5385.08</v>
      </c>
      <c r="I23" s="15">
        <f>H23/H11-1</f>
        <v/>
      </c>
      <c r="J23" s="15" t="n"/>
      <c r="K23" s="285" t="n">
        <v>393.96</v>
      </c>
      <c r="L23" s="15">
        <f>K23/K11-1</f>
        <v/>
      </c>
      <c r="M23" s="15" t="n"/>
      <c r="N23" s="285" t="n">
        <v>18307.48</v>
      </c>
      <c r="O23" s="15">
        <f>N23/N11-1</f>
        <v/>
      </c>
      <c r="P23" s="15" t="n"/>
      <c r="Q23" s="285" t="n">
        <v>13342.86</v>
      </c>
      <c r="R23" s="15">
        <f>Q23/Q11-1</f>
        <v/>
      </c>
      <c r="S23" s="15" t="n"/>
      <c r="T23" s="285" t="n">
        <v>4646.42</v>
      </c>
      <c r="U23" s="15">
        <f>T23/T11-1</f>
        <v/>
      </c>
      <c r="V23" s="15" t="n"/>
      <c r="W23" s="285" t="n">
        <v>318.2</v>
      </c>
      <c r="X23" s="15">
        <f>W23/W11-1</f>
        <v/>
      </c>
      <c r="Y23" s="15" t="n"/>
      <c r="Z23" s="285" t="n">
        <v>10568.26</v>
      </c>
      <c r="AA23" s="15">
        <f>Z23/Z11-1</f>
        <v/>
      </c>
      <c r="AB23" s="15" t="n"/>
      <c r="AC23" s="285" t="n">
        <v>9196.370000000001</v>
      </c>
      <c r="AD23" s="15">
        <f>AC23/AC11-1</f>
        <v/>
      </c>
      <c r="AE23" s="15" t="n"/>
      <c r="AF23" s="285" t="n">
        <v>1137.01</v>
      </c>
      <c r="AG23" s="15">
        <f>AF23/AF11-1</f>
        <v/>
      </c>
      <c r="AH23" s="15" t="n"/>
      <c r="AI23" s="285" t="n">
        <v>234.89</v>
      </c>
      <c r="AJ23" s="15">
        <f>AI23/AI11-1</f>
        <v/>
      </c>
      <c r="AK23" s="15" t="n"/>
      <c r="AL23" s="286" t="n">
        <v>83.36</v>
      </c>
      <c r="AM23" s="290">
        <f>AL23-AL11</f>
        <v/>
      </c>
      <c r="AN23" s="15" t="n"/>
      <c r="AO23" s="286" t="n">
        <v>82.45</v>
      </c>
      <c r="AP23" s="290">
        <f>AO23-AO11</f>
        <v/>
      </c>
      <c r="AQ23" s="15" t="n"/>
      <c r="AR23" s="286" t="n">
        <v>86.28</v>
      </c>
      <c r="AS23" s="290">
        <f>AR23-AR11</f>
        <v/>
      </c>
      <c r="AT23" s="15" t="n"/>
      <c r="AU23" s="286" t="n">
        <v>80.77</v>
      </c>
      <c r="AV23" s="290">
        <f>AU23-AU11</f>
        <v/>
      </c>
      <c r="AW23" s="15" t="n"/>
      <c r="AX23" s="285" t="n">
        <v>0</v>
      </c>
      <c r="AY23" s="15">
        <f>AX23/AX11-1</f>
        <v/>
      </c>
      <c r="AZ23" s="15" t="n"/>
      <c r="BA23" s="287" t="n"/>
      <c r="BB23" s="37" t="n"/>
      <c r="BC23" s="287" t="n"/>
      <c r="BD23" s="37" t="n"/>
      <c r="BE23" s="287" t="n"/>
      <c r="BF23" s="37" t="n"/>
      <c r="BG23" s="287" t="n"/>
      <c r="BH23" s="37" t="n"/>
      <c r="BI23" s="288" t="n"/>
      <c r="BJ23" s="37" t="n"/>
      <c r="BK23" s="288" t="n"/>
      <c r="BL23" s="37" t="n"/>
      <c r="BM23" s="288" t="n"/>
      <c r="BN23" s="37" t="n"/>
      <c r="BO23" s="288" t="n"/>
      <c r="BP23" s="288" t="n"/>
      <c r="BQ23" s="37" t="n"/>
      <c r="BR23" s="288" t="n"/>
      <c r="BS23" s="37" t="n"/>
      <c r="BT23" s="288" t="n"/>
      <c r="BU23" s="37" t="n"/>
      <c r="BV23" s="288" t="n"/>
      <c r="BW23" s="37" t="n"/>
      <c r="BX23" s="288" t="n"/>
      <c r="BY23" s="37" t="n"/>
      <c r="BZ23" s="288" t="n"/>
      <c r="CA23" s="37" t="n"/>
      <c r="CB23" s="288" t="n"/>
      <c r="CC23" s="37" t="n"/>
      <c r="CD23" s="288" t="n"/>
      <c r="CE23" s="37" t="n"/>
      <c r="CF23" s="288" t="n"/>
      <c r="CG23" s="291" t="n"/>
      <c r="CH23" s="288" t="n"/>
      <c r="CI23" s="291" t="n"/>
      <c r="CJ23" s="288" t="n"/>
      <c r="CK23" s="291" t="n"/>
      <c r="CL23" s="288" t="n"/>
      <c r="CM23" s="291" t="n"/>
      <c r="CN23" s="288" t="n"/>
      <c r="CO23" s="80" t="n"/>
      <c r="CP23" s="288" t="n"/>
      <c r="CQ23" s="80" t="n"/>
      <c r="CR23" s="288" t="n"/>
      <c r="CS23" s="80" t="n"/>
      <c r="CT23" s="288" t="n"/>
      <c r="CU23" s="80" t="n"/>
      <c r="CW23" s="288" t="n"/>
      <c r="CX23" s="37" t="n"/>
      <c r="CY23" s="288" t="n"/>
      <c r="CZ23" s="37" t="n"/>
      <c r="DA23" s="288" t="n"/>
      <c r="DB23" s="37" t="n"/>
      <c r="DC23" s="288" t="n"/>
      <c r="DD23" s="37" t="n"/>
      <c r="DE23" s="289" t="n"/>
      <c r="DF23" s="289" t="n"/>
      <c r="DG23" s="79" t="n"/>
    </row>
    <row r="24">
      <c r="A24" s="284" t="n">
        <v>42277</v>
      </c>
      <c r="B24" s="285" t="n">
        <v>20289.57</v>
      </c>
      <c r="C24" s="15">
        <f>B24/B12-1</f>
        <v/>
      </c>
      <c r="D24" s="15" t="n"/>
      <c r="E24" s="285" t="n">
        <v>14743.83</v>
      </c>
      <c r="F24" s="15">
        <f>E24/E12-1</f>
        <v/>
      </c>
      <c r="G24" s="15" t="n"/>
      <c r="H24" s="285" t="n">
        <v>5154.51</v>
      </c>
      <c r="I24" s="15">
        <f>H24/H12-1</f>
        <v/>
      </c>
      <c r="J24" s="15" t="n"/>
      <c r="K24" s="285" t="n">
        <v>391.24</v>
      </c>
      <c r="L24" s="15">
        <f>K24/K12-1</f>
        <v/>
      </c>
      <c r="M24" s="15" t="n"/>
      <c r="N24" s="285" t="n">
        <v>16108.23</v>
      </c>
      <c r="O24" s="15">
        <f>N24/N12-1</f>
        <v/>
      </c>
      <c r="P24" s="15" t="n"/>
      <c r="Q24" s="285" t="n">
        <v>11753.86</v>
      </c>
      <c r="R24" s="15">
        <f>Q24/Q12-1</f>
        <v/>
      </c>
      <c r="S24" s="15" t="n"/>
      <c r="T24" s="285" t="n">
        <v>4067.12</v>
      </c>
      <c r="U24" s="15">
        <f>T24/T12-1</f>
        <v/>
      </c>
      <c r="V24" s="15" t="n"/>
      <c r="W24" s="285" t="n">
        <v>287.25</v>
      </c>
      <c r="X24" s="15">
        <f>W24/W12-1</f>
        <v/>
      </c>
      <c r="Y24" s="15" t="n"/>
      <c r="Z24" s="285" t="n">
        <v>9193.450000000001</v>
      </c>
      <c r="AA24" s="15">
        <f>Z24/Z12-1</f>
        <v/>
      </c>
      <c r="AB24" s="15" t="n"/>
      <c r="AC24" s="285" t="n">
        <v>8028.12</v>
      </c>
      <c r="AD24" s="15">
        <f>AC24/AC12-1</f>
        <v/>
      </c>
      <c r="AE24" s="15" t="n"/>
      <c r="AF24" s="285" t="n">
        <v>964.26</v>
      </c>
      <c r="AG24" s="15">
        <f>AF24/AF12-1</f>
        <v/>
      </c>
      <c r="AH24" s="15" t="n"/>
      <c r="AI24" s="285" t="n">
        <v>201.07</v>
      </c>
      <c r="AJ24" s="15">
        <f>AI24/AI12-1</f>
        <v/>
      </c>
      <c r="AK24" s="15" t="n"/>
      <c r="AL24" s="286" t="n">
        <v>79.39</v>
      </c>
      <c r="AM24" s="290">
        <f>AL24-AL12</f>
        <v/>
      </c>
      <c r="AN24" s="15" t="n"/>
      <c r="AO24" s="286" t="n">
        <v>79.72</v>
      </c>
      <c r="AP24" s="290">
        <f>AO24-AO12</f>
        <v/>
      </c>
      <c r="AQ24" s="15" t="n"/>
      <c r="AR24" s="286" t="n">
        <v>78.90000000000001</v>
      </c>
      <c r="AS24" s="290">
        <f>AR24-AR12</f>
        <v/>
      </c>
      <c r="AT24" s="15" t="n"/>
      <c r="AU24" s="286" t="n">
        <v>73.42</v>
      </c>
      <c r="AV24" s="290">
        <f>AU24-AU12</f>
        <v/>
      </c>
      <c r="AW24" s="15" t="n"/>
      <c r="AX24" s="285" t="n">
        <v>0</v>
      </c>
      <c r="AY24" s="15">
        <f>AX24/AX12-1</f>
        <v/>
      </c>
      <c r="AZ24" s="15" t="n"/>
      <c r="BA24" s="287" t="n"/>
      <c r="BB24" s="37" t="n"/>
      <c r="BC24" s="287" t="n"/>
      <c r="BD24" s="37" t="n"/>
      <c r="BE24" s="287" t="n"/>
      <c r="BF24" s="37" t="n"/>
      <c r="BG24" s="287" t="n"/>
      <c r="BH24" s="37" t="n"/>
      <c r="BI24" s="288" t="n"/>
      <c r="BJ24" s="37" t="n"/>
      <c r="BK24" s="288" t="n"/>
      <c r="BL24" s="37" t="n"/>
      <c r="BM24" s="288" t="n"/>
      <c r="BN24" s="37" t="n"/>
      <c r="BO24" s="288" t="n"/>
      <c r="BP24" s="288" t="n"/>
      <c r="BQ24" s="37" t="n"/>
      <c r="BR24" s="288" t="n"/>
      <c r="BS24" s="37" t="n"/>
      <c r="BT24" s="288" t="n"/>
      <c r="BU24" s="37" t="n"/>
      <c r="BV24" s="288" t="n"/>
      <c r="BW24" s="37" t="n"/>
      <c r="BX24" s="288" t="n"/>
      <c r="BY24" s="37" t="n"/>
      <c r="BZ24" s="288" t="n"/>
      <c r="CA24" s="37" t="n"/>
      <c r="CB24" s="288" t="n"/>
      <c r="CC24" s="37" t="n"/>
      <c r="CD24" s="288" t="n"/>
      <c r="CE24" s="37" t="n"/>
      <c r="CF24" s="288" t="n"/>
      <c r="CG24" s="291" t="n"/>
      <c r="CH24" s="288" t="n"/>
      <c r="CI24" s="291" t="n"/>
      <c r="CJ24" s="288" t="n"/>
      <c r="CK24" s="291" t="n"/>
      <c r="CL24" s="288" t="n"/>
      <c r="CM24" s="291" t="n"/>
      <c r="CN24" s="288" t="n"/>
      <c r="CO24" s="80" t="n"/>
      <c r="CP24" s="288" t="n"/>
      <c r="CQ24" s="80" t="n"/>
      <c r="CR24" s="288" t="n"/>
      <c r="CS24" s="80" t="n"/>
      <c r="CT24" s="288" t="n"/>
      <c r="CU24" s="80" t="n"/>
      <c r="CW24" s="288" t="n"/>
      <c r="CX24" s="37" t="n"/>
      <c r="CY24" s="288" t="n"/>
      <c r="CZ24" s="37" t="n"/>
      <c r="DA24" s="288" t="n"/>
      <c r="DB24" s="37" t="n"/>
      <c r="DC24" s="288" t="n"/>
      <c r="DD24" s="37" t="n"/>
      <c r="DE24" s="289" t="n"/>
      <c r="DF24" s="289" t="n"/>
      <c r="DG24" s="79" t="n"/>
    </row>
    <row r="25">
      <c r="A25" s="284" t="n">
        <v>42308</v>
      </c>
      <c r="B25" s="285" t="n">
        <v>20563.07</v>
      </c>
      <c r="C25" s="15">
        <f>B25/B13-1</f>
        <v/>
      </c>
      <c r="D25" s="15" t="n"/>
      <c r="E25" s="285" t="n">
        <v>14704.82</v>
      </c>
      <c r="F25" s="15">
        <f>E25/E13-1</f>
        <v/>
      </c>
      <c r="G25" s="15" t="n"/>
      <c r="H25" s="285" t="n">
        <v>5450.24</v>
      </c>
      <c r="I25" s="15">
        <f>H25/H13-1</f>
        <v/>
      </c>
      <c r="J25" s="15" t="n"/>
      <c r="K25" s="285" t="n">
        <v>408.01</v>
      </c>
      <c r="L25" s="15">
        <f>K25/K13-1</f>
        <v/>
      </c>
      <c r="M25" s="15" t="n"/>
      <c r="N25" s="285" t="n">
        <v>16560.49</v>
      </c>
      <c r="O25" s="15">
        <f>N25/N13-1</f>
        <v/>
      </c>
      <c r="P25" s="15" t="n"/>
      <c r="Q25" s="285" t="n">
        <v>12003.26</v>
      </c>
      <c r="R25" s="15">
        <f>Q25/Q13-1</f>
        <v/>
      </c>
      <c r="S25" s="15" t="n"/>
      <c r="T25" s="285" t="n">
        <v>4248.63</v>
      </c>
      <c r="U25" s="15">
        <f>T25/T13-1</f>
        <v/>
      </c>
      <c r="V25" s="15" t="n"/>
      <c r="W25" s="285" t="n">
        <v>308.61</v>
      </c>
      <c r="X25" s="15">
        <f>W25/W13-1</f>
        <v/>
      </c>
      <c r="Y25" s="15" t="n"/>
      <c r="Z25" s="285" t="n">
        <v>9545.85</v>
      </c>
      <c r="AA25" s="15">
        <f>Z25/Z13-1</f>
        <v/>
      </c>
      <c r="AB25" s="15" t="n"/>
      <c r="AC25" s="285" t="n">
        <v>8290.99</v>
      </c>
      <c r="AD25" s="15">
        <f>AC25/AC13-1</f>
        <v/>
      </c>
      <c r="AE25" s="15" t="n"/>
      <c r="AF25" s="285" t="n">
        <v>1031.1</v>
      </c>
      <c r="AG25" s="15">
        <f>AF25/AF13-1</f>
        <v/>
      </c>
      <c r="AH25" s="15" t="n"/>
      <c r="AI25" s="285" t="n">
        <v>223.76</v>
      </c>
      <c r="AJ25" s="15">
        <f>AI25/AI13-1</f>
        <v/>
      </c>
      <c r="AK25" s="15" t="n"/>
      <c r="AL25" s="286" t="n">
        <v>80.54000000000001</v>
      </c>
      <c r="AM25" s="290">
        <f>AL25-AL13</f>
        <v/>
      </c>
      <c r="AN25" s="15" t="n"/>
      <c r="AO25" s="286" t="n">
        <v>81.63</v>
      </c>
      <c r="AP25" s="290">
        <f>AO25-AO13</f>
        <v/>
      </c>
      <c r="AQ25" s="15" t="n"/>
      <c r="AR25" s="286" t="n">
        <v>77.95</v>
      </c>
      <c r="AS25" s="290">
        <f>AR25-AR13</f>
        <v/>
      </c>
      <c r="AT25" s="15" t="n"/>
      <c r="AU25" s="286" t="n">
        <v>75.64</v>
      </c>
      <c r="AV25" s="290">
        <f>AU25-AU13</f>
        <v/>
      </c>
      <c r="AW25" s="15" t="n"/>
      <c r="AX25" s="285" t="n">
        <v>0</v>
      </c>
      <c r="AY25" s="15">
        <f>AX25/AX13-1</f>
        <v/>
      </c>
      <c r="AZ25" s="15" t="n"/>
      <c r="BA25" s="287" t="n"/>
      <c r="BB25" s="37" t="n"/>
      <c r="BC25" s="287" t="n"/>
      <c r="BD25" s="37" t="n"/>
      <c r="BE25" s="287" t="n"/>
      <c r="BF25" s="37" t="n"/>
      <c r="BG25" s="287" t="n"/>
      <c r="BH25" s="37" t="n"/>
      <c r="BI25" s="288" t="n"/>
      <c r="BJ25" s="37" t="n"/>
      <c r="BK25" s="288" t="n"/>
      <c r="BL25" s="37" t="n"/>
      <c r="BM25" s="288" t="n"/>
      <c r="BN25" s="37" t="n"/>
      <c r="BO25" s="288" t="n"/>
      <c r="BP25" s="288" t="n"/>
      <c r="BQ25" s="37" t="n"/>
      <c r="BR25" s="288" t="n"/>
      <c r="BS25" s="37" t="n"/>
      <c r="BT25" s="288" t="n"/>
      <c r="BU25" s="37" t="n"/>
      <c r="BV25" s="288" t="n"/>
      <c r="BW25" s="37" t="n"/>
      <c r="BX25" s="288" t="n"/>
      <c r="BY25" s="37" t="n"/>
      <c r="BZ25" s="288" t="n"/>
      <c r="CA25" s="37" t="n"/>
      <c r="CB25" s="288" t="n"/>
      <c r="CC25" s="37" t="n"/>
      <c r="CD25" s="288" t="n"/>
      <c r="CE25" s="37" t="n"/>
      <c r="CF25" s="288" t="n"/>
      <c r="CG25" s="291" t="n"/>
      <c r="CH25" s="288" t="n"/>
      <c r="CI25" s="291" t="n"/>
      <c r="CJ25" s="288" t="n"/>
      <c r="CK25" s="291" t="n"/>
      <c r="CL25" s="288" t="n"/>
      <c r="CM25" s="291" t="n"/>
      <c r="CN25" s="288" t="n"/>
      <c r="CO25" s="80" t="n"/>
      <c r="CP25" s="288" t="n"/>
      <c r="CQ25" s="80" t="n"/>
      <c r="CR25" s="288" t="n"/>
      <c r="CS25" s="80" t="n"/>
      <c r="CT25" s="288" t="n"/>
      <c r="CU25" s="80" t="n"/>
      <c r="CW25" s="288" t="n"/>
      <c r="CX25" s="37" t="n"/>
      <c r="CY25" s="288" t="n"/>
      <c r="CZ25" s="37" t="n"/>
      <c r="DA25" s="288" t="n"/>
      <c r="DB25" s="37" t="n"/>
      <c r="DC25" s="288" t="n"/>
      <c r="DD25" s="37" t="n"/>
      <c r="DE25" s="289" t="n"/>
      <c r="DF25" s="289" t="n"/>
      <c r="DG25" s="79" t="n"/>
    </row>
    <row r="26">
      <c r="A26" s="284" t="n">
        <v>42338</v>
      </c>
      <c r="B26" s="285" t="n">
        <v>19057.99</v>
      </c>
      <c r="C26" s="15">
        <f>B26/B14-1</f>
        <v/>
      </c>
      <c r="D26" s="15" t="n"/>
      <c r="E26" s="285" t="n">
        <v>13421.47</v>
      </c>
      <c r="F26" s="15">
        <f>E26/E14-1</f>
        <v/>
      </c>
      <c r="G26" s="15" t="n"/>
      <c r="H26" s="285" t="n">
        <v>5243.85</v>
      </c>
      <c r="I26" s="15">
        <f>H26/H14-1</f>
        <v/>
      </c>
      <c r="J26" s="15" t="n"/>
      <c r="K26" s="285" t="n">
        <v>392.67</v>
      </c>
      <c r="L26" s="15">
        <f>K26/K14-1</f>
        <v/>
      </c>
      <c r="M26" s="15" t="n"/>
      <c r="N26" s="285" t="n">
        <v>14968.71</v>
      </c>
      <c r="O26" s="15">
        <f>N26/N14-1</f>
        <v/>
      </c>
      <c r="P26" s="15" t="n"/>
      <c r="Q26" s="285" t="n">
        <v>10655.14</v>
      </c>
      <c r="R26" s="15">
        <f>Q26/Q14-1</f>
        <v/>
      </c>
      <c r="S26" s="15" t="n"/>
      <c r="T26" s="285" t="n">
        <v>4021.06</v>
      </c>
      <c r="U26" s="15">
        <f>T26/T14-1</f>
        <v/>
      </c>
      <c r="V26" s="15" t="n"/>
      <c r="W26" s="285" t="n">
        <v>292.51</v>
      </c>
      <c r="X26" s="15">
        <f>W26/W14-1</f>
        <v/>
      </c>
      <c r="Y26" s="15" t="n"/>
      <c r="Z26" s="285" t="n">
        <v>8428.67</v>
      </c>
      <c r="AA26" s="15">
        <f>Z26/Z14-1</f>
        <v/>
      </c>
      <c r="AB26" s="15" t="n"/>
      <c r="AC26" s="285" t="n">
        <v>7246.66</v>
      </c>
      <c r="AD26" s="15">
        <f>AC26/AC14-1</f>
        <v/>
      </c>
      <c r="AE26" s="15" t="n"/>
      <c r="AF26" s="285" t="n">
        <v>968.04</v>
      </c>
      <c r="AG26" s="15">
        <f>AF26/AF14-1</f>
        <v/>
      </c>
      <c r="AH26" s="15" t="n"/>
      <c r="AI26" s="285" t="n">
        <v>213.98</v>
      </c>
      <c r="AJ26" s="15">
        <f>AI26/AI14-1</f>
        <v/>
      </c>
      <c r="AK26" s="15" t="n"/>
      <c r="AL26" s="286" t="n">
        <v>78.54000000000001</v>
      </c>
      <c r="AM26" s="290">
        <f>AL26-AL14</f>
        <v/>
      </c>
      <c r="AN26" s="15" t="n"/>
      <c r="AO26" s="286" t="n">
        <v>79.39</v>
      </c>
      <c r="AP26" s="290">
        <f>AO26-AO14</f>
        <v/>
      </c>
      <c r="AQ26" s="15" t="n"/>
      <c r="AR26" s="286" t="n">
        <v>76.68000000000001</v>
      </c>
      <c r="AS26" s="290">
        <f>AR26-AR14</f>
        <v/>
      </c>
      <c r="AT26" s="15" t="n"/>
      <c r="AU26" s="286" t="n">
        <v>74.48999999999999</v>
      </c>
      <c r="AV26" s="290">
        <f>AU26-AU14</f>
        <v/>
      </c>
      <c r="AW26" s="15" t="n"/>
      <c r="AX26" s="285" t="n">
        <v>0</v>
      </c>
      <c r="AY26" s="15">
        <f>AX26/AX14-1</f>
        <v/>
      </c>
      <c r="AZ26" s="15" t="n"/>
      <c r="BA26" s="287" t="n"/>
      <c r="BB26" s="37" t="n"/>
      <c r="BC26" s="287" t="n"/>
      <c r="BD26" s="37" t="n"/>
      <c r="BE26" s="287" t="n"/>
      <c r="BF26" s="37" t="n"/>
      <c r="BG26" s="287" t="n"/>
      <c r="BH26" s="37" t="n"/>
      <c r="BI26" s="288" t="n"/>
      <c r="BJ26" s="37" t="n"/>
      <c r="BK26" s="288" t="n"/>
      <c r="BL26" s="37" t="n"/>
      <c r="BM26" s="288" t="n"/>
      <c r="BN26" s="37" t="n"/>
      <c r="BO26" s="288" t="n"/>
      <c r="BP26" s="288" t="n"/>
      <c r="BQ26" s="37" t="n"/>
      <c r="BR26" s="288" t="n"/>
      <c r="BS26" s="37" t="n"/>
      <c r="BT26" s="288" t="n"/>
      <c r="BU26" s="37" t="n"/>
      <c r="BV26" s="288" t="n"/>
      <c r="BW26" s="37" t="n"/>
      <c r="BX26" s="288" t="n"/>
      <c r="BY26" s="37" t="n"/>
      <c r="BZ26" s="288" t="n"/>
      <c r="CA26" s="37" t="n"/>
      <c r="CB26" s="288" t="n"/>
      <c r="CC26" s="37" t="n"/>
      <c r="CD26" s="288" t="n"/>
      <c r="CE26" s="37" t="n"/>
      <c r="CF26" s="288" t="n"/>
      <c r="CG26" s="291" t="n"/>
      <c r="CH26" s="288" t="n"/>
      <c r="CI26" s="291" t="n"/>
      <c r="CJ26" s="288" t="n"/>
      <c r="CK26" s="291" t="n"/>
      <c r="CL26" s="288" t="n"/>
      <c r="CM26" s="291" t="n"/>
      <c r="CN26" s="288" t="n"/>
      <c r="CO26" s="80" t="n"/>
      <c r="CP26" s="288" t="n"/>
      <c r="CQ26" s="80" t="n"/>
      <c r="CR26" s="288" t="n"/>
      <c r="CS26" s="80" t="n"/>
      <c r="CT26" s="288" t="n"/>
      <c r="CU26" s="80" t="n"/>
      <c r="CW26" s="288" t="n"/>
      <c r="CX26" s="37" t="n"/>
      <c r="CY26" s="288" t="n"/>
      <c r="CZ26" s="37" t="n"/>
      <c r="DA26" s="288" t="n"/>
      <c r="DB26" s="37" t="n"/>
      <c r="DC26" s="288" t="n"/>
      <c r="DD26" s="37" t="n"/>
      <c r="DE26" s="289" t="n"/>
      <c r="DF26" s="289" t="n"/>
      <c r="DG26" s="79" t="n"/>
    </row>
    <row r="27">
      <c r="A27" s="284" t="n">
        <v>42369</v>
      </c>
      <c r="B27" s="285" t="n">
        <v>19619.95</v>
      </c>
      <c r="C27" s="15">
        <f>B27/B15-1</f>
        <v/>
      </c>
      <c r="D27" s="15" t="n"/>
      <c r="E27" s="285" t="n">
        <v>13601.23</v>
      </c>
      <c r="F27" s="15">
        <f>E27/E15-1</f>
        <v/>
      </c>
      <c r="G27" s="15" t="n"/>
      <c r="H27" s="285" t="n">
        <v>5646.62</v>
      </c>
      <c r="I27" s="15">
        <f>H27/H15-1</f>
        <v/>
      </c>
      <c r="J27" s="15" t="n"/>
      <c r="K27" s="285" t="n">
        <v>372.09</v>
      </c>
      <c r="L27" s="15">
        <f>K27/K15-1</f>
        <v/>
      </c>
      <c r="M27" s="15" t="n"/>
      <c r="N27" s="285" t="n">
        <v>15097.61</v>
      </c>
      <c r="O27" s="15">
        <f>N27/N15-1</f>
        <v/>
      </c>
      <c r="P27" s="15" t="n"/>
      <c r="Q27" s="285" t="n">
        <v>10403.05</v>
      </c>
      <c r="R27" s="15">
        <f>Q27/Q15-1</f>
        <v/>
      </c>
      <c r="S27" s="15" t="n"/>
      <c r="T27" s="285" t="n">
        <v>4432.47</v>
      </c>
      <c r="U27" s="15">
        <f>T27/T15-1</f>
        <v/>
      </c>
      <c r="V27" s="15" t="n"/>
      <c r="W27" s="285" t="n">
        <v>262.1</v>
      </c>
      <c r="X27" s="15">
        <f>W27/W15-1</f>
        <v/>
      </c>
      <c r="Y27" s="15" t="n"/>
      <c r="Z27" s="285" t="n">
        <v>8252.92</v>
      </c>
      <c r="AA27" s="15">
        <f>Z27/Z15-1</f>
        <v/>
      </c>
      <c r="AB27" s="15" t="n"/>
      <c r="AC27" s="285" t="n">
        <v>7022.19</v>
      </c>
      <c r="AD27" s="15">
        <f>AC27/AC15-1</f>
        <v/>
      </c>
      <c r="AE27" s="15" t="n"/>
      <c r="AF27" s="285" t="n">
        <v>1031.8</v>
      </c>
      <c r="AG27" s="15">
        <f>AF27/AF15-1</f>
        <v/>
      </c>
      <c r="AH27" s="15" t="n"/>
      <c r="AI27" s="285" t="n">
        <v>198.93</v>
      </c>
      <c r="AJ27" s="15">
        <f>AI27/AI15-1</f>
        <v/>
      </c>
      <c r="AK27" s="15" t="n"/>
      <c r="AL27" s="286" t="n">
        <v>76.95</v>
      </c>
      <c r="AM27" s="290">
        <f>AL27-AL15</f>
        <v/>
      </c>
      <c r="AN27" s="15" t="n"/>
      <c r="AO27" s="286" t="n">
        <v>76.48999999999999</v>
      </c>
      <c r="AP27" s="290">
        <f>AO27-AO15</f>
        <v/>
      </c>
      <c r="AQ27" s="15" t="n"/>
      <c r="AR27" s="286" t="n">
        <v>78.5</v>
      </c>
      <c r="AS27" s="290">
        <f>AR27-AR15</f>
        <v/>
      </c>
      <c r="AT27" s="15" t="n"/>
      <c r="AU27" s="286" t="n">
        <v>70.44</v>
      </c>
      <c r="AV27" s="290">
        <f>AU27-AU15</f>
        <v/>
      </c>
      <c r="AW27" s="15" t="n"/>
      <c r="AX27" s="285" t="n">
        <v>0</v>
      </c>
      <c r="AY27" s="15">
        <f>AX27/AX15-1</f>
        <v/>
      </c>
      <c r="AZ27" s="15" t="n"/>
      <c r="BA27" s="287" t="n"/>
      <c r="BB27" s="37" t="n"/>
      <c r="BC27" s="287" t="n"/>
      <c r="BD27" s="37" t="n"/>
      <c r="BE27" s="287" t="n"/>
      <c r="BF27" s="37" t="n"/>
      <c r="BG27" s="287" t="n"/>
      <c r="BH27" s="37" t="n"/>
      <c r="BI27" s="288" t="n"/>
      <c r="BJ27" s="37" t="n"/>
      <c r="BK27" s="288" t="n"/>
      <c r="BL27" s="37" t="n"/>
      <c r="BM27" s="288" t="n"/>
      <c r="BN27" s="37" t="n"/>
      <c r="BO27" s="288" t="n"/>
      <c r="BP27" s="288" t="n"/>
      <c r="BQ27" s="37" t="n"/>
      <c r="BR27" s="288" t="n"/>
      <c r="BS27" s="37" t="n"/>
      <c r="BT27" s="288" t="n"/>
      <c r="BU27" s="37" t="n"/>
      <c r="BV27" s="288" t="n"/>
      <c r="BW27" s="37" t="n"/>
      <c r="BX27" s="288" t="n"/>
      <c r="BY27" s="37" t="n"/>
      <c r="BZ27" s="288" t="n"/>
      <c r="CA27" s="37" t="n"/>
      <c r="CB27" s="288" t="n"/>
      <c r="CC27" s="37" t="n"/>
      <c r="CD27" s="288" t="n"/>
      <c r="CE27" s="37" t="n"/>
      <c r="CF27" s="288" t="n"/>
      <c r="CG27" s="291" t="n"/>
      <c r="CH27" s="288" t="n"/>
      <c r="CI27" s="291" t="n"/>
      <c r="CJ27" s="288" t="n"/>
      <c r="CK27" s="291" t="n"/>
      <c r="CL27" s="288" t="n"/>
      <c r="CM27" s="291" t="n"/>
      <c r="CN27" s="288" t="n"/>
      <c r="CO27" s="80" t="n"/>
      <c r="CP27" s="288" t="n"/>
      <c r="CQ27" s="80" t="n"/>
      <c r="CR27" s="288" t="n"/>
      <c r="CS27" s="80" t="n"/>
      <c r="CT27" s="288" t="n"/>
      <c r="CU27" s="80" t="n"/>
      <c r="CW27" s="288" t="n"/>
      <c r="CX27" s="37" t="n"/>
      <c r="CY27" s="288" t="n"/>
      <c r="CZ27" s="37" t="n"/>
      <c r="DA27" s="288" t="n"/>
      <c r="DB27" s="37" t="n"/>
      <c r="DC27" s="288" t="n"/>
      <c r="DD27" s="37" t="n"/>
      <c r="DE27" s="289" t="n"/>
      <c r="DF27" s="289" t="n"/>
      <c r="DG27" s="79" t="n"/>
    </row>
    <row r="28" ht="13" customFormat="1" customHeight="1" s="245">
      <c r="A28" s="280" t="n">
        <v>42400</v>
      </c>
      <c r="B28" s="292" t="n">
        <v>20825.35</v>
      </c>
      <c r="C28" s="15">
        <f>B28/B16-1</f>
        <v/>
      </c>
      <c r="D28" s="15" t="n"/>
      <c r="E28" s="292" t="n">
        <v>14528.61</v>
      </c>
      <c r="F28" s="15">
        <f>E28/E16-1</f>
        <v/>
      </c>
      <c r="G28" s="15" t="n"/>
      <c r="H28" s="292" t="n">
        <v>5909.32</v>
      </c>
      <c r="I28" s="15">
        <f>H28/H16-1</f>
        <v/>
      </c>
      <c r="J28" s="15" t="n"/>
      <c r="K28" s="292" t="n">
        <v>387.42</v>
      </c>
      <c r="L28" s="15">
        <f>K28/K16-1</f>
        <v/>
      </c>
      <c r="M28" s="15" t="n"/>
      <c r="N28" s="292" t="n">
        <v>16293.16</v>
      </c>
      <c r="O28" s="15">
        <f>N28/N16-1</f>
        <v/>
      </c>
      <c r="P28" s="15" t="n"/>
      <c r="Q28" s="292" t="n">
        <v>11249.26</v>
      </c>
      <c r="R28" s="15">
        <f>Q28/Q16-1</f>
        <v/>
      </c>
      <c r="S28" s="15" t="n"/>
      <c r="T28" s="292" t="n">
        <v>4763.43</v>
      </c>
      <c r="U28" s="15">
        <f>T28/T16-1</f>
        <v/>
      </c>
      <c r="V28" s="15" t="n"/>
      <c r="W28" s="292" t="n">
        <v>280.47</v>
      </c>
      <c r="X28" s="15">
        <f>W28/W16-1</f>
        <v/>
      </c>
      <c r="Y28" s="15" t="n"/>
      <c r="Z28" s="292" t="n">
        <v>8803.459999999999</v>
      </c>
      <c r="AA28" s="15">
        <f>Z28/Z16-1</f>
        <v/>
      </c>
      <c r="AB28" s="15" t="n"/>
      <c r="AC28" s="292" t="n">
        <v>7454.01</v>
      </c>
      <c r="AD28" s="15">
        <f>AC28/AC16-1</f>
        <v/>
      </c>
      <c r="AE28" s="15" t="n"/>
      <c r="AF28" s="292" t="n">
        <v>1138.53</v>
      </c>
      <c r="AG28" s="15">
        <f>AF28/AF16-1</f>
        <v/>
      </c>
      <c r="AH28" s="15" t="n"/>
      <c r="AI28" s="292" t="n">
        <v>210.92</v>
      </c>
      <c r="AJ28" s="15">
        <f>AI28/AI16-1</f>
        <v/>
      </c>
      <c r="AK28" s="15" t="n"/>
      <c r="AL28" s="293" t="n">
        <v>78.23999999999999</v>
      </c>
      <c r="AM28" s="290">
        <f>AL28-AL16</f>
        <v/>
      </c>
      <c r="AN28" s="15" t="n"/>
      <c r="AO28" s="293" t="n">
        <v>77.43000000000001</v>
      </c>
      <c r="AP28" s="290">
        <f>AO28-AO16</f>
        <v/>
      </c>
      <c r="AQ28" s="15" t="n"/>
      <c r="AR28" s="293" t="n">
        <v>80.61</v>
      </c>
      <c r="AS28" s="290">
        <f>AR28-AR16</f>
        <v/>
      </c>
      <c r="AT28" s="15" t="n"/>
      <c r="AU28" s="293" t="n">
        <v>72.39</v>
      </c>
      <c r="AV28" s="290">
        <f>AU28-AU16</f>
        <v/>
      </c>
      <c r="AW28" s="15" t="n"/>
      <c r="AX28" s="292" t="n">
        <v>0</v>
      </c>
      <c r="AY28" s="15">
        <f>AX28/AX16-1</f>
        <v/>
      </c>
      <c r="AZ28" s="15" t="n"/>
      <c r="BA28" s="292" t="n"/>
      <c r="BB28" s="37" t="n"/>
      <c r="BC28" s="292" t="n"/>
      <c r="BD28" s="254" t="n"/>
      <c r="BE28" s="292" t="n"/>
      <c r="BF28" s="254" t="n"/>
      <c r="BG28" s="292" t="n"/>
      <c r="BH28" s="254" t="n"/>
      <c r="BI28" s="292" t="n"/>
      <c r="BJ28" s="254" t="n"/>
      <c r="BK28" s="292" t="n"/>
      <c r="BL28" s="254" t="n"/>
      <c r="BM28" s="292" t="n"/>
      <c r="BN28" s="254" t="n"/>
      <c r="BO28" s="292" t="n"/>
      <c r="BP28" s="292" t="n"/>
      <c r="BQ28" s="254" t="n"/>
      <c r="BR28" s="292" t="n"/>
      <c r="BS28" s="254" t="n"/>
      <c r="BT28" s="292" t="n"/>
      <c r="BU28" s="254" t="n"/>
      <c r="BV28" s="292" t="n"/>
      <c r="BW28" s="254" t="n"/>
      <c r="BX28" s="292" t="n"/>
      <c r="BY28" s="254" t="n"/>
      <c r="BZ28" s="292" t="n"/>
      <c r="CA28" s="254" t="n"/>
      <c r="CB28" s="292" t="n"/>
      <c r="CC28" s="254" t="n"/>
      <c r="CD28" s="292" t="n"/>
      <c r="CE28" s="254" t="n"/>
      <c r="CF28" s="292" t="n"/>
      <c r="CG28" s="292" t="n"/>
      <c r="CH28" s="292" t="n"/>
      <c r="CI28" s="292" t="n"/>
      <c r="CJ28" s="292" t="n"/>
      <c r="CK28" s="292" t="n"/>
      <c r="CL28" s="292" t="n"/>
      <c r="CM28" s="292" t="n"/>
      <c r="CN28" s="292" t="n"/>
      <c r="CO28" s="218" t="n"/>
      <c r="CP28" s="292" t="n"/>
      <c r="CQ28" s="218" t="n"/>
      <c r="CR28" s="292" t="n"/>
      <c r="CS28" s="218" t="n"/>
      <c r="CT28" s="292" t="n"/>
      <c r="CU28" s="218" t="n"/>
      <c r="CW28" s="292" t="n"/>
      <c r="CX28" s="254" t="n"/>
      <c r="CY28" s="292" t="n"/>
      <c r="CZ28" s="254" t="n"/>
      <c r="DA28" s="292" t="n"/>
      <c r="DB28" s="254" t="n"/>
      <c r="DC28" s="292" t="n"/>
      <c r="DD28" s="254" t="n"/>
      <c r="DE28" s="294" t="n"/>
      <c r="DF28" s="294" t="n"/>
    </row>
    <row r="29">
      <c r="A29" s="284" t="n">
        <v>42429</v>
      </c>
      <c r="B29" s="285" t="n">
        <v>20835.92</v>
      </c>
      <c r="C29" s="15">
        <f>B29/B17-1</f>
        <v/>
      </c>
      <c r="D29" s="15" t="n"/>
      <c r="E29" s="285" t="n">
        <v>14539.02</v>
      </c>
      <c r="F29" s="15">
        <f>E29/E17-1</f>
        <v/>
      </c>
      <c r="G29" s="15" t="n"/>
      <c r="H29" s="285" t="n">
        <v>5854.57</v>
      </c>
      <c r="I29" s="15">
        <f>H29/H17-1</f>
        <v/>
      </c>
      <c r="J29" s="15" t="n"/>
      <c r="K29" s="285" t="n">
        <v>442.33</v>
      </c>
      <c r="L29" s="15">
        <f>K29/K17-1</f>
        <v/>
      </c>
      <c r="M29" s="15" t="n"/>
      <c r="N29" s="285" t="n">
        <v>16891.18</v>
      </c>
      <c r="O29" s="15">
        <f>N29/N17-1</f>
        <v/>
      </c>
      <c r="P29" s="15" t="n"/>
      <c r="Q29" s="285" t="n">
        <v>11726.05</v>
      </c>
      <c r="R29" s="15">
        <f>Q29/Q17-1</f>
        <v/>
      </c>
      <c r="S29" s="15" t="n"/>
      <c r="T29" s="285" t="n">
        <v>4829.66</v>
      </c>
      <c r="U29" s="15">
        <f>T29/T17-1</f>
        <v/>
      </c>
      <c r="V29" s="15" t="n"/>
      <c r="W29" s="285" t="n">
        <v>335.47</v>
      </c>
      <c r="X29" s="15">
        <f>W29/W17-1</f>
        <v/>
      </c>
      <c r="Y29" s="15" t="n"/>
      <c r="Z29" s="285" t="n">
        <v>9291.66</v>
      </c>
      <c r="AA29" s="15">
        <f>Z29/Z17-1</f>
        <v/>
      </c>
      <c r="AB29" s="15" t="n"/>
      <c r="AC29" s="285" t="n">
        <v>7812.13</v>
      </c>
      <c r="AD29" s="15">
        <f>AC29/AC17-1</f>
        <v/>
      </c>
      <c r="AE29" s="15" t="n"/>
      <c r="AF29" s="285" t="n">
        <v>1227.09</v>
      </c>
      <c r="AG29" s="15">
        <f>AF29/AF17-1</f>
        <v/>
      </c>
      <c r="AH29" s="15" t="n"/>
      <c r="AI29" s="285" t="n">
        <v>252.44</v>
      </c>
      <c r="AJ29" s="15">
        <f>AI29/AI17-1</f>
        <v/>
      </c>
      <c r="AK29" s="15" t="n"/>
      <c r="AL29" s="286" t="n">
        <v>81.06999999999999</v>
      </c>
      <c r="AM29" s="290">
        <f>AL29-AL17</f>
        <v/>
      </c>
      <c r="AN29" s="15" t="n"/>
      <c r="AO29" s="286" t="n">
        <v>80.65000000000001</v>
      </c>
      <c r="AP29" s="290">
        <f>AO29-AO17</f>
        <v/>
      </c>
      <c r="AQ29" s="15" t="n"/>
      <c r="AR29" s="286" t="n">
        <v>82.48999999999999</v>
      </c>
      <c r="AS29" s="290">
        <f>AR29-AR17</f>
        <v/>
      </c>
      <c r="AT29" s="15" t="n"/>
      <c r="AU29" s="286" t="n">
        <v>75.84</v>
      </c>
      <c r="AV29" s="290">
        <f>AU29-AU17</f>
        <v/>
      </c>
      <c r="AW29" s="15" t="n"/>
      <c r="AX29" s="285" t="n">
        <v>0</v>
      </c>
      <c r="AY29" s="15">
        <f>AX29/AX17-1</f>
        <v/>
      </c>
      <c r="AZ29" s="15" t="n"/>
      <c r="BA29" s="287" t="n"/>
      <c r="BB29" s="37" t="n"/>
      <c r="BC29" s="287" t="n"/>
      <c r="BD29" s="37" t="n"/>
      <c r="BE29" s="287" t="n"/>
      <c r="BF29" s="37" t="n"/>
      <c r="BG29" s="287" t="n"/>
      <c r="BH29" s="37" t="n"/>
      <c r="BI29" s="288" t="n"/>
      <c r="BJ29" s="37" t="n"/>
      <c r="BK29" s="288" t="n"/>
      <c r="BL29" s="37" t="n"/>
      <c r="BM29" s="288" t="n"/>
      <c r="BN29" s="37" t="n"/>
      <c r="BO29" s="288" t="n"/>
      <c r="BP29" s="288" t="n"/>
      <c r="BQ29" s="37" t="n"/>
      <c r="BR29" s="288" t="n"/>
      <c r="BS29" s="37" t="n"/>
      <c r="BT29" s="288" t="n"/>
      <c r="BU29" s="37" t="n"/>
      <c r="BV29" s="288" t="n"/>
      <c r="BW29" s="37" t="n"/>
      <c r="BX29" s="288" t="n"/>
      <c r="BY29" s="37" t="n"/>
      <c r="BZ29" s="288" t="n"/>
      <c r="CA29" s="37" t="n"/>
      <c r="CB29" s="288" t="n"/>
      <c r="CC29" s="37" t="n"/>
      <c r="CD29" s="288" t="n"/>
      <c r="CE29" s="37" t="n"/>
      <c r="CF29" s="288" t="n"/>
      <c r="CG29" s="291" t="n"/>
      <c r="CH29" s="288" t="n"/>
      <c r="CI29" s="291" t="n"/>
      <c r="CJ29" s="288" t="n"/>
      <c r="CK29" s="291" t="n"/>
      <c r="CL29" s="288" t="n"/>
      <c r="CM29" s="291" t="n"/>
      <c r="CN29" s="288" t="n"/>
      <c r="CO29" s="80" t="n"/>
      <c r="CP29" s="288" t="n"/>
      <c r="CQ29" s="80" t="n"/>
      <c r="CR29" s="288" t="n"/>
      <c r="CS29" s="80" t="n"/>
      <c r="CT29" s="288" t="n"/>
      <c r="CU29" s="80" t="n"/>
      <c r="CW29" s="288" t="n"/>
      <c r="CX29" s="37" t="n"/>
      <c r="CY29" s="288" t="n"/>
      <c r="CZ29" s="37" t="n"/>
      <c r="DA29" s="288" t="n"/>
      <c r="DB29" s="37" t="n"/>
      <c r="DC29" s="288" t="n"/>
      <c r="DD29" s="37" t="n"/>
      <c r="DE29" s="289" t="n"/>
      <c r="DF29" s="289" t="n"/>
      <c r="DG29" s="79" t="n"/>
    </row>
    <row r="30">
      <c r="A30" s="284" t="n">
        <v>42460</v>
      </c>
      <c r="B30" s="285" t="n">
        <v>20592.45</v>
      </c>
      <c r="C30" s="15">
        <f>B30/B18-1</f>
        <v/>
      </c>
      <c r="D30" s="15" t="n"/>
      <c r="E30" s="285" t="n">
        <v>14443.74</v>
      </c>
      <c r="F30" s="15">
        <f>E30/E18-1</f>
        <v/>
      </c>
      <c r="G30" s="15" t="n"/>
      <c r="H30" s="285" t="n">
        <v>5763.97</v>
      </c>
      <c r="I30" s="15">
        <f>H30/H18-1</f>
        <v/>
      </c>
      <c r="J30" s="15" t="n"/>
      <c r="K30" s="285" t="n">
        <v>384.75</v>
      </c>
      <c r="L30" s="15">
        <f>K30/K18-1</f>
        <v/>
      </c>
      <c r="M30" s="15" t="n"/>
      <c r="N30" s="285" t="n">
        <v>16405.84</v>
      </c>
      <c r="O30" s="15">
        <f>N30/N18-1</f>
        <v/>
      </c>
      <c r="P30" s="15" t="n"/>
      <c r="Q30" s="285" t="n">
        <v>11510.62</v>
      </c>
      <c r="R30" s="15">
        <f>Q30/Q18-1</f>
        <v/>
      </c>
      <c r="S30" s="15" t="n"/>
      <c r="T30" s="285" t="n">
        <v>4619.18</v>
      </c>
      <c r="U30" s="15">
        <f>T30/T18-1</f>
        <v/>
      </c>
      <c r="V30" s="15" t="n"/>
      <c r="W30" s="285" t="n">
        <v>276.04</v>
      </c>
      <c r="X30" s="15">
        <f>W30/W18-1</f>
        <v/>
      </c>
      <c r="Y30" s="15" t="n"/>
      <c r="Z30" s="285" t="n">
        <v>9181.73</v>
      </c>
      <c r="AA30" s="15">
        <f>Z30/Z18-1</f>
        <v/>
      </c>
      <c r="AB30" s="15" t="n"/>
      <c r="AC30" s="285" t="n">
        <v>7835.23</v>
      </c>
      <c r="AD30" s="15">
        <f>AC30/AC18-1</f>
        <v/>
      </c>
      <c r="AE30" s="15" t="n"/>
      <c r="AF30" s="285" t="n">
        <v>1141.47</v>
      </c>
      <c r="AG30" s="15">
        <f>AF30/AF18-1</f>
        <v/>
      </c>
      <c r="AH30" s="15" t="n"/>
      <c r="AI30" s="285" t="n">
        <v>205.04</v>
      </c>
      <c r="AJ30" s="15">
        <f>AI30/AI18-1</f>
        <v/>
      </c>
      <c r="AK30" s="15" t="n"/>
      <c r="AL30" s="286" t="n">
        <v>79.67</v>
      </c>
      <c r="AM30" s="290">
        <f>AL30-AL18</f>
        <v/>
      </c>
      <c r="AN30" s="15" t="n"/>
      <c r="AO30" s="286" t="n">
        <v>79.69</v>
      </c>
      <c r="AP30" s="290">
        <f>AO30-AO18</f>
        <v/>
      </c>
      <c r="AQ30" s="15" t="n"/>
      <c r="AR30" s="286" t="n">
        <v>80.14</v>
      </c>
      <c r="AS30" s="290">
        <f>AR30-AR18</f>
        <v/>
      </c>
      <c r="AT30" s="15" t="n"/>
      <c r="AU30" s="286" t="n">
        <v>71.75</v>
      </c>
      <c r="AV30" s="290">
        <f>AU30-AU18</f>
        <v/>
      </c>
      <c r="AW30" s="15" t="n"/>
      <c r="AX30" s="285" t="n">
        <v>0</v>
      </c>
      <c r="AY30" s="15">
        <f>AX30/AX18-1</f>
        <v/>
      </c>
      <c r="AZ30" s="15" t="n"/>
      <c r="BA30" s="287" t="n"/>
      <c r="BB30" s="37" t="n"/>
      <c r="BC30" s="287" t="n"/>
      <c r="BD30" s="37" t="n"/>
      <c r="BE30" s="287" t="n"/>
      <c r="BF30" s="37" t="n"/>
      <c r="BG30" s="287" t="n"/>
      <c r="BH30" s="37" t="n"/>
      <c r="BI30" s="288" t="n"/>
      <c r="BJ30" s="37" t="n"/>
      <c r="BK30" s="288" t="n"/>
      <c r="BL30" s="37" t="n"/>
      <c r="BM30" s="288" t="n"/>
      <c r="BN30" s="37" t="n"/>
      <c r="BO30" s="288" t="n"/>
      <c r="BP30" s="288" t="n"/>
      <c r="BQ30" s="37" t="n"/>
      <c r="BR30" s="288" t="n"/>
      <c r="BS30" s="37" t="n"/>
      <c r="BT30" s="288" t="n"/>
      <c r="BU30" s="37" t="n"/>
      <c r="BV30" s="288" t="n"/>
      <c r="BW30" s="37" t="n"/>
      <c r="BX30" s="288" t="n"/>
      <c r="BY30" s="37" t="n"/>
      <c r="BZ30" s="288" t="n"/>
      <c r="CA30" s="37" t="n"/>
      <c r="CB30" s="288" t="n"/>
      <c r="CC30" s="37" t="n"/>
      <c r="CD30" s="288" t="n"/>
      <c r="CE30" s="37" t="n"/>
      <c r="CF30" s="288" t="n"/>
      <c r="CG30" s="291" t="n"/>
      <c r="CH30" s="288" t="n"/>
      <c r="CI30" s="291" t="n"/>
      <c r="CJ30" s="288" t="n"/>
      <c r="CK30" s="291" t="n"/>
      <c r="CL30" s="288" t="n"/>
      <c r="CM30" s="291" t="n"/>
      <c r="CN30" s="288" t="n"/>
      <c r="CO30" s="80" t="n"/>
      <c r="CP30" s="288" t="n"/>
      <c r="CQ30" s="80" t="n"/>
      <c r="CR30" s="288" t="n"/>
      <c r="CS30" s="80" t="n"/>
      <c r="CT30" s="288" t="n"/>
      <c r="CU30" s="80" t="n"/>
      <c r="CW30" s="288" t="n"/>
      <c r="CX30" s="37" t="n"/>
      <c r="CY30" s="288" t="n"/>
      <c r="CZ30" s="37" t="n"/>
      <c r="DA30" s="288" t="n"/>
      <c r="DB30" s="37" t="n"/>
      <c r="DC30" s="288" t="n"/>
      <c r="DD30" s="37" t="n"/>
      <c r="DE30" s="289" t="n"/>
      <c r="DF30" s="289" t="n"/>
      <c r="DG30" s="79" t="n"/>
    </row>
    <row r="31">
      <c r="A31" s="284" t="n">
        <v>42490</v>
      </c>
      <c r="B31" s="285" t="n">
        <v>20504.76</v>
      </c>
      <c r="C31" s="15">
        <f>B31/B19-1</f>
        <v/>
      </c>
      <c r="D31" s="15" t="n"/>
      <c r="E31" s="285" t="n">
        <v>14417.62</v>
      </c>
      <c r="F31" s="15">
        <f>E31/E19-1</f>
        <v/>
      </c>
      <c r="G31" s="15" t="n"/>
      <c r="H31" s="285" t="n">
        <v>5732.86</v>
      </c>
      <c r="I31" s="15">
        <f>H31/H19-1</f>
        <v/>
      </c>
      <c r="J31" s="15" t="n"/>
      <c r="K31" s="285" t="n">
        <v>354.29</v>
      </c>
      <c r="L31" s="15">
        <f>K31/K19-1</f>
        <v/>
      </c>
      <c r="M31" s="15" t="n"/>
      <c r="N31" s="285" t="n">
        <v>16750.56</v>
      </c>
      <c r="O31" s="15">
        <f>N31/N19-1</f>
        <v/>
      </c>
      <c r="P31" s="15" t="n"/>
      <c r="Q31" s="285" t="n">
        <v>11719.21</v>
      </c>
      <c r="R31" s="15">
        <f>Q31/Q19-1</f>
        <v/>
      </c>
      <c r="S31" s="15" t="n"/>
      <c r="T31" s="285" t="n">
        <v>4756.63</v>
      </c>
      <c r="U31" s="15">
        <f>T31/T19-1</f>
        <v/>
      </c>
      <c r="V31" s="15" t="n"/>
      <c r="W31" s="285" t="n">
        <v>274.72</v>
      </c>
      <c r="X31" s="15">
        <f>W31/W19-1</f>
        <v/>
      </c>
      <c r="Y31" s="15" t="n"/>
      <c r="Z31" s="285" t="n">
        <v>9440.15</v>
      </c>
      <c r="AA31" s="15">
        <f>Z31/Z19-1</f>
        <v/>
      </c>
      <c r="AB31" s="15" t="n"/>
      <c r="AC31" s="285" t="n">
        <v>8060.57</v>
      </c>
      <c r="AD31" s="15">
        <f>AC31/AC19-1</f>
        <v/>
      </c>
      <c r="AE31" s="15" t="n"/>
      <c r="AF31" s="285" t="n">
        <v>1174.75</v>
      </c>
      <c r="AG31" s="15">
        <f>AF31/AF19-1</f>
        <v/>
      </c>
      <c r="AH31" s="15" t="n"/>
      <c r="AI31" s="285" t="n">
        <v>204.83</v>
      </c>
      <c r="AJ31" s="15">
        <f>AI31/AI19-1</f>
        <v/>
      </c>
      <c r="AK31" s="15" t="n"/>
      <c r="AL31" s="286" t="n">
        <v>81.69</v>
      </c>
      <c r="AM31" s="290">
        <f>AL31-AL19</f>
        <v/>
      </c>
      <c r="AN31" s="15" t="n"/>
      <c r="AO31" s="286" t="n">
        <v>81.28</v>
      </c>
      <c r="AP31" s="290">
        <f>AO31-AO19</f>
        <v/>
      </c>
      <c r="AQ31" s="15" t="n"/>
      <c r="AR31" s="286" t="n">
        <v>82.97</v>
      </c>
      <c r="AS31" s="290">
        <f>AR31-AR19</f>
        <v/>
      </c>
      <c r="AT31" s="15" t="n"/>
      <c r="AU31" s="286" t="n">
        <v>77.54000000000001</v>
      </c>
      <c r="AV31" s="290">
        <f>AU31-AU19</f>
        <v/>
      </c>
      <c r="AW31" s="15" t="n"/>
      <c r="AX31" s="285" t="n">
        <v>0</v>
      </c>
      <c r="AY31" s="15">
        <f>AX31/AX19-1</f>
        <v/>
      </c>
      <c r="AZ31" s="15" t="n"/>
      <c r="BA31" s="287" t="n"/>
      <c r="BB31" s="37" t="n"/>
      <c r="BC31" s="287" t="n"/>
      <c r="BD31" s="37" t="n"/>
      <c r="BE31" s="287" t="n"/>
      <c r="BF31" s="37" t="n"/>
      <c r="BG31" s="287" t="n"/>
      <c r="BH31" s="37" t="n"/>
      <c r="BI31" s="288" t="n"/>
      <c r="BJ31" s="37" t="n"/>
      <c r="BK31" s="288" t="n"/>
      <c r="BL31" s="37" t="n"/>
      <c r="BM31" s="288" t="n"/>
      <c r="BN31" s="37" t="n"/>
      <c r="BO31" s="288" t="n"/>
      <c r="BP31" s="288" t="n"/>
      <c r="BQ31" s="37" t="n"/>
      <c r="BR31" s="288" t="n"/>
      <c r="BS31" s="37" t="n"/>
      <c r="BT31" s="288" t="n"/>
      <c r="BU31" s="37" t="n"/>
      <c r="BV31" s="288" t="n"/>
      <c r="BW31" s="37" t="n"/>
      <c r="BX31" s="288" t="n"/>
      <c r="BY31" s="37" t="n"/>
      <c r="BZ31" s="288" t="n"/>
      <c r="CA31" s="37" t="n"/>
      <c r="CB31" s="288" t="n"/>
      <c r="CC31" s="37" t="n"/>
      <c r="CD31" s="288" t="n"/>
      <c r="CE31" s="37" t="n"/>
      <c r="CF31" s="288" t="n"/>
      <c r="CG31" s="291" t="n"/>
      <c r="CH31" s="288" t="n"/>
      <c r="CI31" s="291" t="n"/>
      <c r="CJ31" s="288" t="n"/>
      <c r="CK31" s="291" t="n"/>
      <c r="CL31" s="288" t="n"/>
      <c r="CM31" s="291" t="n"/>
      <c r="CN31" s="288" t="n"/>
      <c r="CO31" s="80" t="n"/>
      <c r="CP31" s="288" t="n"/>
      <c r="CQ31" s="80" t="n"/>
      <c r="CR31" s="288" t="n"/>
      <c r="CS31" s="80" t="n"/>
      <c r="CT31" s="288" t="n"/>
      <c r="CU31" s="80" t="n"/>
      <c r="CW31" s="288" t="n"/>
      <c r="CX31" s="37" t="n"/>
      <c r="CY31" s="288" t="n"/>
      <c r="CZ31" s="37" t="n"/>
      <c r="DA31" s="288" t="n"/>
      <c r="DB31" s="37" t="n"/>
      <c r="DC31" s="288" t="n"/>
      <c r="DD31" s="37" t="n"/>
      <c r="DE31" s="289" t="n"/>
      <c r="DF31" s="289" t="n"/>
      <c r="DG31" s="79" t="n"/>
    </row>
    <row r="32">
      <c r="A32" s="284" t="n">
        <v>42521</v>
      </c>
      <c r="B32" s="285" t="n">
        <v>20419.18</v>
      </c>
      <c r="C32" s="15">
        <f>B32/B20-1</f>
        <v/>
      </c>
      <c r="D32" s="15" t="n"/>
      <c r="E32" s="285" t="n">
        <v>14166.18</v>
      </c>
      <c r="F32" s="15">
        <f>E32/E20-1</f>
        <v/>
      </c>
      <c r="G32" s="15" t="n"/>
      <c r="H32" s="285" t="n">
        <v>5903.21</v>
      </c>
      <c r="I32" s="15">
        <f>H32/H20-1</f>
        <v/>
      </c>
      <c r="J32" s="15" t="n"/>
      <c r="K32" s="285" t="n">
        <v>349.78</v>
      </c>
      <c r="L32" s="15">
        <f>K32/K20-1</f>
        <v/>
      </c>
      <c r="M32" s="15" t="n"/>
      <c r="N32" s="285" t="n">
        <v>16131.53</v>
      </c>
      <c r="O32" s="15">
        <f>N32/N20-1</f>
        <v/>
      </c>
      <c r="P32" s="15" t="n"/>
      <c r="Q32" s="285" t="n">
        <v>11283.32</v>
      </c>
      <c r="R32" s="15">
        <f>Q32/Q20-1</f>
        <v/>
      </c>
      <c r="S32" s="15" t="n"/>
      <c r="T32" s="285" t="n">
        <v>4592.56</v>
      </c>
      <c r="U32" s="15">
        <f>T32/T20-1</f>
        <v/>
      </c>
      <c r="V32" s="15" t="n"/>
      <c r="W32" s="285" t="n">
        <v>255.66</v>
      </c>
      <c r="X32" s="15">
        <f>W32/W20-1</f>
        <v/>
      </c>
      <c r="Y32" s="15" t="n"/>
      <c r="Z32" s="285" t="n">
        <v>9077.209999999999</v>
      </c>
      <c r="AA32" s="15">
        <f>Z32/Z20-1</f>
        <v/>
      </c>
      <c r="AB32" s="15" t="n"/>
      <c r="AC32" s="285" t="n">
        <v>7771.37</v>
      </c>
      <c r="AD32" s="15">
        <f>AC32/AC20-1</f>
        <v/>
      </c>
      <c r="AE32" s="15" t="n"/>
      <c r="AF32" s="285" t="n">
        <v>1120.19</v>
      </c>
      <c r="AG32" s="15">
        <f>AF32/AF20-1</f>
        <v/>
      </c>
      <c r="AH32" s="15" t="n"/>
      <c r="AI32" s="285" t="n">
        <v>185.66</v>
      </c>
      <c r="AJ32" s="15">
        <f>AI32/AI20-1</f>
        <v/>
      </c>
      <c r="AK32" s="15" t="n"/>
      <c r="AL32" s="286" t="n">
        <v>79</v>
      </c>
      <c r="AM32" s="290">
        <f>AL32-AL20</f>
        <v/>
      </c>
      <c r="AN32" s="15" t="n"/>
      <c r="AO32" s="286" t="n">
        <v>79.65000000000001</v>
      </c>
      <c r="AP32" s="290">
        <f>AO32-AO20</f>
        <v/>
      </c>
      <c r="AQ32" s="15" t="n"/>
      <c r="AR32" s="286" t="n">
        <v>77.8</v>
      </c>
      <c r="AS32" s="290">
        <f>AR32-AR20</f>
        <v/>
      </c>
      <c r="AT32" s="15" t="n"/>
      <c r="AU32" s="286" t="n">
        <v>73.09</v>
      </c>
      <c r="AV32" s="290">
        <f>AU32-AU20</f>
        <v/>
      </c>
      <c r="AW32" s="15" t="n"/>
      <c r="AX32" s="285" t="n">
        <v>0</v>
      </c>
      <c r="AY32" s="15">
        <f>AX32/AX20-1</f>
        <v/>
      </c>
      <c r="AZ32" s="15" t="n"/>
      <c r="BA32" s="287" t="n"/>
      <c r="BB32" s="37" t="n"/>
      <c r="BC32" s="287" t="n"/>
      <c r="BD32" s="37" t="n"/>
      <c r="BE32" s="287" t="n"/>
      <c r="BF32" s="37" t="n"/>
      <c r="BG32" s="287" t="n"/>
      <c r="BH32" s="37" t="n"/>
      <c r="BI32" s="288" t="n"/>
      <c r="BJ32" s="37" t="n"/>
      <c r="BK32" s="288" t="n"/>
      <c r="BL32" s="37" t="n"/>
      <c r="BM32" s="288" t="n"/>
      <c r="BN32" s="37" t="n"/>
      <c r="BO32" s="288" t="n"/>
      <c r="BP32" s="288" t="n"/>
      <c r="BQ32" s="37" t="n"/>
      <c r="BR32" s="288" t="n"/>
      <c r="BS32" s="37" t="n"/>
      <c r="BT32" s="288" t="n"/>
      <c r="BU32" s="37" t="n"/>
      <c r="BV32" s="288" t="n"/>
      <c r="BW32" s="37" t="n"/>
      <c r="BX32" s="288" t="n"/>
      <c r="BY32" s="37" t="n"/>
      <c r="BZ32" s="288" t="n"/>
      <c r="CA32" s="37" t="n"/>
      <c r="CB32" s="288" t="n"/>
      <c r="CC32" s="37" t="n"/>
      <c r="CD32" s="288" t="n"/>
      <c r="CE32" s="37" t="n"/>
      <c r="CF32" s="288" t="n"/>
      <c r="CG32" s="291" t="n"/>
      <c r="CH32" s="288" t="n"/>
      <c r="CI32" s="291" t="n"/>
      <c r="CJ32" s="288" t="n"/>
      <c r="CK32" s="291" t="n"/>
      <c r="CL32" s="288" t="n"/>
      <c r="CM32" s="291" t="n"/>
      <c r="CN32" s="288" t="n"/>
      <c r="CO32" s="80" t="n"/>
      <c r="CP32" s="288" t="n"/>
      <c r="CQ32" s="80" t="n"/>
      <c r="CR32" s="288" t="n"/>
      <c r="CS32" s="80" t="n"/>
      <c r="CT32" s="288" t="n"/>
      <c r="CU32" s="80" t="n"/>
      <c r="CW32" s="288" t="n"/>
      <c r="CX32" s="37" t="n"/>
      <c r="CY32" s="288" t="n"/>
      <c r="CZ32" s="37" t="n"/>
      <c r="DA32" s="288" t="n"/>
      <c r="DB32" s="37" t="n"/>
      <c r="DC32" s="288" t="n"/>
      <c r="DD32" s="37" t="n"/>
      <c r="DE32" s="289" t="n"/>
      <c r="DF32" s="289" t="n"/>
      <c r="DG32" s="79" t="n"/>
    </row>
    <row r="33">
      <c r="A33" s="284" t="n">
        <v>42551</v>
      </c>
      <c r="B33" s="285" t="n">
        <v>19714.94</v>
      </c>
      <c r="C33" s="15">
        <f>B33/B21-1</f>
        <v/>
      </c>
      <c r="D33" s="15" t="n"/>
      <c r="E33" s="285" t="n">
        <v>13660.78</v>
      </c>
      <c r="F33" s="15">
        <f>E33/E21-1</f>
        <v/>
      </c>
      <c r="G33" s="15" t="n"/>
      <c r="H33" s="285" t="n">
        <v>5712.96</v>
      </c>
      <c r="I33" s="15">
        <f>H33/H21-1</f>
        <v/>
      </c>
      <c r="J33" s="15" t="n"/>
      <c r="K33" s="285" t="n">
        <v>341.2</v>
      </c>
      <c r="L33" s="15">
        <f>K33/K21-1</f>
        <v/>
      </c>
      <c r="M33" s="15" t="n"/>
      <c r="N33" s="285" t="n">
        <v>15924.65</v>
      </c>
      <c r="O33" s="15">
        <f>N33/N21-1</f>
        <v/>
      </c>
      <c r="P33" s="15" t="n"/>
      <c r="Q33" s="285" t="n">
        <v>11071.71</v>
      </c>
      <c r="R33" s="15">
        <f>Q33/Q21-1</f>
        <v/>
      </c>
      <c r="S33" s="15" t="n"/>
      <c r="T33" s="285" t="n">
        <v>4601.82</v>
      </c>
      <c r="U33" s="15">
        <f>T33/T21-1</f>
        <v/>
      </c>
      <c r="V33" s="15" t="n"/>
      <c r="W33" s="285" t="n">
        <v>251.13</v>
      </c>
      <c r="X33" s="15">
        <f>W33/W21-1</f>
        <v/>
      </c>
      <c r="Y33" s="15" t="n"/>
      <c r="Z33" s="285" t="n">
        <v>8870.17</v>
      </c>
      <c r="AA33" s="15">
        <f>Z33/Z21-1</f>
        <v/>
      </c>
      <c r="AB33" s="15" t="n"/>
      <c r="AC33" s="285" t="n">
        <v>7582.02</v>
      </c>
      <c r="AD33" s="15">
        <f>AC33/AC21-1</f>
        <v/>
      </c>
      <c r="AE33" s="15" t="n"/>
      <c r="AF33" s="285" t="n">
        <v>1103.38</v>
      </c>
      <c r="AG33" s="15">
        <f>AF33/AF21-1</f>
        <v/>
      </c>
      <c r="AH33" s="15" t="n"/>
      <c r="AI33" s="285" t="n">
        <v>184.77</v>
      </c>
      <c r="AJ33" s="15">
        <f>AI33/AI21-1</f>
        <v/>
      </c>
      <c r="AK33" s="15" t="n"/>
      <c r="AL33" s="286" t="n">
        <v>80.77</v>
      </c>
      <c r="AM33" s="290">
        <f>AL33-AL21</f>
        <v/>
      </c>
      <c r="AN33" s="15" t="n"/>
      <c r="AO33" s="286" t="n">
        <v>81.05</v>
      </c>
      <c r="AP33" s="290">
        <f>AO33-AO21</f>
        <v/>
      </c>
      <c r="AQ33" s="15" t="n"/>
      <c r="AR33" s="286" t="n">
        <v>80.55</v>
      </c>
      <c r="AS33" s="290">
        <f>AR33-AR21</f>
        <v/>
      </c>
      <c r="AT33" s="15" t="n"/>
      <c r="AU33" s="286" t="n">
        <v>73.59999999999999</v>
      </c>
      <c r="AV33" s="290">
        <f>AU33-AU21</f>
        <v/>
      </c>
      <c r="AW33" s="15" t="n"/>
      <c r="AX33" s="285" t="n">
        <v>0</v>
      </c>
      <c r="AY33" s="15">
        <f>AX33/AX21-1</f>
        <v/>
      </c>
      <c r="AZ33" s="15" t="n"/>
      <c r="BA33" s="287" t="n"/>
      <c r="BB33" s="37" t="n"/>
      <c r="BC33" s="287" t="n"/>
      <c r="BD33" s="37" t="n"/>
      <c r="BE33" s="287" t="n"/>
      <c r="BF33" s="37" t="n"/>
      <c r="BG33" s="287" t="n"/>
      <c r="BH33" s="37" t="n"/>
      <c r="BI33" s="288" t="n"/>
      <c r="BJ33" s="37" t="n"/>
      <c r="BK33" s="288" t="n"/>
      <c r="BL33" s="37" t="n"/>
      <c r="BM33" s="288" t="n"/>
      <c r="BN33" s="37" t="n"/>
      <c r="BO33" s="288" t="n"/>
      <c r="BP33" s="288" t="n"/>
      <c r="BQ33" s="37" t="n"/>
      <c r="BR33" s="288" t="n"/>
      <c r="BS33" s="37" t="n"/>
      <c r="BT33" s="288" t="n"/>
      <c r="BU33" s="37" t="n"/>
      <c r="BV33" s="288" t="n"/>
      <c r="BW33" s="37" t="n"/>
      <c r="BX33" s="288" t="n"/>
      <c r="BY33" s="37" t="n"/>
      <c r="BZ33" s="288" t="n"/>
      <c r="CA33" s="37" t="n"/>
      <c r="CB33" s="288" t="n"/>
      <c r="CC33" s="37" t="n"/>
      <c r="CD33" s="288" t="n"/>
      <c r="CE33" s="37" t="n"/>
      <c r="CF33" s="288" t="n"/>
      <c r="CG33" s="291" t="n"/>
      <c r="CH33" s="288" t="n"/>
      <c r="CI33" s="291" t="n"/>
      <c r="CJ33" s="288" t="n"/>
      <c r="CK33" s="291" t="n"/>
      <c r="CL33" s="288" t="n"/>
      <c r="CM33" s="291" t="n"/>
      <c r="CN33" s="288" t="n"/>
      <c r="CO33" s="80" t="n"/>
      <c r="CP33" s="288" t="n"/>
      <c r="CQ33" s="80" t="n"/>
      <c r="CR33" s="288" t="n"/>
      <c r="CS33" s="80" t="n"/>
      <c r="CT33" s="288" t="n"/>
      <c r="CU33" s="80" t="n"/>
      <c r="CW33" s="288" t="n"/>
      <c r="CX33" s="37" t="n"/>
      <c r="CY33" s="288" t="n"/>
      <c r="CZ33" s="37" t="n"/>
      <c r="DA33" s="288" t="n"/>
      <c r="DB33" s="37" t="n"/>
      <c r="DC33" s="288" t="n"/>
      <c r="DD33" s="37" t="n"/>
      <c r="DE33" s="289" t="n"/>
      <c r="DF33" s="289" t="n"/>
      <c r="DG33" s="79" t="n"/>
    </row>
    <row r="34">
      <c r="A34" s="284" t="n">
        <v>42582</v>
      </c>
      <c r="B34" s="285" t="n">
        <v>22752.49</v>
      </c>
      <c r="C34" s="15">
        <f>B34/B22-1</f>
        <v/>
      </c>
      <c r="D34" s="15" t="n"/>
      <c r="E34" s="285" t="n">
        <v>16193.98</v>
      </c>
      <c r="F34" s="15">
        <f>E34/E22-1</f>
        <v/>
      </c>
      <c r="G34" s="15" t="n"/>
      <c r="H34" s="285" t="n">
        <v>6211.59</v>
      </c>
      <c r="I34" s="15">
        <f>H34/H22-1</f>
        <v/>
      </c>
      <c r="J34" s="15" t="n"/>
      <c r="K34" s="285" t="n">
        <v>346.92</v>
      </c>
      <c r="L34" s="15">
        <f>K34/K22-1</f>
        <v/>
      </c>
      <c r="M34" s="15" t="n"/>
      <c r="N34" s="285" t="n">
        <v>18291.58</v>
      </c>
      <c r="O34" s="15">
        <f>N34/N22-1</f>
        <v/>
      </c>
      <c r="P34" s="15" t="n"/>
      <c r="Q34" s="285" t="n">
        <v>12943.49</v>
      </c>
      <c r="R34" s="15">
        <f>Q34/Q22-1</f>
        <v/>
      </c>
      <c r="S34" s="15" t="n"/>
      <c r="T34" s="285" t="n">
        <v>5086.69</v>
      </c>
      <c r="U34" s="15">
        <f>T34/T22-1</f>
        <v/>
      </c>
      <c r="V34" s="15" t="n"/>
      <c r="W34" s="285" t="n">
        <v>261.41</v>
      </c>
      <c r="X34" s="15">
        <f>W34/W22-1</f>
        <v/>
      </c>
      <c r="Y34" s="15" t="n"/>
      <c r="Z34" s="285" t="n">
        <v>10255.79</v>
      </c>
      <c r="AA34" s="15">
        <f>Z34/Z22-1</f>
        <v/>
      </c>
      <c r="AB34" s="15" t="n"/>
      <c r="AC34" s="285" t="n">
        <v>8813</v>
      </c>
      <c r="AD34" s="15">
        <f>AC34/AC22-1</f>
        <v/>
      </c>
      <c r="AE34" s="15" t="n"/>
      <c r="AF34" s="285" t="n">
        <v>1243.01</v>
      </c>
      <c r="AG34" s="15">
        <f>AF34/AF22-1</f>
        <v/>
      </c>
      <c r="AH34" s="15" t="n"/>
      <c r="AI34" s="285" t="n">
        <v>199.77</v>
      </c>
      <c r="AJ34" s="15">
        <f>AI34/AI22-1</f>
        <v/>
      </c>
      <c r="AK34" s="15" t="n"/>
      <c r="AL34" s="286" t="n">
        <v>80.39</v>
      </c>
      <c r="AM34" s="290">
        <f>AL34-AL22</f>
        <v/>
      </c>
      <c r="AN34" s="15" t="n"/>
      <c r="AO34" s="286" t="n">
        <v>79.93000000000001</v>
      </c>
      <c r="AP34" s="290">
        <f>AO34-AO22</f>
        <v/>
      </c>
      <c r="AQ34" s="15" t="n"/>
      <c r="AR34" s="286" t="n">
        <v>81.89</v>
      </c>
      <c r="AS34" s="290">
        <f>AR34-AR22</f>
        <v/>
      </c>
      <c r="AT34" s="15" t="n"/>
      <c r="AU34" s="286" t="n">
        <v>73.34999999999999</v>
      </c>
      <c r="AV34" s="290">
        <f>AU34-AU22</f>
        <v/>
      </c>
      <c r="AW34" s="15" t="n"/>
      <c r="AX34" s="285" t="n">
        <v>0</v>
      </c>
      <c r="AY34" s="15">
        <f>AX34/AX22-1</f>
        <v/>
      </c>
      <c r="AZ34" s="15" t="n"/>
      <c r="BA34" s="287" t="n"/>
      <c r="BB34" s="37" t="n"/>
      <c r="BC34" s="287" t="n"/>
      <c r="BD34" s="37" t="n"/>
      <c r="BE34" s="287" t="n"/>
      <c r="BF34" s="37" t="n"/>
      <c r="BG34" s="287" t="n"/>
      <c r="BH34" s="37" t="n"/>
      <c r="BI34" s="288" t="n"/>
      <c r="BJ34" s="37" t="n"/>
      <c r="BK34" s="288" t="n"/>
      <c r="BL34" s="37" t="n"/>
      <c r="BM34" s="288" t="n"/>
      <c r="BN34" s="37" t="n"/>
      <c r="BO34" s="288" t="n"/>
      <c r="BP34" s="288" t="n"/>
      <c r="BQ34" s="37" t="n"/>
      <c r="BR34" s="288" t="n"/>
      <c r="BS34" s="37" t="n"/>
      <c r="BT34" s="288" t="n"/>
      <c r="BU34" s="37" t="n"/>
      <c r="BV34" s="288" t="n"/>
      <c r="BW34" s="37" t="n"/>
      <c r="BX34" s="288" t="n"/>
      <c r="BY34" s="37" t="n"/>
      <c r="BZ34" s="288" t="n"/>
      <c r="CA34" s="37" t="n"/>
      <c r="CB34" s="288" t="n"/>
      <c r="CC34" s="37" t="n"/>
      <c r="CD34" s="288" t="n"/>
      <c r="CE34" s="37" t="n"/>
      <c r="CF34" s="288" t="n"/>
      <c r="CG34" s="291" t="n"/>
      <c r="CH34" s="288" t="n"/>
      <c r="CI34" s="291" t="n"/>
      <c r="CJ34" s="288" t="n"/>
      <c r="CK34" s="291" t="n"/>
      <c r="CL34" s="288" t="n"/>
      <c r="CM34" s="291" t="n"/>
      <c r="CN34" s="288" t="n"/>
      <c r="CO34" s="80" t="n"/>
      <c r="CP34" s="288" t="n"/>
      <c r="CQ34" s="80" t="n"/>
      <c r="CR34" s="288" t="n"/>
      <c r="CS34" s="80" t="n"/>
      <c r="CT34" s="288" t="n"/>
      <c r="CU34" s="80" t="n"/>
      <c r="CW34" s="288" t="n"/>
      <c r="CX34" s="37" t="n"/>
      <c r="CY34" s="288" t="n"/>
      <c r="CZ34" s="37" t="n"/>
      <c r="DA34" s="288" t="n"/>
      <c r="DB34" s="37" t="n"/>
      <c r="DC34" s="288" t="n"/>
      <c r="DD34" s="37" t="n"/>
      <c r="DE34" s="289" t="n"/>
      <c r="DF34" s="289" t="n"/>
      <c r="DG34" s="79" t="n"/>
    </row>
    <row r="35">
      <c r="A35" s="284" t="n">
        <v>42613</v>
      </c>
      <c r="B35" s="285" t="n">
        <v>23528.84</v>
      </c>
      <c r="C35" s="15">
        <f>B35/B23-1</f>
        <v/>
      </c>
      <c r="D35" s="15" t="n"/>
      <c r="E35" s="285" t="n">
        <v>16741.26</v>
      </c>
      <c r="F35" s="15">
        <f>E35/E23-1</f>
        <v/>
      </c>
      <c r="G35" s="15" t="n"/>
      <c r="H35" s="285" t="n">
        <v>6441.24</v>
      </c>
      <c r="I35" s="15">
        <f>H35/H23-1</f>
        <v/>
      </c>
      <c r="J35" s="15" t="n"/>
      <c r="K35" s="285" t="n">
        <v>346.34</v>
      </c>
      <c r="L35" s="15">
        <f>K35/K23-1</f>
        <v/>
      </c>
      <c r="M35" s="15" t="n"/>
      <c r="N35" s="285" t="n">
        <v>19600.9</v>
      </c>
      <c r="O35" s="15">
        <f>N35/N23-1</f>
        <v/>
      </c>
      <c r="P35" s="15" t="n"/>
      <c r="Q35" s="285" t="n">
        <v>14020.25</v>
      </c>
      <c r="R35" s="15">
        <f>Q35/Q23-1</f>
        <v/>
      </c>
      <c r="S35" s="15" t="n"/>
      <c r="T35" s="285" t="n">
        <v>5318.82</v>
      </c>
      <c r="U35" s="15">
        <f>T35/T23-1</f>
        <v/>
      </c>
      <c r="V35" s="15" t="n"/>
      <c r="W35" s="285" t="n">
        <v>261.83</v>
      </c>
      <c r="X35" s="15">
        <f>W35/W23-1</f>
        <v/>
      </c>
      <c r="Y35" s="15" t="n"/>
      <c r="Z35" s="285" t="n">
        <v>11045.47</v>
      </c>
      <c r="AA35" s="15">
        <f>Z35/Z23-1</f>
        <v/>
      </c>
      <c r="AB35" s="15" t="n"/>
      <c r="AC35" s="285" t="n">
        <v>9570.34</v>
      </c>
      <c r="AD35" s="15">
        <f>AC35/AC23-1</f>
        <v/>
      </c>
      <c r="AE35" s="15" t="n"/>
      <c r="AF35" s="285" t="n">
        <v>1273.72</v>
      </c>
      <c r="AG35" s="15">
        <f>AF35/AF23-1</f>
        <v/>
      </c>
      <c r="AH35" s="15" t="n"/>
      <c r="AI35" s="285" t="n">
        <v>201.41</v>
      </c>
      <c r="AJ35" s="15">
        <f>AI35/AI23-1</f>
        <v/>
      </c>
      <c r="AK35" s="15" t="n"/>
      <c r="AL35" s="286" t="n">
        <v>83.31</v>
      </c>
      <c r="AM35" s="290">
        <f>AL35-AL23</f>
        <v/>
      </c>
      <c r="AN35" s="15" t="n"/>
      <c r="AO35" s="286" t="n">
        <v>83.75</v>
      </c>
      <c r="AP35" s="290">
        <f>AO35-AO23</f>
        <v/>
      </c>
      <c r="AQ35" s="15" t="n"/>
      <c r="AR35" s="286" t="n">
        <v>82.56999999999999</v>
      </c>
      <c r="AS35" s="290">
        <f>AR35-AR23</f>
        <v/>
      </c>
      <c r="AT35" s="15" t="n"/>
      <c r="AU35" s="286" t="n">
        <v>75.59999999999999</v>
      </c>
      <c r="AV35" s="290">
        <f>AU35-AU23</f>
        <v/>
      </c>
      <c r="AW35" s="15" t="n"/>
      <c r="AX35" s="285" t="n">
        <v>0</v>
      </c>
      <c r="AY35" s="15">
        <f>AX35/AX23-1</f>
        <v/>
      </c>
      <c r="AZ35" s="15" t="n"/>
      <c r="BA35" s="287" t="n"/>
      <c r="BB35" s="37" t="n"/>
      <c r="BC35" s="287" t="n"/>
      <c r="BD35" s="37" t="n"/>
      <c r="BE35" s="287" t="n"/>
      <c r="BF35" s="37" t="n"/>
      <c r="BG35" s="287" t="n"/>
      <c r="BH35" s="37" t="n"/>
      <c r="BI35" s="288" t="n"/>
      <c r="BJ35" s="37" t="n"/>
      <c r="BK35" s="288" t="n"/>
      <c r="BL35" s="37" t="n"/>
      <c r="BM35" s="288" t="n"/>
      <c r="BN35" s="37" t="n"/>
      <c r="BO35" s="288" t="n"/>
      <c r="BP35" s="288" t="n"/>
      <c r="BQ35" s="37" t="n"/>
      <c r="BR35" s="288" t="n"/>
      <c r="BS35" s="37" t="n"/>
      <c r="BT35" s="288" t="n"/>
      <c r="BU35" s="37" t="n"/>
      <c r="BV35" s="288" t="n"/>
      <c r="BW35" s="37" t="n"/>
      <c r="BX35" s="288" t="n"/>
      <c r="BY35" s="37" t="n"/>
      <c r="BZ35" s="288" t="n"/>
      <c r="CA35" s="37" t="n"/>
      <c r="CB35" s="288" t="n"/>
      <c r="CC35" s="37" t="n"/>
      <c r="CD35" s="288" t="n"/>
      <c r="CE35" s="37" t="n"/>
      <c r="CF35" s="288" t="n"/>
      <c r="CG35" s="291" t="n"/>
      <c r="CH35" s="288" t="n"/>
      <c r="CI35" s="291" t="n"/>
      <c r="CJ35" s="288" t="n"/>
      <c r="CK35" s="291" t="n"/>
      <c r="CL35" s="288" t="n"/>
      <c r="CM35" s="291" t="n"/>
      <c r="CN35" s="288" t="n"/>
      <c r="CO35" s="80" t="n"/>
      <c r="CP35" s="288" t="n"/>
      <c r="CQ35" s="80" t="n"/>
      <c r="CR35" s="288" t="n"/>
      <c r="CS35" s="80" t="n"/>
      <c r="CT35" s="288" t="n"/>
      <c r="CU35" s="80" t="n"/>
      <c r="CW35" s="288" t="n"/>
      <c r="CX35" s="37" t="n"/>
      <c r="CY35" s="288" t="n"/>
      <c r="CZ35" s="37" t="n"/>
      <c r="DA35" s="288" t="n"/>
      <c r="DB35" s="37" t="n"/>
      <c r="DC35" s="288" t="n"/>
      <c r="DD35" s="37" t="n"/>
      <c r="DE35" s="289" t="n"/>
      <c r="DF35" s="289" t="n"/>
      <c r="DG35" s="79" t="n"/>
    </row>
    <row r="36">
      <c r="A36" s="284" t="n">
        <v>42643</v>
      </c>
      <c r="B36" s="285" t="n">
        <v>21464.35</v>
      </c>
      <c r="C36" s="15">
        <f>B36/B24-1</f>
        <v/>
      </c>
      <c r="D36" s="15" t="n"/>
      <c r="E36" s="285" t="n">
        <v>15123.56</v>
      </c>
      <c r="F36" s="15">
        <f>E36/E24-1</f>
        <v/>
      </c>
      <c r="G36" s="15" t="n"/>
      <c r="H36" s="285" t="n">
        <v>6007.93</v>
      </c>
      <c r="I36" s="15">
        <f>H36/H24-1</f>
        <v/>
      </c>
      <c r="J36" s="15" t="n"/>
      <c r="K36" s="285" t="n">
        <v>332.87</v>
      </c>
      <c r="L36" s="15">
        <f>K36/K24-1</f>
        <v/>
      </c>
      <c r="M36" s="15" t="n"/>
      <c r="N36" s="285" t="n">
        <v>17349.08</v>
      </c>
      <c r="O36" s="15">
        <f>N36/N24-1</f>
        <v/>
      </c>
      <c r="P36" s="15" t="n"/>
      <c r="Q36" s="285" t="n">
        <v>12411.42</v>
      </c>
      <c r="R36" s="15">
        <f>Q36/Q24-1</f>
        <v/>
      </c>
      <c r="S36" s="15" t="n"/>
      <c r="T36" s="285" t="n">
        <v>4703.64</v>
      </c>
      <c r="U36" s="15">
        <f>T36/T24-1</f>
        <v/>
      </c>
      <c r="V36" s="15" t="n"/>
      <c r="W36" s="285" t="n">
        <v>234.02</v>
      </c>
      <c r="X36" s="15">
        <f>W36/W24-1</f>
        <v/>
      </c>
      <c r="Y36" s="15" t="n"/>
      <c r="Z36" s="285" t="n">
        <v>9673.969999999999</v>
      </c>
      <c r="AA36" s="15">
        <f>Z36/Z24-1</f>
        <v/>
      </c>
      <c r="AB36" s="15" t="n"/>
      <c r="AC36" s="285" t="n">
        <v>8433.4</v>
      </c>
      <c r="AD36" s="15">
        <f>AC36/AC24-1</f>
        <v/>
      </c>
      <c r="AE36" s="15" t="n"/>
      <c r="AF36" s="285" t="n">
        <v>1068.17</v>
      </c>
      <c r="AG36" s="15">
        <f>AF36/AF24-1</f>
        <v/>
      </c>
      <c r="AH36" s="15" t="n"/>
      <c r="AI36" s="285" t="n">
        <v>172.39</v>
      </c>
      <c r="AJ36" s="15">
        <f>AI36/AI24-1</f>
        <v/>
      </c>
      <c r="AK36" s="15" t="n"/>
      <c r="AL36" s="286" t="n">
        <v>80.83</v>
      </c>
      <c r="AM36" s="290">
        <f>AL36-AL24</f>
        <v/>
      </c>
      <c r="AN36" s="15" t="n"/>
      <c r="AO36" s="286" t="n">
        <v>82.06999999999999</v>
      </c>
      <c r="AP36" s="290">
        <f>AO36-AO24</f>
        <v/>
      </c>
      <c r="AQ36" s="15" t="n"/>
      <c r="AR36" s="286" t="n">
        <v>78.2929</v>
      </c>
      <c r="AS36" s="290">
        <f>AR36-AR24</f>
        <v/>
      </c>
      <c r="AT36" s="15" t="n"/>
      <c r="AU36" s="286" t="n">
        <v>70.31</v>
      </c>
      <c r="AV36" s="290">
        <f>AU36-AU24</f>
        <v/>
      </c>
      <c r="AW36" s="15" t="n"/>
      <c r="AX36" s="285" t="n">
        <v>0</v>
      </c>
      <c r="AY36" s="15">
        <f>AX36/AX24-1</f>
        <v/>
      </c>
      <c r="AZ36" s="15" t="n"/>
      <c r="BA36" s="287" t="n"/>
      <c r="BB36" s="37" t="n"/>
      <c r="BC36" s="287" t="n"/>
      <c r="BD36" s="37" t="n"/>
      <c r="BE36" s="287" t="n"/>
      <c r="BF36" s="37" t="n"/>
      <c r="BG36" s="287" t="n"/>
      <c r="BH36" s="37" t="n"/>
      <c r="BI36" s="288" t="n"/>
      <c r="BJ36" s="37" t="n"/>
      <c r="BK36" s="288" t="n"/>
      <c r="BL36" s="37" t="n"/>
      <c r="BM36" s="288" t="n"/>
      <c r="BN36" s="37" t="n"/>
      <c r="BO36" s="288" t="n"/>
      <c r="BP36" s="288" t="n"/>
      <c r="BQ36" s="37" t="n"/>
      <c r="BR36" s="288" t="n"/>
      <c r="BS36" s="37" t="n"/>
      <c r="BT36" s="288" t="n"/>
      <c r="BU36" s="37" t="n"/>
      <c r="BV36" s="288" t="n"/>
      <c r="BW36" s="37" t="n"/>
      <c r="BX36" s="288" t="n"/>
      <c r="BY36" s="37" t="n"/>
      <c r="BZ36" s="288" t="n"/>
      <c r="CA36" s="37" t="n"/>
      <c r="CB36" s="288" t="n"/>
      <c r="CC36" s="37" t="n"/>
      <c r="CD36" s="288" t="n"/>
      <c r="CE36" s="37" t="n"/>
      <c r="CF36" s="288" t="n"/>
      <c r="CG36" s="291" t="n"/>
      <c r="CH36" s="288" t="n"/>
      <c r="CI36" s="291" t="n"/>
      <c r="CJ36" s="288" t="n"/>
      <c r="CK36" s="291" t="n"/>
      <c r="CL36" s="288" t="n"/>
      <c r="CM36" s="291" t="n"/>
      <c r="CN36" s="288" t="n"/>
      <c r="CO36" s="80" t="n"/>
      <c r="CP36" s="288" t="n"/>
      <c r="CQ36" s="80" t="n"/>
      <c r="CR36" s="288" t="n"/>
      <c r="CS36" s="80" t="n"/>
      <c r="CT36" s="288" t="n"/>
      <c r="CU36" s="80" t="n"/>
      <c r="CW36" s="288" t="n"/>
      <c r="CX36" s="37" t="n"/>
      <c r="CY36" s="288" t="n"/>
      <c r="CZ36" s="37" t="n"/>
      <c r="DA36" s="288" t="n"/>
      <c r="DB36" s="37" t="n"/>
      <c r="DC36" s="288" t="n"/>
      <c r="DD36" s="37" t="n"/>
      <c r="DE36" s="289" t="n"/>
      <c r="DF36" s="289" t="n"/>
      <c r="DG36" s="79" t="n"/>
    </row>
    <row r="37">
      <c r="A37" s="284" t="n">
        <v>42674</v>
      </c>
      <c r="B37" s="285" t="n">
        <v>22198.7</v>
      </c>
      <c r="C37" s="15">
        <f>B37/B25-1</f>
        <v/>
      </c>
      <c r="D37" s="15" t="n"/>
      <c r="E37" s="285" t="n">
        <v>15687.03</v>
      </c>
      <c r="F37" s="15">
        <f>E37/E25-1</f>
        <v/>
      </c>
      <c r="G37" s="15" t="n"/>
      <c r="H37" s="285" t="n">
        <v>6181.5</v>
      </c>
      <c r="I37" s="15">
        <f>H37/H25-1</f>
        <v/>
      </c>
      <c r="J37" s="15" t="n"/>
      <c r="K37" s="285" t="n">
        <v>330.16</v>
      </c>
      <c r="L37" s="15">
        <f>K37/K25-1</f>
        <v/>
      </c>
      <c r="M37" s="15" t="n"/>
      <c r="N37" s="285" t="n">
        <v>18107.57</v>
      </c>
      <c r="O37" s="15">
        <f>N37/N25-1</f>
        <v/>
      </c>
      <c r="P37" s="15" t="n"/>
      <c r="Q37" s="285" t="n">
        <v>13030.82</v>
      </c>
      <c r="R37" s="15">
        <f>Q37/Q25-1</f>
        <v/>
      </c>
      <c r="S37" s="15" t="n"/>
      <c r="T37" s="285" t="n">
        <v>4847.49</v>
      </c>
      <c r="U37" s="15">
        <f>T37/T25-1</f>
        <v/>
      </c>
      <c r="V37" s="15" t="n"/>
      <c r="W37" s="285" t="n">
        <v>229.26</v>
      </c>
      <c r="X37" s="15">
        <f>W37/W25-1</f>
        <v/>
      </c>
      <c r="Y37" s="15" t="n"/>
      <c r="Z37" s="285" t="n">
        <v>10219.86</v>
      </c>
      <c r="AA37" s="15">
        <f>Z37/Z25-1</f>
        <v/>
      </c>
      <c r="AB37" s="15" t="n"/>
      <c r="AC37" s="285" t="n">
        <v>8945.23</v>
      </c>
      <c r="AD37" s="15">
        <f>AC37/AC25-1</f>
        <v/>
      </c>
      <c r="AE37" s="15" t="n"/>
      <c r="AF37" s="285" t="n">
        <v>1096.65</v>
      </c>
      <c r="AG37" s="15">
        <f>AF37/AF25-1</f>
        <v/>
      </c>
      <c r="AH37" s="15" t="n"/>
      <c r="AI37" s="285" t="n">
        <v>177.98</v>
      </c>
      <c r="AJ37" s="15">
        <f>AI37/AI25-1</f>
        <v/>
      </c>
      <c r="AK37" s="15" t="n"/>
      <c r="AL37" s="286" t="n">
        <v>81.56999999999999</v>
      </c>
      <c r="AM37" s="290">
        <f>AL37-AL25</f>
        <v/>
      </c>
      <c r="AN37" s="15" t="n"/>
      <c r="AO37" s="286" t="n">
        <v>83.06999999999999</v>
      </c>
      <c r="AP37" s="290">
        <f>AO37-AO25</f>
        <v/>
      </c>
      <c r="AQ37" s="15" t="n"/>
      <c r="AR37" s="286" t="n">
        <v>78.42</v>
      </c>
      <c r="AS37" s="290">
        <f>AR37-AR25</f>
        <v/>
      </c>
      <c r="AT37" s="15" t="n"/>
      <c r="AU37" s="286" t="n">
        <v>69.44</v>
      </c>
      <c r="AV37" s="290">
        <f>AU37-AU25</f>
        <v/>
      </c>
      <c r="AW37" s="15" t="n"/>
      <c r="AX37" s="285" t="n">
        <v>0</v>
      </c>
      <c r="AY37" s="15">
        <f>AX37/AX25-1</f>
        <v/>
      </c>
      <c r="AZ37" s="15" t="n"/>
      <c r="BA37" s="287" t="n"/>
      <c r="BB37" s="37" t="n"/>
      <c r="BC37" s="287" t="n"/>
      <c r="BD37" s="37" t="n"/>
      <c r="BE37" s="287" t="n"/>
      <c r="BF37" s="37" t="n"/>
      <c r="BG37" s="287" t="n"/>
      <c r="BH37" s="37" t="n"/>
      <c r="BI37" s="288" t="n"/>
      <c r="BJ37" s="37" t="n"/>
      <c r="BK37" s="288" t="n"/>
      <c r="BL37" s="37" t="n"/>
      <c r="BM37" s="288" t="n"/>
      <c r="BN37" s="37" t="n"/>
      <c r="BO37" s="288" t="n"/>
      <c r="BP37" s="288" t="n"/>
      <c r="BQ37" s="37" t="n"/>
      <c r="BR37" s="288" t="n"/>
      <c r="BS37" s="37" t="n"/>
      <c r="BT37" s="288" t="n"/>
      <c r="BU37" s="37" t="n"/>
      <c r="BV37" s="288" t="n"/>
      <c r="BW37" s="37" t="n"/>
      <c r="BX37" s="288" t="n"/>
      <c r="BY37" s="37" t="n"/>
      <c r="BZ37" s="288" t="n"/>
      <c r="CA37" s="37" t="n"/>
      <c r="CB37" s="288" t="n"/>
      <c r="CC37" s="37" t="n"/>
      <c r="CD37" s="288" t="n"/>
      <c r="CE37" s="37" t="n"/>
      <c r="CF37" s="288" t="n"/>
      <c r="CG37" s="291" t="n"/>
      <c r="CH37" s="288" t="n"/>
      <c r="CI37" s="291" t="n"/>
      <c r="CJ37" s="288" t="n"/>
      <c r="CK37" s="291" t="n"/>
      <c r="CL37" s="288" t="n"/>
      <c r="CM37" s="291" t="n"/>
      <c r="CN37" s="288" t="n"/>
      <c r="CO37" s="80" t="n"/>
      <c r="CP37" s="288" t="n"/>
      <c r="CQ37" s="80" t="n"/>
      <c r="CR37" s="288" t="n"/>
      <c r="CS37" s="80" t="n"/>
      <c r="CT37" s="288" t="n"/>
      <c r="CU37" s="80" t="n"/>
      <c r="CW37" s="288" t="n"/>
      <c r="CX37" s="37" t="n"/>
      <c r="CY37" s="288" t="n"/>
      <c r="CZ37" s="37" t="n"/>
      <c r="DA37" s="288" t="n"/>
      <c r="DB37" s="37" t="n"/>
      <c r="DC37" s="288" t="n"/>
      <c r="DD37" s="37" t="n"/>
      <c r="DE37" s="289" t="n"/>
      <c r="DF37" s="289" t="n"/>
      <c r="DG37" s="79" t="n"/>
    </row>
    <row r="38">
      <c r="A38" s="284" t="n">
        <v>42704</v>
      </c>
      <c r="B38" s="285" t="n">
        <v>21071.24</v>
      </c>
      <c r="C38" s="15">
        <f>B38/B26-1</f>
        <v/>
      </c>
      <c r="D38" s="15" t="n"/>
      <c r="E38" s="285" t="n">
        <v>14936.97</v>
      </c>
      <c r="F38" s="15">
        <f>E38/E26-1</f>
        <v/>
      </c>
      <c r="G38" s="15" t="n"/>
      <c r="H38" s="285" t="n">
        <v>5850.83</v>
      </c>
      <c r="I38" s="15">
        <f>H38/H26-1</f>
        <v/>
      </c>
      <c r="J38" s="15" t="n"/>
      <c r="K38" s="285" t="n">
        <v>283.44</v>
      </c>
      <c r="L38" s="15">
        <f>K38/K26-1</f>
        <v/>
      </c>
      <c r="M38" s="15" t="n"/>
      <c r="N38" s="285" t="n">
        <v>16705.86</v>
      </c>
      <c r="O38" s="15">
        <f>N38/N26-1</f>
        <v/>
      </c>
      <c r="P38" s="15" t="n"/>
      <c r="Q38" s="285" t="n">
        <v>11883.12</v>
      </c>
      <c r="R38" s="15">
        <f>Q38/Q26-1</f>
        <v/>
      </c>
      <c r="S38" s="15" t="n"/>
      <c r="T38" s="285" t="n">
        <v>4609.96</v>
      </c>
      <c r="U38" s="15">
        <f>T38/T26-1</f>
        <v/>
      </c>
      <c r="V38" s="15" t="n"/>
      <c r="W38" s="285" t="n">
        <v>206.78</v>
      </c>
      <c r="X38" s="15">
        <f>W38/W26-1</f>
        <v/>
      </c>
      <c r="Y38" s="15" t="n"/>
      <c r="Z38" s="285" t="n">
        <v>9296.540000000001</v>
      </c>
      <c r="AA38" s="15">
        <f>Z38/Z26-1</f>
        <v/>
      </c>
      <c r="AB38" s="15" t="n"/>
      <c r="AC38" s="285" t="n">
        <v>8070.58</v>
      </c>
      <c r="AD38" s="15">
        <f>AC38/AC26-1</f>
        <v/>
      </c>
      <c r="AE38" s="15" t="n"/>
      <c r="AF38" s="285" t="n">
        <v>1057.43</v>
      </c>
      <c r="AG38" s="15">
        <f>AF38/AF26-1</f>
        <v/>
      </c>
      <c r="AH38" s="15" t="n"/>
      <c r="AI38" s="285" t="n">
        <v>168.54</v>
      </c>
      <c r="AJ38" s="15">
        <f>AI38/AI26-1</f>
        <v/>
      </c>
      <c r="AK38" s="15" t="n"/>
      <c r="AL38" s="286" t="n">
        <v>79.28</v>
      </c>
      <c r="AM38" s="290">
        <f>AL38-AL26</f>
        <v/>
      </c>
      <c r="AN38" s="15" t="n"/>
      <c r="AO38" s="286" t="n">
        <v>79.59999999999999</v>
      </c>
      <c r="AP38" s="290">
        <f>AO38-AO26</f>
        <v/>
      </c>
      <c r="AQ38" s="15" t="n"/>
      <c r="AR38" s="286" t="n">
        <v>78.79000000000001</v>
      </c>
      <c r="AS38" s="290">
        <f>AR38-AR26</f>
        <v/>
      </c>
      <c r="AT38" s="15" t="n"/>
      <c r="AU38" s="286" t="n">
        <v>72.95</v>
      </c>
      <c r="AV38" s="290">
        <f>AU38-AU26</f>
        <v/>
      </c>
      <c r="AW38" s="15" t="n"/>
      <c r="AX38" s="285" t="n">
        <v>0</v>
      </c>
      <c r="AY38" s="15">
        <f>AX38/AX26-1</f>
        <v/>
      </c>
      <c r="AZ38" s="15" t="n"/>
      <c r="BA38" s="287" t="n"/>
      <c r="BB38" s="37" t="n"/>
      <c r="BC38" s="287" t="n"/>
      <c r="BD38" s="37" t="n"/>
      <c r="BE38" s="287" t="n"/>
      <c r="BF38" s="37" t="n"/>
      <c r="BG38" s="287" t="n"/>
      <c r="BH38" s="37" t="n"/>
      <c r="BI38" s="288" t="n"/>
      <c r="BJ38" s="37" t="n"/>
      <c r="BK38" s="288" t="n"/>
      <c r="BL38" s="37" t="n"/>
      <c r="BM38" s="288" t="n"/>
      <c r="BN38" s="37" t="n"/>
      <c r="BO38" s="288" t="n"/>
      <c r="BP38" s="288" t="n"/>
      <c r="BQ38" s="37" t="n"/>
      <c r="BR38" s="288" t="n"/>
      <c r="BS38" s="37" t="n"/>
      <c r="BT38" s="288" t="n"/>
      <c r="BU38" s="37" t="n"/>
      <c r="BV38" s="288" t="n"/>
      <c r="BW38" s="37" t="n"/>
      <c r="BX38" s="288" t="n"/>
      <c r="BY38" s="37" t="n"/>
      <c r="BZ38" s="288" t="n"/>
      <c r="CA38" s="37" t="n"/>
      <c r="CB38" s="288" t="n"/>
      <c r="CC38" s="37" t="n"/>
      <c r="CD38" s="288" t="n"/>
      <c r="CE38" s="37" t="n"/>
      <c r="CF38" s="288" t="n"/>
      <c r="CG38" s="291" t="n"/>
      <c r="CH38" s="288" t="n"/>
      <c r="CI38" s="291" t="n"/>
      <c r="CJ38" s="288" t="n"/>
      <c r="CK38" s="291" t="n"/>
      <c r="CL38" s="288" t="n"/>
      <c r="CM38" s="291" t="n"/>
      <c r="CN38" s="288" t="n"/>
      <c r="CO38" s="80" t="n"/>
      <c r="CP38" s="288" t="n"/>
      <c r="CQ38" s="80" t="n"/>
      <c r="CR38" s="288" t="n"/>
      <c r="CS38" s="80" t="n"/>
      <c r="CT38" s="288" t="n"/>
      <c r="CU38" s="80" t="n"/>
      <c r="CW38" s="288" t="n"/>
      <c r="CX38" s="37" t="n"/>
      <c r="CY38" s="288" t="n"/>
      <c r="CZ38" s="37" t="n"/>
      <c r="DA38" s="288" t="n"/>
      <c r="DB38" s="37" t="n"/>
      <c r="DC38" s="288" t="n"/>
      <c r="DD38" s="37" t="n"/>
      <c r="DE38" s="289" t="n"/>
      <c r="DF38" s="289" t="n"/>
      <c r="DG38" s="79" t="n"/>
    </row>
    <row r="39">
      <c r="A39" s="284" t="n">
        <v>42735</v>
      </c>
      <c r="B39" s="285" t="n">
        <v>22092.44</v>
      </c>
      <c r="C39" s="15">
        <f>B39/B27-1</f>
        <v/>
      </c>
      <c r="D39" s="15" t="n"/>
      <c r="E39" s="285" t="n">
        <v>15202.47</v>
      </c>
      <c r="F39" s="15">
        <f>E39/E27-1</f>
        <v/>
      </c>
      <c r="G39" s="15" t="n"/>
      <c r="H39" s="285" t="n">
        <v>6595.45</v>
      </c>
      <c r="I39" s="15">
        <f>H39/H27-1</f>
        <v/>
      </c>
      <c r="J39" s="15" t="n"/>
      <c r="K39" s="285" t="n">
        <v>294.51</v>
      </c>
      <c r="L39" s="15">
        <f>K39/K27-1</f>
        <v/>
      </c>
      <c r="M39" s="15" t="n"/>
      <c r="N39" s="285" t="n">
        <v>17654.89</v>
      </c>
      <c r="O39" s="15">
        <f>N39/N27-1</f>
        <v/>
      </c>
      <c r="P39" s="15" t="n"/>
      <c r="Q39" s="285" t="n">
        <v>12115.11</v>
      </c>
      <c r="R39" s="15">
        <f>Q39/Q27-1</f>
        <v/>
      </c>
      <c r="S39" s="15" t="n"/>
      <c r="T39" s="285" t="n">
        <v>5321.91</v>
      </c>
      <c r="U39" s="15">
        <f>T39/T27-1</f>
        <v/>
      </c>
      <c r="V39" s="15" t="n"/>
      <c r="W39" s="285" t="n">
        <v>217.87</v>
      </c>
      <c r="X39" s="15">
        <f>W39/W27-1</f>
        <v/>
      </c>
      <c r="Y39" s="15" t="n"/>
      <c r="Z39" s="285" t="n">
        <v>9460.4</v>
      </c>
      <c r="AA39" s="15">
        <f>Z39/Z27-1</f>
        <v/>
      </c>
      <c r="AB39" s="15" t="n"/>
      <c r="AC39" s="285" t="n">
        <v>8098.86</v>
      </c>
      <c r="AD39" s="15">
        <f>AC39/AC27-1</f>
        <v/>
      </c>
      <c r="AE39" s="15" t="n"/>
      <c r="AF39" s="285" t="n">
        <v>1184.34</v>
      </c>
      <c r="AG39" s="15">
        <f>AF39/AF27-1</f>
        <v/>
      </c>
      <c r="AH39" s="15" t="n"/>
      <c r="AI39" s="285" t="n">
        <v>177.19</v>
      </c>
      <c r="AJ39" s="15">
        <f>AI39/AI27-1</f>
        <v/>
      </c>
      <c r="AK39" s="15" t="n"/>
      <c r="AL39" s="286" t="n">
        <v>79.91</v>
      </c>
      <c r="AM39" s="290">
        <f>AL39-AL27</f>
        <v/>
      </c>
      <c r="AN39" s="15" t="n"/>
      <c r="AO39" s="286" t="n">
        <v>79.69</v>
      </c>
      <c r="AP39" s="290">
        <f>AO39-AO27</f>
        <v/>
      </c>
      <c r="AQ39" s="15" t="n"/>
      <c r="AR39" s="286" t="n">
        <v>80.69</v>
      </c>
      <c r="AS39" s="290">
        <f>AR39-AR27</f>
        <v/>
      </c>
      <c r="AT39" s="15" t="n"/>
      <c r="AU39" s="286" t="n">
        <v>73.98</v>
      </c>
      <c r="AV39" s="290">
        <f>AU39-AU27</f>
        <v/>
      </c>
      <c r="AW39" s="15" t="n"/>
      <c r="AX39" s="285" t="n">
        <v>0</v>
      </c>
      <c r="AY39" s="15">
        <f>AX39/AX27-1</f>
        <v/>
      </c>
      <c r="AZ39" s="15" t="n"/>
      <c r="BA39" s="287" t="n"/>
      <c r="BB39" s="37" t="n"/>
      <c r="BC39" s="287" t="n"/>
      <c r="BD39" s="37" t="n"/>
      <c r="BE39" s="287" t="n"/>
      <c r="BF39" s="37" t="n"/>
      <c r="BG39" s="287" t="n"/>
      <c r="BH39" s="37" t="n"/>
      <c r="BI39" s="288" t="n"/>
      <c r="BJ39" s="37" t="n"/>
      <c r="BK39" s="288" t="n"/>
      <c r="BL39" s="37" t="n"/>
      <c r="BM39" s="288" t="n"/>
      <c r="BN39" s="37" t="n"/>
      <c r="BO39" s="288" t="n"/>
      <c r="BP39" s="288" t="n"/>
      <c r="BQ39" s="37" t="n"/>
      <c r="BR39" s="288" t="n"/>
      <c r="BS39" s="37" t="n"/>
      <c r="BT39" s="288" t="n"/>
      <c r="BU39" s="37" t="n"/>
      <c r="BV39" s="288" t="n"/>
      <c r="BW39" s="37" t="n"/>
      <c r="BX39" s="288" t="n"/>
      <c r="BY39" s="37" t="n"/>
      <c r="BZ39" s="288" t="n"/>
      <c r="CA39" s="37" t="n"/>
      <c r="CB39" s="288" t="n"/>
      <c r="CC39" s="37" t="n"/>
      <c r="CD39" s="288" t="n"/>
      <c r="CE39" s="37" t="n"/>
      <c r="CF39" s="288" t="n"/>
      <c r="CG39" s="291" t="n"/>
      <c r="CH39" s="288" t="n"/>
      <c r="CI39" s="291" t="n"/>
      <c r="CJ39" s="288" t="n"/>
      <c r="CK39" s="291" t="n"/>
      <c r="CL39" s="288" t="n"/>
      <c r="CM39" s="291" t="n"/>
      <c r="CN39" s="288" t="n"/>
      <c r="CO39" s="80" t="n"/>
      <c r="CP39" s="288" t="n"/>
      <c r="CQ39" s="80" t="n"/>
      <c r="CR39" s="288" t="n"/>
      <c r="CS39" s="80" t="n"/>
      <c r="CT39" s="288" t="n"/>
      <c r="CU39" s="80" t="n"/>
      <c r="CW39" s="288" t="n"/>
      <c r="CX39" s="37" t="n"/>
      <c r="CY39" s="288" t="n"/>
      <c r="CZ39" s="37" t="n"/>
      <c r="DA39" s="288" t="n"/>
      <c r="DB39" s="37" t="n"/>
      <c r="DC39" s="288" t="n"/>
      <c r="DD39" s="37" t="n"/>
      <c r="DE39" s="289" t="n"/>
      <c r="DF39" s="289" t="n"/>
      <c r="DG39" s="79" t="n"/>
    </row>
    <row r="40" ht="13" customFormat="1" customHeight="1" s="245">
      <c r="A40" s="280" t="n">
        <v>42766</v>
      </c>
      <c r="B40" s="292" t="n">
        <v>23357.85</v>
      </c>
      <c r="C40" s="15">
        <f>B40/B28-1</f>
        <v/>
      </c>
      <c r="D40" s="15" t="n"/>
      <c r="E40" s="292" t="n">
        <v>16092.98</v>
      </c>
      <c r="F40" s="15">
        <f>E40/E28-1</f>
        <v/>
      </c>
      <c r="G40" s="15" t="n"/>
      <c r="H40" s="292" t="n">
        <v>6925.8</v>
      </c>
      <c r="I40" s="15">
        <f>H40/H28-1</f>
        <v/>
      </c>
      <c r="J40" s="15" t="n"/>
      <c r="K40" s="292" t="n">
        <v>339.07</v>
      </c>
      <c r="L40" s="15">
        <f>K40/K28-1</f>
        <v/>
      </c>
      <c r="M40" s="15" t="n"/>
      <c r="N40" s="292" t="n">
        <v>19200.93</v>
      </c>
      <c r="O40" s="15">
        <f>N40/N28-1</f>
        <v/>
      </c>
      <c r="P40" s="15" t="n"/>
      <c r="Q40" s="292" t="n">
        <v>13071.93</v>
      </c>
      <c r="R40" s="15">
        <f>Q40/Q28-1</f>
        <v/>
      </c>
      <c r="S40" s="15" t="n"/>
      <c r="T40" s="292" t="n">
        <v>5884.76</v>
      </c>
      <c r="U40" s="15">
        <f>T40/T28-1</f>
        <v/>
      </c>
      <c r="V40" s="15" t="n"/>
      <c r="W40" s="292" t="n">
        <v>244.25</v>
      </c>
      <c r="X40" s="15">
        <f>W40/W28-1</f>
        <v/>
      </c>
      <c r="Y40" s="15" t="n"/>
      <c r="Z40" s="292" t="n">
        <v>10247.9</v>
      </c>
      <c r="AA40" s="15">
        <f>Z40/Z28-1</f>
        <v/>
      </c>
      <c r="AB40" s="15" t="n"/>
      <c r="AC40" s="292" t="n">
        <v>8676.639999999999</v>
      </c>
      <c r="AD40" s="15">
        <f>AC40/AC28-1</f>
        <v/>
      </c>
      <c r="AE40" s="15" t="n"/>
      <c r="AF40" s="292" t="n">
        <v>1372.2</v>
      </c>
      <c r="AG40" s="15">
        <f>AF40/AF28-1</f>
        <v/>
      </c>
      <c r="AH40" s="15" t="n"/>
      <c r="AI40" s="292" t="n">
        <v>199.06</v>
      </c>
      <c r="AJ40" s="15">
        <f>AI40/AI28-1</f>
        <v/>
      </c>
      <c r="AK40" s="15" t="n"/>
      <c r="AL40" s="293" t="n">
        <v>82.2</v>
      </c>
      <c r="AM40" s="290">
        <f>AL40-AL28</f>
        <v/>
      </c>
      <c r="AN40" s="15" t="n"/>
      <c r="AO40" s="293" t="n">
        <v>81.23</v>
      </c>
      <c r="AP40" s="290">
        <f>AO40-AO28</f>
        <v/>
      </c>
      <c r="AQ40" s="15" t="n"/>
      <c r="AR40" s="293" t="n">
        <v>84.97</v>
      </c>
      <c r="AS40" s="290">
        <f>AR40-AR28</f>
        <v/>
      </c>
      <c r="AT40" s="15" t="n"/>
      <c r="AU40" s="293" t="n">
        <v>72.03</v>
      </c>
      <c r="AV40" s="290">
        <f>AU40-AU28</f>
        <v/>
      </c>
      <c r="AW40" s="15" t="n"/>
      <c r="AX40" s="292" t="n">
        <v>706</v>
      </c>
      <c r="AY40" s="15">
        <f>AX40/AX28-1</f>
        <v/>
      </c>
      <c r="AZ40" s="15" t="n"/>
      <c r="BA40" s="292" t="n"/>
      <c r="BB40" s="37" t="n"/>
      <c r="BC40" s="292" t="n"/>
      <c r="BD40" s="254" t="n"/>
      <c r="BE40" s="292" t="n"/>
      <c r="BF40" s="254" t="n"/>
      <c r="BG40" s="292" t="n"/>
      <c r="BH40" s="254" t="n"/>
      <c r="BI40" s="292" t="n"/>
      <c r="BJ40" s="254" t="n"/>
      <c r="BK40" s="292" t="n"/>
      <c r="BL40" s="254" t="n"/>
      <c r="BM40" s="292" t="n"/>
      <c r="BN40" s="254" t="n"/>
      <c r="BO40" s="292" t="n"/>
      <c r="BP40" s="292" t="n"/>
      <c r="BQ40" s="254" t="n"/>
      <c r="BR40" s="292" t="n"/>
      <c r="BS40" s="254" t="n"/>
      <c r="BT40" s="292" t="n"/>
      <c r="BU40" s="254" t="n"/>
      <c r="BV40" s="292" t="n"/>
      <c r="BW40" s="254" t="n"/>
      <c r="BX40" s="292" t="n"/>
      <c r="BY40" s="254" t="n"/>
      <c r="BZ40" s="292" t="n"/>
      <c r="CA40" s="254" t="n"/>
      <c r="CB40" s="292" t="n"/>
      <c r="CC40" s="254" t="n"/>
      <c r="CD40" s="292" t="n"/>
      <c r="CE40" s="254" t="n"/>
      <c r="CF40" s="292" t="n"/>
      <c r="CG40" s="292" t="n"/>
      <c r="CH40" s="292" t="n"/>
      <c r="CI40" s="292" t="n"/>
      <c r="CJ40" s="292" t="n"/>
      <c r="CK40" s="292" t="n"/>
      <c r="CL40" s="292" t="n"/>
      <c r="CM40" s="292" t="n"/>
      <c r="CN40" s="292" t="n"/>
      <c r="CO40" s="218" t="n"/>
      <c r="CP40" s="292" t="n"/>
      <c r="CQ40" s="218" t="n"/>
      <c r="CR40" s="292" t="n"/>
      <c r="CS40" s="218" t="n"/>
      <c r="CT40" s="292" t="n"/>
      <c r="CU40" s="218" t="n"/>
      <c r="CW40" s="292" t="n"/>
      <c r="CX40" s="254" t="n"/>
      <c r="CY40" s="292" t="n"/>
      <c r="CZ40" s="254" t="n"/>
      <c r="DA40" s="292" t="n"/>
      <c r="DB40" s="254" t="n"/>
      <c r="DC40" s="292" t="n"/>
      <c r="DD40" s="254" t="n"/>
      <c r="DE40" s="294" t="n"/>
      <c r="DF40" s="294" t="n"/>
    </row>
    <row r="41">
      <c r="A41" s="284" t="n">
        <v>42794</v>
      </c>
      <c r="B41" s="285" t="n">
        <v>21735.46</v>
      </c>
      <c r="C41" s="15">
        <f>B41/B29-1</f>
        <v/>
      </c>
      <c r="D41" s="15" t="n"/>
      <c r="E41" s="285" t="n">
        <v>15128.35</v>
      </c>
      <c r="F41" s="15">
        <f>E41/E29-1</f>
        <v/>
      </c>
      <c r="G41" s="15" t="n"/>
      <c r="H41" s="285" t="n">
        <v>6306.61</v>
      </c>
      <c r="I41" s="15">
        <f>H41/H29-1</f>
        <v/>
      </c>
      <c r="J41" s="15" t="n"/>
      <c r="K41" s="285" t="n">
        <v>300.51</v>
      </c>
      <c r="L41" s="15">
        <f>K41/K29-1</f>
        <v/>
      </c>
      <c r="M41" s="15" t="n"/>
      <c r="N41" s="285" t="n">
        <v>18261.33</v>
      </c>
      <c r="O41" s="15">
        <f>N41/N29-1</f>
        <v/>
      </c>
      <c r="P41" s="15" t="n"/>
      <c r="Q41" s="285" t="n">
        <v>12787.91</v>
      </c>
      <c r="R41" s="15">
        <f>Q41/Q29-1</f>
        <v/>
      </c>
      <c r="S41" s="15" t="n"/>
      <c r="T41" s="285" t="n">
        <v>5245.17</v>
      </c>
      <c r="U41" s="15">
        <f>T41/T29-1</f>
        <v/>
      </c>
      <c r="V41" s="15" t="n"/>
      <c r="W41" s="285" t="n">
        <v>228.24</v>
      </c>
      <c r="X41" s="15">
        <f>W41/W29-1</f>
        <v/>
      </c>
      <c r="Y41" s="15" t="n"/>
      <c r="Z41" s="285" t="n">
        <v>9925.83</v>
      </c>
      <c r="AA41" s="15">
        <f>Z41/Z29-1</f>
        <v/>
      </c>
      <c r="AB41" s="15" t="n"/>
      <c r="AC41" s="285" t="n">
        <v>8486.200000000001</v>
      </c>
      <c r="AD41" s="15">
        <f>AC41/AC29-1</f>
        <v/>
      </c>
      <c r="AE41" s="15" t="n"/>
      <c r="AF41" s="285" t="n">
        <v>1256.93</v>
      </c>
      <c r="AG41" s="15">
        <f>AF41/AF29-1</f>
        <v/>
      </c>
      <c r="AH41" s="15" t="n"/>
      <c r="AI41" s="285" t="n">
        <v>182.7</v>
      </c>
      <c r="AJ41" s="15">
        <f>AI41/AI29-1</f>
        <v/>
      </c>
      <c r="AK41" s="15" t="n"/>
      <c r="AL41" s="286" t="n">
        <v>84.02</v>
      </c>
      <c r="AM41" s="290">
        <f>AL41-AL29</f>
        <v/>
      </c>
      <c r="AN41" s="15" t="n"/>
      <c r="AO41" s="286" t="n">
        <v>84.53</v>
      </c>
      <c r="AP41" s="290">
        <f>AO41-AO29</f>
        <v/>
      </c>
      <c r="AQ41" s="15" t="n"/>
      <c r="AR41" s="286" t="n">
        <v>83.17</v>
      </c>
      <c r="AS41" s="290">
        <f>AR41-AR29</f>
        <v/>
      </c>
      <c r="AT41" s="15" t="n"/>
      <c r="AU41" s="286" t="n">
        <v>75.95</v>
      </c>
      <c r="AV41" s="290">
        <f>AU41-AU29</f>
        <v/>
      </c>
      <c r="AW41" s="15" t="n"/>
      <c r="AX41" s="285" t="n">
        <v>709</v>
      </c>
      <c r="AY41" s="15">
        <f>AX41/AX29-1</f>
        <v/>
      </c>
      <c r="AZ41" s="15" t="n"/>
      <c r="BA41" s="287" t="n"/>
      <c r="BB41" s="37" t="n"/>
      <c r="BC41" s="287" t="n"/>
      <c r="BD41" s="37" t="n"/>
      <c r="BE41" s="287" t="n"/>
      <c r="BF41" s="37" t="n"/>
      <c r="BG41" s="287" t="n"/>
      <c r="BH41" s="37" t="n"/>
      <c r="BI41" s="288" t="n"/>
      <c r="BJ41" s="37" t="n"/>
      <c r="BK41" s="288" t="n"/>
      <c r="BL41" s="37" t="n"/>
      <c r="BM41" s="288" t="n"/>
      <c r="BN41" s="37" t="n"/>
      <c r="BO41" s="288" t="n"/>
      <c r="BP41" s="288" t="n"/>
      <c r="BQ41" s="37" t="n"/>
      <c r="BR41" s="288" t="n"/>
      <c r="BS41" s="37" t="n"/>
      <c r="BT41" s="288" t="n"/>
      <c r="BU41" s="37" t="n"/>
      <c r="BV41" s="288" t="n"/>
      <c r="BW41" s="37" t="n"/>
      <c r="BX41" s="288" t="n"/>
      <c r="BY41" s="37" t="n"/>
      <c r="BZ41" s="288" t="n"/>
      <c r="CA41" s="37" t="n"/>
      <c r="CB41" s="288" t="n"/>
      <c r="CC41" s="37" t="n"/>
      <c r="CD41" s="288" t="n"/>
      <c r="CE41" s="37" t="n"/>
      <c r="CF41" s="288" t="n"/>
      <c r="CG41" s="291" t="n"/>
      <c r="CH41" s="288" t="n"/>
      <c r="CI41" s="291" t="n"/>
      <c r="CJ41" s="288" t="n"/>
      <c r="CK41" s="291" t="n"/>
      <c r="CL41" s="288" t="n"/>
      <c r="CM41" s="291" t="n"/>
      <c r="CN41" s="288" t="n"/>
      <c r="CO41" s="80" t="n"/>
      <c r="CP41" s="288" t="n"/>
      <c r="CQ41" s="80" t="n"/>
      <c r="CR41" s="288" t="n"/>
      <c r="CS41" s="80" t="n"/>
      <c r="CT41" s="288" t="n"/>
      <c r="CU41" s="80" t="n"/>
      <c r="CW41" s="288" t="n"/>
      <c r="CX41" s="37" t="n"/>
      <c r="CY41" s="288" t="n"/>
      <c r="CZ41" s="37" t="n"/>
      <c r="DA41" s="288" t="n"/>
      <c r="DB41" s="37" t="n"/>
      <c r="DC41" s="288" t="n"/>
      <c r="DD41" s="37" t="n"/>
      <c r="DE41" s="289" t="n"/>
      <c r="DF41" s="289" t="n"/>
      <c r="DG41" s="79" t="n"/>
    </row>
    <row r="42">
      <c r="A42" s="284" t="n">
        <v>42825</v>
      </c>
      <c r="B42" s="285" t="n">
        <v>22525.95</v>
      </c>
      <c r="C42" s="15">
        <f>B42/B30-1</f>
        <v/>
      </c>
      <c r="D42" s="15" t="n"/>
      <c r="E42" s="285" t="n">
        <v>15688.47</v>
      </c>
      <c r="F42" s="15">
        <f>E42/E30-1</f>
        <v/>
      </c>
      <c r="G42" s="15" t="n"/>
      <c r="H42" s="285" t="n">
        <v>6532.19</v>
      </c>
      <c r="I42" s="15">
        <f>H42/H30-1</f>
        <v/>
      </c>
      <c r="J42" s="15" t="n"/>
      <c r="K42" s="285" t="n">
        <v>305.29</v>
      </c>
      <c r="L42" s="15">
        <f>K42/K30-1</f>
        <v/>
      </c>
      <c r="M42" s="15" t="n"/>
      <c r="N42" s="285" t="n">
        <v>18381.36</v>
      </c>
      <c r="O42" s="15">
        <f>N42/N30-1</f>
        <v/>
      </c>
      <c r="P42" s="15" t="n"/>
      <c r="Q42" s="285" t="n">
        <v>12931.84</v>
      </c>
      <c r="R42" s="15">
        <f>Q42/Q30-1</f>
        <v/>
      </c>
      <c r="S42" s="15" t="n"/>
      <c r="T42" s="285" t="n">
        <v>5230.59</v>
      </c>
      <c r="U42" s="15">
        <f>T42/T30-1</f>
        <v/>
      </c>
      <c r="V42" s="15" t="n"/>
      <c r="W42" s="285" t="n">
        <v>218.93</v>
      </c>
      <c r="X42" s="15">
        <f>W42/W30-1</f>
        <v/>
      </c>
      <c r="Y42" s="15" t="n"/>
      <c r="Z42" s="285" t="n">
        <v>10111.42</v>
      </c>
      <c r="AA42" s="15">
        <f>Z42/Z30-1</f>
        <v/>
      </c>
      <c r="AB42" s="15" t="n"/>
      <c r="AC42" s="285" t="n">
        <v>8736.15</v>
      </c>
      <c r="AD42" s="15">
        <f>AC42/AC30-1</f>
        <v/>
      </c>
      <c r="AE42" s="15" t="n"/>
      <c r="AF42" s="285" t="n">
        <v>1198.8</v>
      </c>
      <c r="AG42" s="15">
        <f>AF42/AF30-1</f>
        <v/>
      </c>
      <c r="AH42" s="15" t="n"/>
      <c r="AI42" s="285" t="n">
        <v>176.47</v>
      </c>
      <c r="AJ42" s="15">
        <f>AI42/AI30-1</f>
        <v/>
      </c>
      <c r="AK42" s="15" t="n"/>
      <c r="AL42" s="286" t="n">
        <v>81.59999999999999</v>
      </c>
      <c r="AM42" s="290">
        <f>AL42-AL30</f>
        <v/>
      </c>
      <c r="AN42" s="15" t="n"/>
      <c r="AO42" s="286" t="n">
        <v>82.43000000000001</v>
      </c>
      <c r="AP42" s="290">
        <f>AO42-AO30</f>
        <v/>
      </c>
      <c r="AQ42" s="15" t="n"/>
      <c r="AR42" s="286" t="n">
        <v>80.06999999999999</v>
      </c>
      <c r="AS42" s="290">
        <f>AR42-AR30</f>
        <v/>
      </c>
      <c r="AT42" s="15" t="n"/>
      <c r="AU42" s="286" t="n">
        <v>71.70999999999999</v>
      </c>
      <c r="AV42" s="290">
        <f>AU42-AU30</f>
        <v/>
      </c>
      <c r="AW42" s="15" t="n"/>
      <c r="AX42" s="285" t="n">
        <v>707</v>
      </c>
      <c r="AY42" s="15">
        <f>AX42/AX30-1</f>
        <v/>
      </c>
      <c r="AZ42" s="15" t="n"/>
      <c r="BA42" s="287" t="n"/>
      <c r="BB42" s="37" t="n"/>
      <c r="BC42" s="287" t="n"/>
      <c r="BD42" s="37" t="n"/>
      <c r="BE42" s="287" t="n"/>
      <c r="BF42" s="37" t="n"/>
      <c r="BG42" s="287" t="n"/>
      <c r="BH42" s="37" t="n"/>
      <c r="BI42" s="288" t="n"/>
      <c r="BJ42" s="37" t="n"/>
      <c r="BK42" s="288" t="n"/>
      <c r="BL42" s="37" t="n"/>
      <c r="BM42" s="288" t="n"/>
      <c r="BN42" s="37" t="n"/>
      <c r="BO42" s="288" t="n"/>
      <c r="BP42" s="288" t="n"/>
      <c r="BQ42" s="37" t="n"/>
      <c r="BR42" s="288" t="n"/>
      <c r="BS42" s="37" t="n"/>
      <c r="BT42" s="288" t="n"/>
      <c r="BU42" s="37" t="n"/>
      <c r="BV42" s="288" t="n"/>
      <c r="BW42" s="37" t="n"/>
      <c r="BX42" s="288" t="n"/>
      <c r="BY42" s="37" t="n"/>
      <c r="BZ42" s="288" t="n"/>
      <c r="CA42" s="37" t="n"/>
      <c r="CB42" s="288" t="n"/>
      <c r="CC42" s="37" t="n"/>
      <c r="CD42" s="288" t="n"/>
      <c r="CE42" s="37" t="n"/>
      <c r="CF42" s="288" t="n"/>
      <c r="CG42" s="291" t="n"/>
      <c r="CH42" s="288" t="n"/>
      <c r="CI42" s="291" t="n"/>
      <c r="CJ42" s="288" t="n"/>
      <c r="CK42" s="291" t="n"/>
      <c r="CL42" s="288" t="n"/>
      <c r="CM42" s="291" t="n"/>
      <c r="CN42" s="288" t="n"/>
      <c r="CO42" s="80" t="n"/>
      <c r="CP42" s="288" t="n"/>
      <c r="CQ42" s="80" t="n"/>
      <c r="CR42" s="288" t="n"/>
      <c r="CS42" s="80" t="n"/>
      <c r="CT42" s="288" t="n"/>
      <c r="CU42" s="80" t="n"/>
      <c r="CW42" s="288" t="n"/>
      <c r="CX42" s="37" t="n"/>
      <c r="CY42" s="288" t="n"/>
      <c r="CZ42" s="37" t="n"/>
      <c r="DA42" s="288" t="n"/>
      <c r="DB42" s="37" t="n"/>
      <c r="DC42" s="288" t="n"/>
      <c r="DD42" s="37" t="n"/>
      <c r="DE42" s="289" t="n"/>
      <c r="DF42" s="289" t="n"/>
      <c r="DG42" s="79" t="n"/>
    </row>
    <row r="43">
      <c r="A43" s="284" t="n">
        <v>42855</v>
      </c>
      <c r="B43" s="285" t="n">
        <v>22031</v>
      </c>
      <c r="C43" s="15">
        <f>B43/B31-1</f>
        <v/>
      </c>
      <c r="D43" s="15" t="n"/>
      <c r="E43" s="285" t="n">
        <v>15467.65</v>
      </c>
      <c r="F43" s="15">
        <f>E43/E31-1</f>
        <v/>
      </c>
      <c r="G43" s="15" t="n"/>
      <c r="H43" s="285" t="n">
        <v>6262.25</v>
      </c>
      <c r="I43" s="15">
        <f>H43/H31-1</f>
        <v/>
      </c>
      <c r="J43" s="15" t="n"/>
      <c r="K43" s="285" t="n">
        <v>301.1</v>
      </c>
      <c r="L43" s="15">
        <f>K43/K31-1</f>
        <v/>
      </c>
      <c r="M43" s="15" t="n"/>
      <c r="N43" s="285" t="n">
        <v>18215.54</v>
      </c>
      <c r="O43" s="15">
        <f>N43/N31-1</f>
        <v/>
      </c>
      <c r="P43" s="15" t="n"/>
      <c r="Q43" s="285" t="n">
        <v>12829.91</v>
      </c>
      <c r="R43" s="15">
        <f>Q43/Q31-1</f>
        <v/>
      </c>
      <c r="S43" s="15" t="n"/>
      <c r="T43" s="285" t="n">
        <v>5158.43</v>
      </c>
      <c r="U43" s="15">
        <f>T43/T31-1</f>
        <v/>
      </c>
      <c r="V43" s="15" t="n"/>
      <c r="W43" s="285" t="n">
        <v>227.2</v>
      </c>
      <c r="X43" s="15">
        <f>W43/W31-1</f>
        <v/>
      </c>
      <c r="Y43" s="15" t="n"/>
      <c r="Z43" s="285" t="n">
        <v>10108.74</v>
      </c>
      <c r="AA43" s="15">
        <f>Z43/Z31-1</f>
        <v/>
      </c>
      <c r="AB43" s="15" t="n"/>
      <c r="AC43" s="285" t="n">
        <v>8742.23</v>
      </c>
      <c r="AD43" s="15">
        <f>AC43/AC31-1</f>
        <v/>
      </c>
      <c r="AE43" s="15" t="n"/>
      <c r="AF43" s="285" t="n">
        <v>1181.79</v>
      </c>
      <c r="AG43" s="15">
        <f>AF43/AF31-1</f>
        <v/>
      </c>
      <c r="AH43" s="15" t="n"/>
      <c r="AI43" s="285" t="n">
        <v>184.72</v>
      </c>
      <c r="AJ43" s="15">
        <f>AI43/AI31-1</f>
        <v/>
      </c>
      <c r="AK43" s="15" t="n"/>
      <c r="AL43" s="286" t="n">
        <v>82.68000000000001</v>
      </c>
      <c r="AM43" s="290">
        <f>AL43-AL31</f>
        <v/>
      </c>
      <c r="AN43" s="15" t="n"/>
      <c r="AO43" s="286" t="n">
        <v>82.95</v>
      </c>
      <c r="AP43" s="290">
        <f>AO43-AO31</f>
        <v/>
      </c>
      <c r="AQ43" s="15" t="n"/>
      <c r="AR43" s="286" t="n">
        <v>82.37</v>
      </c>
      <c r="AS43" s="290">
        <f>AR43-AR31</f>
        <v/>
      </c>
      <c r="AT43" s="15" t="n"/>
      <c r="AU43" s="286" t="n">
        <v>75.45999999999999</v>
      </c>
      <c r="AV43" s="290">
        <f>AU43-AU31</f>
        <v/>
      </c>
      <c r="AW43" s="15" t="n"/>
      <c r="AX43" s="285" t="n">
        <v>710</v>
      </c>
      <c r="AY43" s="15">
        <f>AX43/AX31-1</f>
        <v/>
      </c>
      <c r="AZ43" s="15" t="n"/>
      <c r="BA43" s="287" t="n"/>
      <c r="BB43" s="37" t="n"/>
      <c r="BC43" s="287" t="n"/>
      <c r="BD43" s="37" t="n"/>
      <c r="BE43" s="287" t="n"/>
      <c r="BF43" s="37" t="n"/>
      <c r="BG43" s="287" t="n"/>
      <c r="BH43" s="37" t="n"/>
      <c r="BI43" s="288" t="n"/>
      <c r="BJ43" s="37" t="n"/>
      <c r="BK43" s="288" t="n"/>
      <c r="BL43" s="37" t="n"/>
      <c r="BM43" s="288" t="n"/>
      <c r="BN43" s="37" t="n"/>
      <c r="BO43" s="288" t="n"/>
      <c r="BP43" s="288" t="n"/>
      <c r="BQ43" s="37" t="n"/>
      <c r="BR43" s="288" t="n"/>
      <c r="BS43" s="37" t="n"/>
      <c r="BT43" s="288" t="n"/>
      <c r="BU43" s="37" t="n"/>
      <c r="BV43" s="288" t="n"/>
      <c r="BW43" s="37" t="n"/>
      <c r="BX43" s="288" t="n"/>
      <c r="BY43" s="37" t="n"/>
      <c r="BZ43" s="288" t="n"/>
      <c r="CA43" s="37" t="n"/>
      <c r="CB43" s="288" t="n"/>
      <c r="CC43" s="37" t="n"/>
      <c r="CD43" s="288" t="n"/>
      <c r="CE43" s="37" t="n"/>
      <c r="CF43" s="288" t="n"/>
      <c r="CG43" s="291" t="n"/>
      <c r="CH43" s="288" t="n"/>
      <c r="CI43" s="291" t="n"/>
      <c r="CJ43" s="288" t="n"/>
      <c r="CK43" s="291" t="n"/>
      <c r="CL43" s="288" t="n"/>
      <c r="CM43" s="291" t="n"/>
      <c r="CN43" s="288" t="n"/>
      <c r="CO43" s="80" t="n"/>
      <c r="CP43" s="288" t="n"/>
      <c r="CQ43" s="80" t="n"/>
      <c r="CR43" s="288" t="n"/>
      <c r="CS43" s="80" t="n"/>
      <c r="CT43" s="288" t="n"/>
      <c r="CU43" s="80" t="n"/>
      <c r="CW43" s="288" t="n"/>
      <c r="CX43" s="37" t="n"/>
      <c r="CY43" s="288" t="n"/>
      <c r="CZ43" s="37" t="n"/>
      <c r="DA43" s="288" t="n"/>
      <c r="DB43" s="37" t="n"/>
      <c r="DC43" s="288" t="n"/>
      <c r="DD43" s="37" t="n"/>
      <c r="DE43" s="289" t="n"/>
      <c r="DF43" s="289" t="n"/>
      <c r="DG43" s="79" t="n"/>
    </row>
    <row r="44">
      <c r="A44" s="284" t="n">
        <v>42886</v>
      </c>
      <c r="B44" s="285" t="n">
        <v>22798.9</v>
      </c>
      <c r="C44" s="15">
        <f>B44/B32-1</f>
        <v/>
      </c>
      <c r="D44" s="15" t="n"/>
      <c r="E44" s="285" t="n">
        <v>15952.37</v>
      </c>
      <c r="F44" s="15">
        <f>E44/E32-1</f>
        <v/>
      </c>
      <c r="G44" s="15" t="n"/>
      <c r="H44" s="285" t="n">
        <v>6524</v>
      </c>
      <c r="I44" s="15">
        <f>H44/H32-1</f>
        <v/>
      </c>
      <c r="J44" s="15" t="n"/>
      <c r="K44" s="285" t="n">
        <v>322.53</v>
      </c>
      <c r="L44" s="15">
        <f>K44/K32-1</f>
        <v/>
      </c>
      <c r="M44" s="15" t="n"/>
      <c r="N44" s="285" t="n">
        <v>18424.51</v>
      </c>
      <c r="O44" s="15">
        <f>N44/N32-1</f>
        <v/>
      </c>
      <c r="P44" s="15" t="n"/>
      <c r="Q44" s="285" t="n">
        <v>12979.47</v>
      </c>
      <c r="R44" s="15">
        <f>Q44/Q32-1</f>
        <v/>
      </c>
      <c r="S44" s="15" t="n"/>
      <c r="T44" s="285" t="n">
        <v>5203.44</v>
      </c>
      <c r="U44" s="15">
        <f>T44/T32-1</f>
        <v/>
      </c>
      <c r="V44" s="15" t="n"/>
      <c r="W44" s="285" t="n">
        <v>241.6</v>
      </c>
      <c r="X44" s="15">
        <f>W44/W32-1</f>
        <v/>
      </c>
      <c r="Y44" s="15" t="n"/>
      <c r="Z44" s="285" t="n">
        <v>10256.65</v>
      </c>
      <c r="AA44" s="15">
        <f>Z44/Z32-1</f>
        <v/>
      </c>
      <c r="AB44" s="15" t="n"/>
      <c r="AC44" s="285" t="n">
        <v>8878.940000000001</v>
      </c>
      <c r="AD44" s="15">
        <f>AC44/AC32-1</f>
        <v/>
      </c>
      <c r="AE44" s="15" t="n"/>
      <c r="AF44" s="285" t="n">
        <v>1187.47</v>
      </c>
      <c r="AG44" s="15">
        <f>AF44/AF32-1</f>
        <v/>
      </c>
      <c r="AH44" s="15" t="n"/>
      <c r="AI44" s="285" t="n">
        <v>190.24</v>
      </c>
      <c r="AJ44" s="15">
        <f>AI44/AI32-1</f>
        <v/>
      </c>
      <c r="AK44" s="15" t="n"/>
      <c r="AL44" s="286" t="n">
        <v>80.81</v>
      </c>
      <c r="AM44" s="290">
        <f>AL44-AL32</f>
        <v/>
      </c>
      <c r="AN44" s="15" t="n"/>
      <c r="AO44" s="286" t="n">
        <v>81.36</v>
      </c>
      <c r="AP44" s="290">
        <f>AO44-AO32</f>
        <v/>
      </c>
      <c r="AQ44" s="15" t="n"/>
      <c r="AR44" s="286" t="n">
        <v>79.76000000000001</v>
      </c>
      <c r="AS44" s="290">
        <f>AR44-AR32</f>
        <v/>
      </c>
      <c r="AT44" s="15" t="n"/>
      <c r="AU44" s="286" t="n">
        <v>74.91</v>
      </c>
      <c r="AV44" s="290">
        <f>AU44-AU32</f>
        <v/>
      </c>
      <c r="AW44" s="15" t="n"/>
      <c r="AX44" s="285" t="n">
        <v>712</v>
      </c>
      <c r="AY44" s="15">
        <f>AX44/AX32-1</f>
        <v/>
      </c>
      <c r="AZ44" s="15" t="n"/>
      <c r="BA44" s="287" t="n"/>
      <c r="BB44" s="37" t="n"/>
      <c r="BC44" s="287" t="n"/>
      <c r="BD44" s="37" t="n"/>
      <c r="BE44" s="287" t="n"/>
      <c r="BF44" s="37" t="n"/>
      <c r="BG44" s="287" t="n"/>
      <c r="BH44" s="37" t="n"/>
      <c r="BI44" s="288" t="n"/>
      <c r="BJ44" s="37" t="n"/>
      <c r="BK44" s="288" t="n"/>
      <c r="BL44" s="37" t="n"/>
      <c r="BM44" s="288" t="n"/>
      <c r="BN44" s="37" t="n"/>
      <c r="BO44" s="288" t="n"/>
      <c r="BP44" s="288" t="n"/>
      <c r="BQ44" s="37" t="n"/>
      <c r="BR44" s="288" t="n"/>
      <c r="BS44" s="37" t="n"/>
      <c r="BT44" s="288" t="n"/>
      <c r="BU44" s="37" t="n"/>
      <c r="BV44" s="288" t="n"/>
      <c r="BW44" s="37" t="n"/>
      <c r="BX44" s="288" t="n"/>
      <c r="BY44" s="37" t="n"/>
      <c r="BZ44" s="288" t="n"/>
      <c r="CA44" s="37" t="n"/>
      <c r="CB44" s="288" t="n"/>
      <c r="CC44" s="37" t="n"/>
      <c r="CD44" s="288" t="n"/>
      <c r="CE44" s="37" t="n"/>
      <c r="CF44" s="288" t="n"/>
      <c r="CG44" s="291" t="n"/>
      <c r="CH44" s="288" t="n"/>
      <c r="CI44" s="291" t="n"/>
      <c r="CJ44" s="288" t="n"/>
      <c r="CK44" s="291" t="n"/>
      <c r="CL44" s="288" t="n"/>
      <c r="CM44" s="291" t="n"/>
      <c r="CN44" s="288" t="n"/>
      <c r="CO44" s="80" t="n"/>
      <c r="CP44" s="288" t="n"/>
      <c r="CQ44" s="80" t="n"/>
      <c r="CR44" s="288" t="n"/>
      <c r="CS44" s="80" t="n"/>
      <c r="CT44" s="288" t="n"/>
      <c r="CU44" s="80" t="n"/>
      <c r="CW44" s="288" t="n"/>
      <c r="CX44" s="37" t="n"/>
      <c r="CY44" s="288" t="n"/>
      <c r="CZ44" s="37" t="n"/>
      <c r="DA44" s="288" t="n"/>
      <c r="DB44" s="37" t="n"/>
      <c r="DC44" s="288" t="n"/>
      <c r="DD44" s="37" t="n"/>
      <c r="DE44" s="289" t="n"/>
      <c r="DF44" s="289" t="n"/>
      <c r="DG44" s="79" t="n"/>
    </row>
    <row r="45">
      <c r="A45" s="284" t="n">
        <v>42916</v>
      </c>
      <c r="B45" s="285" t="n">
        <v>22035.08</v>
      </c>
      <c r="C45" s="15">
        <f>B45/B33-1</f>
        <v/>
      </c>
      <c r="D45" s="15" t="n"/>
      <c r="E45" s="285" t="n">
        <v>15080.54</v>
      </c>
      <c r="F45" s="15">
        <f>E45/E33-1</f>
        <v/>
      </c>
      <c r="G45" s="15" t="n"/>
      <c r="H45" s="285" t="n">
        <v>6644.35</v>
      </c>
      <c r="I45" s="15">
        <f>H45/H33-1</f>
        <v/>
      </c>
      <c r="J45" s="15" t="n"/>
      <c r="K45" s="285" t="n">
        <v>310.19</v>
      </c>
      <c r="L45" s="15">
        <f>K45/K33-1</f>
        <v/>
      </c>
      <c r="M45" s="15" t="n"/>
      <c r="N45" s="285" t="n">
        <v>18216.6</v>
      </c>
      <c r="O45" s="15">
        <f>N45/N33-1</f>
        <v/>
      </c>
      <c r="P45" s="15" t="n"/>
      <c r="Q45" s="285" t="n">
        <v>12555.93</v>
      </c>
      <c r="R45" s="15">
        <f>Q45/Q33-1</f>
        <v/>
      </c>
      <c r="S45" s="15" t="n"/>
      <c r="T45" s="285" t="n">
        <v>5422.33</v>
      </c>
      <c r="U45" s="15">
        <f>T45/T33-1</f>
        <v/>
      </c>
      <c r="V45" s="15" t="n"/>
      <c r="W45" s="285" t="n">
        <v>238.34</v>
      </c>
      <c r="X45" s="15">
        <f>W45/W33-1</f>
        <v/>
      </c>
      <c r="Y45" s="15" t="n"/>
      <c r="Z45" s="285" t="n">
        <v>9937.52</v>
      </c>
      <c r="AA45" s="15">
        <f>Z45/Z33-1</f>
        <v/>
      </c>
      <c r="AB45" s="15" t="n"/>
      <c r="AC45" s="285" t="n">
        <v>8539.299999999999</v>
      </c>
      <c r="AD45" s="15">
        <f>AC45/AC33-1</f>
        <v/>
      </c>
      <c r="AE45" s="15" t="n"/>
      <c r="AF45" s="285" t="n">
        <v>1209.23</v>
      </c>
      <c r="AG45" s="15">
        <f>AF45/AF33-1</f>
        <v/>
      </c>
      <c r="AH45" s="15" t="n"/>
      <c r="AI45" s="285" t="n">
        <v>188.99</v>
      </c>
      <c r="AJ45" s="15">
        <f>AI45/AI33-1</f>
        <v/>
      </c>
      <c r="AK45" s="15" t="n"/>
      <c r="AL45" s="286" t="n">
        <v>82.67</v>
      </c>
      <c r="AM45" s="290">
        <f>AL45-AL33</f>
        <v/>
      </c>
      <c r="AN45" s="15" t="n"/>
      <c r="AO45" s="286" t="n">
        <v>83.26000000000001</v>
      </c>
      <c r="AP45" s="290">
        <f>AO45-AO33</f>
        <v/>
      </c>
      <c r="AQ45" s="15" t="n"/>
      <c r="AR45" s="286" t="n">
        <v>81.61</v>
      </c>
      <c r="AS45" s="290">
        <f>AR45-AR33</f>
        <v/>
      </c>
      <c r="AT45" s="15" t="n"/>
      <c r="AU45" s="286" t="n">
        <v>76.84</v>
      </c>
      <c r="AV45" s="290">
        <f>AU45-AU33</f>
        <v/>
      </c>
      <c r="AW45" s="15" t="n"/>
      <c r="AX45" s="285" t="n">
        <v>717</v>
      </c>
      <c r="AY45" s="15">
        <f>AX45/AX33-1</f>
        <v/>
      </c>
      <c r="AZ45" s="15" t="n"/>
      <c r="BA45" s="287" t="n"/>
      <c r="BB45" s="37" t="n"/>
      <c r="BC45" s="287" t="n"/>
      <c r="BD45" s="37" t="n"/>
      <c r="BE45" s="287" t="n"/>
      <c r="BF45" s="37" t="n"/>
      <c r="BG45" s="287" t="n"/>
      <c r="BH45" s="37" t="n"/>
      <c r="BI45" s="288" t="n"/>
      <c r="BJ45" s="37" t="n"/>
      <c r="BK45" s="288" t="n"/>
      <c r="BL45" s="37" t="n"/>
      <c r="BM45" s="288" t="n"/>
      <c r="BN45" s="37" t="n"/>
      <c r="BO45" s="288" t="n"/>
      <c r="BP45" s="288" t="n"/>
      <c r="BQ45" s="37" t="n"/>
      <c r="BR45" s="288" t="n"/>
      <c r="BS45" s="37" t="n"/>
      <c r="BT45" s="288" t="n"/>
      <c r="BU45" s="37" t="n"/>
      <c r="BV45" s="288" t="n"/>
      <c r="BW45" s="37" t="n"/>
      <c r="BX45" s="288" t="n"/>
      <c r="BY45" s="37" t="n"/>
      <c r="BZ45" s="288" t="n"/>
      <c r="CA45" s="37" t="n"/>
      <c r="CB45" s="288" t="n"/>
      <c r="CC45" s="37" t="n"/>
      <c r="CD45" s="288" t="n"/>
      <c r="CE45" s="37" t="n"/>
      <c r="CF45" s="288" t="n"/>
      <c r="CG45" s="291" t="n"/>
      <c r="CH45" s="288" t="n"/>
      <c r="CI45" s="291" t="n"/>
      <c r="CJ45" s="288" t="n"/>
      <c r="CK45" s="291" t="n"/>
      <c r="CL45" s="288" t="n"/>
      <c r="CM45" s="291" t="n"/>
      <c r="CN45" s="288" t="n"/>
      <c r="CO45" s="80" t="n"/>
      <c r="CP45" s="288" t="n"/>
      <c r="CQ45" s="80" t="n"/>
      <c r="CR45" s="288" t="n"/>
      <c r="CS45" s="80" t="n"/>
      <c r="CT45" s="288" t="n"/>
      <c r="CU45" s="80" t="n"/>
      <c r="CW45" s="288" t="n"/>
      <c r="CX45" s="37" t="n"/>
      <c r="CY45" s="288" t="n"/>
      <c r="CZ45" s="37" t="n"/>
      <c r="DA45" s="288" t="n"/>
      <c r="DB45" s="37" t="n"/>
      <c r="DC45" s="288" t="n"/>
      <c r="DD45" s="37" t="n"/>
      <c r="DE45" s="289" t="n"/>
      <c r="DF45" s="289" t="n"/>
      <c r="DG45" s="79" t="n"/>
    </row>
    <row r="46">
      <c r="A46" s="284" t="n">
        <v>42947</v>
      </c>
      <c r="B46" s="285" t="n">
        <v>24829.32</v>
      </c>
      <c r="C46" s="15">
        <f>B46/B34-1</f>
        <v/>
      </c>
      <c r="D46" s="15" t="n"/>
      <c r="E46" s="285" t="n">
        <v>17197.66</v>
      </c>
      <c r="F46" s="15">
        <f>E46/E34-1</f>
        <v/>
      </c>
      <c r="G46" s="15" t="n"/>
      <c r="H46" s="285" t="n">
        <v>7309.97</v>
      </c>
      <c r="I46" s="15">
        <f>H46/H34-1</f>
        <v/>
      </c>
      <c r="J46" s="15" t="n"/>
      <c r="K46" s="285" t="n">
        <v>321.69</v>
      </c>
      <c r="L46" s="15">
        <f>K46/K34-1</f>
        <v/>
      </c>
      <c r="M46" s="15" t="n"/>
      <c r="N46" s="285" t="n">
        <v>20361.95</v>
      </c>
      <c r="O46" s="15">
        <f>N46/N34-1</f>
        <v/>
      </c>
      <c r="P46" s="15" t="n"/>
      <c r="Q46" s="285" t="n">
        <v>14105.09</v>
      </c>
      <c r="R46" s="15">
        <f>Q46/Q34-1</f>
        <v/>
      </c>
      <c r="S46" s="15" t="n"/>
      <c r="T46" s="285" t="n">
        <v>5999</v>
      </c>
      <c r="U46" s="15">
        <f>T46/T34-1</f>
        <v/>
      </c>
      <c r="V46" s="15" t="n"/>
      <c r="W46" s="285" t="n">
        <v>257.86</v>
      </c>
      <c r="X46" s="15">
        <f>W46/W34-1</f>
        <v/>
      </c>
      <c r="Y46" s="15" t="n"/>
      <c r="Z46" s="285" t="n">
        <v>11166.01</v>
      </c>
      <c r="AA46" s="15">
        <f>Z46/Z34-1</f>
        <v/>
      </c>
      <c r="AB46" s="15" t="n"/>
      <c r="AC46" s="285" t="n">
        <v>9611.629999999999</v>
      </c>
      <c r="AD46" s="15">
        <f>AC46/AC34-1</f>
        <v/>
      </c>
      <c r="AE46" s="15" t="n"/>
      <c r="AF46" s="285" t="n">
        <v>1349.12</v>
      </c>
      <c r="AG46" s="15">
        <f>AF46/AF34-1</f>
        <v/>
      </c>
      <c r="AH46" s="15" t="n"/>
      <c r="AI46" s="285" t="n">
        <v>205.26</v>
      </c>
      <c r="AJ46" s="15">
        <f>AI46/AI34-1</f>
        <v/>
      </c>
      <c r="AK46" s="15" t="n"/>
      <c r="AL46" s="286" t="n">
        <v>82.01000000000001</v>
      </c>
      <c r="AM46" s="290">
        <f>AL46-AL34</f>
        <v/>
      </c>
      <c r="AN46" s="15" t="n"/>
      <c r="AO46" s="286" t="n">
        <v>82.02</v>
      </c>
      <c r="AP46" s="290">
        <f>AO46-AO34</f>
        <v/>
      </c>
      <c r="AQ46" s="15" t="n"/>
      <c r="AR46" s="286" t="n">
        <v>82.06999999999999</v>
      </c>
      <c r="AS46" s="290">
        <f>AR46-AR34</f>
        <v/>
      </c>
      <c r="AT46" s="15" t="n"/>
      <c r="AU46" s="286" t="n">
        <v>80.16</v>
      </c>
      <c r="AV46" s="290">
        <f>AU46-AU34</f>
        <v/>
      </c>
      <c r="AW46" s="15" t="n"/>
      <c r="AX46" s="285" t="n">
        <v>723</v>
      </c>
      <c r="AY46" s="15">
        <f>AX46/AX34-1</f>
        <v/>
      </c>
      <c r="AZ46" s="15" t="n"/>
      <c r="BA46" s="287" t="n"/>
      <c r="BB46" s="37" t="n"/>
      <c r="BC46" s="287" t="n"/>
      <c r="BD46" s="37" t="n"/>
      <c r="BE46" s="287" t="n"/>
      <c r="BF46" s="37" t="n"/>
      <c r="BG46" s="287" t="n"/>
      <c r="BH46" s="37" t="n"/>
      <c r="BI46" s="288" t="n"/>
      <c r="BJ46" s="37" t="n"/>
      <c r="BK46" s="288" t="n"/>
      <c r="BL46" s="37" t="n"/>
      <c r="BM46" s="288" t="n"/>
      <c r="BN46" s="37" t="n"/>
      <c r="BO46" s="288" t="n"/>
      <c r="BP46" s="288" t="n"/>
      <c r="BQ46" s="37" t="n"/>
      <c r="BR46" s="288" t="n"/>
      <c r="BS46" s="37" t="n"/>
      <c r="BT46" s="288" t="n"/>
      <c r="BU46" s="37" t="n"/>
      <c r="BV46" s="288" t="n"/>
      <c r="BW46" s="37" t="n"/>
      <c r="BX46" s="288" t="n"/>
      <c r="BY46" s="37" t="n"/>
      <c r="BZ46" s="288" t="n"/>
      <c r="CA46" s="37" t="n"/>
      <c r="CB46" s="288" t="n"/>
      <c r="CC46" s="37" t="n"/>
      <c r="CD46" s="288" t="n"/>
      <c r="CE46" s="37" t="n"/>
      <c r="CF46" s="288" t="n"/>
      <c r="CG46" s="291" t="n"/>
      <c r="CH46" s="288" t="n"/>
      <c r="CI46" s="291" t="n"/>
      <c r="CJ46" s="288" t="n"/>
      <c r="CK46" s="291" t="n"/>
      <c r="CL46" s="288" t="n"/>
      <c r="CM46" s="291" t="n"/>
      <c r="CN46" s="288" t="n"/>
      <c r="CO46" s="80" t="n"/>
      <c r="CP46" s="288" t="n"/>
      <c r="CQ46" s="80" t="n"/>
      <c r="CR46" s="288" t="n"/>
      <c r="CS46" s="80" t="n"/>
      <c r="CT46" s="288" t="n"/>
      <c r="CU46" s="80" t="n"/>
      <c r="CW46" s="288" t="n"/>
      <c r="CX46" s="37" t="n"/>
      <c r="CY46" s="288" t="n"/>
      <c r="CZ46" s="37" t="n"/>
      <c r="DA46" s="288" t="n"/>
      <c r="DB46" s="37" t="n"/>
      <c r="DC46" s="288" t="n"/>
      <c r="DD46" s="37" t="n"/>
      <c r="DE46" s="289" t="n"/>
      <c r="DF46" s="289" t="n"/>
      <c r="DG46" s="79" t="n"/>
    </row>
    <row r="47">
      <c r="A47" s="284" t="n">
        <v>42978</v>
      </c>
      <c r="B47" s="285" t="n">
        <v>25150.97</v>
      </c>
      <c r="C47" s="15">
        <f>B47/B35-1</f>
        <v/>
      </c>
      <c r="D47" s="15" t="n"/>
      <c r="E47" s="285" t="n">
        <v>17515.82</v>
      </c>
      <c r="F47" s="15">
        <f>E47/E35-1</f>
        <v/>
      </c>
      <c r="G47" s="15" t="n"/>
      <c r="H47" s="285" t="n">
        <v>7306.54</v>
      </c>
      <c r="I47" s="15">
        <f>H47/H35-1</f>
        <v/>
      </c>
      <c r="J47" s="15" t="n"/>
      <c r="K47" s="285" t="n">
        <v>328.62</v>
      </c>
      <c r="L47" s="15">
        <f>K47/K35-1</f>
        <v/>
      </c>
      <c r="M47" s="15" t="n"/>
      <c r="N47" s="285" t="n">
        <v>21088.33</v>
      </c>
      <c r="O47" s="15">
        <f>N47/N35-1</f>
        <v/>
      </c>
      <c r="P47" s="15" t="n"/>
      <c r="Q47" s="285" t="n">
        <v>14710.29</v>
      </c>
      <c r="R47" s="15">
        <f>Q47/Q35-1</f>
        <v/>
      </c>
      <c r="S47" s="15" t="n"/>
      <c r="T47" s="285" t="n">
        <v>6109.77</v>
      </c>
      <c r="U47" s="15">
        <f>T47/T35-1</f>
        <v/>
      </c>
      <c r="V47" s="15" t="n"/>
      <c r="W47" s="285" t="n">
        <v>268.27</v>
      </c>
      <c r="X47" s="15">
        <f>W47/W35-1</f>
        <v/>
      </c>
      <c r="Y47" s="15" t="n"/>
      <c r="Z47" s="285" t="n">
        <v>11620.52</v>
      </c>
      <c r="AA47" s="15">
        <f>Z47/Z35-1</f>
        <v/>
      </c>
      <c r="AB47" s="15" t="n"/>
      <c r="AC47" s="285" t="n">
        <v>10015.91</v>
      </c>
      <c r="AD47" s="15">
        <f>AC47/AC35-1</f>
        <v/>
      </c>
      <c r="AE47" s="15" t="n"/>
      <c r="AF47" s="285" t="n">
        <v>1392.01</v>
      </c>
      <c r="AG47" s="15">
        <f>AF47/AF35-1</f>
        <v/>
      </c>
      <c r="AH47" s="15" t="n"/>
      <c r="AI47" s="285" t="n">
        <v>212.6</v>
      </c>
      <c r="AJ47" s="15">
        <f>AI47/AI35-1</f>
        <v/>
      </c>
      <c r="AK47" s="15" t="n"/>
      <c r="AL47" s="286" t="n">
        <v>83.84999999999999</v>
      </c>
      <c r="AM47" s="290">
        <f>AL47-AL35</f>
        <v/>
      </c>
      <c r="AN47" s="15" t="n"/>
      <c r="AO47" s="286" t="n">
        <v>83.98</v>
      </c>
      <c r="AP47" s="290">
        <f>AO47-AO35</f>
        <v/>
      </c>
      <c r="AQ47" s="15" t="n"/>
      <c r="AR47" s="286" t="n">
        <v>83.62</v>
      </c>
      <c r="AS47" s="290">
        <f>AR47-AR35</f>
        <v/>
      </c>
      <c r="AT47" s="15" t="n"/>
      <c r="AU47" s="286" t="n">
        <v>81.63</v>
      </c>
      <c r="AV47" s="290">
        <f>AU47-AU35</f>
        <v/>
      </c>
      <c r="AW47" s="15" t="n"/>
      <c r="AX47" s="285" t="n">
        <v>732</v>
      </c>
      <c r="AY47" s="15">
        <f>AX47/AX35-1</f>
        <v/>
      </c>
      <c r="AZ47" s="15" t="n"/>
      <c r="BA47" s="287" t="n"/>
      <c r="BB47" s="37" t="n"/>
      <c r="BC47" s="287" t="n"/>
      <c r="BD47" s="37" t="n"/>
      <c r="BE47" s="287" t="n"/>
      <c r="BF47" s="37" t="n"/>
      <c r="BG47" s="287" t="n"/>
      <c r="BH47" s="37" t="n"/>
      <c r="BI47" s="288" t="n"/>
      <c r="BJ47" s="37" t="n"/>
      <c r="BK47" s="288" t="n"/>
      <c r="BL47" s="37" t="n"/>
      <c r="BM47" s="288" t="n"/>
      <c r="BN47" s="37" t="n"/>
      <c r="BO47" s="288" t="n"/>
      <c r="BP47" s="288" t="n"/>
      <c r="BQ47" s="37" t="n"/>
      <c r="BR47" s="288" t="n"/>
      <c r="BS47" s="37" t="n"/>
      <c r="BT47" s="288" t="n"/>
      <c r="BU47" s="37" t="n"/>
      <c r="BV47" s="288" t="n"/>
      <c r="BW47" s="37" t="n"/>
      <c r="BX47" s="288" t="n"/>
      <c r="BY47" s="37" t="n"/>
      <c r="BZ47" s="288" t="n"/>
      <c r="CA47" s="37" t="n"/>
      <c r="CB47" s="288" t="n"/>
      <c r="CC47" s="37" t="n"/>
      <c r="CD47" s="288" t="n"/>
      <c r="CE47" s="37" t="n"/>
      <c r="CF47" s="288" t="n"/>
      <c r="CG47" s="291" t="n"/>
      <c r="CH47" s="288" t="n"/>
      <c r="CI47" s="291" t="n"/>
      <c r="CJ47" s="288" t="n"/>
      <c r="CK47" s="291" t="n"/>
      <c r="CL47" s="288" t="n"/>
      <c r="CM47" s="291" t="n"/>
      <c r="CN47" s="288" t="n"/>
      <c r="CO47" s="80" t="n"/>
      <c r="CP47" s="288" t="n"/>
      <c r="CQ47" s="80" t="n"/>
      <c r="CR47" s="288" t="n"/>
      <c r="CS47" s="80" t="n"/>
      <c r="CT47" s="288" t="n"/>
      <c r="CU47" s="80" t="n"/>
      <c r="CW47" s="288" t="n"/>
      <c r="CX47" s="37" t="n"/>
      <c r="CY47" s="288" t="n"/>
      <c r="CZ47" s="37" t="n"/>
      <c r="DA47" s="288" t="n"/>
      <c r="DB47" s="37" t="n"/>
      <c r="DC47" s="288" t="n"/>
      <c r="DD47" s="37" t="n"/>
      <c r="DE47" s="289" t="n"/>
      <c r="DF47" s="289" t="n"/>
      <c r="DG47" s="79" t="n"/>
    </row>
    <row r="48">
      <c r="A48" s="284" t="n">
        <v>43008</v>
      </c>
      <c r="B48" s="285" t="n">
        <v>23789.12</v>
      </c>
      <c r="C48" s="15">
        <f>B48/B36-1</f>
        <v/>
      </c>
      <c r="D48" s="15" t="n"/>
      <c r="E48" s="285" t="n">
        <v>16396.44</v>
      </c>
      <c r="F48" s="15">
        <f>E48/E36-1</f>
        <v/>
      </c>
      <c r="G48" s="15" t="n"/>
      <c r="H48" s="285" t="n">
        <v>7067.96</v>
      </c>
      <c r="I48" s="15">
        <f>H48/H36-1</f>
        <v/>
      </c>
      <c r="J48" s="15" t="n"/>
      <c r="K48" s="285" t="n">
        <v>324.71</v>
      </c>
      <c r="L48" s="15">
        <f>K48/K36-1</f>
        <v/>
      </c>
      <c r="M48" s="15" t="n"/>
      <c r="N48" s="285" t="n">
        <v>19146.86</v>
      </c>
      <c r="O48" s="15">
        <f>N48/N36-1</f>
        <v/>
      </c>
      <c r="P48" s="15" t="n"/>
      <c r="Q48" s="285" t="n">
        <v>13322.48</v>
      </c>
      <c r="R48" s="15">
        <f>Q48/Q36-1</f>
        <v/>
      </c>
      <c r="S48" s="15" t="n"/>
      <c r="T48" s="285" t="n">
        <v>5586.18</v>
      </c>
      <c r="U48" s="15">
        <f>T48/T36-1</f>
        <v/>
      </c>
      <c r="V48" s="15" t="n"/>
      <c r="W48" s="285" t="n">
        <v>238.2</v>
      </c>
      <c r="X48" s="15">
        <f>W48/W36-1</f>
        <v/>
      </c>
      <c r="Y48" s="15" t="n"/>
      <c r="Z48" s="285" t="n">
        <v>10483.36</v>
      </c>
      <c r="AA48" s="15">
        <f>Z48/Z36-1</f>
        <v/>
      </c>
      <c r="AB48" s="15" t="n"/>
      <c r="AC48" s="285" t="n">
        <v>9050.700000000001</v>
      </c>
      <c r="AD48" s="15">
        <f>AC48/AC36-1</f>
        <v/>
      </c>
      <c r="AE48" s="15" t="n"/>
      <c r="AF48" s="285" t="n">
        <v>1250.35</v>
      </c>
      <c r="AG48" s="15">
        <f>AF48/AF36-1</f>
        <v/>
      </c>
      <c r="AH48" s="15" t="n"/>
      <c r="AI48" s="285" t="n">
        <v>182.31</v>
      </c>
      <c r="AJ48" s="15">
        <f>AI48/AI36-1</f>
        <v/>
      </c>
      <c r="AK48" s="15" t="n"/>
      <c r="AL48" s="286" t="n">
        <v>80.48999999999999</v>
      </c>
      <c r="AM48" s="290">
        <f>AL48-AL36</f>
        <v/>
      </c>
      <c r="AN48" s="15" t="n"/>
      <c r="AO48" s="286" t="n">
        <v>81.25</v>
      </c>
      <c r="AP48" s="290">
        <f>AO48-AO36</f>
        <v/>
      </c>
      <c r="AQ48" s="15" t="n"/>
      <c r="AR48" s="286" t="n">
        <v>79.04000000000001</v>
      </c>
      <c r="AS48" s="290">
        <f>AR48-AR36</f>
        <v/>
      </c>
      <c r="AT48" s="15" t="n"/>
      <c r="AU48" s="286" t="n">
        <v>73.36</v>
      </c>
      <c r="AV48" s="290">
        <f>AU48-AU36</f>
        <v/>
      </c>
      <c r="AW48" s="15" t="n"/>
      <c r="AX48" s="285" t="n">
        <v>741</v>
      </c>
      <c r="AY48" s="15">
        <f>AX48/AX36-1</f>
        <v/>
      </c>
      <c r="AZ48" s="15" t="n"/>
      <c r="BA48" s="287" t="n"/>
      <c r="BB48" s="37" t="n"/>
      <c r="BC48" s="287" t="n"/>
      <c r="BD48" s="37" t="n"/>
      <c r="BE48" s="287" t="n"/>
      <c r="BF48" s="37" t="n"/>
      <c r="BG48" s="287" t="n"/>
      <c r="BH48" s="37" t="n"/>
      <c r="BI48" s="288" t="n"/>
      <c r="BJ48" s="37" t="n"/>
      <c r="BK48" s="288" t="n"/>
      <c r="BL48" s="37" t="n"/>
      <c r="BM48" s="288" t="n"/>
      <c r="BN48" s="37" t="n"/>
      <c r="BO48" s="288" t="n"/>
      <c r="BP48" s="288" t="n"/>
      <c r="BQ48" s="37" t="n"/>
      <c r="BR48" s="288" t="n"/>
      <c r="BS48" s="37" t="n"/>
      <c r="BT48" s="288" t="n"/>
      <c r="BU48" s="37" t="n"/>
      <c r="BV48" s="288" t="n"/>
      <c r="BW48" s="37" t="n"/>
      <c r="BX48" s="288" t="n"/>
      <c r="BY48" s="37" t="n"/>
      <c r="BZ48" s="288" t="n"/>
      <c r="CA48" s="37" t="n"/>
      <c r="CB48" s="288" t="n"/>
      <c r="CC48" s="37" t="n"/>
      <c r="CD48" s="288" t="n"/>
      <c r="CE48" s="37" t="n"/>
      <c r="CF48" s="288" t="n"/>
      <c r="CG48" s="291" t="n"/>
      <c r="CH48" s="288" t="n"/>
      <c r="CI48" s="291" t="n"/>
      <c r="CJ48" s="288" t="n"/>
      <c r="CK48" s="291" t="n"/>
      <c r="CL48" s="288" t="n"/>
      <c r="CM48" s="291" t="n"/>
      <c r="CN48" s="288" t="n"/>
      <c r="CO48" s="80" t="n"/>
      <c r="CP48" s="288" t="n"/>
      <c r="CQ48" s="80" t="n"/>
      <c r="CR48" s="288" t="n"/>
      <c r="CS48" s="80" t="n"/>
      <c r="CT48" s="288" t="n"/>
      <c r="CU48" s="80" t="n"/>
      <c r="CW48" s="288" t="n"/>
      <c r="CX48" s="37" t="n"/>
      <c r="CY48" s="288" t="n"/>
      <c r="CZ48" s="37" t="n"/>
      <c r="DA48" s="288" t="n"/>
      <c r="DB48" s="37" t="n"/>
      <c r="DC48" s="288" t="n"/>
      <c r="DD48" s="37" t="n"/>
      <c r="DE48" s="295" t="n"/>
      <c r="DF48" s="295" t="n"/>
      <c r="DG48" s="79" t="n"/>
    </row>
    <row r="49">
      <c r="A49" s="284" t="n">
        <v>43039</v>
      </c>
      <c r="B49" s="285" t="n">
        <v>24390.48</v>
      </c>
      <c r="C49" s="15">
        <f>B49/B37-1</f>
        <v/>
      </c>
      <c r="D49" s="15" t="n"/>
      <c r="E49" s="285" t="n">
        <v>16692.24</v>
      </c>
      <c r="F49" s="15">
        <f>E49/E37-1</f>
        <v/>
      </c>
      <c r="G49" s="15" t="n"/>
      <c r="H49" s="285" t="n">
        <v>7359.38</v>
      </c>
      <c r="I49" s="15">
        <f>H49/H37-1</f>
        <v/>
      </c>
      <c r="J49" s="15" t="n"/>
      <c r="K49" s="285" t="n">
        <v>338.86</v>
      </c>
      <c r="L49" s="15">
        <f>K49/K37-1</f>
        <v/>
      </c>
      <c r="M49" s="15" t="n"/>
      <c r="N49" s="285" t="n">
        <v>20000.63</v>
      </c>
      <c r="O49" s="15">
        <f>N49/N37-1</f>
        <v/>
      </c>
      <c r="P49" s="15" t="n"/>
      <c r="Q49" s="285" t="n">
        <v>13799.87</v>
      </c>
      <c r="R49" s="15">
        <f>Q49/Q37-1</f>
        <v/>
      </c>
      <c r="S49" s="15" t="n"/>
      <c r="T49" s="285" t="n">
        <v>5938.3</v>
      </c>
      <c r="U49" s="15">
        <f>T49/T37-1</f>
        <v/>
      </c>
      <c r="V49" s="15" t="n"/>
      <c r="W49" s="285" t="n">
        <v>262.46</v>
      </c>
      <c r="X49" s="15">
        <f>W49/W37-1</f>
        <v/>
      </c>
      <c r="Y49" s="15" t="n"/>
      <c r="Z49" s="285" t="n">
        <v>11029.49</v>
      </c>
      <c r="AA49" s="15">
        <f>Z49/Z37-1</f>
        <v/>
      </c>
      <c r="AB49" s="15" t="n"/>
      <c r="AC49" s="285" t="n">
        <v>9496.620000000001</v>
      </c>
      <c r="AD49" s="15">
        <f>AC49/AC37-1</f>
        <v/>
      </c>
      <c r="AE49" s="15" t="n"/>
      <c r="AF49" s="285" t="n">
        <v>1325.4</v>
      </c>
      <c r="AG49" s="15">
        <f>AF49/AF37-1</f>
        <v/>
      </c>
      <c r="AH49" s="15" t="n"/>
      <c r="AI49" s="285" t="n">
        <v>207.47</v>
      </c>
      <c r="AJ49" s="15">
        <f>AI49/AI37-1</f>
        <v/>
      </c>
      <c r="AK49" s="15" t="n"/>
      <c r="AL49" s="286" t="n">
        <v>82</v>
      </c>
      <c r="AM49" s="290">
        <f>AL49-AL37</f>
        <v/>
      </c>
      <c r="AN49" s="15" t="n"/>
      <c r="AO49" s="286" t="n">
        <v>82.67</v>
      </c>
      <c r="AP49" s="290">
        <f>AO49-AO37</f>
        <v/>
      </c>
      <c r="AQ49" s="15" t="n"/>
      <c r="AR49" s="286" t="n">
        <v>80.69</v>
      </c>
      <c r="AS49" s="290">
        <f>AR49-AR37</f>
        <v/>
      </c>
      <c r="AT49" s="15" t="n"/>
      <c r="AU49" s="286" t="n">
        <v>77.45</v>
      </c>
      <c r="AV49" s="290">
        <f>AU49-AU37</f>
        <v/>
      </c>
      <c r="AW49" s="15" t="n"/>
      <c r="AX49" s="285" t="n">
        <v>746</v>
      </c>
      <c r="AY49" s="15">
        <f>AX49/AX37-1</f>
        <v/>
      </c>
      <c r="AZ49" s="15" t="n"/>
      <c r="BA49" s="287" t="n"/>
      <c r="BB49" s="37" t="n"/>
      <c r="BC49" s="287" t="n"/>
      <c r="BD49" s="37" t="n"/>
      <c r="BE49" s="287" t="n"/>
      <c r="BF49" s="37" t="n"/>
      <c r="BG49" s="287" t="n"/>
      <c r="BH49" s="37" t="n"/>
      <c r="BI49" s="288" t="n"/>
      <c r="BJ49" s="37" t="n"/>
      <c r="BK49" s="288" t="n"/>
      <c r="BL49" s="37" t="n"/>
      <c r="BM49" s="288" t="n"/>
      <c r="BN49" s="37" t="n"/>
      <c r="BO49" s="288" t="n"/>
      <c r="BP49" s="288" t="n"/>
      <c r="BQ49" s="37" t="n"/>
      <c r="BR49" s="288" t="n"/>
      <c r="BS49" s="37" t="n"/>
      <c r="BT49" s="288" t="n"/>
      <c r="BU49" s="37" t="n"/>
      <c r="BV49" s="288" t="n"/>
      <c r="BW49" s="37" t="n"/>
      <c r="BX49" s="288" t="n"/>
      <c r="BY49" s="37" t="n"/>
      <c r="BZ49" s="288" t="n"/>
      <c r="CA49" s="37" t="n"/>
      <c r="CB49" s="288" t="n"/>
      <c r="CC49" s="37" t="n"/>
      <c r="CD49" s="288" t="n"/>
      <c r="CE49" s="37" t="n"/>
      <c r="CF49" s="288" t="n"/>
      <c r="CG49" s="291" t="n"/>
      <c r="CH49" s="288" t="n"/>
      <c r="CI49" s="291" t="n"/>
      <c r="CJ49" s="288" t="n"/>
      <c r="CK49" s="291" t="n"/>
      <c r="CL49" s="288" t="n"/>
      <c r="CM49" s="291" t="n"/>
      <c r="CN49" s="288" t="n"/>
      <c r="CO49" s="80" t="n"/>
      <c r="CP49" s="288" t="n"/>
      <c r="CQ49" s="80" t="n"/>
      <c r="CR49" s="288" t="n"/>
      <c r="CS49" s="80" t="n"/>
      <c r="CT49" s="288" t="n"/>
      <c r="CU49" s="80" t="n"/>
      <c r="CW49" s="288" t="n"/>
      <c r="CX49" s="37" t="n"/>
      <c r="CY49" s="288" t="n"/>
      <c r="CZ49" s="37" t="n"/>
      <c r="DA49" s="288" t="n"/>
      <c r="DB49" s="37" t="n"/>
      <c r="DC49" s="288" t="n"/>
      <c r="DD49" s="37" t="n"/>
      <c r="DE49" s="295" t="n"/>
      <c r="DF49" s="295" t="n"/>
      <c r="DG49" s="79" t="n"/>
    </row>
    <row r="50">
      <c r="A50" s="284" t="n">
        <v>43069</v>
      </c>
      <c r="B50" s="285" t="n">
        <v>23414.8</v>
      </c>
      <c r="C50" s="15">
        <f>B50/B38-1</f>
        <v/>
      </c>
      <c r="D50" s="15" t="n"/>
      <c r="E50" s="285" t="n">
        <v>16384.02</v>
      </c>
      <c r="F50" s="15">
        <f>E50/E38-1</f>
        <v/>
      </c>
      <c r="G50" s="15" t="n"/>
      <c r="H50" s="285" t="n">
        <v>6713.08</v>
      </c>
      <c r="I50" s="15">
        <f>H50/H38-1</f>
        <v/>
      </c>
      <c r="J50" s="15" t="n"/>
      <c r="K50" s="285" t="n">
        <v>317.7</v>
      </c>
      <c r="L50" s="15">
        <f>K50/K38-1</f>
        <v/>
      </c>
      <c r="M50" s="15" t="n"/>
      <c r="N50" s="285" t="n">
        <v>19272.95</v>
      </c>
      <c r="O50" s="15">
        <f>N50/N38-1</f>
        <v/>
      </c>
      <c r="P50" s="15" t="n"/>
      <c r="Q50" s="285" t="n">
        <v>13623</v>
      </c>
      <c r="R50" s="15">
        <f>Q50/Q38-1</f>
        <v/>
      </c>
      <c r="S50" s="15" t="n"/>
      <c r="T50" s="285" t="n">
        <v>5397.39</v>
      </c>
      <c r="U50" s="15">
        <f>T50/T38-1</f>
        <v/>
      </c>
      <c r="V50" s="15" t="n"/>
      <c r="W50" s="285" t="n">
        <v>252.57</v>
      </c>
      <c r="X50" s="15">
        <f>W50/W38-1</f>
        <v/>
      </c>
      <c r="Y50" s="15" t="n"/>
      <c r="Z50" s="285" t="n">
        <v>10639.65</v>
      </c>
      <c r="AA50" s="15">
        <f>Z50/Z38-1</f>
        <v/>
      </c>
      <c r="AB50" s="15" t="n"/>
      <c r="AC50" s="285" t="n">
        <v>9186.92</v>
      </c>
      <c r="AD50" s="15">
        <f>AC50/AC38-1</f>
        <v/>
      </c>
      <c r="AE50" s="15" t="n"/>
      <c r="AF50" s="285" t="n">
        <v>1255.43</v>
      </c>
      <c r="AG50" s="15">
        <f>AF50/AF38-1</f>
        <v/>
      </c>
      <c r="AH50" s="15" t="n"/>
      <c r="AI50" s="285" t="n">
        <v>197.3</v>
      </c>
      <c r="AJ50" s="15">
        <f>AI50/AI38-1</f>
        <v/>
      </c>
      <c r="AK50" s="15" t="n"/>
      <c r="AL50" s="286" t="n">
        <v>82.31</v>
      </c>
      <c r="AM50" s="290">
        <f>AL50-AL38</f>
        <v/>
      </c>
      <c r="AN50" s="15" t="n"/>
      <c r="AO50" s="286" t="n">
        <v>83.15000000000001</v>
      </c>
      <c r="AP50" s="290">
        <f>AO50-AO38</f>
        <v/>
      </c>
      <c r="AQ50" s="15" t="n"/>
      <c r="AR50" s="286" t="n">
        <v>80.40000000000001</v>
      </c>
      <c r="AS50" s="290">
        <f>AR50-AR38</f>
        <v/>
      </c>
      <c r="AT50" s="15" t="n"/>
      <c r="AU50" s="286" t="n">
        <v>79.5</v>
      </c>
      <c r="AV50" s="290">
        <f>AU50-AU38</f>
        <v/>
      </c>
      <c r="AW50" s="15" t="n"/>
      <c r="AX50" s="285" t="n">
        <v>749</v>
      </c>
      <c r="AY50" s="15">
        <f>AX50/AX38-1</f>
        <v/>
      </c>
      <c r="AZ50" s="15" t="n"/>
      <c r="BA50" s="287" t="n"/>
      <c r="BB50" s="37" t="n"/>
      <c r="BC50" s="287" t="n"/>
      <c r="BD50" s="37" t="n"/>
      <c r="BE50" s="287" t="n"/>
      <c r="BF50" s="37" t="n"/>
      <c r="BG50" s="287" t="n"/>
      <c r="BH50" s="37" t="n"/>
      <c r="BI50" s="288" t="n"/>
      <c r="BJ50" s="37" t="n"/>
      <c r="BK50" s="288" t="n"/>
      <c r="BL50" s="37" t="n"/>
      <c r="BM50" s="288" t="n"/>
      <c r="BN50" s="37" t="n"/>
      <c r="BO50" s="288" t="n"/>
      <c r="BP50" s="288" t="n"/>
      <c r="BQ50" s="37" t="n"/>
      <c r="BR50" s="288" t="n"/>
      <c r="BS50" s="37" t="n"/>
      <c r="BT50" s="288" t="n"/>
      <c r="BU50" s="37" t="n"/>
      <c r="BV50" s="288" t="n"/>
      <c r="BW50" s="37" t="n"/>
      <c r="BX50" s="288" t="n"/>
      <c r="BY50" s="37" t="n"/>
      <c r="BZ50" s="288" t="n"/>
      <c r="CA50" s="37" t="n"/>
      <c r="CB50" s="288" t="n"/>
      <c r="CC50" s="37" t="n"/>
      <c r="CD50" s="288" t="n"/>
      <c r="CE50" s="37" t="n"/>
      <c r="CF50" s="288" t="n"/>
      <c r="CG50" s="291" t="n"/>
      <c r="CH50" s="288" t="n"/>
      <c r="CI50" s="291" t="n"/>
      <c r="CJ50" s="288" t="n"/>
      <c r="CK50" s="291" t="n"/>
      <c r="CL50" s="288" t="n"/>
      <c r="CM50" s="291" t="n"/>
      <c r="CN50" s="288" t="n"/>
      <c r="CO50" s="80" t="n"/>
      <c r="CP50" s="288" t="n"/>
      <c r="CQ50" s="80" t="n"/>
      <c r="CR50" s="288" t="n"/>
      <c r="CS50" s="80" t="n"/>
      <c r="CT50" s="288" t="n"/>
      <c r="CU50" s="80" t="n"/>
      <c r="CW50" s="288" t="n"/>
      <c r="CX50" s="37" t="n"/>
      <c r="CY50" s="288" t="n"/>
      <c r="CZ50" s="37" t="n"/>
      <c r="DA50" s="288" t="n"/>
      <c r="DB50" s="37" t="n"/>
      <c r="DC50" s="288" t="n"/>
      <c r="DD50" s="37" t="n"/>
      <c r="DE50" s="295" t="n"/>
      <c r="DF50" s="295" t="n"/>
      <c r="DG50" s="79" t="n"/>
    </row>
    <row r="51">
      <c r="A51" s="284" t="n">
        <v>43100</v>
      </c>
      <c r="B51" s="285" t="n">
        <v>24581.81</v>
      </c>
      <c r="C51" s="15">
        <f>B51/B39-1</f>
        <v/>
      </c>
      <c r="D51" s="15" t="n"/>
      <c r="E51" s="285" t="n">
        <v>16757.83</v>
      </c>
      <c r="F51" s="15">
        <f>E51/E39-1</f>
        <v/>
      </c>
      <c r="G51" s="15" t="n"/>
      <c r="H51" s="285" t="n">
        <v>7490.67</v>
      </c>
      <c r="I51" s="15">
        <f>H51/H39-1</f>
        <v/>
      </c>
      <c r="J51" s="15" t="n"/>
      <c r="K51" s="285" t="n">
        <v>333.32</v>
      </c>
      <c r="L51" s="15">
        <f>K51/K39-1</f>
        <v/>
      </c>
      <c r="M51" s="15" t="n"/>
      <c r="N51" s="285" t="n">
        <v>20116.26</v>
      </c>
      <c r="O51" s="15">
        <f>N51/N39-1</f>
        <v/>
      </c>
      <c r="P51" s="15" t="n"/>
      <c r="Q51" s="285" t="n">
        <v>13706.5</v>
      </c>
      <c r="R51" s="15">
        <f>Q51/Q39-1</f>
        <v/>
      </c>
      <c r="S51" s="15" t="n"/>
      <c r="T51" s="285" t="n">
        <v>6153.11</v>
      </c>
      <c r="U51" s="15">
        <f>T51/T39-1</f>
        <v/>
      </c>
      <c r="V51" s="15" t="n"/>
      <c r="W51" s="285" t="n">
        <v>256.66</v>
      </c>
      <c r="X51" s="15">
        <f>W51/W39-1</f>
        <v/>
      </c>
      <c r="Y51" s="15" t="n"/>
      <c r="Z51" s="285" t="n">
        <v>10767.65</v>
      </c>
      <c r="AA51" s="15">
        <f>Z51/Z39-1</f>
        <v/>
      </c>
      <c r="AB51" s="15" t="n"/>
      <c r="AC51" s="285" t="n">
        <v>9192.389999999999</v>
      </c>
      <c r="AD51" s="15">
        <f>AC51/AC39-1</f>
        <v/>
      </c>
      <c r="AE51" s="15" t="n"/>
      <c r="AF51" s="285" t="n">
        <v>1372.61</v>
      </c>
      <c r="AG51" s="15">
        <f>AF51/AF39-1</f>
        <v/>
      </c>
      <c r="AH51" s="15" t="n"/>
      <c r="AI51" s="285" t="n">
        <v>202.64</v>
      </c>
      <c r="AJ51" s="15">
        <f>AI51/AI39-1</f>
        <v/>
      </c>
      <c r="AK51" s="15" t="n"/>
      <c r="AL51" s="286" t="n">
        <v>81.83</v>
      </c>
      <c r="AM51" s="290">
        <f>AL51-AL39</f>
        <v/>
      </c>
      <c r="AN51" s="15" t="n"/>
      <c r="AO51" s="286" t="n">
        <v>81.79000000000001</v>
      </c>
      <c r="AP51" s="290">
        <f>AO51-AO39</f>
        <v/>
      </c>
      <c r="AQ51" s="15" t="n"/>
      <c r="AR51" s="286" t="n">
        <v>82.14</v>
      </c>
      <c r="AS51" s="290">
        <f>AR51-AR39</f>
        <v/>
      </c>
      <c r="AT51" s="15" t="n"/>
      <c r="AU51" s="286" t="n">
        <v>77</v>
      </c>
      <c r="AV51" s="290">
        <f>AU51-AU39</f>
        <v/>
      </c>
      <c r="AW51" s="15" t="n"/>
      <c r="AX51" s="285" t="n">
        <v>754</v>
      </c>
      <c r="AY51" s="15">
        <f>AX51/AX39-1</f>
        <v/>
      </c>
      <c r="AZ51" s="15" t="n"/>
      <c r="BA51" s="287" t="n"/>
      <c r="BB51" s="37" t="n"/>
      <c r="BC51" s="287" t="n"/>
      <c r="BD51" s="37" t="n"/>
      <c r="BE51" s="287" t="n"/>
      <c r="BF51" s="37" t="n"/>
      <c r="BG51" s="287" t="n"/>
      <c r="BH51" s="37" t="n"/>
      <c r="BI51" s="288" t="n"/>
      <c r="BJ51" s="37" t="n"/>
      <c r="BK51" s="288" t="n"/>
      <c r="BL51" s="37" t="n"/>
      <c r="BM51" s="288" t="n"/>
      <c r="BN51" s="37" t="n"/>
      <c r="BO51" s="288" t="n"/>
      <c r="BP51" s="288" t="n"/>
      <c r="BQ51" s="37" t="n"/>
      <c r="BR51" s="288" t="n"/>
      <c r="BS51" s="37" t="n"/>
      <c r="BT51" s="288" t="n"/>
      <c r="BU51" s="37" t="n"/>
      <c r="BV51" s="288" t="n"/>
      <c r="BW51" s="37" t="n"/>
      <c r="BX51" s="288" t="n"/>
      <c r="BY51" s="37" t="n"/>
      <c r="BZ51" s="288" t="n"/>
      <c r="CA51" s="37" t="n"/>
      <c r="CB51" s="288" t="n"/>
      <c r="CC51" s="37" t="n"/>
      <c r="CD51" s="288" t="n"/>
      <c r="CE51" s="37" t="n"/>
      <c r="CF51" s="288" t="n"/>
      <c r="CG51" s="291" t="n"/>
      <c r="CH51" s="288" t="n"/>
      <c r="CI51" s="291" t="n"/>
      <c r="CJ51" s="288" t="n"/>
      <c r="CK51" s="291" t="n"/>
      <c r="CL51" s="288" t="n"/>
      <c r="CM51" s="291" t="n"/>
      <c r="CN51" s="288" t="n"/>
      <c r="CO51" s="80" t="n"/>
      <c r="CP51" s="288" t="n"/>
      <c r="CQ51" s="80" t="n"/>
      <c r="CR51" s="288" t="n"/>
      <c r="CS51" s="80" t="n"/>
      <c r="CT51" s="288" t="n"/>
      <c r="CU51" s="80" t="n"/>
      <c r="CW51" s="288" t="n"/>
      <c r="CX51" s="37" t="n"/>
      <c r="CY51" s="288" t="n"/>
      <c r="CZ51" s="37" t="n"/>
      <c r="DA51" s="288" t="n"/>
      <c r="DB51" s="37" t="n"/>
      <c r="DC51" s="288" t="n"/>
      <c r="DD51" s="37" t="n"/>
      <c r="DE51" s="295" t="n"/>
      <c r="DF51" s="295" t="n"/>
      <c r="DG51" s="79" t="n"/>
    </row>
    <row r="52" ht="13" customFormat="1" customHeight="1" s="245">
      <c r="A52" s="280" t="n">
        <v>43131</v>
      </c>
      <c r="B52" s="292" t="n">
        <v>24753.12</v>
      </c>
      <c r="C52" s="15">
        <f>B52/B40-1</f>
        <v/>
      </c>
      <c r="D52" s="15" t="n"/>
      <c r="E52" s="292" t="n">
        <v>16834.18</v>
      </c>
      <c r="F52" s="15">
        <f>E52/E40-1</f>
        <v/>
      </c>
      <c r="G52" s="15" t="n"/>
      <c r="H52" s="292" t="n">
        <v>7594.61</v>
      </c>
      <c r="I52" s="15">
        <f>H52/H40-1</f>
        <v/>
      </c>
      <c r="J52" s="15" t="n"/>
      <c r="K52" s="292" t="n">
        <v>324.33</v>
      </c>
      <c r="L52" s="15">
        <f>K52/K40-1</f>
        <v/>
      </c>
      <c r="M52" s="15" t="n"/>
      <c r="N52" s="292" t="n">
        <v>19821.46</v>
      </c>
      <c r="O52" s="15">
        <f>N52/N40-1</f>
        <v/>
      </c>
      <c r="P52" s="15" t="n"/>
      <c r="Q52" s="292" t="n">
        <v>13504.1</v>
      </c>
      <c r="R52" s="15">
        <f>Q52/Q40-1</f>
        <v/>
      </c>
      <c r="S52" s="15" t="n"/>
      <c r="T52" s="292" t="n">
        <v>6082.98</v>
      </c>
      <c r="U52" s="15">
        <f>T52/T40-1</f>
        <v/>
      </c>
      <c r="V52" s="15" t="n"/>
      <c r="W52" s="292" t="n">
        <v>234.38</v>
      </c>
      <c r="X52" s="15">
        <f>W52/W40-1</f>
        <v/>
      </c>
      <c r="Y52" s="15" t="n"/>
      <c r="Z52" s="292" t="n">
        <v>10512.54</v>
      </c>
      <c r="AA52" s="15">
        <f>Z52/Z40-1</f>
        <v/>
      </c>
      <c r="AB52" s="15" t="n"/>
      <c r="AC52" s="292" t="n">
        <v>8932.889999999999</v>
      </c>
      <c r="AD52" s="15">
        <f>AC52/AC40-1</f>
        <v/>
      </c>
      <c r="AE52" s="15" t="n"/>
      <c r="AF52" s="292" t="n">
        <v>1393.91</v>
      </c>
      <c r="AG52" s="15">
        <f>AF52/AF40-1</f>
        <v/>
      </c>
      <c r="AH52" s="15" t="n"/>
      <c r="AI52" s="292" t="n">
        <v>185.75</v>
      </c>
      <c r="AJ52" s="15">
        <f>AI52/AI40-1</f>
        <v/>
      </c>
      <c r="AK52" s="15" t="n"/>
      <c r="AL52" s="293" t="n">
        <v>80.08</v>
      </c>
      <c r="AM52" s="290">
        <f>AL52-AL40</f>
        <v/>
      </c>
      <c r="AN52" s="15" t="n"/>
      <c r="AO52" s="293" t="n">
        <v>80.22</v>
      </c>
      <c r="AP52" s="290">
        <f>AO52-AO40</f>
        <v/>
      </c>
      <c r="AQ52" s="15" t="n"/>
      <c r="AR52" s="293" t="n">
        <v>80.09999999999999</v>
      </c>
      <c r="AS52" s="290">
        <f>AR52-AR40</f>
        <v/>
      </c>
      <c r="AT52" s="15" t="n"/>
      <c r="AU52" s="293" t="n">
        <v>72.27</v>
      </c>
      <c r="AV52" s="290">
        <f>AU52-AU40</f>
        <v/>
      </c>
      <c r="AW52" s="15" t="n"/>
      <c r="AX52" s="292" t="n">
        <v>755</v>
      </c>
      <c r="AY52" s="15">
        <f>AX52/AX40-1</f>
        <v/>
      </c>
      <c r="AZ52" s="15" t="n"/>
      <c r="BA52" s="292" t="n"/>
      <c r="BB52" s="37" t="n"/>
      <c r="BC52" s="292" t="n"/>
      <c r="BD52" s="254" t="n"/>
      <c r="BE52" s="292" t="n"/>
      <c r="BF52" s="254" t="n"/>
      <c r="BG52" s="292" t="n"/>
      <c r="BH52" s="254" t="n"/>
      <c r="BI52" s="292" t="n"/>
      <c r="BJ52" s="254" t="n"/>
      <c r="BK52" s="292" t="n"/>
      <c r="BL52" s="254" t="n"/>
      <c r="BM52" s="292" t="n"/>
      <c r="BN52" s="254" t="n"/>
      <c r="BO52" s="292" t="n"/>
      <c r="BP52" s="292" t="n"/>
      <c r="BQ52" s="254" t="n"/>
      <c r="BR52" s="292" t="n"/>
      <c r="BS52" s="254" t="n"/>
      <c r="BT52" s="292" t="n"/>
      <c r="BU52" s="254" t="n"/>
      <c r="BV52" s="292" t="n"/>
      <c r="BW52" s="254" t="n"/>
      <c r="BX52" s="292" t="n"/>
      <c r="BY52" s="254" t="n"/>
      <c r="BZ52" s="292" t="n"/>
      <c r="CA52" s="254" t="n"/>
      <c r="CB52" s="292" t="n"/>
      <c r="CC52" s="254" t="n"/>
      <c r="CD52" s="292" t="n"/>
      <c r="CE52" s="254" t="n"/>
      <c r="CF52" s="292" t="n"/>
      <c r="CG52" s="292" t="n"/>
      <c r="CH52" s="292" t="n"/>
      <c r="CI52" s="292" t="n"/>
      <c r="CJ52" s="292" t="n"/>
      <c r="CK52" s="292" t="n"/>
      <c r="CL52" s="292" t="n"/>
      <c r="CM52" s="292" t="n"/>
      <c r="CN52" s="292" t="n"/>
      <c r="CO52" s="218" t="n"/>
      <c r="CP52" s="292" t="n"/>
      <c r="CQ52" s="218" t="n"/>
      <c r="CR52" s="292" t="n"/>
      <c r="CS52" s="218" t="n"/>
      <c r="CT52" s="292" t="n"/>
      <c r="CU52" s="218" t="n"/>
      <c r="CW52" s="292" t="n"/>
      <c r="CX52" s="254" t="n"/>
      <c r="CY52" s="292" t="n"/>
      <c r="CZ52" s="254" t="n"/>
      <c r="DA52" s="292" t="n"/>
      <c r="DB52" s="254" t="n"/>
      <c r="DC52" s="292" t="n"/>
      <c r="DD52" s="254" t="n"/>
      <c r="DE52" s="294" t="n"/>
      <c r="DF52" s="294" t="n"/>
    </row>
    <row r="53">
      <c r="A53" s="284" t="n">
        <v>43159</v>
      </c>
      <c r="B53" s="285" t="n">
        <v>24624.31</v>
      </c>
      <c r="C53" s="15">
        <f>B53/B41-1</f>
        <v/>
      </c>
      <c r="D53" s="15" t="n"/>
      <c r="E53" s="285" t="n">
        <v>17071.08</v>
      </c>
      <c r="F53" s="15">
        <f>E53/E41-1</f>
        <v/>
      </c>
      <c r="G53" s="15" t="n"/>
      <c r="H53" s="285" t="n">
        <v>7201.74</v>
      </c>
      <c r="I53" s="15">
        <f>H53/H41-1</f>
        <v/>
      </c>
      <c r="J53" s="15" t="n"/>
      <c r="K53" s="285" t="n">
        <v>351.5</v>
      </c>
      <c r="L53" s="15">
        <f>K53/K41-1</f>
        <v/>
      </c>
      <c r="M53" s="15" t="n"/>
      <c r="N53" s="285" t="n">
        <v>20558.36</v>
      </c>
      <c r="O53" s="15">
        <f>N53/N41-1</f>
        <v/>
      </c>
      <c r="P53" s="15" t="n"/>
      <c r="Q53" s="285" t="n">
        <v>14223.75</v>
      </c>
      <c r="R53" s="15">
        <f>Q53/Q41-1</f>
        <v/>
      </c>
      <c r="S53" s="15" t="n"/>
      <c r="T53" s="285" t="n">
        <v>6075.22</v>
      </c>
      <c r="U53" s="15">
        <f>T53/T41-1</f>
        <v/>
      </c>
      <c r="V53" s="15" t="n"/>
      <c r="W53" s="285" t="n">
        <v>259.39</v>
      </c>
      <c r="X53" s="15">
        <f>W53/W41-1</f>
        <v/>
      </c>
      <c r="Y53" s="15" t="n"/>
      <c r="Z53" s="285" t="n">
        <v>11063.91</v>
      </c>
      <c r="AA53" s="15">
        <f>Z53/Z41-1</f>
        <v/>
      </c>
      <c r="AB53" s="15" t="n"/>
      <c r="AC53" s="285" t="n">
        <v>9384.209999999999</v>
      </c>
      <c r="AD53" s="15">
        <f>AC53/AC41-1</f>
        <v/>
      </c>
      <c r="AE53" s="15" t="n"/>
      <c r="AF53" s="285" t="n">
        <v>1473.13</v>
      </c>
      <c r="AG53" s="15">
        <f>AF53/AF41-1</f>
        <v/>
      </c>
      <c r="AH53" s="15" t="n"/>
      <c r="AI53" s="285" t="n">
        <v>206.57</v>
      </c>
      <c r="AJ53" s="15">
        <f>AI53/AI41-1</f>
        <v/>
      </c>
      <c r="AK53" s="15" t="n"/>
      <c r="AL53" s="286" t="n">
        <v>83.48999999999999</v>
      </c>
      <c r="AM53" s="290">
        <f>AL53-AL41</f>
        <v/>
      </c>
      <c r="AN53" s="15" t="n"/>
      <c r="AO53" s="286" t="n">
        <v>83.31999999999999</v>
      </c>
      <c r="AP53" s="290">
        <f>AO53-AO41</f>
        <v/>
      </c>
      <c r="AQ53" s="15" t="n"/>
      <c r="AR53" s="286" t="n">
        <v>84.36</v>
      </c>
      <c r="AS53" s="290">
        <f>AR53-AR41</f>
        <v/>
      </c>
      <c r="AT53" s="15" t="n"/>
      <c r="AU53" s="286" t="n">
        <v>73.79000000000001</v>
      </c>
      <c r="AV53" s="290">
        <f>AU53-AU41</f>
        <v/>
      </c>
      <c r="AW53" s="15" t="n"/>
      <c r="AX53" s="285" t="n">
        <v>759</v>
      </c>
      <c r="AY53" s="15">
        <f>AX53/AX41-1</f>
        <v/>
      </c>
      <c r="AZ53" s="15" t="n"/>
      <c r="BA53" s="287" t="n"/>
      <c r="BB53" s="37" t="n"/>
      <c r="BC53" s="287" t="n"/>
      <c r="BD53" s="37" t="n"/>
      <c r="BE53" s="287" t="n"/>
      <c r="BF53" s="37" t="n"/>
      <c r="BG53" s="287" t="n"/>
      <c r="BH53" s="37" t="n"/>
      <c r="BI53" s="288" t="n"/>
      <c r="BJ53" s="37" t="n"/>
      <c r="BK53" s="288" t="n"/>
      <c r="BL53" s="37" t="n"/>
      <c r="BM53" s="288" t="n"/>
      <c r="BN53" s="37" t="n"/>
      <c r="BO53" s="288" t="n"/>
      <c r="BP53" s="288" t="n"/>
      <c r="BQ53" s="37" t="n"/>
      <c r="BR53" s="288" t="n"/>
      <c r="BS53" s="37" t="n"/>
      <c r="BT53" s="288" t="n"/>
      <c r="BU53" s="37" t="n"/>
      <c r="BV53" s="288" t="n"/>
      <c r="BW53" s="37" t="n"/>
      <c r="BX53" s="288" t="n"/>
      <c r="BY53" s="37" t="n"/>
      <c r="BZ53" s="288" t="n"/>
      <c r="CA53" s="37" t="n"/>
      <c r="CB53" s="288" t="n"/>
      <c r="CC53" s="37" t="n"/>
      <c r="CD53" s="288" t="n"/>
      <c r="CE53" s="37" t="n"/>
      <c r="CF53" s="288" t="n"/>
      <c r="CG53" s="291" t="n"/>
      <c r="CH53" s="288" t="n"/>
      <c r="CI53" s="291" t="n"/>
      <c r="CJ53" s="288" t="n"/>
      <c r="CK53" s="291" t="n"/>
      <c r="CL53" s="288" t="n"/>
      <c r="CM53" s="291" t="n"/>
      <c r="CN53" s="288" t="n"/>
      <c r="CO53" s="80" t="n"/>
      <c r="CP53" s="288" t="n"/>
      <c r="CQ53" s="80" t="n"/>
      <c r="CR53" s="288" t="n"/>
      <c r="CS53" s="80" t="n"/>
      <c r="CT53" s="288" t="n"/>
      <c r="CU53" s="80" t="n"/>
      <c r="CW53" s="288" t="n"/>
      <c r="CX53" s="37" t="n"/>
      <c r="CY53" s="288" t="n"/>
      <c r="CZ53" s="37" t="n"/>
      <c r="DA53" s="288" t="n"/>
      <c r="DB53" s="37" t="n"/>
      <c r="DC53" s="288" t="n"/>
      <c r="DD53" s="37" t="n"/>
      <c r="DE53" s="295" t="n"/>
      <c r="DF53" s="295" t="n"/>
      <c r="DG53" s="79" t="n"/>
    </row>
    <row r="54">
      <c r="A54" s="284" t="n">
        <v>43190</v>
      </c>
      <c r="B54" s="285" t="n">
        <v>25555.38</v>
      </c>
      <c r="C54" s="15">
        <f>B54/B42-1</f>
        <v/>
      </c>
      <c r="D54" s="15" t="n"/>
      <c r="E54" s="285" t="n">
        <v>17852.36</v>
      </c>
      <c r="F54" s="15">
        <f>E54/E42-1</f>
        <v/>
      </c>
      <c r="G54" s="15" t="n"/>
      <c r="H54" s="285" t="n">
        <v>7353.05</v>
      </c>
      <c r="I54" s="15">
        <f>H54/H42-1</f>
        <v/>
      </c>
      <c r="J54" s="15" t="n"/>
      <c r="K54" s="285" t="n">
        <v>349.98</v>
      </c>
      <c r="L54" s="15">
        <f>K54/K42-1</f>
        <v/>
      </c>
      <c r="M54" s="15" t="n"/>
      <c r="N54" s="285" t="n">
        <v>21357.31</v>
      </c>
      <c r="O54" s="15">
        <f>N54/N42-1</f>
        <v/>
      </c>
      <c r="P54" s="15" t="n"/>
      <c r="Q54" s="285" t="n">
        <v>14979.94</v>
      </c>
      <c r="R54" s="15">
        <f>Q54/Q42-1</f>
        <v/>
      </c>
      <c r="S54" s="15" t="n"/>
      <c r="T54" s="285" t="n">
        <v>6118.6</v>
      </c>
      <c r="U54" s="15">
        <f>T54/T42-1</f>
        <v/>
      </c>
      <c r="V54" s="15" t="n"/>
      <c r="W54" s="285" t="n">
        <v>258.78</v>
      </c>
      <c r="X54" s="15">
        <f>W54/W42-1</f>
        <v/>
      </c>
      <c r="Y54" s="15" t="n"/>
      <c r="Z54" s="285" t="n">
        <v>11673.89</v>
      </c>
      <c r="AA54" s="15">
        <f>Z54/Z42-1</f>
        <v/>
      </c>
      <c r="AB54" s="15" t="n"/>
      <c r="AC54" s="285" t="n">
        <v>10004.07</v>
      </c>
      <c r="AD54" s="15">
        <f>AC54/AC42-1</f>
        <v/>
      </c>
      <c r="AE54" s="15" t="n"/>
      <c r="AF54" s="285" t="n">
        <v>1466.75</v>
      </c>
      <c r="AG54" s="15">
        <f>AF54/AF42-1</f>
        <v/>
      </c>
      <c r="AH54" s="15" t="n"/>
      <c r="AI54" s="285" t="n">
        <v>203.07</v>
      </c>
      <c r="AJ54" s="15">
        <f>AI54/AI42-1</f>
        <v/>
      </c>
      <c r="AK54" s="15" t="n"/>
      <c r="AL54" s="286" t="n">
        <v>83.56999999999999</v>
      </c>
      <c r="AM54" s="290">
        <f>AL54-AL42</f>
        <v/>
      </c>
      <c r="AN54" s="15" t="n"/>
      <c r="AO54" s="286" t="n">
        <v>83.91</v>
      </c>
      <c r="AP54" s="290">
        <f>AO54-AO42</f>
        <v/>
      </c>
      <c r="AQ54" s="15" t="n"/>
      <c r="AR54" s="286" t="n">
        <v>83.20999999999999</v>
      </c>
      <c r="AS54" s="290">
        <f>AR54-AR42</f>
        <v/>
      </c>
      <c r="AT54" s="15" t="n"/>
      <c r="AU54" s="286" t="n">
        <v>73.94</v>
      </c>
      <c r="AV54" s="290">
        <f>AU54-AU42</f>
        <v/>
      </c>
      <c r="AW54" s="15" t="n"/>
      <c r="AX54" s="285" t="n">
        <v>767</v>
      </c>
      <c r="AY54" s="15">
        <f>AX54/AX42-1</f>
        <v/>
      </c>
      <c r="AZ54" s="15" t="n"/>
      <c r="BA54" s="287" t="n"/>
      <c r="BB54" s="37" t="n"/>
      <c r="BC54" s="287" t="n"/>
      <c r="BD54" s="37" t="n"/>
      <c r="BE54" s="287" t="n"/>
      <c r="BF54" s="37" t="n"/>
      <c r="BG54" s="287" t="n"/>
      <c r="BH54" s="37" t="n"/>
      <c r="BI54" s="288" t="n"/>
      <c r="BJ54" s="37" t="n"/>
      <c r="BK54" s="288" t="n"/>
      <c r="BL54" s="37" t="n"/>
      <c r="BM54" s="288" t="n"/>
      <c r="BN54" s="37" t="n"/>
      <c r="BO54" s="288" t="n"/>
      <c r="BP54" s="288" t="n"/>
      <c r="BQ54" s="37" t="n"/>
      <c r="BR54" s="288" t="n"/>
      <c r="BS54" s="37" t="n"/>
      <c r="BT54" s="288" t="n"/>
      <c r="BU54" s="37" t="n"/>
      <c r="BV54" s="288" t="n"/>
      <c r="BW54" s="37" t="n"/>
      <c r="BX54" s="288" t="n"/>
      <c r="BY54" s="37" t="n"/>
      <c r="BZ54" s="288" t="n"/>
      <c r="CA54" s="37" t="n"/>
      <c r="CB54" s="288" t="n"/>
      <c r="CC54" s="37" t="n"/>
      <c r="CD54" s="288" t="n"/>
      <c r="CE54" s="37" t="n"/>
      <c r="CF54" s="288" t="n"/>
      <c r="CG54" s="291" t="n"/>
      <c r="CH54" s="288" t="n"/>
      <c r="CI54" s="291" t="n"/>
      <c r="CJ54" s="288" t="n"/>
      <c r="CK54" s="291" t="n"/>
      <c r="CL54" s="288" t="n"/>
      <c r="CM54" s="291" t="n"/>
      <c r="CN54" s="288" t="n"/>
      <c r="CO54" s="80" t="n"/>
      <c r="CP54" s="288" t="n"/>
      <c r="CQ54" s="80" t="n"/>
      <c r="CR54" s="288" t="n"/>
      <c r="CS54" s="80" t="n"/>
      <c r="CT54" s="288" t="n"/>
      <c r="CU54" s="80" t="n"/>
      <c r="CW54" s="288" t="n"/>
      <c r="CX54" s="37" t="n"/>
      <c r="CY54" s="288" t="n"/>
      <c r="CZ54" s="37" t="n"/>
      <c r="DA54" s="288" t="n"/>
      <c r="DB54" s="37" t="n"/>
      <c r="DC54" s="288" t="n"/>
      <c r="DD54" s="37" t="n"/>
      <c r="DE54" s="295" t="n"/>
      <c r="DF54" s="295" t="n"/>
      <c r="DG54" s="79" t="n"/>
    </row>
    <row r="55">
      <c r="A55" s="284" t="n">
        <v>43220</v>
      </c>
      <c r="B55" s="285" t="n">
        <v>25102.61</v>
      </c>
      <c r="C55" s="15">
        <f>B55/B43-1</f>
        <v/>
      </c>
      <c r="D55" s="15" t="n"/>
      <c r="E55" s="285" t="n">
        <v>17344.03</v>
      </c>
      <c r="F55" s="15">
        <f>E55/E43-1</f>
        <v/>
      </c>
      <c r="G55" s="15" t="n"/>
      <c r="H55" s="285" t="n">
        <v>7402.83</v>
      </c>
      <c r="I55" s="15">
        <f>H55/H43-1</f>
        <v/>
      </c>
      <c r="J55" s="15" t="n"/>
      <c r="K55" s="285" t="n">
        <v>355.75</v>
      </c>
      <c r="L55" s="15">
        <f>K55/K43-1</f>
        <v/>
      </c>
      <c r="M55" s="15" t="n"/>
      <c r="N55" s="285" t="n">
        <v>21158.8</v>
      </c>
      <c r="O55" s="15">
        <f>N55/N43-1</f>
        <v/>
      </c>
      <c r="P55" s="15" t="n"/>
      <c r="Q55" s="285" t="n">
        <v>14664.68</v>
      </c>
      <c r="R55" s="15">
        <f>Q55/Q43-1</f>
        <v/>
      </c>
      <c r="S55" s="15" t="n"/>
      <c r="T55" s="285" t="n">
        <v>6213.28</v>
      </c>
      <c r="U55" s="15">
        <f>T55/T43-1</f>
        <v/>
      </c>
      <c r="V55" s="15" t="n"/>
      <c r="W55" s="285" t="n">
        <v>280.83</v>
      </c>
      <c r="X55" s="15">
        <f>W55/W43-1</f>
        <v/>
      </c>
      <c r="Y55" s="15" t="n"/>
      <c r="Z55" s="285" t="n">
        <v>11571.65</v>
      </c>
      <c r="AA55" s="15">
        <f>Z55/Z43-1</f>
        <v/>
      </c>
      <c r="AB55" s="15" t="n"/>
      <c r="AC55" s="285" t="n">
        <v>9850.02</v>
      </c>
      <c r="AD55" s="15">
        <f>AC55/AC43-1</f>
        <v/>
      </c>
      <c r="AE55" s="15" t="n"/>
      <c r="AF55" s="285" t="n">
        <v>1504.92</v>
      </c>
      <c r="AG55" s="15">
        <f>AF55/AF43-1</f>
        <v/>
      </c>
      <c r="AH55" s="15" t="n"/>
      <c r="AI55" s="285" t="n">
        <v>216.71</v>
      </c>
      <c r="AJ55" s="15">
        <f>AI55/AI43-1</f>
        <v/>
      </c>
      <c r="AK55" s="15" t="n"/>
      <c r="AL55" s="286" t="n">
        <v>84.29000000000001</v>
      </c>
      <c r="AM55" s="290">
        <f>AL55-AL43</f>
        <v/>
      </c>
      <c r="AN55" s="15" t="n"/>
      <c r="AO55" s="286" t="n">
        <v>84.55</v>
      </c>
      <c r="AP55" s="290">
        <f>AO55-AO43</f>
        <v/>
      </c>
      <c r="AQ55" s="15" t="n"/>
      <c r="AR55" s="286" t="n">
        <v>83.93000000000001</v>
      </c>
      <c r="AS55" s="290">
        <f>AR55-AR43</f>
        <v/>
      </c>
      <c r="AT55" s="15" t="n"/>
      <c r="AU55" s="286" t="n">
        <v>78.94</v>
      </c>
      <c r="AV55" s="290">
        <f>AU55-AU43</f>
        <v/>
      </c>
      <c r="AW55" s="15" t="n"/>
      <c r="AX55" s="285" t="n">
        <v>768</v>
      </c>
      <c r="AY55" s="15">
        <f>AX55/AX43-1</f>
        <v/>
      </c>
      <c r="AZ55" s="15" t="n"/>
      <c r="BA55" s="287" t="n"/>
      <c r="BB55" s="37" t="n"/>
      <c r="BC55" s="287" t="n"/>
      <c r="BD55" s="37" t="n"/>
      <c r="BE55" s="287" t="n"/>
      <c r="BF55" s="37" t="n"/>
      <c r="BG55" s="287" t="n"/>
      <c r="BH55" s="37" t="n"/>
      <c r="BI55" s="288" t="n"/>
      <c r="BJ55" s="37" t="n"/>
      <c r="BK55" s="288" t="n"/>
      <c r="BL55" s="37" t="n"/>
      <c r="BM55" s="288" t="n"/>
      <c r="BN55" s="37" t="n"/>
      <c r="BO55" s="288" t="n"/>
      <c r="BP55" s="288" t="n"/>
      <c r="BQ55" s="37" t="n"/>
      <c r="BR55" s="288" t="n"/>
      <c r="BS55" s="37" t="n"/>
      <c r="BT55" s="288" t="n"/>
      <c r="BU55" s="37" t="n"/>
      <c r="BV55" s="288" t="n"/>
      <c r="BW55" s="37" t="n"/>
      <c r="BX55" s="288" t="n"/>
      <c r="BY55" s="37" t="n"/>
      <c r="BZ55" s="288" t="n"/>
      <c r="CA55" s="37" t="n"/>
      <c r="CB55" s="288" t="n"/>
      <c r="CC55" s="37" t="n"/>
      <c r="CD55" s="288" t="n"/>
      <c r="CE55" s="37" t="n"/>
      <c r="CF55" s="288" t="n"/>
      <c r="CG55" s="291" t="n"/>
      <c r="CH55" s="288" t="n"/>
      <c r="CI55" s="291" t="n"/>
      <c r="CJ55" s="288" t="n"/>
      <c r="CK55" s="291" t="n"/>
      <c r="CL55" s="288" t="n"/>
      <c r="CM55" s="291" t="n"/>
      <c r="CN55" s="288" t="n"/>
      <c r="CO55" s="80" t="n"/>
      <c r="CP55" s="288" t="n"/>
      <c r="CQ55" s="80" t="n"/>
      <c r="CR55" s="288" t="n"/>
      <c r="CS55" s="80" t="n"/>
      <c r="CT55" s="288" t="n"/>
      <c r="CU55" s="80" t="n"/>
      <c r="CW55" s="288" t="n"/>
      <c r="CX55" s="37" t="n"/>
      <c r="CY55" s="288" t="n"/>
      <c r="CZ55" s="37" t="n"/>
      <c r="DA55" s="288" t="n"/>
      <c r="DB55" s="37" t="n"/>
      <c r="DC55" s="288" t="n"/>
      <c r="DD55" s="37" t="n"/>
      <c r="DE55" s="295" t="n"/>
      <c r="DF55" s="295" t="n"/>
      <c r="DG55" s="79" t="n"/>
    </row>
    <row r="56">
      <c r="A56" s="284" t="n">
        <v>43251</v>
      </c>
      <c r="B56" s="285" t="n">
        <v>25698.05</v>
      </c>
      <c r="C56" s="15">
        <f>B56/B44-1</f>
        <v/>
      </c>
      <c r="D56" s="15" t="n"/>
      <c r="E56" s="285" t="n">
        <v>17851.64</v>
      </c>
      <c r="F56" s="15">
        <f>E56/E44-1</f>
        <v/>
      </c>
      <c r="G56" s="15" t="n"/>
      <c r="H56" s="285" t="n">
        <v>7477.34</v>
      </c>
      <c r="I56" s="15">
        <f>H56/H44-1</f>
        <v/>
      </c>
      <c r="J56" s="15" t="n"/>
      <c r="K56" s="285" t="n">
        <v>369.07</v>
      </c>
      <c r="L56" s="15">
        <f>K56/K44-1</f>
        <v/>
      </c>
      <c r="M56" s="15" t="n"/>
      <c r="N56" s="285" t="n">
        <v>20762.6</v>
      </c>
      <c r="O56" s="15">
        <f>N56/N44-1</f>
        <v/>
      </c>
      <c r="P56" s="15" t="n"/>
      <c r="Q56" s="285" t="n">
        <v>14502.56</v>
      </c>
      <c r="R56" s="15">
        <f>Q56/Q44-1</f>
        <v/>
      </c>
      <c r="S56" s="15" t="n"/>
      <c r="T56" s="285" t="n">
        <v>5986.06</v>
      </c>
      <c r="U56" s="15">
        <f>T56/T44-1</f>
        <v/>
      </c>
      <c r="V56" s="15" t="n"/>
      <c r="W56" s="285" t="n">
        <v>273.98</v>
      </c>
      <c r="X56" s="15">
        <f>W56/W44-1</f>
        <v/>
      </c>
      <c r="Y56" s="15" t="n"/>
      <c r="Z56" s="285" t="n">
        <v>11423.85</v>
      </c>
      <c r="AA56" s="15">
        <f>Z56/Z44-1</f>
        <v/>
      </c>
      <c r="AB56" s="15" t="n"/>
      <c r="AC56" s="285" t="n">
        <v>9787.219999999999</v>
      </c>
      <c r="AD56" s="15">
        <f>AC56/AC44-1</f>
        <v/>
      </c>
      <c r="AE56" s="15" t="n"/>
      <c r="AF56" s="285" t="n">
        <v>1428.52</v>
      </c>
      <c r="AG56" s="15">
        <f>AF56/AF44-1</f>
        <v/>
      </c>
      <c r="AH56" s="15" t="n"/>
      <c r="AI56" s="285" t="n">
        <v>208.12</v>
      </c>
      <c r="AJ56" s="15">
        <f>AI56/AI44-1</f>
        <v/>
      </c>
      <c r="AK56" s="15" t="n"/>
      <c r="AL56" s="286" t="n">
        <v>80.79000000000001</v>
      </c>
      <c r="AM56" s="290">
        <f>AL56-AL44</f>
        <v/>
      </c>
      <c r="AN56" s="15" t="n"/>
      <c r="AO56" s="286" t="n">
        <v>81.23999999999999</v>
      </c>
      <c r="AP56" s="290">
        <f>AO56-AO44</f>
        <v/>
      </c>
      <c r="AQ56" s="15" t="n"/>
      <c r="AR56" s="286" t="n">
        <v>80.06</v>
      </c>
      <c r="AS56" s="290">
        <f>AR56-AR44</f>
        <v/>
      </c>
      <c r="AT56" s="15" t="n"/>
      <c r="AU56" s="286" t="n">
        <v>74.23</v>
      </c>
      <c r="AV56" s="290">
        <f>AU56-AU44</f>
        <v/>
      </c>
      <c r="AW56" s="15" t="n"/>
      <c r="AX56" s="285" t="n">
        <v>774</v>
      </c>
      <c r="AY56" s="15">
        <f>AX56/AX44-1</f>
        <v/>
      </c>
      <c r="AZ56" s="15" t="n"/>
      <c r="BA56" s="287" t="n"/>
      <c r="BB56" s="37" t="n"/>
      <c r="BC56" s="287" t="n"/>
      <c r="BD56" s="37" t="n"/>
      <c r="BE56" s="287" t="n"/>
      <c r="BF56" s="37" t="n"/>
      <c r="BG56" s="287" t="n"/>
      <c r="BH56" s="37" t="n"/>
      <c r="BI56" s="288" t="n"/>
      <c r="BJ56" s="37" t="n"/>
      <c r="BK56" s="288" t="n"/>
      <c r="BL56" s="37" t="n"/>
      <c r="BM56" s="288" t="n"/>
      <c r="BN56" s="37" t="n"/>
      <c r="BO56" s="288" t="n"/>
      <c r="BP56" s="288" t="n"/>
      <c r="BQ56" s="37" t="n"/>
      <c r="BR56" s="288" t="n"/>
      <c r="BS56" s="37" t="n"/>
      <c r="BT56" s="288" t="n"/>
      <c r="BU56" s="37" t="n"/>
      <c r="BV56" s="288" t="n"/>
      <c r="BW56" s="37" t="n"/>
      <c r="BX56" s="288" t="n"/>
      <c r="BY56" s="37" t="n"/>
      <c r="BZ56" s="288" t="n"/>
      <c r="CA56" s="37" t="n"/>
      <c r="CB56" s="288" t="n"/>
      <c r="CC56" s="37" t="n"/>
      <c r="CD56" s="288" t="n"/>
      <c r="CE56" s="37" t="n"/>
      <c r="CF56" s="288" t="n"/>
      <c r="CG56" s="291" t="n"/>
      <c r="CH56" s="288" t="n"/>
      <c r="CI56" s="291" t="n"/>
      <c r="CJ56" s="288" t="n"/>
      <c r="CK56" s="291" t="n"/>
      <c r="CL56" s="288" t="n"/>
      <c r="CM56" s="291" t="n"/>
      <c r="CN56" s="288" t="n"/>
      <c r="CO56" s="80" t="n"/>
      <c r="CP56" s="288" t="n"/>
      <c r="CQ56" s="80" t="n"/>
      <c r="CR56" s="288" t="n"/>
      <c r="CS56" s="80" t="n"/>
      <c r="CT56" s="288" t="n"/>
      <c r="CU56" s="80" t="n"/>
      <c r="CW56" s="288" t="n"/>
      <c r="CX56" s="37" t="n"/>
      <c r="CY56" s="288" t="n"/>
      <c r="CZ56" s="37" t="n"/>
      <c r="DA56" s="288" t="n"/>
      <c r="DB56" s="37" t="n"/>
      <c r="DC56" s="288" t="n"/>
      <c r="DD56" s="37" t="n"/>
      <c r="DE56" s="295" t="n"/>
      <c r="DF56" s="295" t="n"/>
      <c r="DG56" s="79" t="n"/>
    </row>
    <row r="57">
      <c r="A57" s="284" t="n">
        <v>43281</v>
      </c>
      <c r="B57" s="285" t="n">
        <v>24869.34</v>
      </c>
      <c r="C57" s="15">
        <f>B57/B45-1</f>
        <v/>
      </c>
      <c r="D57" s="15" t="n"/>
      <c r="E57" s="285" t="n">
        <v>16902.32</v>
      </c>
      <c r="F57" s="15">
        <f>E57/E45-1</f>
        <v/>
      </c>
      <c r="G57" s="15" t="n"/>
      <c r="H57" s="285" t="n">
        <v>7609.44</v>
      </c>
      <c r="I57" s="15">
        <f>H57/H45-1</f>
        <v/>
      </c>
      <c r="J57" s="15" t="n"/>
      <c r="K57" s="285" t="n">
        <v>357.58</v>
      </c>
      <c r="L57" s="15">
        <f>K57/K45-1</f>
        <v/>
      </c>
      <c r="M57" s="15" t="n"/>
      <c r="N57" s="285" t="n">
        <v>20498.95</v>
      </c>
      <c r="O57" s="15">
        <f>N57/N45-1</f>
        <v/>
      </c>
      <c r="P57" s="15" t="n"/>
      <c r="Q57" s="285" t="n">
        <v>14011.53</v>
      </c>
      <c r="R57" s="15">
        <f>Q57/Q45-1</f>
        <v/>
      </c>
      <c r="S57" s="15" t="n"/>
      <c r="T57" s="285" t="n">
        <v>6220.35</v>
      </c>
      <c r="U57" s="15">
        <f>T57/T45-1</f>
        <v/>
      </c>
      <c r="V57" s="15" t="n"/>
      <c r="W57" s="285" t="n">
        <v>267.08</v>
      </c>
      <c r="X57" s="15">
        <f>W57/W45-1</f>
        <v/>
      </c>
      <c r="Y57" s="15" t="n"/>
      <c r="Z57" s="285" t="n">
        <v>11105.17</v>
      </c>
      <c r="AA57" s="15">
        <f>Z57/Z45-1</f>
        <v/>
      </c>
      <c r="AB57" s="15" t="n"/>
      <c r="AC57" s="285" t="n">
        <v>9448.280000000001</v>
      </c>
      <c r="AD57" s="15">
        <f>AC57/AC45-1</f>
        <v/>
      </c>
      <c r="AE57" s="15" t="n"/>
      <c r="AF57" s="285" t="n">
        <v>1451.99</v>
      </c>
      <c r="AG57" s="15">
        <f>AF57/AF45-1</f>
        <v/>
      </c>
      <c r="AH57" s="15" t="n"/>
      <c r="AI57" s="285" t="n">
        <v>204.89</v>
      </c>
      <c r="AJ57" s="15">
        <f>AI57/AI45-1</f>
        <v/>
      </c>
      <c r="AK57" s="15" t="n"/>
      <c r="AL57" s="286" t="n">
        <v>82.43000000000001</v>
      </c>
      <c r="AM57" s="290">
        <f>AL57-AL45</f>
        <v/>
      </c>
      <c r="AN57" s="15" t="n"/>
      <c r="AO57" s="286" t="n">
        <v>82.90000000000001</v>
      </c>
      <c r="AP57" s="290">
        <f>AO57-AO45</f>
        <v/>
      </c>
      <c r="AQ57" s="15" t="n"/>
      <c r="AR57" s="286" t="n">
        <v>81.75</v>
      </c>
      <c r="AS57" s="290">
        <f>AR57-AR45</f>
        <v/>
      </c>
      <c r="AT57" s="15" t="n"/>
      <c r="AU57" s="286" t="n">
        <v>74.69</v>
      </c>
      <c r="AV57" s="290">
        <f>AU57-AU45</f>
        <v/>
      </c>
      <c r="AW57" s="15" t="n"/>
      <c r="AX57" s="285" t="n">
        <v>786</v>
      </c>
      <c r="AY57" s="15">
        <f>AX57/AX45-1</f>
        <v/>
      </c>
      <c r="AZ57" s="15" t="n"/>
      <c r="BA57" s="287" t="n"/>
      <c r="BB57" s="37" t="n"/>
      <c r="BC57" s="287" t="n"/>
      <c r="BD57" s="37" t="n"/>
      <c r="BE57" s="287" t="n"/>
      <c r="BF57" s="37" t="n"/>
      <c r="BG57" s="287" t="n"/>
      <c r="BH57" s="37" t="n"/>
      <c r="BI57" s="288" t="n"/>
      <c r="BJ57" s="37" t="n"/>
      <c r="BK57" s="288" t="n"/>
      <c r="BL57" s="37" t="n"/>
      <c r="BM57" s="288" t="n"/>
      <c r="BN57" s="37" t="n"/>
      <c r="BO57" s="288" t="n"/>
      <c r="BP57" s="288" t="n"/>
      <c r="BQ57" s="37" t="n"/>
      <c r="BR57" s="288" t="n"/>
      <c r="BS57" s="37" t="n"/>
      <c r="BT57" s="288" t="n"/>
      <c r="BU57" s="37" t="n"/>
      <c r="BV57" s="288" t="n"/>
      <c r="BW57" s="37" t="n"/>
      <c r="BX57" s="288" t="n"/>
      <c r="BY57" s="37" t="n"/>
      <c r="BZ57" s="288" t="n"/>
      <c r="CA57" s="37" t="n"/>
      <c r="CB57" s="288" t="n"/>
      <c r="CC57" s="37" t="n"/>
      <c r="CD57" s="288" t="n"/>
      <c r="CE57" s="37" t="n"/>
      <c r="CF57" s="288" t="n"/>
      <c r="CG57" s="291" t="n"/>
      <c r="CH57" s="288" t="n"/>
      <c r="CI57" s="291" t="n"/>
      <c r="CJ57" s="288" t="n"/>
      <c r="CK57" s="291" t="n"/>
      <c r="CL57" s="288" t="n"/>
      <c r="CM57" s="291" t="n"/>
      <c r="CN57" s="288" t="n"/>
      <c r="CO57" s="80" t="n"/>
      <c r="CP57" s="288" t="n"/>
      <c r="CQ57" s="80" t="n"/>
      <c r="CR57" s="288" t="n"/>
      <c r="CS57" s="80" t="n"/>
      <c r="CT57" s="288" t="n"/>
      <c r="CU57" s="80" t="n"/>
      <c r="CW57" s="288" t="n"/>
      <c r="CX57" s="37" t="n"/>
      <c r="CY57" s="288" t="n"/>
      <c r="CZ57" s="37" t="n"/>
      <c r="DA57" s="288" t="n"/>
      <c r="DB57" s="37" t="n"/>
      <c r="DC57" s="288" t="n"/>
      <c r="DD57" s="37" t="n"/>
      <c r="DE57" s="295" t="n"/>
      <c r="DF57" s="295" t="n"/>
      <c r="DG57" s="79" t="n"/>
    </row>
    <row r="58">
      <c r="A58" s="284" t="n">
        <v>43312</v>
      </c>
      <c r="B58" s="285" t="n">
        <v>28132.38</v>
      </c>
      <c r="C58" s="15">
        <f>B58/B46-1</f>
        <v/>
      </c>
      <c r="D58" s="15" t="n"/>
      <c r="E58" s="285" t="n">
        <v>19217.14</v>
      </c>
      <c r="F58" s="15">
        <f>E58/E46-1</f>
        <v/>
      </c>
      <c r="G58" s="15" t="n"/>
      <c r="H58" s="285" t="n">
        <v>8525.84</v>
      </c>
      <c r="I58" s="15">
        <f>H58/H46-1</f>
        <v/>
      </c>
      <c r="J58" s="15" t="n"/>
      <c r="K58" s="285" t="n">
        <v>389.4</v>
      </c>
      <c r="L58" s="15">
        <f>K58/K46-1</f>
        <v/>
      </c>
      <c r="M58" s="15" t="n"/>
      <c r="N58" s="285" t="n">
        <v>23106.35</v>
      </c>
      <c r="O58" s="15">
        <f>N58/N46-1</f>
        <v/>
      </c>
      <c r="P58" s="15" t="n"/>
      <c r="Q58" s="285" t="n">
        <v>15881.68</v>
      </c>
      <c r="R58" s="15">
        <f>Q58/Q46-1</f>
        <v/>
      </c>
      <c r="S58" s="15" t="n"/>
      <c r="T58" s="285" t="n">
        <v>6924.73</v>
      </c>
      <c r="U58" s="15">
        <f>T58/T46-1</f>
        <v/>
      </c>
      <c r="V58" s="15" t="n"/>
      <c r="W58" s="285" t="n">
        <v>299.94</v>
      </c>
      <c r="X58" s="15">
        <f>W58/W46-1</f>
        <v/>
      </c>
      <c r="Y58" s="15" t="n"/>
      <c r="Z58" s="285" t="n">
        <v>12437.1</v>
      </c>
      <c r="AA58" s="15">
        <f>Z58/Z46-1</f>
        <v/>
      </c>
      <c r="AB58" s="15" t="n"/>
      <c r="AC58" s="285" t="n">
        <v>10626.89</v>
      </c>
      <c r="AD58" s="15">
        <f>AC58/AC46-1</f>
        <v/>
      </c>
      <c r="AE58" s="15" t="n"/>
      <c r="AF58" s="285" t="n">
        <v>1586.72</v>
      </c>
      <c r="AG58" s="15">
        <f>AF58/AF46-1</f>
        <v/>
      </c>
      <c r="AH58" s="15" t="n"/>
      <c r="AI58" s="285" t="n">
        <v>223.49</v>
      </c>
      <c r="AJ58" s="15">
        <f>AI58/AI46-1</f>
        <v/>
      </c>
      <c r="AK58" s="15" t="n"/>
      <c r="AL58" s="286" t="n">
        <v>82.13</v>
      </c>
      <c r="AM58" s="290">
        <f>AL58-AL46</f>
        <v/>
      </c>
      <c r="AN58" s="15" t="n"/>
      <c r="AO58" s="286" t="n">
        <v>82.64</v>
      </c>
      <c r="AP58" s="290">
        <f>AO58-AO46</f>
        <v/>
      </c>
      <c r="AQ58" s="15" t="n"/>
      <c r="AR58" s="286" t="n">
        <v>81.22</v>
      </c>
      <c r="AS58" s="290">
        <f>AR58-AR46</f>
        <v/>
      </c>
      <c r="AT58" s="15" t="n"/>
      <c r="AU58" s="286" t="n">
        <v>77.03</v>
      </c>
      <c r="AV58" s="290">
        <f>AU58-AU46</f>
        <v/>
      </c>
      <c r="AW58" s="15" t="n"/>
      <c r="AX58" s="285" t="n">
        <v>792</v>
      </c>
      <c r="AY58" s="15">
        <f>AX58/AX46-1</f>
        <v/>
      </c>
      <c r="AZ58" s="15" t="n"/>
      <c r="BA58" s="287" t="n"/>
      <c r="BB58" s="37" t="n"/>
      <c r="BC58" s="287" t="n"/>
      <c r="BD58" s="37" t="n"/>
      <c r="BE58" s="287" t="n"/>
      <c r="BF58" s="37" t="n"/>
      <c r="BG58" s="287" t="n"/>
      <c r="BH58" s="37" t="n"/>
      <c r="BI58" s="288" t="n"/>
      <c r="BJ58" s="37" t="n"/>
      <c r="BK58" s="288" t="n"/>
      <c r="BL58" s="37" t="n"/>
      <c r="BM58" s="288" t="n"/>
      <c r="BN58" s="37" t="n"/>
      <c r="BO58" s="288" t="n"/>
      <c r="BP58" s="288" t="n"/>
      <c r="BQ58" s="37" t="n"/>
      <c r="BR58" s="288" t="n"/>
      <c r="BS58" s="37" t="n"/>
      <c r="BT58" s="288" t="n"/>
      <c r="BU58" s="37" t="n"/>
      <c r="BV58" s="288" t="n"/>
      <c r="BW58" s="37" t="n"/>
      <c r="BX58" s="288" t="n"/>
      <c r="BY58" s="37" t="n"/>
      <c r="BZ58" s="288" t="n"/>
      <c r="CA58" s="37" t="n"/>
      <c r="CB58" s="288" t="n"/>
      <c r="CC58" s="37" t="n"/>
      <c r="CD58" s="288" t="n"/>
      <c r="CE58" s="37" t="n"/>
      <c r="CF58" s="288" t="n"/>
      <c r="CG58" s="291" t="n"/>
      <c r="CH58" s="288" t="n"/>
      <c r="CI58" s="291" t="n"/>
      <c r="CJ58" s="288" t="n"/>
      <c r="CK58" s="291" t="n"/>
      <c r="CL58" s="288" t="n"/>
      <c r="CM58" s="291" t="n"/>
      <c r="CN58" s="288" t="n"/>
      <c r="CO58" s="80" t="n"/>
      <c r="CP58" s="288" t="n"/>
      <c r="CQ58" s="80" t="n"/>
      <c r="CR58" s="288" t="n"/>
      <c r="CS58" s="80" t="n"/>
      <c r="CT58" s="288" t="n"/>
      <c r="CU58" s="80" t="n"/>
      <c r="CW58" s="288" t="n"/>
      <c r="CX58" s="37" t="n"/>
      <c r="CY58" s="288" t="n"/>
      <c r="CZ58" s="37" t="n"/>
      <c r="DA58" s="288" t="n"/>
      <c r="DB58" s="37" t="n"/>
      <c r="DC58" s="288" t="n"/>
      <c r="DD58" s="37" t="n"/>
      <c r="DE58" s="295" t="n"/>
      <c r="DF58" s="295" t="n"/>
      <c r="DG58" s="79" t="n"/>
    </row>
    <row r="59">
      <c r="A59" s="284" t="n">
        <v>43343</v>
      </c>
      <c r="B59" s="285" t="n">
        <v>28612.92</v>
      </c>
      <c r="C59" s="15">
        <f>B59/B47-1</f>
        <v/>
      </c>
      <c r="D59" s="15" t="n"/>
      <c r="E59" s="285" t="n">
        <v>19623.48</v>
      </c>
      <c r="F59" s="15">
        <f>E59/E47-1</f>
        <v/>
      </c>
      <c r="G59" s="15" t="n"/>
      <c r="H59" s="285" t="n">
        <v>8593.51</v>
      </c>
      <c r="I59" s="15">
        <f>H59/H47-1</f>
        <v/>
      </c>
      <c r="J59" s="15" t="n"/>
      <c r="K59" s="285" t="n">
        <v>395.93</v>
      </c>
      <c r="L59" s="15">
        <f>K59/K47-1</f>
        <v/>
      </c>
      <c r="M59" s="15" t="n"/>
      <c r="N59" s="285" t="n">
        <v>24562.91</v>
      </c>
      <c r="O59" s="15">
        <f>N59/N47-1</f>
        <v/>
      </c>
      <c r="P59" s="15" t="n"/>
      <c r="Q59" s="285" t="n">
        <v>17045.9</v>
      </c>
      <c r="R59" s="15">
        <f>Q59/Q47-1</f>
        <v/>
      </c>
      <c r="S59" s="15" t="n"/>
      <c r="T59" s="285" t="n">
        <v>7202.63</v>
      </c>
      <c r="U59" s="15">
        <f>T59/T47-1</f>
        <v/>
      </c>
      <c r="V59" s="15" t="n"/>
      <c r="W59" s="285" t="n">
        <v>314.38</v>
      </c>
      <c r="X59" s="15">
        <f>W59/W47-1</f>
        <v/>
      </c>
      <c r="Y59" s="15" t="n"/>
      <c r="Z59" s="285" t="n">
        <v>13288.87</v>
      </c>
      <c r="AA59" s="15">
        <f>Z59/Z47-1</f>
        <v/>
      </c>
      <c r="AB59" s="15" t="n"/>
      <c r="AC59" s="285" t="n">
        <v>11383.64</v>
      </c>
      <c r="AD59" s="15">
        <f>AC59/AC47-1</f>
        <v/>
      </c>
      <c r="AE59" s="15" t="n"/>
      <c r="AF59" s="285" t="n">
        <v>1667.1</v>
      </c>
      <c r="AG59" s="15">
        <f>AF59/AF47-1</f>
        <v/>
      </c>
      <c r="AH59" s="15" t="n"/>
      <c r="AI59" s="285" t="n">
        <v>238.13</v>
      </c>
      <c r="AJ59" s="15">
        <f>AI59/AI47-1</f>
        <v/>
      </c>
      <c r="AK59" s="15" t="n"/>
      <c r="AL59" s="286" t="n">
        <v>85.84999999999999</v>
      </c>
      <c r="AM59" s="290">
        <f>AL59-AL47</f>
        <v/>
      </c>
      <c r="AN59" s="15" t="n"/>
      <c r="AO59" s="286" t="n">
        <v>86.86</v>
      </c>
      <c r="AP59" s="290">
        <f>AO59-AO47</f>
        <v/>
      </c>
      <c r="AQ59" s="15" t="n"/>
      <c r="AR59" s="286" t="n">
        <v>83.81</v>
      </c>
      <c r="AS59" s="290">
        <f>AR59-AR47</f>
        <v/>
      </c>
      <c r="AT59" s="15" t="n"/>
      <c r="AU59" s="286" t="n">
        <v>79.40000000000001</v>
      </c>
      <c r="AV59" s="290">
        <f>AU59-AU47</f>
        <v/>
      </c>
      <c r="AW59" s="15" t="n"/>
      <c r="AX59" s="285" t="n">
        <v>799</v>
      </c>
      <c r="AY59" s="15">
        <f>AX59/AX47-1</f>
        <v/>
      </c>
      <c r="AZ59" s="15" t="n"/>
      <c r="BA59" s="287" t="n"/>
      <c r="BB59" s="37" t="n"/>
      <c r="BC59" s="287" t="n"/>
      <c r="BD59" s="37" t="n"/>
      <c r="BE59" s="287" t="n"/>
      <c r="BF59" s="37" t="n"/>
      <c r="BG59" s="287" t="n"/>
      <c r="BH59" s="37" t="n"/>
      <c r="BI59" s="288" t="n"/>
      <c r="BJ59" s="37" t="n"/>
      <c r="BK59" s="288" t="n"/>
      <c r="BL59" s="37" t="n"/>
      <c r="BM59" s="288" t="n"/>
      <c r="BN59" s="37" t="n"/>
      <c r="BO59" s="288" t="n"/>
      <c r="BP59" s="288" t="n"/>
      <c r="BQ59" s="37" t="n"/>
      <c r="BR59" s="288" t="n"/>
      <c r="BS59" s="37" t="n"/>
      <c r="BT59" s="288" t="n"/>
      <c r="BU59" s="37" t="n"/>
      <c r="BV59" s="288" t="n"/>
      <c r="BW59" s="37" t="n"/>
      <c r="BX59" s="288" t="n"/>
      <c r="BY59" s="37" t="n"/>
      <c r="BZ59" s="288" t="n"/>
      <c r="CA59" s="37" t="n"/>
      <c r="CB59" s="288" t="n"/>
      <c r="CC59" s="37" t="n"/>
      <c r="CD59" s="288" t="n"/>
      <c r="CE59" s="37" t="n"/>
      <c r="CF59" s="288" t="n"/>
      <c r="CG59" s="291" t="n"/>
      <c r="CH59" s="288" t="n"/>
      <c r="CI59" s="291" t="n"/>
      <c r="CJ59" s="288" t="n"/>
      <c r="CK59" s="291" t="n"/>
      <c r="CL59" s="288" t="n"/>
      <c r="CM59" s="291" t="n"/>
      <c r="CN59" s="288" t="n"/>
      <c r="CO59" s="80" t="n"/>
      <c r="CP59" s="288" t="n"/>
      <c r="CQ59" s="80" t="n"/>
      <c r="CR59" s="288" t="n"/>
      <c r="CS59" s="80" t="n"/>
      <c r="CT59" s="288" t="n"/>
      <c r="CU59" s="80" t="n"/>
      <c r="CW59" s="288" t="n"/>
      <c r="CX59" s="37" t="n"/>
      <c r="CY59" s="288" t="n"/>
      <c r="CZ59" s="37" t="n"/>
      <c r="DA59" s="288" t="n"/>
      <c r="DB59" s="37" t="n"/>
      <c r="DC59" s="288" t="n"/>
      <c r="DD59" s="37" t="n"/>
      <c r="DE59" s="295" t="n"/>
      <c r="DF59" s="295" t="n"/>
      <c r="DG59" s="296" t="n"/>
    </row>
    <row r="60">
      <c r="A60" s="284" t="n">
        <v>43373</v>
      </c>
      <c r="B60" s="285" t="n">
        <v>25995.09</v>
      </c>
      <c r="C60" s="15">
        <f>B60/B48-1</f>
        <v/>
      </c>
      <c r="D60" s="15" t="n"/>
      <c r="E60" s="285" t="n">
        <v>17925.6</v>
      </c>
      <c r="F60" s="15">
        <f>E60/E48-1</f>
        <v/>
      </c>
      <c r="G60" s="15" t="n"/>
      <c r="H60" s="285" t="n">
        <v>7699.13</v>
      </c>
      <c r="I60" s="15">
        <f>H60/H48-1</f>
        <v/>
      </c>
      <c r="J60" s="15" t="n"/>
      <c r="K60" s="285" t="n">
        <v>370.36</v>
      </c>
      <c r="L60" s="15">
        <f>K60/K48-1</f>
        <v/>
      </c>
      <c r="M60" s="15" t="n"/>
      <c r="N60" s="285" t="n">
        <v>21338.74</v>
      </c>
      <c r="O60" s="15">
        <f>N60/N48-1</f>
        <v/>
      </c>
      <c r="P60" s="15" t="n"/>
      <c r="Q60" s="285" t="n">
        <v>14828.51</v>
      </c>
      <c r="R60" s="15">
        <f>Q60/Q48-1</f>
        <v/>
      </c>
      <c r="S60" s="15" t="n"/>
      <c r="T60" s="285" t="n">
        <v>6239.85</v>
      </c>
      <c r="U60" s="15">
        <f>T60/T48-1</f>
        <v/>
      </c>
      <c r="V60" s="15" t="n"/>
      <c r="W60" s="285" t="n">
        <v>270.39</v>
      </c>
      <c r="X60" s="15">
        <f>W60/W48-1</f>
        <v/>
      </c>
      <c r="Y60" s="15" t="n"/>
      <c r="Z60" s="285" t="n">
        <v>11506.51</v>
      </c>
      <c r="AA60" s="15">
        <f>Z60/Z48-1</f>
        <v/>
      </c>
      <c r="AB60" s="15" t="n"/>
      <c r="AC60" s="285" t="n">
        <v>9905.76</v>
      </c>
      <c r="AD60" s="15">
        <f>AC60/AC48-1</f>
        <v/>
      </c>
      <c r="AE60" s="15" t="n"/>
      <c r="AF60" s="285" t="n">
        <v>1400.03</v>
      </c>
      <c r="AG60" s="15">
        <f>AF60/AF48-1</f>
        <v/>
      </c>
      <c r="AH60" s="15" t="n"/>
      <c r="AI60" s="285" t="n">
        <v>200.72</v>
      </c>
      <c r="AJ60" s="15">
        <f>AI60/AI48-1</f>
        <v/>
      </c>
      <c r="AK60" s="15" t="n"/>
      <c r="AL60" s="286" t="n">
        <v>82.09</v>
      </c>
      <c r="AM60" s="290">
        <f>AL60-AL48</f>
        <v/>
      </c>
      <c r="AN60" s="15" t="n"/>
      <c r="AO60" s="286" t="n">
        <v>82.72</v>
      </c>
      <c r="AP60" s="290">
        <f>AO60-AO48</f>
        <v/>
      </c>
      <c r="AQ60" s="15" t="n"/>
      <c r="AR60" s="286" t="n">
        <v>81.05</v>
      </c>
      <c r="AS60" s="290">
        <f>AR60-AR48</f>
        <v/>
      </c>
      <c r="AT60" s="15" t="n"/>
      <c r="AU60" s="286" t="n">
        <v>73.01000000000001</v>
      </c>
      <c r="AV60" s="290">
        <f>AU60-AU48</f>
        <v/>
      </c>
      <c r="AW60" s="15" t="n"/>
      <c r="AX60" s="285" t="n">
        <v>811</v>
      </c>
      <c r="AY60" s="15">
        <f>AX60/AX48-1</f>
        <v/>
      </c>
      <c r="AZ60" s="15" t="n"/>
      <c r="BA60" s="287" t="n"/>
      <c r="BB60" s="37" t="n"/>
      <c r="BC60" s="287" t="n"/>
      <c r="BD60" s="37" t="n"/>
      <c r="BE60" s="287" t="n"/>
      <c r="BF60" s="37" t="n"/>
      <c r="BG60" s="287" t="n"/>
      <c r="BH60" s="37" t="n"/>
      <c r="BI60" s="288" t="n"/>
      <c r="BJ60" s="37" t="n"/>
      <c r="BK60" s="288" t="n"/>
      <c r="BL60" s="37" t="n"/>
      <c r="BM60" s="288" t="n"/>
      <c r="BN60" s="37" t="n"/>
      <c r="BO60" s="288" t="n"/>
      <c r="BP60" s="288" t="n"/>
      <c r="BQ60" s="37" t="n"/>
      <c r="BR60" s="288" t="n"/>
      <c r="BS60" s="37" t="n"/>
      <c r="BT60" s="288" t="n"/>
      <c r="BU60" s="37" t="n"/>
      <c r="BV60" s="288" t="n"/>
      <c r="BW60" s="37" t="n"/>
      <c r="BX60" s="288" t="n"/>
      <c r="BY60" s="37" t="n"/>
      <c r="BZ60" s="288" t="n"/>
      <c r="CA60" s="37" t="n"/>
      <c r="CB60" s="288" t="n"/>
      <c r="CC60" s="37" t="n"/>
      <c r="CD60" s="288" t="n"/>
      <c r="CE60" s="37" t="n"/>
      <c r="CF60" s="288" t="n"/>
      <c r="CG60" s="291" t="n"/>
      <c r="CH60" s="288" t="n"/>
      <c r="CI60" s="291" t="n"/>
      <c r="CJ60" s="288" t="n"/>
      <c r="CK60" s="291" t="n"/>
      <c r="CL60" s="288" t="n"/>
      <c r="CM60" s="291" t="n"/>
      <c r="CN60" s="288" t="n"/>
      <c r="CO60" s="80" t="n"/>
      <c r="CP60" s="288" t="n"/>
      <c r="CQ60" s="80" t="n"/>
      <c r="CR60" s="288" t="n"/>
      <c r="CS60" s="80" t="n"/>
      <c r="CT60" s="288" t="n"/>
      <c r="CU60" s="80" t="n"/>
      <c r="CW60" s="288" t="n"/>
      <c r="CX60" s="37" t="n"/>
      <c r="CY60" s="288" t="n"/>
      <c r="CZ60" s="37" t="n"/>
      <c r="DA60" s="288" t="n"/>
      <c r="DB60" s="37" t="n"/>
      <c r="DC60" s="288" t="n"/>
      <c r="DD60" s="37" t="n"/>
      <c r="DE60" s="295" t="n"/>
      <c r="DF60" s="295" t="n"/>
      <c r="DG60" s="288" t="n"/>
    </row>
    <row r="61">
      <c r="A61" s="284" t="n">
        <v>43404</v>
      </c>
      <c r="B61" s="285" t="n">
        <v>27414.57</v>
      </c>
      <c r="C61" s="15">
        <f>B61/B49-1</f>
        <v/>
      </c>
      <c r="D61" s="15" t="n"/>
      <c r="E61" s="285" t="n">
        <v>18849.09</v>
      </c>
      <c r="F61" s="15">
        <f>E61/E49-1</f>
        <v/>
      </c>
      <c r="G61" s="15" t="n"/>
      <c r="H61" s="285" t="n">
        <v>8192.280000000001</v>
      </c>
      <c r="I61" s="15">
        <f>H61/H49-1</f>
        <v/>
      </c>
      <c r="J61" s="15" t="n"/>
      <c r="K61" s="285" t="n">
        <v>373.21</v>
      </c>
      <c r="L61" s="15">
        <f>K61/K49-1</f>
        <v/>
      </c>
      <c r="M61" s="15" t="n"/>
      <c r="N61" s="285" t="n">
        <v>22643.79</v>
      </c>
      <c r="O61" s="15">
        <f>N61/N49-1</f>
        <v/>
      </c>
      <c r="P61" s="15" t="n"/>
      <c r="Q61" s="285" t="n">
        <v>15796.5</v>
      </c>
      <c r="R61" s="15">
        <f>Q61/Q49-1</f>
        <v/>
      </c>
      <c r="S61" s="15" t="n"/>
      <c r="T61" s="285" t="n">
        <v>6575.61</v>
      </c>
      <c r="U61" s="15">
        <f>T61/T49-1</f>
        <v/>
      </c>
      <c r="V61" s="15" t="n"/>
      <c r="W61" s="285" t="n">
        <v>271.68</v>
      </c>
      <c r="X61" s="15">
        <f>W61/W49-1</f>
        <v/>
      </c>
      <c r="Y61" s="15" t="n"/>
      <c r="Z61" s="285" t="n">
        <v>12358.17</v>
      </c>
      <c r="AA61" s="15">
        <f>Z61/Z49-1</f>
        <v/>
      </c>
      <c r="AB61" s="15" t="n"/>
      <c r="AC61" s="285" t="n">
        <v>10660.11</v>
      </c>
      <c r="AD61" s="15">
        <f>AC61/AC49-1</f>
        <v/>
      </c>
      <c r="AE61" s="15" t="n"/>
      <c r="AF61" s="285" t="n">
        <v>1491.08</v>
      </c>
      <c r="AG61" s="15">
        <f>AF61/AF49-1</f>
        <v/>
      </c>
      <c r="AH61" s="15" t="n"/>
      <c r="AI61" s="285" t="n">
        <v>206.98</v>
      </c>
      <c r="AJ61" s="15">
        <f>AI61/AI49-1</f>
        <v/>
      </c>
      <c r="AK61" s="15" t="n"/>
      <c r="AL61" s="286" t="n">
        <v>82.59999999999999</v>
      </c>
      <c r="AM61" s="290">
        <f>AL61-AL49</f>
        <v/>
      </c>
      <c r="AN61" s="15" t="n"/>
      <c r="AO61" s="286" t="n">
        <v>83.81</v>
      </c>
      <c r="AP61" s="290">
        <f>AO61-AO49</f>
        <v/>
      </c>
      <c r="AQ61" s="15" t="n"/>
      <c r="AR61" s="286" t="n">
        <v>80.27</v>
      </c>
      <c r="AS61" s="290">
        <f>AR61-AR49</f>
        <v/>
      </c>
      <c r="AT61" s="15" t="n"/>
      <c r="AU61" s="286" t="n">
        <v>72.8</v>
      </c>
      <c r="AV61" s="290">
        <f>AU61-AU49</f>
        <v/>
      </c>
      <c r="AW61" s="15" t="n"/>
      <c r="AX61" s="285" t="n">
        <v>817</v>
      </c>
      <c r="AY61" s="15">
        <f>AX61/AX49-1</f>
        <v/>
      </c>
      <c r="AZ61" s="15" t="n"/>
      <c r="BA61" s="287" t="n"/>
      <c r="BB61" s="37" t="n"/>
      <c r="BC61" s="287" t="n"/>
      <c r="BD61" s="37" t="n"/>
      <c r="BE61" s="287" t="n"/>
      <c r="BF61" s="37" t="n"/>
      <c r="BG61" s="287" t="n"/>
      <c r="BH61" s="37" t="n"/>
      <c r="BI61" s="288" t="n"/>
      <c r="BJ61" s="37" t="n"/>
      <c r="BK61" s="288" t="n"/>
      <c r="BL61" s="37" t="n"/>
      <c r="BM61" s="288" t="n"/>
      <c r="BN61" s="37" t="n"/>
      <c r="BO61" s="288" t="n"/>
      <c r="BP61" s="288" t="n"/>
      <c r="BQ61" s="37" t="n"/>
      <c r="BR61" s="288" t="n"/>
      <c r="BS61" s="37" t="n"/>
      <c r="BT61" s="288" t="n"/>
      <c r="BU61" s="37" t="n"/>
      <c r="BV61" s="288" t="n"/>
      <c r="BW61" s="37" t="n"/>
      <c r="BX61" s="288" t="n"/>
      <c r="BY61" s="37" t="n"/>
      <c r="BZ61" s="288" t="n"/>
      <c r="CA61" s="37" t="n"/>
      <c r="CB61" s="288" t="n"/>
      <c r="CC61" s="37" t="n"/>
      <c r="CD61" s="288" t="n"/>
      <c r="CE61" s="37" t="n"/>
      <c r="CF61" s="288" t="n"/>
      <c r="CG61" s="291" t="n"/>
      <c r="CH61" s="288" t="n"/>
      <c r="CI61" s="291" t="n"/>
      <c r="CJ61" s="288" t="n"/>
      <c r="CK61" s="291" t="n"/>
      <c r="CL61" s="288" t="n"/>
      <c r="CM61" s="291" t="n"/>
      <c r="CN61" s="288" t="n"/>
      <c r="CO61" s="80" t="n"/>
      <c r="CP61" s="288" t="n"/>
      <c r="CQ61" s="80" t="n"/>
      <c r="CR61" s="288" t="n"/>
      <c r="CS61" s="80" t="n"/>
      <c r="CT61" s="288" t="n"/>
      <c r="CU61" s="80" t="n"/>
      <c r="CW61" s="288" t="n"/>
      <c r="CX61" s="37" t="n"/>
      <c r="CY61" s="288" t="n"/>
      <c r="CZ61" s="37" t="n"/>
      <c r="DA61" s="288" t="n"/>
      <c r="DB61" s="37" t="n"/>
      <c r="DC61" s="288" t="n"/>
      <c r="DD61" s="37" t="n"/>
      <c r="DE61" s="295" t="n"/>
      <c r="DF61" s="295" t="n"/>
      <c r="DG61" s="296" t="n"/>
    </row>
    <row r="62">
      <c r="A62" s="284" t="n">
        <v>43434</v>
      </c>
      <c r="B62" s="285" t="n">
        <v>26274.11</v>
      </c>
      <c r="C62" s="15">
        <f>B62/B50-1</f>
        <v/>
      </c>
      <c r="D62" s="15" t="n"/>
      <c r="E62" s="285" t="n">
        <v>18237.52</v>
      </c>
      <c r="F62" s="15">
        <f>E62/E50-1</f>
        <v/>
      </c>
      <c r="G62" s="15" t="n"/>
      <c r="H62" s="285" t="n">
        <v>7677.56</v>
      </c>
      <c r="I62" s="15">
        <f>H62/H50-1</f>
        <v/>
      </c>
      <c r="J62" s="15" t="n"/>
      <c r="K62" s="285" t="n">
        <v>359.03</v>
      </c>
      <c r="L62" s="15">
        <f>K62/K50-1</f>
        <v/>
      </c>
      <c r="M62" s="15" t="n"/>
      <c r="N62" s="285" t="n">
        <v>21167.17</v>
      </c>
      <c r="O62" s="15">
        <f>N62/N50-1</f>
        <v/>
      </c>
      <c r="P62" s="15" t="n"/>
      <c r="Q62" s="285" t="n">
        <v>14717.01</v>
      </c>
      <c r="R62" s="15">
        <f>Q62/Q50-1</f>
        <v/>
      </c>
      <c r="S62" s="15" t="n"/>
      <c r="T62" s="285" t="n">
        <v>6170.52</v>
      </c>
      <c r="U62" s="15">
        <f>T62/T50-1</f>
        <v/>
      </c>
      <c r="V62" s="15" t="n"/>
      <c r="W62" s="285" t="n">
        <v>279.64</v>
      </c>
      <c r="X62" s="15">
        <f>W62/W50-1</f>
        <v/>
      </c>
      <c r="Y62" s="15" t="n"/>
      <c r="Z62" s="285" t="n">
        <v>11425.64</v>
      </c>
      <c r="AA62" s="15">
        <f>Z62/Z50-1</f>
        <v/>
      </c>
      <c r="AB62" s="15" t="n"/>
      <c r="AC62" s="285" t="n">
        <v>9787.34</v>
      </c>
      <c r="AD62" s="15">
        <f>AC62/AC50-1</f>
        <v/>
      </c>
      <c r="AE62" s="15" t="n"/>
      <c r="AF62" s="285" t="n">
        <v>1423.97</v>
      </c>
      <c r="AG62" s="15">
        <f>AF62/AF50-1</f>
        <v/>
      </c>
      <c r="AH62" s="15" t="n"/>
      <c r="AI62" s="285" t="n">
        <v>214.33</v>
      </c>
      <c r="AJ62" s="15">
        <f>AI62/AI50-1</f>
        <v/>
      </c>
      <c r="AK62" s="15" t="n"/>
      <c r="AL62" s="286" t="n">
        <v>80.56</v>
      </c>
      <c r="AM62" s="290">
        <f>AL62-AL50</f>
        <v/>
      </c>
      <c r="AN62" s="15" t="n"/>
      <c r="AO62" s="286" t="n">
        <v>80.7</v>
      </c>
      <c r="AP62" s="290">
        <f>AO62-AO50</f>
        <v/>
      </c>
      <c r="AQ62" s="15" t="n"/>
      <c r="AR62" s="286" t="n">
        <v>80.37</v>
      </c>
      <c r="AS62" s="290">
        <f>AR62-AR50</f>
        <v/>
      </c>
      <c r="AT62" s="15" t="n"/>
      <c r="AU62" s="286" t="n">
        <v>77.89</v>
      </c>
      <c r="AV62" s="290">
        <f>AU62-AU50</f>
        <v/>
      </c>
      <c r="AW62" s="15" t="n"/>
      <c r="AX62" s="285" t="n">
        <v>827</v>
      </c>
      <c r="AY62" s="15">
        <f>AX62/AX50-1</f>
        <v/>
      </c>
      <c r="AZ62" s="15" t="n"/>
      <c r="BA62" s="287" t="n"/>
      <c r="BB62" s="37" t="n"/>
      <c r="BC62" s="287" t="n"/>
      <c r="BD62" s="37" t="n"/>
      <c r="BE62" s="287" t="n"/>
      <c r="BF62" s="37" t="n"/>
      <c r="BG62" s="287" t="n"/>
      <c r="BH62" s="37" t="n"/>
      <c r="BI62" s="288" t="n"/>
      <c r="BJ62" s="37" t="n"/>
      <c r="BK62" s="288" t="n"/>
      <c r="BL62" s="37" t="n"/>
      <c r="BM62" s="288" t="n"/>
      <c r="BN62" s="37" t="n"/>
      <c r="BO62" s="288" t="n"/>
      <c r="BP62" s="288" t="n"/>
      <c r="BQ62" s="37" t="n"/>
      <c r="BR62" s="288" t="n"/>
      <c r="BS62" s="37" t="n"/>
      <c r="BT62" s="288" t="n"/>
      <c r="BU62" s="37" t="n"/>
      <c r="BV62" s="288" t="n"/>
      <c r="BW62" s="37" t="n"/>
      <c r="BX62" s="288" t="n"/>
      <c r="BY62" s="37" t="n"/>
      <c r="BZ62" s="288" t="n"/>
      <c r="CA62" s="37" t="n"/>
      <c r="CB62" s="288" t="n"/>
      <c r="CC62" s="37" t="n"/>
      <c r="CD62" s="288" t="n"/>
      <c r="CE62" s="37" t="n"/>
      <c r="CF62" s="288" t="n"/>
      <c r="CG62" s="291" t="n"/>
      <c r="CH62" s="288" t="n"/>
      <c r="CI62" s="291" t="n"/>
      <c r="CJ62" s="288" t="n"/>
      <c r="CK62" s="291" t="n"/>
      <c r="CL62" s="288" t="n"/>
      <c r="CM62" s="291" t="n"/>
      <c r="CN62" s="288" t="n"/>
      <c r="CO62" s="80" t="n"/>
      <c r="CP62" s="288" t="n"/>
      <c r="CQ62" s="80" t="n"/>
      <c r="CR62" s="288" t="n"/>
      <c r="CS62" s="80" t="n"/>
      <c r="CT62" s="288" t="n"/>
      <c r="CU62" s="80" t="n"/>
      <c r="CW62" s="288" t="n"/>
      <c r="CX62" s="37" t="n"/>
      <c r="CY62" s="288" t="n"/>
      <c r="CZ62" s="37" t="n"/>
      <c r="DA62" s="288" t="n"/>
      <c r="DB62" s="37" t="n"/>
      <c r="DC62" s="288" t="n"/>
      <c r="DD62" s="37" t="n"/>
      <c r="DE62" s="295" t="n"/>
      <c r="DF62" s="295" t="n"/>
      <c r="DG62" s="288" t="n"/>
    </row>
    <row r="63">
      <c r="A63" s="284" t="n">
        <v>43465</v>
      </c>
      <c r="B63" s="285" t="n">
        <v>27262.79</v>
      </c>
      <c r="C63" s="15">
        <f>B63/B51-1</f>
        <v/>
      </c>
      <c r="D63" s="15" t="n"/>
      <c r="E63" s="285" t="n">
        <v>18415.43</v>
      </c>
      <c r="F63" s="15">
        <f>E63/E51-1</f>
        <v/>
      </c>
      <c r="G63" s="15" t="n"/>
      <c r="H63" s="285" t="n">
        <v>8475.940000000001</v>
      </c>
      <c r="I63" s="15">
        <f>H63/H51-1</f>
        <v/>
      </c>
      <c r="J63" s="15" t="n"/>
      <c r="K63" s="285" t="n">
        <v>371.42</v>
      </c>
      <c r="L63" s="15">
        <f>K63/K51-1</f>
        <v/>
      </c>
      <c r="M63" s="15" t="n"/>
      <c r="N63" s="285" t="n">
        <v>22089.69</v>
      </c>
      <c r="O63" s="15">
        <f>N63/N51-1</f>
        <v/>
      </c>
      <c r="P63" s="15" t="n"/>
      <c r="Q63" s="285" t="n">
        <v>14777.67</v>
      </c>
      <c r="R63" s="15">
        <f>Q63/Q51-1</f>
        <v/>
      </c>
      <c r="S63" s="15" t="n"/>
      <c r="T63" s="285" t="n">
        <v>7029.36</v>
      </c>
      <c r="U63" s="15">
        <f>T63/T51-1</f>
        <v/>
      </c>
      <c r="V63" s="15" t="n"/>
      <c r="W63" s="285" t="n">
        <v>282.66</v>
      </c>
      <c r="X63" s="15">
        <f>W63/W51-1</f>
        <v/>
      </c>
      <c r="Y63" s="15" t="n"/>
      <c r="Z63" s="285" t="n">
        <v>11514.33</v>
      </c>
      <c r="AA63" s="15">
        <f>Z63/Z51-1</f>
        <v/>
      </c>
      <c r="AB63" s="15" t="n"/>
      <c r="AC63" s="285" t="n">
        <v>9721.4</v>
      </c>
      <c r="AD63" s="15">
        <f>AC63/AC51-1</f>
        <v/>
      </c>
      <c r="AE63" s="15" t="n"/>
      <c r="AF63" s="285" t="n">
        <v>1574.63</v>
      </c>
      <c r="AG63" s="15">
        <f>AF63/AF51-1</f>
        <v/>
      </c>
      <c r="AH63" s="15" t="n"/>
      <c r="AI63" s="285" t="n">
        <v>218.3</v>
      </c>
      <c r="AJ63" s="15">
        <f>AI63/AI51-1</f>
        <v/>
      </c>
      <c r="AK63" s="15" t="n"/>
      <c r="AL63" s="286" t="n">
        <v>81.03</v>
      </c>
      <c r="AM63" s="290">
        <f>AL63-AL51</f>
        <v/>
      </c>
      <c r="AN63" s="15" t="n"/>
      <c r="AO63" s="286" t="n">
        <v>80.25</v>
      </c>
      <c r="AP63" s="290">
        <f>AO63-AO51</f>
        <v/>
      </c>
      <c r="AQ63" s="15" t="n"/>
      <c r="AR63" s="286" t="n">
        <v>82.93000000000001</v>
      </c>
      <c r="AS63" s="290">
        <f>AR63-AR51</f>
        <v/>
      </c>
      <c r="AT63" s="15" t="n"/>
      <c r="AU63" s="286" t="n">
        <v>76.09999999999999</v>
      </c>
      <c r="AV63" s="290">
        <f>AU63-AU51</f>
        <v/>
      </c>
      <c r="AW63" s="15" t="n"/>
      <c r="AX63" s="285" t="n">
        <v>840</v>
      </c>
      <c r="AY63" s="15">
        <f>AX63/AX51-1</f>
        <v/>
      </c>
      <c r="AZ63" s="15" t="n"/>
      <c r="BA63" s="287" t="n"/>
      <c r="BB63" s="37" t="n"/>
      <c r="BC63" s="287" t="n"/>
      <c r="BD63" s="37" t="n"/>
      <c r="BE63" s="287" t="n"/>
      <c r="BF63" s="37" t="n"/>
      <c r="BG63" s="287" t="n"/>
      <c r="BH63" s="37" t="n"/>
      <c r="BI63" s="288" t="n"/>
      <c r="BJ63" s="37" t="n"/>
      <c r="BK63" s="288" t="n"/>
      <c r="BL63" s="37" t="n"/>
      <c r="BM63" s="288" t="n"/>
      <c r="BN63" s="37" t="n"/>
      <c r="BO63" s="288" t="n"/>
      <c r="BP63" s="288" t="n"/>
      <c r="BQ63" s="37" t="n"/>
      <c r="BR63" s="288" t="n"/>
      <c r="BS63" s="37" t="n"/>
      <c r="BT63" s="288" t="n"/>
      <c r="BU63" s="37" t="n"/>
      <c r="BV63" s="288" t="n"/>
      <c r="BW63" s="37" t="n"/>
      <c r="BX63" s="288" t="n"/>
      <c r="BY63" s="37" t="n"/>
      <c r="BZ63" s="288" t="n"/>
      <c r="CA63" s="37" t="n"/>
      <c r="CB63" s="288" t="n"/>
      <c r="CC63" s="37" t="n"/>
      <c r="CD63" s="288" t="n"/>
      <c r="CE63" s="37" t="n"/>
      <c r="CF63" s="288" t="n"/>
      <c r="CG63" s="291" t="n"/>
      <c r="CH63" s="288" t="n"/>
      <c r="CI63" s="291" t="n"/>
      <c r="CJ63" s="288" t="n"/>
      <c r="CK63" s="291" t="n"/>
      <c r="CL63" s="288" t="n"/>
      <c r="CM63" s="291" t="n"/>
      <c r="CN63" s="288" t="n"/>
      <c r="CO63" s="80" t="n"/>
      <c r="CP63" s="288" t="n"/>
      <c r="CQ63" s="80" t="n"/>
      <c r="CR63" s="288" t="n"/>
      <c r="CS63" s="80" t="n"/>
      <c r="CT63" s="288" t="n"/>
      <c r="CU63" s="80" t="n"/>
      <c r="CW63" s="288" t="n"/>
      <c r="CX63" s="37" t="n"/>
      <c r="CY63" s="288" t="n"/>
      <c r="CZ63" s="37" t="n"/>
      <c r="DA63" s="288" t="n"/>
      <c r="DB63" s="37" t="n"/>
      <c r="DC63" s="288" t="n"/>
      <c r="DD63" s="37" t="n"/>
      <c r="DE63" s="295" t="n"/>
      <c r="DF63" s="295" t="n"/>
      <c r="DG63" s="288" t="n"/>
    </row>
    <row r="64" ht="13" customFormat="1" customHeight="1" s="245">
      <c r="A64" s="280" t="n">
        <v>43496</v>
      </c>
      <c r="B64" s="292" t="n">
        <v>28843.76</v>
      </c>
      <c r="C64" s="15">
        <f>B64/B52-1</f>
        <v/>
      </c>
      <c r="D64" s="15" t="n"/>
      <c r="E64" s="292" t="n">
        <v>19509.65</v>
      </c>
      <c r="F64" s="15">
        <f>E64/E52-1</f>
        <v/>
      </c>
      <c r="G64" s="15" t="n"/>
      <c r="H64" s="292" t="n">
        <v>8947.15</v>
      </c>
      <c r="I64" s="15">
        <f>H64/H52-1</f>
        <v/>
      </c>
      <c r="J64" s="15" t="n"/>
      <c r="K64" s="292" t="n">
        <v>386.95</v>
      </c>
      <c r="L64" s="15">
        <f>K64/K52-1</f>
        <v/>
      </c>
      <c r="M64" s="15" t="n"/>
      <c r="N64" s="292" t="n">
        <v>23197.09</v>
      </c>
      <c r="O64" s="15">
        <f>N64/N52-1</f>
        <v/>
      </c>
      <c r="P64" s="15" t="n"/>
      <c r="Q64" s="292" t="n">
        <v>15468.55</v>
      </c>
      <c r="R64" s="15">
        <f>Q64/Q52-1</f>
        <v/>
      </c>
      <c r="S64" s="15" t="n"/>
      <c r="T64" s="292" t="n">
        <v>7444.89</v>
      </c>
      <c r="U64" s="15">
        <f>T64/T52-1</f>
        <v/>
      </c>
      <c r="V64" s="15" t="n"/>
      <c r="W64" s="292" t="n">
        <v>283.66</v>
      </c>
      <c r="X64" s="15">
        <f>W64/W52-1</f>
        <v/>
      </c>
      <c r="Y64" s="15" t="n"/>
      <c r="Z64" s="292" t="n">
        <v>11985.16</v>
      </c>
      <c r="AA64" s="15">
        <f>Z64/Z52-1</f>
        <v/>
      </c>
      <c r="AB64" s="15" t="n"/>
      <c r="AC64" s="292" t="n">
        <v>10093.85</v>
      </c>
      <c r="AD64" s="15">
        <f>AC64/AC52-1</f>
        <v/>
      </c>
      <c r="AE64" s="15" t="n"/>
      <c r="AF64" s="292" t="n">
        <v>1676.4</v>
      </c>
      <c r="AG64" s="15">
        <f>AF64/AF52-1</f>
        <v/>
      </c>
      <c r="AH64" s="15" t="n"/>
      <c r="AI64" s="292" t="n">
        <v>214.91</v>
      </c>
      <c r="AJ64" s="15">
        <f>AI64/AI52-1</f>
        <v/>
      </c>
      <c r="AK64" s="15" t="n"/>
      <c r="AL64" s="293" t="n">
        <v>80.42</v>
      </c>
      <c r="AM64" s="290">
        <f>AL64-AL52</f>
        <v/>
      </c>
      <c r="AN64" s="15" t="n"/>
      <c r="AO64" s="293" t="n">
        <v>79.29000000000001</v>
      </c>
      <c r="AP64" s="290">
        <f>AO64-AO52</f>
        <v/>
      </c>
      <c r="AQ64" s="15" t="n"/>
      <c r="AR64" s="293" t="n">
        <v>83.20999999999999</v>
      </c>
      <c r="AS64" s="290">
        <f>AR64-AR52</f>
        <v/>
      </c>
      <c r="AT64" s="15" t="n"/>
      <c r="AU64" s="293" t="n">
        <v>73.31</v>
      </c>
      <c r="AV64" s="290">
        <f>AU64-AU52</f>
        <v/>
      </c>
      <c r="AW64" s="15" t="n"/>
      <c r="AX64" s="292" t="n">
        <v>844</v>
      </c>
      <c r="AY64" s="15">
        <f>AX64/AX52-1</f>
        <v/>
      </c>
      <c r="AZ64" s="15" t="n"/>
      <c r="BA64" s="292" t="n"/>
      <c r="BB64" s="37" t="n"/>
      <c r="BC64" s="292" t="n"/>
      <c r="BD64" s="254" t="n"/>
      <c r="BE64" s="292" t="n"/>
      <c r="BF64" s="254" t="n"/>
      <c r="BG64" s="292" t="n"/>
      <c r="BH64" s="254" t="n"/>
      <c r="BI64" s="292" t="n"/>
      <c r="BJ64" s="254" t="n"/>
      <c r="BK64" s="292" t="n"/>
      <c r="BL64" s="254" t="n"/>
      <c r="BM64" s="292" t="n"/>
      <c r="BN64" s="254" t="n"/>
      <c r="BO64" s="292" t="n"/>
      <c r="BP64" s="292" t="n"/>
      <c r="BQ64" s="254" t="n"/>
      <c r="BR64" s="292" t="n"/>
      <c r="BS64" s="254" t="n"/>
      <c r="BT64" s="292" t="n"/>
      <c r="BU64" s="254" t="n"/>
      <c r="BV64" s="292" t="n"/>
      <c r="BW64" s="254" t="n"/>
      <c r="BX64" s="292" t="n"/>
      <c r="BY64" s="254" t="n"/>
      <c r="BZ64" s="292" t="n"/>
      <c r="CA64" s="254" t="n"/>
      <c r="CB64" s="292" t="n"/>
      <c r="CC64" s="254" t="n"/>
      <c r="CD64" s="292" t="n"/>
      <c r="CE64" s="254" t="n"/>
      <c r="CF64" s="292" t="n"/>
      <c r="CG64" s="292" t="n"/>
      <c r="CH64" s="292" t="n"/>
      <c r="CI64" s="292" t="n"/>
      <c r="CJ64" s="292" t="n"/>
      <c r="CK64" s="292" t="n"/>
      <c r="CL64" s="292" t="n"/>
      <c r="CM64" s="292" t="n"/>
      <c r="CN64" s="292" t="n"/>
      <c r="CO64" s="218" t="n"/>
      <c r="CP64" s="292" t="n"/>
      <c r="CQ64" s="218" t="n"/>
      <c r="CR64" s="292" t="n"/>
      <c r="CS64" s="218" t="n"/>
      <c r="CT64" s="292" t="n"/>
      <c r="CU64" s="218" t="n"/>
      <c r="CW64" s="292" t="n"/>
      <c r="CX64" s="254" t="n"/>
      <c r="CY64" s="292" t="n"/>
      <c r="CZ64" s="254" t="n"/>
      <c r="DA64" s="292" t="n"/>
      <c r="DB64" s="254" t="n"/>
      <c r="DC64" s="292" t="n"/>
      <c r="DD64" s="254" t="n"/>
      <c r="DE64" s="294" t="n"/>
      <c r="DF64" s="294" t="n"/>
    </row>
    <row r="65">
      <c r="A65" s="284" t="n">
        <v>43524</v>
      </c>
      <c r="B65" s="285" t="n">
        <v>27244.98</v>
      </c>
      <c r="C65" s="15">
        <f>B65/B53-1</f>
        <v/>
      </c>
      <c r="D65" s="15" t="n"/>
      <c r="E65" s="285" t="n">
        <v>18781.6</v>
      </c>
      <c r="F65" s="15">
        <f>E65/E53-1</f>
        <v/>
      </c>
      <c r="G65" s="15" t="n"/>
      <c r="H65" s="285" t="n">
        <v>8081.68</v>
      </c>
      <c r="I65" s="15">
        <f>H65/H53-1</f>
        <v/>
      </c>
      <c r="J65" s="15" t="n"/>
      <c r="K65" s="285" t="n">
        <v>381.7</v>
      </c>
      <c r="L65" s="15">
        <f>K65/K53-1</f>
        <v/>
      </c>
      <c r="M65" s="15" t="n"/>
      <c r="N65" s="285" t="n">
        <v>23216.42</v>
      </c>
      <c r="O65" s="15">
        <f>N65/N53-1</f>
        <v/>
      </c>
      <c r="P65" s="15" t="n"/>
      <c r="Q65" s="285" t="n">
        <v>16069.05</v>
      </c>
      <c r="R65" s="15">
        <f>Q65/Q53-1</f>
        <v/>
      </c>
      <c r="S65" s="15" t="n"/>
      <c r="T65" s="285" t="n">
        <v>6853.9</v>
      </c>
      <c r="U65" s="15">
        <f>T65/T53-1</f>
        <v/>
      </c>
      <c r="V65" s="15" t="n"/>
      <c r="W65" s="285" t="n">
        <v>293.47</v>
      </c>
      <c r="X65" s="15">
        <f>W65/W53-1</f>
        <v/>
      </c>
      <c r="Y65" s="15" t="n"/>
      <c r="Z65" s="285" t="n">
        <v>12236.25</v>
      </c>
      <c r="AA65" s="15">
        <f>Z65/Z53-1</f>
        <v/>
      </c>
      <c r="AB65" s="15" t="n"/>
      <c r="AC65" s="285" t="n">
        <v>10392.28</v>
      </c>
      <c r="AD65" s="15">
        <f>AC65/AC53-1</f>
        <v/>
      </c>
      <c r="AE65" s="15" t="n"/>
      <c r="AF65" s="285" t="n">
        <v>1614.3</v>
      </c>
      <c r="AG65" s="15">
        <f>AF65/AF53-1</f>
        <v/>
      </c>
      <c r="AH65" s="15" t="n"/>
      <c r="AI65" s="285" t="n">
        <v>229.67</v>
      </c>
      <c r="AJ65" s="15">
        <f>AI65/AI53-1</f>
        <v/>
      </c>
      <c r="AK65" s="15" t="n"/>
      <c r="AL65" s="286" t="n">
        <v>85.20999999999999</v>
      </c>
      <c r="AM65" s="290">
        <f>AL65-AL53</f>
        <v/>
      </c>
      <c r="AN65" s="15" t="n"/>
      <c r="AO65" s="286" t="n">
        <v>85.56</v>
      </c>
      <c r="AP65" s="290">
        <f>AO65-AO53</f>
        <v/>
      </c>
      <c r="AQ65" s="15" t="n"/>
      <c r="AR65" s="286" t="n">
        <v>84.81</v>
      </c>
      <c r="AS65" s="290">
        <f>AR65-AR53</f>
        <v/>
      </c>
      <c r="AT65" s="15" t="n"/>
      <c r="AU65" s="286" t="n">
        <v>76.88</v>
      </c>
      <c r="AV65" s="290">
        <f>AU65-AU53</f>
        <v/>
      </c>
      <c r="AW65" s="15" t="n"/>
      <c r="AX65" s="285" t="n">
        <v>843</v>
      </c>
      <c r="AY65" s="15">
        <f>AX65/AX53-1</f>
        <v/>
      </c>
      <c r="AZ65" s="15" t="n"/>
      <c r="BA65" s="287" t="n"/>
      <c r="BB65" s="37" t="n"/>
      <c r="BC65" s="287" t="n"/>
      <c r="BD65" s="37" t="n"/>
      <c r="BE65" s="287" t="n"/>
      <c r="BF65" s="37" t="n"/>
      <c r="BG65" s="287" t="n"/>
      <c r="BH65" s="37" t="n"/>
      <c r="BI65" s="288" t="n"/>
      <c r="BJ65" s="37" t="n"/>
      <c r="BK65" s="288" t="n"/>
      <c r="BL65" s="37" t="n"/>
      <c r="BM65" s="288" t="n"/>
      <c r="BN65" s="37" t="n"/>
      <c r="BO65" s="288" t="n"/>
      <c r="BP65" s="288" t="n"/>
      <c r="BQ65" s="37" t="n"/>
      <c r="BR65" s="288" t="n"/>
      <c r="BS65" s="37" t="n"/>
      <c r="BT65" s="288" t="n"/>
      <c r="BU65" s="37" t="n"/>
      <c r="BV65" s="288" t="n"/>
      <c r="BW65" s="37" t="n"/>
      <c r="BX65" s="288" t="n"/>
      <c r="BY65" s="37" t="n"/>
      <c r="BZ65" s="288" t="n"/>
      <c r="CA65" s="37" t="n"/>
      <c r="CB65" s="288" t="n"/>
      <c r="CC65" s="37" t="n"/>
      <c r="CD65" s="288" t="n"/>
      <c r="CE65" s="37" t="n"/>
      <c r="CF65" s="288" t="n"/>
      <c r="CG65" s="291" t="n"/>
      <c r="CH65" s="288" t="n"/>
      <c r="CI65" s="291" t="n"/>
      <c r="CJ65" s="288" t="n"/>
      <c r="CK65" s="291" t="n"/>
      <c r="CL65" s="288" t="n"/>
      <c r="CM65" s="291" t="n"/>
      <c r="CN65" s="288" t="n"/>
      <c r="CO65" s="80" t="n"/>
      <c r="CP65" s="288" t="n"/>
      <c r="CQ65" s="80" t="n"/>
      <c r="CR65" s="288" t="n"/>
      <c r="CS65" s="80" t="n"/>
      <c r="CT65" s="288" t="n"/>
      <c r="CU65" s="80" t="n"/>
      <c r="CW65" s="288" t="n"/>
      <c r="CX65" s="37" t="n"/>
      <c r="CY65" s="288" t="n"/>
      <c r="CZ65" s="37" t="n"/>
      <c r="DA65" s="288" t="n"/>
      <c r="DB65" s="37" t="n"/>
      <c r="DC65" s="288" t="n"/>
      <c r="DD65" s="37" t="n"/>
      <c r="DE65" s="295" t="n"/>
      <c r="DF65" s="295" t="n"/>
      <c r="DG65" s="288" t="n"/>
    </row>
    <row r="66">
      <c r="A66" s="284" t="n">
        <v>43555</v>
      </c>
      <c r="B66" s="285" t="n">
        <v>27423.87</v>
      </c>
      <c r="C66" s="15">
        <f>B66/B54-1</f>
        <v/>
      </c>
      <c r="D66" s="15" t="n"/>
      <c r="E66" s="285" t="n">
        <v>18885.64</v>
      </c>
      <c r="F66" s="15">
        <f>E66/E54-1</f>
        <v/>
      </c>
      <c r="G66" s="15" t="n"/>
      <c r="H66" s="285" t="n">
        <v>8162.16</v>
      </c>
      <c r="I66" s="15">
        <f>H66/H54-1</f>
        <v/>
      </c>
      <c r="J66" s="15" t="n"/>
      <c r="K66" s="285" t="n">
        <v>376.07</v>
      </c>
      <c r="L66" s="15">
        <f>K66/K54-1</f>
        <v/>
      </c>
      <c r="M66" s="15" t="n"/>
      <c r="N66" s="285" t="n">
        <v>22801.9</v>
      </c>
      <c r="O66" s="15">
        <f>N66/N54-1</f>
        <v/>
      </c>
      <c r="P66" s="15" t="n"/>
      <c r="Q66" s="285" t="n">
        <v>15669.67</v>
      </c>
      <c r="R66" s="15">
        <f>Q66/Q54-1</f>
        <v/>
      </c>
      <c r="S66" s="15" t="n"/>
      <c r="T66" s="285" t="n">
        <v>6837.08</v>
      </c>
      <c r="U66" s="15">
        <f>T66/T54-1</f>
        <v/>
      </c>
      <c r="V66" s="15" t="n"/>
      <c r="W66" s="285" t="n">
        <v>295.16</v>
      </c>
      <c r="X66" s="15">
        <f>W66/W54-1</f>
        <v/>
      </c>
      <c r="Y66" s="15" t="n"/>
      <c r="Z66" s="285" t="n">
        <v>12156.66</v>
      </c>
      <c r="AA66" s="15">
        <f>Z66/Z54-1</f>
        <v/>
      </c>
      <c r="AB66" s="15" t="n"/>
      <c r="AC66" s="285" t="n">
        <v>10299.85</v>
      </c>
      <c r="AD66" s="15">
        <f>AC66/AC54-1</f>
        <v/>
      </c>
      <c r="AE66" s="15" t="n"/>
      <c r="AF66" s="285" t="n">
        <v>1630.46</v>
      </c>
      <c r="AG66" s="15">
        <f>AF66/AF54-1</f>
        <v/>
      </c>
      <c r="AH66" s="15" t="n"/>
      <c r="AI66" s="285" t="n">
        <v>226.34</v>
      </c>
      <c r="AJ66" s="15">
        <f>AI66/AI54-1</f>
        <v/>
      </c>
      <c r="AK66" s="15" t="n"/>
      <c r="AL66" s="286" t="n">
        <v>83.15000000000001</v>
      </c>
      <c r="AM66" s="290">
        <f>AL66-AL54</f>
        <v/>
      </c>
      <c r="AN66" s="15" t="n"/>
      <c r="AO66" s="286" t="n">
        <v>82.97</v>
      </c>
      <c r="AP66" s="290">
        <f>AO66-AO54</f>
        <v/>
      </c>
      <c r="AQ66" s="15" t="n"/>
      <c r="AR66" s="286" t="n">
        <v>83.77</v>
      </c>
      <c r="AS66" s="290">
        <f>AR66-AR54</f>
        <v/>
      </c>
      <c r="AT66" s="15" t="n"/>
      <c r="AU66" s="286" t="n">
        <v>78.48999999999999</v>
      </c>
      <c r="AV66" s="290">
        <f>AU66-AU54</f>
        <v/>
      </c>
      <c r="AW66" s="15" t="n"/>
      <c r="AX66" s="285" t="n">
        <v>847</v>
      </c>
      <c r="AY66" s="15">
        <f>AX66/AX54-1</f>
        <v/>
      </c>
      <c r="AZ66" s="15" t="n"/>
      <c r="BA66" s="287" t="n"/>
      <c r="BB66" s="37" t="n"/>
      <c r="BC66" s="287" t="n"/>
      <c r="BD66" s="37" t="n"/>
      <c r="BE66" s="287" t="n"/>
      <c r="BF66" s="37" t="n"/>
      <c r="BG66" s="287" t="n"/>
      <c r="BH66" s="37" t="n"/>
      <c r="BI66" s="288" t="n"/>
      <c r="BJ66" s="37" t="n"/>
      <c r="BK66" s="288" t="n"/>
      <c r="BL66" s="37" t="n"/>
      <c r="BM66" s="288" t="n"/>
      <c r="BN66" s="37" t="n"/>
      <c r="BO66" s="288" t="n"/>
      <c r="BP66" s="288" t="n"/>
      <c r="BQ66" s="37" t="n"/>
      <c r="BR66" s="288" t="n"/>
      <c r="BS66" s="37" t="n"/>
      <c r="BT66" s="288" t="n"/>
      <c r="BU66" s="37" t="n"/>
      <c r="BV66" s="288" t="n"/>
      <c r="BW66" s="37" t="n"/>
      <c r="BX66" s="288" t="n"/>
      <c r="BY66" s="37" t="n"/>
      <c r="BZ66" s="288" t="n"/>
      <c r="CA66" s="37" t="n"/>
      <c r="CB66" s="288" t="n"/>
      <c r="CC66" s="37" t="n"/>
      <c r="CD66" s="288" t="n"/>
      <c r="CE66" s="37" t="n"/>
      <c r="CF66" s="288" t="n"/>
      <c r="CG66" s="291" t="n"/>
      <c r="CH66" s="288" t="n"/>
      <c r="CI66" s="291" t="n"/>
      <c r="CJ66" s="288" t="n"/>
      <c r="CK66" s="291" t="n"/>
      <c r="CL66" s="288" t="n"/>
      <c r="CM66" s="291" t="n"/>
      <c r="CN66" s="288" t="n"/>
      <c r="CO66" s="80" t="n"/>
      <c r="CP66" s="288" t="n"/>
      <c r="CQ66" s="80" t="n"/>
      <c r="CR66" s="288" t="n"/>
      <c r="CS66" s="80" t="n"/>
      <c r="CT66" s="288" t="n"/>
      <c r="CU66" s="80" t="n"/>
      <c r="CW66" s="288" t="n"/>
      <c r="CX66" s="37" t="n"/>
      <c r="CY66" s="288" t="n"/>
      <c r="CZ66" s="37" t="n"/>
      <c r="DA66" s="288" t="n"/>
      <c r="DB66" s="37" t="n"/>
      <c r="DC66" s="288" t="n"/>
      <c r="DD66" s="37" t="n"/>
      <c r="DE66" s="295" t="n"/>
      <c r="DF66" s="295" t="n"/>
      <c r="DG66" s="288" t="n"/>
    </row>
    <row r="67">
      <c r="A67" s="284" t="n">
        <v>43585</v>
      </c>
      <c r="B67" s="285" t="n">
        <v>27101.2</v>
      </c>
      <c r="C67" s="15">
        <f>B67/B55-1</f>
        <v/>
      </c>
      <c r="D67" s="15" t="n"/>
      <c r="E67" s="285" t="n">
        <v>18261.98</v>
      </c>
      <c r="F67" s="15">
        <f>E67/E55-1</f>
        <v/>
      </c>
      <c r="G67" s="15" t="n"/>
      <c r="H67" s="285" t="n">
        <v>8448.870000000001</v>
      </c>
      <c r="I67" s="15">
        <f>H67/H55-1</f>
        <v/>
      </c>
      <c r="J67" s="15" t="n"/>
      <c r="K67" s="285" t="n">
        <v>390.34</v>
      </c>
      <c r="L67" s="15">
        <f>K67/K55-1</f>
        <v/>
      </c>
      <c r="M67" s="15" t="n"/>
      <c r="N67" s="285" t="n">
        <v>22489.92</v>
      </c>
      <c r="O67" s="15">
        <f>N67/N55-1</f>
        <v/>
      </c>
      <c r="P67" s="15" t="n"/>
      <c r="Q67" s="285" t="n">
        <v>15141.91</v>
      </c>
      <c r="R67" s="15">
        <f>Q67/Q55-1</f>
        <v/>
      </c>
      <c r="S67" s="15" t="n"/>
      <c r="T67" s="285" t="n">
        <v>7042.29</v>
      </c>
      <c r="U67" s="15">
        <f>T67/T55-1</f>
        <v/>
      </c>
      <c r="V67" s="15" t="n"/>
      <c r="W67" s="285" t="n">
        <v>305.72</v>
      </c>
      <c r="X67" s="15">
        <f>W67/W55-1</f>
        <v/>
      </c>
      <c r="Y67" s="15" t="n"/>
      <c r="Z67" s="285" t="n">
        <v>11943.5</v>
      </c>
      <c r="AA67" s="15">
        <f>Z67/Z55-1</f>
        <v/>
      </c>
      <c r="AB67" s="15" t="n"/>
      <c r="AC67" s="285" t="n">
        <v>10049.17</v>
      </c>
      <c r="AD67" s="15">
        <f>AC67/AC55-1</f>
        <v/>
      </c>
      <c r="AE67" s="15" t="n"/>
      <c r="AF67" s="285" t="n">
        <v>1660.69</v>
      </c>
      <c r="AG67" s="15">
        <f>AF67/AF55-1</f>
        <v/>
      </c>
      <c r="AH67" s="15" t="n"/>
      <c r="AI67" s="285" t="n">
        <v>233.64</v>
      </c>
      <c r="AJ67" s="15">
        <f>AI67/AI55-1</f>
        <v/>
      </c>
      <c r="AK67" s="15" t="n"/>
      <c r="AL67" s="286" t="n">
        <v>82.98</v>
      </c>
      <c r="AM67" s="290">
        <f>AL67-AL55</f>
        <v/>
      </c>
      <c r="AN67" s="15" t="n"/>
      <c r="AO67" s="286" t="n">
        <v>82.91</v>
      </c>
      <c r="AP67" s="290">
        <f>AO67-AO55</f>
        <v/>
      </c>
      <c r="AQ67" s="15" t="n"/>
      <c r="AR67" s="286" t="n">
        <v>83.34999999999999</v>
      </c>
      <c r="AS67" s="290">
        <f>AR67-AR55</f>
        <v/>
      </c>
      <c r="AT67" s="15" t="n"/>
      <c r="AU67" s="286" t="n">
        <v>78.31999999999999</v>
      </c>
      <c r="AV67" s="290">
        <f>AU67-AU55</f>
        <v/>
      </c>
      <c r="AW67" s="15" t="n"/>
      <c r="AX67" s="285" t="n">
        <v>851</v>
      </c>
      <c r="AY67" s="15">
        <f>AX67/AX55-1</f>
        <v/>
      </c>
      <c r="AZ67" s="15" t="n"/>
      <c r="BA67" s="287" t="n"/>
      <c r="BB67" s="37" t="n"/>
      <c r="BC67" s="287" t="n"/>
      <c r="BD67" s="37" t="n"/>
      <c r="BE67" s="287" t="n"/>
      <c r="BF67" s="37" t="n"/>
      <c r="BG67" s="287" t="n"/>
      <c r="BH67" s="37" t="n"/>
      <c r="BI67" s="288" t="n"/>
      <c r="BJ67" s="37" t="n"/>
      <c r="BK67" s="288" t="n"/>
      <c r="BL67" s="37" t="n"/>
      <c r="BM67" s="288" t="n"/>
      <c r="BN67" s="37" t="n"/>
      <c r="BO67" s="288" t="n"/>
      <c r="BP67" s="288" t="n"/>
      <c r="BQ67" s="37" t="n"/>
      <c r="BR67" s="288" t="n"/>
      <c r="BS67" s="37" t="n"/>
      <c r="BT67" s="288" t="n"/>
      <c r="BU67" s="37" t="n"/>
      <c r="BV67" s="288" t="n"/>
      <c r="BW67" s="37" t="n"/>
      <c r="BX67" s="288" t="n"/>
      <c r="BY67" s="37" t="n"/>
      <c r="BZ67" s="288" t="n"/>
      <c r="CA67" s="37" t="n"/>
      <c r="CB67" s="288" t="n"/>
      <c r="CC67" s="37" t="n"/>
      <c r="CD67" s="288" t="n"/>
      <c r="CE67" s="37" t="n"/>
      <c r="CF67" s="288" t="n"/>
      <c r="CG67" s="291" t="n"/>
      <c r="CH67" s="288" t="n"/>
      <c r="CI67" s="291" t="n"/>
      <c r="CJ67" s="288" t="n"/>
      <c r="CK67" s="291" t="n"/>
      <c r="CL67" s="288" t="n"/>
      <c r="CM67" s="291" t="n"/>
      <c r="CN67" s="288" t="n"/>
      <c r="CO67" s="80" t="n"/>
      <c r="CP67" s="288" t="n"/>
      <c r="CQ67" s="80" t="n"/>
      <c r="CR67" s="288" t="n"/>
      <c r="CS67" s="80" t="n"/>
      <c r="CT67" s="288" t="n"/>
      <c r="CU67" s="80" t="n"/>
      <c r="CW67" s="288" t="n"/>
      <c r="CX67" s="37" t="n"/>
      <c r="CY67" s="288" t="n"/>
      <c r="CZ67" s="37" t="n"/>
      <c r="DA67" s="288" t="n"/>
      <c r="DB67" s="37" t="n"/>
      <c r="DC67" s="288" t="n"/>
      <c r="DD67" s="37" t="n"/>
      <c r="DE67" s="295" t="n"/>
      <c r="DF67" s="295" t="n"/>
      <c r="DG67" s="288" t="n"/>
    </row>
    <row r="68">
      <c r="A68" s="284" t="n">
        <v>43616</v>
      </c>
      <c r="B68" s="285" t="n">
        <v>27936.74</v>
      </c>
      <c r="C68" s="15">
        <f>B68/B56-1</f>
        <v/>
      </c>
      <c r="D68" s="15" t="n"/>
      <c r="E68" s="285" t="n">
        <v>19149.34</v>
      </c>
      <c r="F68" s="15">
        <f>E68/E56-1</f>
        <v/>
      </c>
      <c r="G68" s="15" t="n"/>
      <c r="H68" s="285" t="n">
        <v>8368.52</v>
      </c>
      <c r="I68" s="15">
        <f>H68/H56-1</f>
        <v/>
      </c>
      <c r="J68" s="15" t="n"/>
      <c r="K68" s="285" t="n">
        <v>418.88</v>
      </c>
      <c r="L68" s="15">
        <f>K68/K56-1</f>
        <v/>
      </c>
      <c r="M68" s="15" t="n"/>
      <c r="N68" s="285" t="n">
        <v>22742.04</v>
      </c>
      <c r="O68" s="15">
        <f>N68/N56-1</f>
        <v/>
      </c>
      <c r="P68" s="15" t="n"/>
      <c r="Q68" s="285" t="n">
        <v>15665.78</v>
      </c>
      <c r="R68" s="15">
        <f>Q68/Q56-1</f>
        <v/>
      </c>
      <c r="S68" s="15" t="n"/>
      <c r="T68" s="285" t="n">
        <v>6757.93</v>
      </c>
      <c r="U68" s="15">
        <f>T68/T56-1</f>
        <v/>
      </c>
      <c r="V68" s="15" t="n"/>
      <c r="W68" s="285" t="n">
        <v>318.33</v>
      </c>
      <c r="X68" s="15">
        <f>W68/W56-1</f>
        <v/>
      </c>
      <c r="Y68" s="15" t="n"/>
      <c r="Z68" s="285" t="n">
        <v>12310.53</v>
      </c>
      <c r="AA68" s="15">
        <f>Z68/Z56-1</f>
        <v/>
      </c>
      <c r="AB68" s="15" t="n"/>
      <c r="AC68" s="285" t="n">
        <v>10470.58</v>
      </c>
      <c r="AD68" s="15">
        <f>AC68/AC56-1</f>
        <v/>
      </c>
      <c r="AE68" s="15" t="n"/>
      <c r="AF68" s="285" t="n">
        <v>1606.23</v>
      </c>
      <c r="AG68" s="15">
        <f>AF68/AF56-1</f>
        <v/>
      </c>
      <c r="AH68" s="15" t="n"/>
      <c r="AI68" s="285" t="n">
        <v>233.72</v>
      </c>
      <c r="AJ68" s="15">
        <f>AI68/AI56-1</f>
        <v/>
      </c>
      <c r="AK68" s="15" t="n"/>
      <c r="AL68" s="286" t="n">
        <v>81.41</v>
      </c>
      <c r="AM68" s="290">
        <f>AL68-AL56</f>
        <v/>
      </c>
      <c r="AN68" s="15" t="n"/>
      <c r="AO68" s="286" t="n">
        <v>81.81</v>
      </c>
      <c r="AP68" s="290">
        <f>AO68-AO56</f>
        <v/>
      </c>
      <c r="AQ68" s="15" t="n"/>
      <c r="AR68" s="286" t="n">
        <v>80.75</v>
      </c>
      <c r="AS68" s="290">
        <f>AR68-AR56</f>
        <v/>
      </c>
      <c r="AT68" s="15" t="n"/>
      <c r="AU68" s="286" t="n">
        <v>76</v>
      </c>
      <c r="AV68" s="290">
        <f>AU68-AU56</f>
        <v/>
      </c>
      <c r="AW68" s="15" t="n"/>
      <c r="AX68" s="285" t="n">
        <v>849</v>
      </c>
      <c r="AY68" s="15">
        <f>AX68/AX56-1</f>
        <v/>
      </c>
      <c r="AZ68" s="15" t="n"/>
      <c r="BA68" s="287" t="n"/>
      <c r="BB68" s="37" t="n"/>
      <c r="BC68" s="287" t="n"/>
      <c r="BD68" s="37" t="n"/>
      <c r="BE68" s="287" t="n"/>
      <c r="BF68" s="37" t="n"/>
      <c r="BG68" s="287" t="n"/>
      <c r="BH68" s="37" t="n"/>
      <c r="BI68" s="288" t="n"/>
      <c r="BJ68" s="37" t="n"/>
      <c r="BK68" s="288" t="n"/>
      <c r="BL68" s="37" t="n"/>
      <c r="BM68" s="288" t="n"/>
      <c r="BN68" s="37" t="n"/>
      <c r="BO68" s="288" t="n"/>
      <c r="BP68" s="288" t="n"/>
      <c r="BQ68" s="37" t="n"/>
      <c r="BR68" s="288" t="n"/>
      <c r="BS68" s="37" t="n"/>
      <c r="BT68" s="288" t="n"/>
      <c r="BU68" s="37" t="n"/>
      <c r="BV68" s="288" t="n"/>
      <c r="BW68" s="37" t="n"/>
      <c r="BX68" s="288" t="n"/>
      <c r="BY68" s="37" t="n"/>
      <c r="BZ68" s="288" t="n"/>
      <c r="CA68" s="37" t="n"/>
      <c r="CB68" s="288" t="n"/>
      <c r="CC68" s="37" t="n"/>
      <c r="CD68" s="288" t="n"/>
      <c r="CE68" s="37" t="n"/>
      <c r="CF68" s="288" t="n"/>
      <c r="CG68" s="291" t="n"/>
      <c r="CH68" s="288" t="n"/>
      <c r="CI68" s="291" t="n"/>
      <c r="CJ68" s="288" t="n"/>
      <c r="CK68" s="291" t="n"/>
      <c r="CL68" s="288" t="n"/>
      <c r="CM68" s="291" t="n"/>
      <c r="CN68" s="288" t="n"/>
      <c r="CO68" s="80" t="n"/>
      <c r="CP68" s="288" t="n"/>
      <c r="CQ68" s="80" t="n"/>
      <c r="CR68" s="288" t="n"/>
      <c r="CS68" s="80" t="n"/>
      <c r="CT68" s="288" t="n"/>
      <c r="CU68" s="80" t="n"/>
      <c r="CW68" s="288" t="n"/>
      <c r="CX68" s="37" t="n"/>
      <c r="CY68" s="288" t="n"/>
      <c r="CZ68" s="37" t="n"/>
      <c r="DA68" s="288" t="n"/>
      <c r="DB68" s="37" t="n"/>
      <c r="DC68" s="288" t="n"/>
      <c r="DD68" s="37" t="n"/>
      <c r="DE68" s="295" t="n"/>
      <c r="DF68" s="295" t="n"/>
      <c r="DG68" s="288" t="n"/>
    </row>
    <row r="69">
      <c r="A69" s="284" t="n">
        <v>43646</v>
      </c>
      <c r="B69" s="285" t="n">
        <v>27466.8</v>
      </c>
      <c r="C69" s="15">
        <f>B69/B57-1</f>
        <v/>
      </c>
      <c r="D69" s="15" t="n"/>
      <c r="E69" s="285" t="n">
        <v>18597.14</v>
      </c>
      <c r="F69" s="15">
        <f>E69/E57-1</f>
        <v/>
      </c>
      <c r="G69" s="15" t="n"/>
      <c r="H69" s="285" t="n">
        <v>8460.82</v>
      </c>
      <c r="I69" s="15">
        <f>H69/H57-1</f>
        <v/>
      </c>
      <c r="J69" s="15" t="n"/>
      <c r="K69" s="285" t="n">
        <v>408.84</v>
      </c>
      <c r="L69" s="15">
        <f>K69/K57-1</f>
        <v/>
      </c>
      <c r="M69" s="15" t="n"/>
      <c r="N69" s="285" t="n">
        <v>22763.08</v>
      </c>
      <c r="O69" s="15">
        <f>N69/N57-1</f>
        <v/>
      </c>
      <c r="P69" s="15" t="n"/>
      <c r="Q69" s="285" t="n">
        <v>15453.2</v>
      </c>
      <c r="R69" s="15">
        <f>Q69/Q57-1</f>
        <v/>
      </c>
      <c r="S69" s="15" t="n"/>
      <c r="T69" s="285" t="n">
        <v>6995.79</v>
      </c>
      <c r="U69" s="15">
        <f>T69/T57-1</f>
        <v/>
      </c>
      <c r="V69" s="15" t="n"/>
      <c r="W69" s="285" t="n">
        <v>314.09</v>
      </c>
      <c r="X69" s="15">
        <f>W69/W57-1</f>
        <v/>
      </c>
      <c r="Y69" s="15" t="n"/>
      <c r="Z69" s="285" t="n">
        <v>12140.46</v>
      </c>
      <c r="AA69" s="15">
        <f>Z69/Z57-1</f>
        <v/>
      </c>
      <c r="AB69" s="15" t="n"/>
      <c r="AC69" s="285" t="n">
        <v>10276.4</v>
      </c>
      <c r="AD69" s="15">
        <f>AC69/AC57-1</f>
        <v/>
      </c>
      <c r="AE69" s="15" t="n"/>
      <c r="AF69" s="285" t="n">
        <v>1637.71</v>
      </c>
      <c r="AG69" s="15">
        <f>AF69/AF57-1</f>
        <v/>
      </c>
      <c r="AH69" s="15" t="n"/>
      <c r="AI69" s="285" t="n">
        <v>226.35</v>
      </c>
      <c r="AJ69" s="15">
        <f>AI69/AI57-1</f>
        <v/>
      </c>
      <c r="AK69" s="15" t="n"/>
      <c r="AL69" s="286" t="n">
        <v>82.87</v>
      </c>
      <c r="AM69" s="290">
        <f>AL69-AL57</f>
        <v/>
      </c>
      <c r="AN69" s="15" t="n"/>
      <c r="AO69" s="286" t="n">
        <v>83.09</v>
      </c>
      <c r="AP69" s="290">
        <f>AO69-AO57</f>
        <v/>
      </c>
      <c r="AQ69" s="15" t="n"/>
      <c r="AR69" s="286" t="n">
        <v>82.68000000000001</v>
      </c>
      <c r="AS69" s="290">
        <f>AR69-AR57</f>
        <v/>
      </c>
      <c r="AT69" s="15" t="n"/>
      <c r="AU69" s="286" t="n">
        <v>76.81999999999999</v>
      </c>
      <c r="AV69" s="290">
        <f>AU69-AU57</f>
        <v/>
      </c>
      <c r="AW69" s="15" t="n"/>
      <c r="AX69" s="285" t="n">
        <v>849</v>
      </c>
      <c r="AY69" s="15">
        <f>AX69/AX57-1</f>
        <v/>
      </c>
      <c r="AZ69" s="15" t="n"/>
      <c r="BA69" s="287" t="n"/>
      <c r="BB69" s="37" t="n"/>
      <c r="BC69" s="287" t="n"/>
      <c r="BD69" s="37" t="n"/>
      <c r="BE69" s="287" t="n"/>
      <c r="BF69" s="37" t="n"/>
      <c r="BG69" s="287" t="n"/>
      <c r="BH69" s="37" t="n"/>
      <c r="BI69" s="288" t="n"/>
      <c r="BJ69" s="37" t="n"/>
      <c r="BK69" s="288" t="n"/>
      <c r="BL69" s="37" t="n"/>
      <c r="BM69" s="288" t="n"/>
      <c r="BN69" s="37" t="n"/>
      <c r="BO69" s="288" t="n"/>
      <c r="BP69" s="288" t="n"/>
      <c r="BQ69" s="37" t="n"/>
      <c r="BR69" s="288" t="n"/>
      <c r="BS69" s="37" t="n"/>
      <c r="BT69" s="288" t="n"/>
      <c r="BU69" s="37" t="n"/>
      <c r="BV69" s="288" t="n"/>
      <c r="BW69" s="37" t="n"/>
      <c r="BX69" s="288" t="n"/>
      <c r="BY69" s="37" t="n"/>
      <c r="BZ69" s="288" t="n"/>
      <c r="CA69" s="37" t="n"/>
      <c r="CB69" s="288" t="n"/>
      <c r="CC69" s="37" t="n"/>
      <c r="CD69" s="288" t="n"/>
      <c r="CE69" s="37" t="n"/>
      <c r="CF69" s="288" t="n"/>
      <c r="CG69" s="291" t="n"/>
      <c r="CH69" s="288" t="n"/>
      <c r="CI69" s="291" t="n"/>
      <c r="CJ69" s="288" t="n"/>
      <c r="CK69" s="291" t="n"/>
      <c r="CL69" s="288" t="n"/>
      <c r="CM69" s="291" t="n"/>
      <c r="CN69" s="288" t="n"/>
      <c r="CO69" s="80" t="n"/>
      <c r="CP69" s="288" t="n"/>
      <c r="CQ69" s="80" t="n"/>
      <c r="CR69" s="288" t="n"/>
      <c r="CS69" s="80" t="n"/>
      <c r="CT69" s="288" t="n"/>
      <c r="CU69" s="80" t="n"/>
      <c r="CW69" s="288" t="n"/>
      <c r="CX69" s="37" t="n"/>
      <c r="CY69" s="288" t="n"/>
      <c r="CZ69" s="37" t="n"/>
      <c r="DA69" s="288" t="n"/>
      <c r="DB69" s="37" t="n"/>
      <c r="DC69" s="288" t="n"/>
      <c r="DD69" s="37" t="n"/>
      <c r="DE69" s="295" t="n"/>
      <c r="DF69" s="295" t="n"/>
      <c r="DG69" s="288" t="n"/>
    </row>
    <row r="70" ht="15" customHeight="1">
      <c r="A70" s="284" t="n">
        <v>43677</v>
      </c>
      <c r="B70" s="285" t="n">
        <v>31198.76</v>
      </c>
      <c r="C70" s="15">
        <f>B70/B58-1</f>
        <v/>
      </c>
      <c r="D70" s="15" t="n"/>
      <c r="E70" s="285" t="n">
        <v>21270.48</v>
      </c>
      <c r="F70" s="15">
        <f>E70/E58-1</f>
        <v/>
      </c>
      <c r="G70" s="15" t="n"/>
      <c r="H70" s="285" t="n">
        <v>9497.110000000001</v>
      </c>
      <c r="I70" s="15">
        <f>H70/H58-1</f>
        <v/>
      </c>
      <c r="J70" s="15" t="n"/>
      <c r="K70" s="285" t="n">
        <v>431.17</v>
      </c>
      <c r="L70" s="15">
        <f>K70/K58-1</f>
        <v/>
      </c>
      <c r="M70" s="15" t="n"/>
      <c r="N70" s="285" t="n">
        <v>25920.33</v>
      </c>
      <c r="O70" s="15">
        <f>N70/N58-1</f>
        <v/>
      </c>
      <c r="P70" s="15" t="n"/>
      <c r="Q70" s="285" t="n">
        <v>17647.52</v>
      </c>
      <c r="R70" s="15">
        <f>Q70/Q58-1</f>
        <v/>
      </c>
      <c r="S70" s="15" t="n"/>
      <c r="T70" s="285" t="n">
        <v>7934.12</v>
      </c>
      <c r="U70" s="15">
        <f>T70/T58-1</f>
        <v/>
      </c>
      <c r="V70" s="15" t="n"/>
      <c r="W70" s="285" t="n">
        <v>338.69</v>
      </c>
      <c r="X70" s="15">
        <f>W70/W58-1</f>
        <v/>
      </c>
      <c r="Y70" s="15" t="n"/>
      <c r="Z70" s="285" t="n">
        <v>13731.03</v>
      </c>
      <c r="AA70" s="15">
        <f>Z70/Z58-1</f>
        <v/>
      </c>
      <c r="AB70" s="15" t="n"/>
      <c r="AC70" s="285" t="n">
        <v>11622.44</v>
      </c>
      <c r="AD70" s="15">
        <f>AC70/AC58-1</f>
        <v/>
      </c>
      <c r="AE70" s="15" t="n"/>
      <c r="AF70" s="285" t="n">
        <v>1857.77</v>
      </c>
      <c r="AG70" s="15">
        <f>AF70/AF58-1</f>
        <v/>
      </c>
      <c r="AH70" s="15" t="n"/>
      <c r="AI70" s="285" t="n">
        <v>250.82</v>
      </c>
      <c r="AJ70" s="15">
        <f>AI70/AI58-1</f>
        <v/>
      </c>
      <c r="AK70" s="15" t="n"/>
      <c r="AL70" s="286" t="n">
        <v>83.08</v>
      </c>
      <c r="AM70" s="290">
        <f>AL70-AL58</f>
        <v/>
      </c>
      <c r="AN70" s="15" t="n"/>
      <c r="AO70" s="286" t="n">
        <v>82.97</v>
      </c>
      <c r="AP70" s="290">
        <f>AO70-AO58</f>
        <v/>
      </c>
      <c r="AQ70" s="15" t="n"/>
      <c r="AR70" s="286" t="n">
        <v>83.54000000000001</v>
      </c>
      <c r="AS70" s="290">
        <f>AR70-AR58</f>
        <v/>
      </c>
      <c r="AT70" s="15" t="n"/>
      <c r="AU70" s="286" t="n">
        <v>78.55</v>
      </c>
      <c r="AV70" s="290">
        <f>AU70-AU58</f>
        <v/>
      </c>
      <c r="AW70" s="15" t="n"/>
      <c r="AX70" s="285" t="n">
        <v>850</v>
      </c>
      <c r="AY70" s="15">
        <f>AX70/AX58-1</f>
        <v/>
      </c>
      <c r="AZ70" s="15" t="n"/>
      <c r="BA70" s="287" t="n"/>
      <c r="BB70" s="37" t="n"/>
      <c r="BC70" s="287" t="n"/>
      <c r="BD70" s="37" t="n"/>
      <c r="BE70" s="287" t="n"/>
      <c r="BF70" s="37" t="n"/>
      <c r="BG70" s="287" t="n"/>
      <c r="BH70" s="37" t="n"/>
      <c r="BI70" s="288" t="n"/>
      <c r="BJ70" s="37" t="n"/>
      <c r="BK70" s="288" t="n"/>
      <c r="BL70" s="37" t="n"/>
      <c r="BM70" s="288" t="n"/>
      <c r="BN70" s="37" t="n"/>
      <c r="BO70" s="288" t="n"/>
      <c r="BP70" s="288" t="n"/>
      <c r="BQ70" s="37" t="n"/>
      <c r="BR70" s="288" t="n"/>
      <c r="BS70" s="37" t="n"/>
      <c r="BT70" s="288" t="n"/>
      <c r="BU70" s="37" t="n"/>
      <c r="BV70" s="288" t="n"/>
      <c r="BW70" s="37" t="n"/>
      <c r="BX70" s="288" t="n"/>
      <c r="BY70" s="37" t="n"/>
      <c r="BZ70" s="288" t="n"/>
      <c r="CA70" s="37" t="n"/>
      <c r="CB70" s="288" t="n"/>
      <c r="CC70" s="37" t="n"/>
      <c r="CD70" s="288" t="n"/>
      <c r="CE70" s="37" t="n"/>
      <c r="CF70" s="288" t="n"/>
      <c r="CG70" s="291" t="n"/>
      <c r="CH70" s="288" t="n"/>
      <c r="CI70" s="291" t="n"/>
      <c r="CJ70" s="288" t="n"/>
      <c r="CK70" s="291" t="n"/>
      <c r="CL70" s="288" t="n"/>
      <c r="CM70" s="291" t="n"/>
      <c r="CN70" s="288" t="n"/>
      <c r="CO70" s="80" t="n"/>
      <c r="CP70" s="288" t="n"/>
      <c r="CQ70" s="80" t="n"/>
      <c r="CR70" s="288" t="n"/>
      <c r="CS70" s="80" t="n"/>
      <c r="CT70" s="288" t="n"/>
      <c r="CU70" s="80" t="n"/>
      <c r="CW70" s="288" t="n"/>
      <c r="CX70" s="37" t="n"/>
      <c r="CY70" s="288" t="n"/>
      <c r="CZ70" s="37" t="n"/>
      <c r="DA70" s="288" t="n"/>
      <c r="DB70" s="37" t="n"/>
      <c r="DC70" s="288" t="n"/>
      <c r="DD70" s="37" t="n"/>
      <c r="DE70" s="295" t="n"/>
      <c r="DF70" s="295" t="n"/>
      <c r="DG70" s="288" t="n"/>
    </row>
    <row r="71">
      <c r="A71" s="284" t="n">
        <v>43708</v>
      </c>
      <c r="B71" s="285" t="n">
        <v>31521.64</v>
      </c>
      <c r="C71" s="15">
        <f>B71/B59-1</f>
        <v/>
      </c>
      <c r="D71" s="15" t="n"/>
      <c r="E71" s="285" t="n">
        <v>21495.46</v>
      </c>
      <c r="F71" s="15">
        <f>E71/E59-1</f>
        <v/>
      </c>
      <c r="G71" s="15" t="n"/>
      <c r="H71" s="285" t="n">
        <v>9642.709999999999</v>
      </c>
      <c r="I71" s="15">
        <f>H71/H59-1</f>
        <v/>
      </c>
      <c r="J71" s="15" t="n"/>
      <c r="K71" s="285" t="n">
        <v>383.47</v>
      </c>
      <c r="L71" s="15">
        <f>K71/K59-1</f>
        <v/>
      </c>
      <c r="M71" s="15" t="n"/>
      <c r="N71" s="285" t="n">
        <v>27106.54</v>
      </c>
      <c r="O71" s="15">
        <f>N71/N59-1</f>
        <v/>
      </c>
      <c r="P71" s="15" t="n"/>
      <c r="Q71" s="285" t="n">
        <v>18523.9</v>
      </c>
      <c r="R71" s="15">
        <f>Q71/Q59-1</f>
        <v/>
      </c>
      <c r="S71" s="15" t="n"/>
      <c r="T71" s="285" t="n">
        <v>8287.43</v>
      </c>
      <c r="U71" s="15">
        <f>T71/T59-1</f>
        <v/>
      </c>
      <c r="V71" s="15" t="n"/>
      <c r="W71" s="285" t="n">
        <v>295.22</v>
      </c>
      <c r="X71" s="15">
        <f>W71/W59-1</f>
        <v/>
      </c>
      <c r="Y71" s="15" t="n"/>
      <c r="Z71" s="285" t="n">
        <v>14436.1</v>
      </c>
      <c r="AA71" s="15">
        <f>Z71/Z59-1</f>
        <v/>
      </c>
      <c r="AB71" s="15" t="n"/>
      <c r="AC71" s="285" t="n">
        <v>12247.14</v>
      </c>
      <c r="AD71" s="15">
        <f>AC71/AC59-1</f>
        <v/>
      </c>
      <c r="AE71" s="15" t="n"/>
      <c r="AF71" s="285" t="n">
        <v>1969.65</v>
      </c>
      <c r="AG71" s="15">
        <f>AF71/AF59-1</f>
        <v/>
      </c>
      <c r="AH71" s="15" t="n"/>
      <c r="AI71" s="285" t="n">
        <v>219.31</v>
      </c>
      <c r="AJ71" s="15">
        <f>AI71/AI59-1</f>
        <v/>
      </c>
      <c r="AK71" s="15" t="n"/>
      <c r="AL71" s="286" t="n">
        <v>85.98999999999999</v>
      </c>
      <c r="AM71" s="290">
        <f>AL71-AL59</f>
        <v/>
      </c>
      <c r="AN71" s="15" t="n"/>
      <c r="AO71" s="286" t="n">
        <v>86.18000000000001</v>
      </c>
      <c r="AP71" s="290">
        <f>AO71-AO59</f>
        <v/>
      </c>
      <c r="AQ71" s="15" t="n"/>
      <c r="AR71" s="286" t="n">
        <v>85.94</v>
      </c>
      <c r="AS71" s="290">
        <f>AR71-AR59</f>
        <v/>
      </c>
      <c r="AT71" s="15" t="n"/>
      <c r="AU71" s="286" t="n">
        <v>76.98999999999999</v>
      </c>
      <c r="AV71" s="290">
        <f>AU71-AU59</f>
        <v/>
      </c>
      <c r="AW71" s="15" t="n"/>
      <c r="AX71" s="285" t="n">
        <v>852</v>
      </c>
      <c r="AY71" s="15">
        <f>AX71/AX59-1</f>
        <v/>
      </c>
      <c r="AZ71" s="15" t="n"/>
      <c r="BA71" s="287" t="n"/>
      <c r="BB71" s="37" t="n"/>
      <c r="BC71" s="287" t="n"/>
      <c r="BD71" s="37" t="n"/>
      <c r="BE71" s="287" t="n"/>
      <c r="BF71" s="37" t="n"/>
      <c r="BG71" s="287" t="n"/>
      <c r="BH71" s="37" t="n"/>
      <c r="BI71" s="288" t="n"/>
      <c r="BJ71" s="37" t="n"/>
      <c r="BK71" s="288" t="n"/>
      <c r="BL71" s="37" t="n"/>
      <c r="BM71" s="288" t="n"/>
      <c r="BN71" s="37" t="n"/>
      <c r="BO71" s="288" t="n"/>
      <c r="BP71" s="288" t="n"/>
      <c r="BQ71" s="37" t="n"/>
      <c r="BR71" s="288" t="n"/>
      <c r="BS71" s="37" t="n"/>
      <c r="BT71" s="288" t="n"/>
      <c r="BU71" s="37" t="n"/>
      <c r="BV71" s="288" t="n"/>
      <c r="BW71" s="37" t="n"/>
      <c r="BX71" s="288" t="n"/>
      <c r="BY71" s="37" t="n"/>
      <c r="BZ71" s="288" t="n"/>
      <c r="CA71" s="37" t="n"/>
      <c r="CB71" s="288" t="n"/>
      <c r="CC71" s="37" t="n"/>
      <c r="CD71" s="288" t="n"/>
      <c r="CE71" s="37" t="n"/>
      <c r="CF71" s="288" t="n"/>
      <c r="CG71" s="291" t="n"/>
      <c r="CH71" s="288" t="n"/>
      <c r="CI71" s="291" t="n"/>
      <c r="CJ71" s="288" t="n"/>
      <c r="CK71" s="291" t="n"/>
      <c r="CL71" s="288" t="n"/>
      <c r="CM71" s="291" t="n"/>
      <c r="CN71" s="288" t="n"/>
      <c r="CO71" s="80" t="n"/>
      <c r="CP71" s="288" t="n"/>
      <c r="CQ71" s="80" t="n"/>
      <c r="CR71" s="288" t="n"/>
      <c r="CS71" s="80" t="n"/>
      <c r="CT71" s="288" t="n"/>
      <c r="CU71" s="80" t="n"/>
      <c r="CW71" s="288" t="n"/>
      <c r="CX71" s="37" t="n"/>
      <c r="CY71" s="288" t="n"/>
      <c r="CZ71" s="37" t="n"/>
      <c r="DA71" s="288" t="n"/>
      <c r="DB71" s="37" t="n"/>
      <c r="DC71" s="288" t="n"/>
      <c r="DD71" s="37" t="n"/>
      <c r="DE71" s="295" t="n"/>
      <c r="DF71" s="295" t="n"/>
      <c r="DG71" s="288" t="n"/>
    </row>
    <row r="72">
      <c r="A72" s="284" t="n">
        <v>43738</v>
      </c>
      <c r="B72" s="285" t="n">
        <v>28926.18</v>
      </c>
      <c r="C72" s="15">
        <f>B72/B60-1</f>
        <v/>
      </c>
      <c r="D72" s="15" t="n"/>
      <c r="E72" s="285" t="n">
        <v>19869.16</v>
      </c>
      <c r="F72" s="15">
        <f>E72/E60-1</f>
        <v/>
      </c>
      <c r="G72" s="15" t="n"/>
      <c r="H72" s="285" t="n">
        <v>8748.549999999999</v>
      </c>
      <c r="I72" s="15">
        <f>H72/H60-1</f>
        <v/>
      </c>
      <c r="J72" s="15" t="n"/>
      <c r="K72" s="285" t="n">
        <v>308.47</v>
      </c>
      <c r="L72" s="15">
        <f>K72/K60-1</f>
        <v/>
      </c>
      <c r="M72" s="15" t="n"/>
      <c r="N72" s="285" t="n">
        <v>23642.35</v>
      </c>
      <c r="O72" s="15">
        <f>N72/N60-1</f>
        <v/>
      </c>
      <c r="P72" s="15" t="n"/>
      <c r="Q72" s="285" t="n">
        <v>16342.81</v>
      </c>
      <c r="R72" s="15">
        <f>Q72/Q60-1</f>
        <v/>
      </c>
      <c r="S72" s="15" t="n"/>
      <c r="T72" s="285" t="n">
        <v>7086.24</v>
      </c>
      <c r="U72" s="15">
        <f>T72/T60-1</f>
        <v/>
      </c>
      <c r="V72" s="15" t="n"/>
      <c r="W72" s="285" t="n">
        <v>213.3</v>
      </c>
      <c r="X72" s="15">
        <f>W72/W60-1</f>
        <v/>
      </c>
      <c r="Y72" s="15" t="n"/>
      <c r="Z72" s="285" t="n">
        <v>12671.46</v>
      </c>
      <c r="AA72" s="15">
        <f>Z72/Z60-1</f>
        <v/>
      </c>
      <c r="AB72" s="15" t="n"/>
      <c r="AC72" s="285" t="n">
        <v>10825.08</v>
      </c>
      <c r="AD72" s="15">
        <f>AC72/AC60-1</f>
        <v/>
      </c>
      <c r="AE72" s="15" t="n"/>
      <c r="AF72" s="285" t="n">
        <v>1686.22</v>
      </c>
      <c r="AG72" s="15">
        <f>AF72/AF60-1</f>
        <v/>
      </c>
      <c r="AH72" s="15" t="n"/>
      <c r="AI72" s="285" t="n">
        <v>160.16</v>
      </c>
      <c r="AJ72" s="15">
        <f>AI72/AI60-1</f>
        <v/>
      </c>
      <c r="AK72" s="15" t="n"/>
      <c r="AL72" s="286" t="n">
        <v>81.73</v>
      </c>
      <c r="AM72" s="290">
        <f>AL72-AL60</f>
        <v/>
      </c>
      <c r="AN72" s="15" t="n"/>
      <c r="AO72" s="286" t="n">
        <v>82.25</v>
      </c>
      <c r="AP72" s="290">
        <f>AO72-AO60</f>
        <v/>
      </c>
      <c r="AQ72" s="15" t="n"/>
      <c r="AR72" s="286" t="n">
        <v>81</v>
      </c>
      <c r="AS72" s="290">
        <f>AR72-AR60</f>
        <v/>
      </c>
      <c r="AT72" s="15" t="n"/>
      <c r="AU72" s="286" t="n">
        <v>69.15000000000001</v>
      </c>
      <c r="AV72" s="290">
        <f>AU72-AU60</f>
        <v/>
      </c>
      <c r="AW72" s="15" t="n"/>
      <c r="AX72" s="285" t="n">
        <v>852</v>
      </c>
      <c r="AY72" s="15">
        <f>AX72/AX60-1</f>
        <v/>
      </c>
      <c r="AZ72" s="15" t="n"/>
      <c r="BA72" s="287" t="n"/>
      <c r="BB72" s="37" t="n"/>
      <c r="BC72" s="287" t="n"/>
      <c r="BD72" s="37" t="n"/>
      <c r="BE72" s="287" t="n"/>
      <c r="BF72" s="37" t="n"/>
      <c r="BG72" s="287" t="n"/>
      <c r="BH72" s="37" t="n"/>
      <c r="BI72" s="288" t="n"/>
      <c r="BJ72" s="37" t="n"/>
      <c r="BK72" s="288" t="n"/>
      <c r="BL72" s="37" t="n"/>
      <c r="BM72" s="288" t="n"/>
      <c r="BN72" s="37" t="n"/>
      <c r="BO72" s="288" t="n"/>
      <c r="BP72" s="288" t="n"/>
      <c r="BQ72" s="37" t="n"/>
      <c r="BR72" s="288" t="n"/>
      <c r="BS72" s="37" t="n"/>
      <c r="BT72" s="288" t="n"/>
      <c r="BU72" s="37" t="n"/>
      <c r="BV72" s="288" t="n"/>
      <c r="BW72" s="37" t="n"/>
      <c r="BX72" s="288" t="n"/>
      <c r="BY72" s="37" t="n"/>
      <c r="BZ72" s="288" t="n"/>
      <c r="CA72" s="37" t="n"/>
      <c r="CB72" s="288" t="n"/>
      <c r="CC72" s="37" t="n"/>
      <c r="CD72" s="288" t="n"/>
      <c r="CE72" s="37" t="n"/>
      <c r="CF72" s="288" t="n"/>
      <c r="CG72" s="291" t="n"/>
      <c r="CH72" s="288" t="n"/>
      <c r="CI72" s="291" t="n"/>
      <c r="CJ72" s="288" t="n"/>
      <c r="CK72" s="291" t="n"/>
      <c r="CL72" s="288" t="n"/>
      <c r="CM72" s="291" t="n"/>
      <c r="CN72" s="288" t="n"/>
      <c r="CO72" s="80" t="n"/>
      <c r="CP72" s="288" t="n"/>
      <c r="CQ72" s="80" t="n"/>
      <c r="CR72" s="288" t="n"/>
      <c r="CS72" s="80" t="n"/>
      <c r="CT72" s="288" t="n"/>
      <c r="CU72" s="80" t="n"/>
      <c r="CW72" s="288" t="n"/>
      <c r="CX72" s="37" t="n"/>
      <c r="CY72" s="288" t="n"/>
      <c r="CZ72" s="37" t="n"/>
      <c r="DA72" s="288" t="n"/>
      <c r="DB72" s="37" t="n"/>
      <c r="DC72" s="288" t="n"/>
      <c r="DD72" s="37" t="n"/>
      <c r="DE72" s="295" t="n"/>
      <c r="DF72" s="295" t="n"/>
      <c r="DG72" s="288" t="n"/>
    </row>
    <row r="73">
      <c r="A73" s="284" t="n">
        <v>43769</v>
      </c>
      <c r="B73" s="285" t="n">
        <v>29362.64</v>
      </c>
      <c r="C73" s="15">
        <f>B73/B61-1</f>
        <v/>
      </c>
      <c r="D73" s="15" t="n"/>
      <c r="E73" s="285" t="n">
        <v>20489.33</v>
      </c>
      <c r="F73" s="15">
        <f>E73/E61-1</f>
        <v/>
      </c>
      <c r="G73" s="15" t="n"/>
      <c r="H73" s="285" t="n">
        <v>8559.65</v>
      </c>
      <c r="I73" s="15">
        <f>H73/H61-1</f>
        <v/>
      </c>
      <c r="J73" s="15" t="n"/>
      <c r="K73" s="285" t="n">
        <v>313.66</v>
      </c>
      <c r="L73" s="15">
        <f>K73/K61-1</f>
        <v/>
      </c>
      <c r="M73" s="15" t="n"/>
      <c r="N73" s="285" t="n">
        <v>24413.85</v>
      </c>
      <c r="O73" s="15">
        <f>N73/N61-1</f>
        <v/>
      </c>
      <c r="P73" s="15" t="n"/>
      <c r="Q73" s="285" t="n">
        <v>17236.16</v>
      </c>
      <c r="R73" s="15">
        <f>Q73/Q61-1</f>
        <v/>
      </c>
      <c r="S73" s="15" t="n"/>
      <c r="T73" s="285" t="n">
        <v>6970.46</v>
      </c>
      <c r="U73" s="15">
        <f>T73/T61-1</f>
        <v/>
      </c>
      <c r="V73" s="15" t="n"/>
      <c r="W73" s="285" t="n">
        <v>207.23</v>
      </c>
      <c r="X73" s="15">
        <f>W73/W61-1</f>
        <v/>
      </c>
      <c r="Y73" s="15" t="n"/>
      <c r="Z73" s="285" t="n">
        <v>13265.69</v>
      </c>
      <c r="AA73" s="15">
        <f>Z73/Z61-1</f>
        <v/>
      </c>
      <c r="AB73" s="15" t="n"/>
      <c r="AC73" s="285" t="n">
        <v>11414.56</v>
      </c>
      <c r="AD73" s="15">
        <f>AC73/AC61-1</f>
        <v/>
      </c>
      <c r="AE73" s="15" t="n"/>
      <c r="AF73" s="285" t="n">
        <v>1688.76</v>
      </c>
      <c r="AG73" s="15">
        <f>AF73/AF61-1</f>
        <v/>
      </c>
      <c r="AH73" s="15" t="n"/>
      <c r="AI73" s="285" t="n">
        <v>162.37</v>
      </c>
      <c r="AJ73" s="15">
        <f>AI73/AI61-1</f>
        <v/>
      </c>
      <c r="AK73" s="15" t="n"/>
      <c r="AL73" s="286" t="n">
        <v>83.15000000000001</v>
      </c>
      <c r="AM73" s="290">
        <f>AL73-AL61</f>
        <v/>
      </c>
      <c r="AN73" s="15" t="n"/>
      <c r="AO73" s="286" t="n">
        <v>84.12</v>
      </c>
      <c r="AP73" s="290">
        <f>AO73-AO61</f>
        <v/>
      </c>
      <c r="AQ73" s="15" t="n"/>
      <c r="AR73" s="286" t="n">
        <v>81.43000000000001</v>
      </c>
      <c r="AS73" s="290">
        <f>AR73-AR61</f>
        <v/>
      </c>
      <c r="AT73" s="15" t="n"/>
      <c r="AU73" s="286" t="n">
        <v>66.06999999999999</v>
      </c>
      <c r="AV73" s="290">
        <f>AU73-AU61</f>
        <v/>
      </c>
      <c r="AW73" s="15" t="n"/>
      <c r="AX73" s="285" t="n">
        <v>857</v>
      </c>
      <c r="AY73" s="15">
        <f>AX73/AX61-1</f>
        <v/>
      </c>
      <c r="AZ73" s="15" t="n"/>
      <c r="BA73" s="287" t="n"/>
      <c r="BB73" s="37" t="n"/>
      <c r="BC73" s="287" t="n"/>
      <c r="BD73" s="37" t="n"/>
      <c r="BE73" s="287" t="n"/>
      <c r="BF73" s="37" t="n"/>
      <c r="BG73" s="287" t="n"/>
      <c r="BH73" s="37" t="n"/>
      <c r="BI73" s="288" t="n"/>
      <c r="BJ73" s="37" t="n"/>
      <c r="BK73" s="288" t="n"/>
      <c r="BL73" s="37" t="n"/>
      <c r="BM73" s="288" t="n"/>
      <c r="BN73" s="37" t="n"/>
      <c r="BO73" s="288" t="n"/>
      <c r="BP73" s="288" t="n"/>
      <c r="BQ73" s="37" t="n"/>
      <c r="BR73" s="288" t="n"/>
      <c r="BS73" s="37" t="n"/>
      <c r="BT73" s="288" t="n"/>
      <c r="BU73" s="37" t="n"/>
      <c r="BV73" s="288" t="n"/>
      <c r="BW73" s="37" t="n"/>
      <c r="BX73" s="288" t="n"/>
      <c r="BY73" s="37" t="n"/>
      <c r="BZ73" s="288" t="n"/>
      <c r="CA73" s="37" t="n"/>
      <c r="CB73" s="288" t="n"/>
      <c r="CC73" s="37" t="n"/>
      <c r="CD73" s="288" t="n"/>
      <c r="CE73" s="37" t="n"/>
      <c r="CF73" s="288" t="n"/>
      <c r="CG73" s="291" t="n"/>
      <c r="CH73" s="288" t="n"/>
      <c r="CI73" s="291" t="n"/>
      <c r="CJ73" s="288" t="n"/>
      <c r="CK73" s="291" t="n"/>
      <c r="CL73" s="288" t="n"/>
      <c r="CM73" s="291" t="n"/>
      <c r="CN73" s="288" t="n"/>
      <c r="CO73" s="80" t="n"/>
      <c r="CP73" s="288" t="n"/>
      <c r="CQ73" s="80" t="n"/>
      <c r="CR73" s="288" t="n"/>
      <c r="CS73" s="80" t="n"/>
      <c r="CT73" s="288" t="n"/>
      <c r="CU73" s="80" t="n"/>
      <c r="CW73" s="288" t="n"/>
      <c r="CX73" s="37" t="n"/>
      <c r="CY73" s="288" t="n"/>
      <c r="CZ73" s="37" t="n"/>
      <c r="DA73" s="288" t="n"/>
      <c r="DB73" s="37" t="n"/>
      <c r="DC73" s="288" t="n"/>
      <c r="DD73" s="37" t="n"/>
      <c r="DE73" s="295" t="n"/>
      <c r="DF73" s="295" t="n"/>
      <c r="DG73" s="288" t="n"/>
    </row>
    <row r="74">
      <c r="A74" s="284" t="n">
        <v>43799</v>
      </c>
      <c r="B74" s="285" t="n">
        <v>27987.59</v>
      </c>
      <c r="C74" s="15">
        <f>B74/B62-1</f>
        <v/>
      </c>
      <c r="D74" s="15" t="n"/>
      <c r="E74" s="285" t="n">
        <v>19532.37</v>
      </c>
      <c r="F74" s="15">
        <f>E74/E62-1</f>
        <v/>
      </c>
      <c r="G74" s="15" t="n"/>
      <c r="H74" s="285" t="n">
        <v>8169.8</v>
      </c>
      <c r="I74" s="15">
        <f>H74/H62-1</f>
        <v/>
      </c>
      <c r="J74" s="15" t="n"/>
      <c r="K74" s="285" t="n">
        <v>285.42</v>
      </c>
      <c r="L74" s="15">
        <f>K74/K62-1</f>
        <v/>
      </c>
      <c r="M74" s="15" t="n"/>
      <c r="N74" s="285" t="n">
        <v>22967.62</v>
      </c>
      <c r="O74" s="15">
        <f>N74/N62-1</f>
        <v/>
      </c>
      <c r="P74" s="15" t="n"/>
      <c r="Q74" s="285" t="n">
        <v>16207.94</v>
      </c>
      <c r="R74" s="15">
        <f>Q74/Q62-1</f>
        <v/>
      </c>
      <c r="S74" s="15" t="n"/>
      <c r="T74" s="285" t="n">
        <v>6554.99</v>
      </c>
      <c r="U74" s="15">
        <f>T74/T62-1</f>
        <v/>
      </c>
      <c r="V74" s="15" t="n"/>
      <c r="W74" s="285" t="n">
        <v>204.69</v>
      </c>
      <c r="X74" s="15">
        <f>W74/W62-1</f>
        <v/>
      </c>
      <c r="Y74" s="15" t="n"/>
      <c r="Z74" s="285" t="n">
        <v>12461.63</v>
      </c>
      <c r="AA74" s="15">
        <f>Z74/Z62-1</f>
        <v/>
      </c>
      <c r="AB74" s="15" t="n"/>
      <c r="AC74" s="285" t="n">
        <v>10661.91</v>
      </c>
      <c r="AD74" s="15">
        <f>AC74/AC62-1</f>
        <v/>
      </c>
      <c r="AE74" s="15" t="n"/>
      <c r="AF74" s="285" t="n">
        <v>1634.87</v>
      </c>
      <c r="AG74" s="15">
        <f>AF74/AF62-1</f>
        <v/>
      </c>
      <c r="AH74" s="15" t="n"/>
      <c r="AI74" s="285" t="n">
        <v>164.86</v>
      </c>
      <c r="AJ74" s="15">
        <f>AI74/AI62-1</f>
        <v/>
      </c>
      <c r="AK74" s="15" t="n"/>
      <c r="AL74" s="286" t="n">
        <v>82.06</v>
      </c>
      <c r="AM74" s="290">
        <f>AL74-AL62</f>
        <v/>
      </c>
      <c r="AN74" s="15" t="n"/>
      <c r="AO74" s="286" t="n">
        <v>82.98</v>
      </c>
      <c r="AP74" s="290">
        <f>AO74-AO62</f>
        <v/>
      </c>
      <c r="AQ74" s="15" t="n"/>
      <c r="AR74" s="286" t="n">
        <v>80.23</v>
      </c>
      <c r="AS74" s="290">
        <f>AR74-AR62</f>
        <v/>
      </c>
      <c r="AT74" s="15" t="n"/>
      <c r="AU74" s="286" t="n">
        <v>71.70999999999999</v>
      </c>
      <c r="AV74" s="290">
        <f>AU74-AU62</f>
        <v/>
      </c>
      <c r="AW74" s="15" t="n"/>
      <c r="AX74" s="285" t="n">
        <v>859</v>
      </c>
      <c r="AY74" s="15">
        <f>AX74/AX62-1</f>
        <v/>
      </c>
      <c r="AZ74" s="15" t="n"/>
      <c r="BA74" s="287" t="n"/>
      <c r="BB74" s="37" t="n"/>
      <c r="BC74" s="287" t="n"/>
      <c r="BD74" s="37" t="n"/>
      <c r="BE74" s="287" t="n"/>
      <c r="BF74" s="37" t="n"/>
      <c r="BG74" s="287" t="n"/>
      <c r="BH74" s="37" t="n"/>
      <c r="BI74" s="288" t="n"/>
      <c r="BJ74" s="37" t="n"/>
      <c r="BK74" s="288" t="n"/>
      <c r="BL74" s="37" t="n"/>
      <c r="BM74" s="288" t="n"/>
      <c r="BN74" s="37" t="n"/>
      <c r="BO74" s="288" t="n"/>
      <c r="BP74" s="288" t="n"/>
      <c r="BQ74" s="37" t="n"/>
      <c r="BR74" s="288" t="n"/>
      <c r="BS74" s="37" t="n"/>
      <c r="BT74" s="288" t="n"/>
      <c r="BU74" s="37" t="n"/>
      <c r="BV74" s="288" t="n"/>
      <c r="BW74" s="37" t="n"/>
      <c r="BX74" s="288" t="n"/>
      <c r="BY74" s="37" t="n"/>
      <c r="BZ74" s="288" t="n"/>
      <c r="CA74" s="37" t="n"/>
      <c r="CB74" s="288" t="n"/>
      <c r="CC74" s="37" t="n"/>
      <c r="CD74" s="288" t="n"/>
      <c r="CE74" s="37" t="n"/>
      <c r="CF74" s="288" t="n"/>
      <c r="CG74" s="291" t="n"/>
      <c r="CH74" s="288" t="n"/>
      <c r="CI74" s="291" t="n"/>
      <c r="CJ74" s="288" t="n"/>
      <c r="CK74" s="291" t="n"/>
      <c r="CL74" s="288" t="n"/>
      <c r="CM74" s="291" t="n"/>
      <c r="CN74" s="288" t="n"/>
      <c r="CO74" s="80" t="n"/>
      <c r="CP74" s="288" t="n"/>
      <c r="CQ74" s="80" t="n"/>
      <c r="CR74" s="288" t="n"/>
      <c r="CS74" s="80" t="n"/>
      <c r="CT74" s="288" t="n"/>
      <c r="CU74" s="80" t="n"/>
      <c r="CW74" s="288" t="n"/>
      <c r="CX74" s="37" t="n"/>
      <c r="CY74" s="288" t="n"/>
      <c r="CZ74" s="37" t="n"/>
      <c r="DA74" s="288" t="n"/>
      <c r="DB74" s="37" t="n"/>
      <c r="DC74" s="288" t="n"/>
      <c r="DD74" s="37" t="n"/>
      <c r="DE74" s="295" t="n"/>
      <c r="DF74" s="295" t="n"/>
      <c r="DG74" s="288" t="n"/>
    </row>
    <row r="75">
      <c r="A75" s="284" t="n">
        <v>43830</v>
      </c>
      <c r="B75" s="285" t="n">
        <v>29027.78</v>
      </c>
      <c r="C75" s="15">
        <f>B75/B63-1</f>
        <v/>
      </c>
      <c r="D75" s="15" t="n"/>
      <c r="E75" s="285" t="n">
        <v>19351.73</v>
      </c>
      <c r="F75" s="15">
        <f>E75/E63-1</f>
        <v/>
      </c>
      <c r="G75" s="15" t="n"/>
      <c r="H75" s="285" t="n">
        <v>9391.65</v>
      </c>
      <c r="I75" s="15">
        <f>H75/H63-1</f>
        <v/>
      </c>
      <c r="J75" s="15" t="n"/>
      <c r="K75" s="285" t="n">
        <v>284.41</v>
      </c>
      <c r="L75" s="15">
        <f>K75/K63-1</f>
        <v/>
      </c>
      <c r="M75" s="15" t="n"/>
      <c r="N75" s="285" t="n">
        <v>23631.42</v>
      </c>
      <c r="O75" s="15">
        <f>N75/N63-1</f>
        <v/>
      </c>
      <c r="P75" s="15" t="n"/>
      <c r="Q75" s="285" t="n">
        <v>15786.62</v>
      </c>
      <c r="R75" s="15">
        <f>Q75/Q63-1</f>
        <v/>
      </c>
      <c r="S75" s="15" t="n"/>
      <c r="T75" s="285" t="n">
        <v>7654.44</v>
      </c>
      <c r="U75" s="15">
        <f>T75/T63-1</f>
        <v/>
      </c>
      <c r="V75" s="15" t="n"/>
      <c r="W75" s="285" t="n">
        <v>190.36</v>
      </c>
      <c r="X75" s="15">
        <f>W75/W63-1</f>
        <v/>
      </c>
      <c r="Y75" s="15" t="n"/>
      <c r="Z75" s="285" t="n">
        <v>12285.11</v>
      </c>
      <c r="AA75" s="15">
        <f>Z75/Z63-1</f>
        <v/>
      </c>
      <c r="AB75" s="15" t="n"/>
      <c r="AC75" s="285" t="n">
        <v>10345.38</v>
      </c>
      <c r="AD75" s="15">
        <f>AC75/AC63-1</f>
        <v/>
      </c>
      <c r="AE75" s="15" t="n"/>
      <c r="AF75" s="285" t="n">
        <v>1781.01</v>
      </c>
      <c r="AG75" s="15">
        <f>AF75/AF63-1</f>
        <v/>
      </c>
      <c r="AH75" s="15" t="n"/>
      <c r="AI75" s="285" t="n">
        <v>158.72</v>
      </c>
      <c r="AJ75" s="15">
        <f>AI75/AI63-1</f>
        <v/>
      </c>
      <c r="AK75" s="15" t="n"/>
      <c r="AL75" s="286" t="n">
        <v>81.41</v>
      </c>
      <c r="AM75" s="290">
        <f>AL75-AL63</f>
        <v/>
      </c>
      <c r="AN75" s="15" t="n"/>
      <c r="AO75" s="286" t="n">
        <v>81.58</v>
      </c>
      <c r="AP75" s="290">
        <f>AO75-AO63</f>
        <v/>
      </c>
      <c r="AQ75" s="15" t="n"/>
      <c r="AR75" s="286" t="n">
        <v>81.5</v>
      </c>
      <c r="AS75" s="290">
        <f>AR75-AR63</f>
        <v/>
      </c>
      <c r="AT75" s="15" t="n"/>
      <c r="AU75" s="286" t="n">
        <v>66.93000000000001</v>
      </c>
      <c r="AV75" s="290">
        <f>AU75-AU63</f>
        <v/>
      </c>
      <c r="AW75" s="15" t="n"/>
      <c r="AX75" s="285" t="n">
        <v>862</v>
      </c>
      <c r="AY75" s="15">
        <f>AX75/AX63-1</f>
        <v/>
      </c>
      <c r="AZ75" s="15" t="n"/>
      <c r="BA75" s="287" t="n"/>
      <c r="BB75" s="37" t="n"/>
      <c r="BC75" s="287" t="n"/>
      <c r="BD75" s="37" t="n"/>
      <c r="BE75" s="287" t="n"/>
      <c r="BF75" s="37" t="n"/>
      <c r="BG75" s="287" t="n"/>
      <c r="BH75" s="37" t="n"/>
      <c r="BI75" s="288" t="n"/>
      <c r="BJ75" s="37" t="n"/>
      <c r="BK75" s="288" t="n"/>
      <c r="BL75" s="37" t="n"/>
      <c r="BM75" s="288" t="n"/>
      <c r="BN75" s="37" t="n"/>
      <c r="BO75" s="288" t="n"/>
      <c r="BP75" s="288" t="n"/>
      <c r="BQ75" s="37" t="n"/>
      <c r="BR75" s="288" t="n"/>
      <c r="BS75" s="37" t="n"/>
      <c r="BT75" s="288" t="n"/>
      <c r="BU75" s="37" t="n"/>
      <c r="BV75" s="288" t="n"/>
      <c r="BW75" s="37" t="n"/>
      <c r="BX75" s="288" t="n"/>
      <c r="BY75" s="37" t="n"/>
      <c r="BZ75" s="288" t="n"/>
      <c r="CA75" s="37" t="n"/>
      <c r="CB75" s="288" t="n"/>
      <c r="CC75" s="37" t="n"/>
      <c r="CD75" s="288" t="n"/>
      <c r="CE75" s="37" t="n"/>
      <c r="CF75" s="288" t="n"/>
      <c r="CG75" s="291" t="n"/>
      <c r="CH75" s="288" t="n"/>
      <c r="CI75" s="291" t="n"/>
      <c r="CJ75" s="288" t="n"/>
      <c r="CK75" s="291" t="n"/>
      <c r="CL75" s="288" t="n"/>
      <c r="CM75" s="291" t="n"/>
      <c r="CN75" s="288" t="n"/>
      <c r="CO75" s="80" t="n"/>
      <c r="CP75" s="288" t="n"/>
      <c r="CQ75" s="80" t="n"/>
      <c r="CR75" s="288" t="n"/>
      <c r="CS75" s="80" t="n"/>
      <c r="CT75" s="288" t="n"/>
      <c r="CU75" s="80" t="n"/>
      <c r="CW75" s="288" t="n"/>
      <c r="CX75" s="37" t="n"/>
      <c r="CY75" s="288" t="n"/>
      <c r="CZ75" s="37" t="n"/>
      <c r="DA75" s="288" t="n"/>
      <c r="DB75" s="37" t="n"/>
      <c r="DC75" s="288" t="n"/>
      <c r="DD75" s="37" t="n"/>
      <c r="DE75" s="295" t="n"/>
      <c r="DF75" s="295" t="n"/>
      <c r="DG75" s="288" t="n"/>
    </row>
    <row r="76" ht="13" customFormat="1" customHeight="1" s="245">
      <c r="A76" s="280" t="n">
        <v>43861</v>
      </c>
      <c r="B76" s="292" t="n">
        <v>29536.95</v>
      </c>
      <c r="C76" s="15">
        <f>B76/B64-1</f>
        <v/>
      </c>
      <c r="D76" s="15" t="n"/>
      <c r="E76" s="292" t="n">
        <v>19359.5</v>
      </c>
      <c r="F76" s="15">
        <f>E76/E64-1</f>
        <v/>
      </c>
      <c r="G76" s="15" t="n"/>
      <c r="H76" s="292" t="n">
        <v>9918.48</v>
      </c>
      <c r="I76" s="15">
        <f>H76/H64-1</f>
        <v/>
      </c>
      <c r="J76" s="15" t="n"/>
      <c r="K76" s="292" t="n">
        <v>258.97</v>
      </c>
      <c r="L76" s="15">
        <f>K76/K64-1</f>
        <v/>
      </c>
      <c r="M76" s="15" t="n"/>
      <c r="N76" s="292" t="n">
        <v>22654.8</v>
      </c>
      <c r="O76" s="15">
        <f>N76/N64-1</f>
        <v/>
      </c>
      <c r="P76" s="15" t="n"/>
      <c r="Q76" s="292" t="n">
        <v>14771.23</v>
      </c>
      <c r="R76" s="15">
        <f>Q76/Q64-1</f>
        <v/>
      </c>
      <c r="S76" s="15" t="n"/>
      <c r="T76" s="292" t="n">
        <v>7725.36</v>
      </c>
      <c r="U76" s="15">
        <f>T76/T64-1</f>
        <v/>
      </c>
      <c r="V76" s="15" t="n"/>
      <c r="W76" s="292" t="n">
        <v>158.2</v>
      </c>
      <c r="X76" s="15">
        <f>W76/W64-1</f>
        <v/>
      </c>
      <c r="Y76" s="15" t="n"/>
      <c r="Z76" s="292" t="n">
        <v>11432.55</v>
      </c>
      <c r="AA76" s="15">
        <f>Z76/Z64-1</f>
        <v/>
      </c>
      <c r="AB76" s="15" t="n"/>
      <c r="AC76" s="292" t="n">
        <v>9480.639999999999</v>
      </c>
      <c r="AD76" s="15">
        <f>AC76/AC64-1</f>
        <v/>
      </c>
      <c r="AE76" s="15" t="n"/>
      <c r="AF76" s="292" t="n">
        <v>1814.84</v>
      </c>
      <c r="AG76" s="15">
        <f>AF76/AF64-1</f>
        <v/>
      </c>
      <c r="AH76" s="15" t="n"/>
      <c r="AI76" s="292" t="n">
        <v>137.06</v>
      </c>
      <c r="AJ76" s="15">
        <f>AI76/AI64-1</f>
        <v/>
      </c>
      <c r="AK76" s="15" t="n"/>
      <c r="AL76" s="293" t="n">
        <v>76.7</v>
      </c>
      <c r="AM76" s="290">
        <f>AL76-AL64</f>
        <v/>
      </c>
      <c r="AN76" s="15" t="n"/>
      <c r="AO76" s="293" t="n">
        <v>76.3</v>
      </c>
      <c r="AP76" s="290">
        <f>AO76-AO64</f>
        <v/>
      </c>
      <c r="AQ76" s="15" t="n"/>
      <c r="AR76" s="293" t="n">
        <v>77.89</v>
      </c>
      <c r="AS76" s="290">
        <f>AR76-AR64</f>
        <v/>
      </c>
      <c r="AT76" s="15" t="n"/>
      <c r="AU76" s="293" t="n">
        <v>61.09</v>
      </c>
      <c r="AV76" s="290">
        <f>AU76-AU64</f>
        <v/>
      </c>
      <c r="AW76" s="15" t="n"/>
      <c r="AX76" s="292" t="n">
        <v>861</v>
      </c>
      <c r="AY76" s="15">
        <f>AX76/AX64-1</f>
        <v/>
      </c>
      <c r="AZ76" s="15" t="n"/>
      <c r="BA76" s="292" t="n"/>
      <c r="BB76" s="37" t="n"/>
      <c r="BC76" s="292" t="n"/>
      <c r="BD76" s="254" t="n"/>
      <c r="BE76" s="292" t="n"/>
      <c r="BF76" s="254" t="n"/>
      <c r="BG76" s="292" t="n"/>
      <c r="BH76" s="254" t="n"/>
      <c r="BI76" s="292" t="n"/>
      <c r="BJ76" s="254" t="n"/>
      <c r="BK76" s="292" t="n"/>
      <c r="BL76" s="254" t="n"/>
      <c r="BM76" s="292" t="n"/>
      <c r="BN76" s="254" t="n"/>
      <c r="BO76" s="292" t="n"/>
      <c r="BP76" s="292" t="n"/>
      <c r="BQ76" s="254" t="n"/>
      <c r="BR76" s="292" t="n"/>
      <c r="BS76" s="254" t="n"/>
      <c r="BT76" s="292" t="n"/>
      <c r="BU76" s="254" t="n"/>
      <c r="BV76" s="292" t="n"/>
      <c r="BW76" s="254" t="n"/>
      <c r="BX76" s="292" t="n"/>
      <c r="BY76" s="254" t="n"/>
      <c r="BZ76" s="292" t="n"/>
      <c r="CA76" s="254" t="n"/>
      <c r="CB76" s="292" t="n"/>
      <c r="CC76" s="254" t="n"/>
      <c r="CD76" s="292" t="n"/>
      <c r="CE76" s="254" t="n"/>
      <c r="CF76" s="292" t="n"/>
      <c r="CG76" s="292" t="n"/>
      <c r="CH76" s="292" t="n"/>
      <c r="CI76" s="292" t="n"/>
      <c r="CJ76" s="292" t="n"/>
      <c r="CK76" s="292" t="n"/>
      <c r="CL76" s="292" t="n"/>
      <c r="CM76" s="292" t="n"/>
      <c r="CN76" s="292" t="n"/>
      <c r="CO76" s="218" t="n"/>
      <c r="CP76" s="292" t="n"/>
      <c r="CQ76" s="218" t="n"/>
      <c r="CR76" s="292" t="n"/>
      <c r="CS76" s="218" t="n"/>
      <c r="CT76" s="292" t="n"/>
      <c r="CU76" s="218" t="n"/>
      <c r="CW76" s="292" t="n"/>
      <c r="CX76" s="254" t="n"/>
      <c r="CY76" s="292" t="n"/>
      <c r="CZ76" s="254" t="n"/>
      <c r="DA76" s="292" t="n"/>
      <c r="DB76" s="254" t="n"/>
      <c r="DC76" s="292" t="n"/>
      <c r="DD76" s="254" t="n"/>
      <c r="DE76" s="294" t="n"/>
      <c r="DF76" s="294" t="n"/>
    </row>
    <row r="77">
      <c r="A77" s="284" t="n">
        <v>43890</v>
      </c>
      <c r="B77" s="285" t="n">
        <v>7336.2</v>
      </c>
      <c r="C77" s="15">
        <f>B77/B65-1</f>
        <v/>
      </c>
      <c r="D77" s="15" t="n"/>
      <c r="E77" s="285" t="n">
        <v>4824.08</v>
      </c>
      <c r="F77" s="15">
        <f>E77/E65-1</f>
        <v/>
      </c>
      <c r="G77" s="15" t="n"/>
      <c r="H77" s="285" t="n">
        <v>2477.96</v>
      </c>
      <c r="I77" s="15">
        <f>H77/H65-1</f>
        <v/>
      </c>
      <c r="J77" s="15" t="n"/>
      <c r="K77" s="285" t="n">
        <v>34.15</v>
      </c>
      <c r="L77" s="15">
        <f>K77/K65-1</f>
        <v/>
      </c>
      <c r="M77" s="15" t="n"/>
      <c r="N77" s="285" t="n">
        <v>3455.84</v>
      </c>
      <c r="O77" s="15">
        <f>N77/N65-1</f>
        <v/>
      </c>
      <c r="P77" s="15" t="n"/>
      <c r="Q77" s="285" t="n">
        <v>2257.2</v>
      </c>
      <c r="R77" s="15">
        <f>Q77/Q65-1</f>
        <v/>
      </c>
      <c r="S77" s="15" t="n"/>
      <c r="T77" s="285" t="n">
        <v>1186.68</v>
      </c>
      <c r="U77" s="15">
        <f>T77/T65-1</f>
        <v/>
      </c>
      <c r="V77" s="15" t="n"/>
      <c r="W77" s="285" t="n">
        <v>11.96</v>
      </c>
      <c r="X77" s="15">
        <f>W77/W65-1</f>
        <v/>
      </c>
      <c r="Y77" s="15" t="n"/>
      <c r="Z77" s="285" t="n">
        <v>1658.95</v>
      </c>
      <c r="AA77" s="15">
        <f>Z77/Z65-1</f>
        <v/>
      </c>
      <c r="AB77" s="15" t="n"/>
      <c r="AC77" s="285" t="n">
        <v>1415.19</v>
      </c>
      <c r="AD77" s="15">
        <f>AC77/AC65-1</f>
        <v/>
      </c>
      <c r="AE77" s="15" t="n"/>
      <c r="AF77" s="285" t="n">
        <v>232.72</v>
      </c>
      <c r="AG77" s="15">
        <f>AF77/AF65-1</f>
        <v/>
      </c>
      <c r="AH77" s="15" t="n"/>
      <c r="AI77" s="285" t="n">
        <v>11.05</v>
      </c>
      <c r="AJ77" s="15">
        <f>AI77/AI65-1</f>
        <v/>
      </c>
      <c r="AK77" s="15" t="n"/>
      <c r="AL77" s="286" t="n">
        <v>47.11</v>
      </c>
      <c r="AM77" s="290">
        <f>AL77-AL65</f>
        <v/>
      </c>
      <c r="AN77" s="15" t="n"/>
      <c r="AO77" s="286" t="n">
        <v>46.79</v>
      </c>
      <c r="AP77" s="290">
        <f>AO77-AO65</f>
        <v/>
      </c>
      <c r="AQ77" s="15" t="n"/>
      <c r="AR77" s="286" t="n">
        <v>47.89</v>
      </c>
      <c r="AS77" s="290">
        <f>AR77-AR65</f>
        <v/>
      </c>
      <c r="AT77" s="15" t="n"/>
      <c r="AU77" s="286" t="n">
        <v>35.02</v>
      </c>
      <c r="AV77" s="290">
        <f>AU77-AU65</f>
        <v/>
      </c>
      <c r="AW77" s="15" t="n"/>
      <c r="AX77" s="285" t="n">
        <v>861</v>
      </c>
      <c r="AY77" s="15">
        <f>AX77/AX65-1</f>
        <v/>
      </c>
      <c r="AZ77" s="15" t="n"/>
      <c r="BA77" s="287" t="n"/>
      <c r="BB77" s="37" t="n"/>
      <c r="BC77" s="287" t="n"/>
      <c r="BD77" s="37" t="n"/>
      <c r="BE77" s="287" t="n"/>
      <c r="BF77" s="37" t="n"/>
      <c r="BG77" s="287" t="n"/>
      <c r="BH77" s="37" t="n"/>
      <c r="BI77" s="288" t="n"/>
      <c r="BJ77" s="37" t="n"/>
      <c r="BK77" s="288" t="n"/>
      <c r="BL77" s="37" t="n"/>
      <c r="BM77" s="288" t="n"/>
      <c r="BN77" s="37" t="n"/>
      <c r="BO77" s="288" t="n"/>
      <c r="BP77" s="288" t="n"/>
      <c r="BQ77" s="37" t="n"/>
      <c r="BR77" s="288" t="n"/>
      <c r="BS77" s="37" t="n"/>
      <c r="BT77" s="288" t="n"/>
      <c r="BU77" s="37" t="n"/>
      <c r="BV77" s="288" t="n"/>
      <c r="BW77" s="37" t="n"/>
      <c r="BX77" s="288" t="n"/>
      <c r="BY77" s="37" t="n"/>
      <c r="BZ77" s="288" t="n"/>
      <c r="CA77" s="37" t="n"/>
      <c r="CB77" s="288" t="n"/>
      <c r="CC77" s="37" t="n"/>
      <c r="CD77" s="288" t="n"/>
      <c r="CE77" s="37" t="n"/>
      <c r="CF77" s="288" t="n"/>
      <c r="CG77" s="291" t="n"/>
      <c r="CH77" s="288" t="n"/>
      <c r="CI77" s="291" t="n"/>
      <c r="CJ77" s="288" t="n"/>
      <c r="CK77" s="291" t="n"/>
      <c r="CL77" s="288" t="n"/>
      <c r="CM77" s="291" t="n"/>
      <c r="CN77" s="288" t="n"/>
      <c r="CO77" s="80" t="n"/>
      <c r="CP77" s="288" t="n"/>
      <c r="CQ77" s="80" t="n"/>
      <c r="CR77" s="288" t="n"/>
      <c r="CS77" s="80" t="n"/>
      <c r="CT77" s="288" t="n"/>
      <c r="CU77" s="80" t="n"/>
      <c r="CW77" s="288" t="n"/>
      <c r="CX77" s="37" t="n"/>
      <c r="CY77" s="288" t="n"/>
      <c r="CZ77" s="37" t="n"/>
      <c r="DA77" s="288" t="n"/>
      <c r="DB77" s="37" t="n"/>
      <c r="DC77" s="288" t="n"/>
      <c r="DD77" s="37" t="n"/>
      <c r="DE77" s="295" t="n"/>
      <c r="DF77" s="295" t="n"/>
      <c r="DG77" s="288" t="n"/>
    </row>
    <row r="78">
      <c r="A78" s="284" t="n">
        <v>43921</v>
      </c>
      <c r="B78" s="285" t="n">
        <v>10849.71</v>
      </c>
      <c r="C78" s="15">
        <f>B78/B66-1</f>
        <v/>
      </c>
      <c r="D78" s="15" t="n"/>
      <c r="E78" s="285" t="n">
        <v>9305.85</v>
      </c>
      <c r="F78" s="15">
        <f>E78/E66-1</f>
        <v/>
      </c>
      <c r="G78" s="15" t="n"/>
      <c r="H78" s="285" t="n">
        <v>1519.66</v>
      </c>
      <c r="I78" s="15">
        <f>H78/H66-1</f>
        <v/>
      </c>
      <c r="J78" s="15" t="n"/>
      <c r="K78" s="285" t="n">
        <v>24.19</v>
      </c>
      <c r="L78" s="15">
        <f>K78/K66-1</f>
        <v/>
      </c>
      <c r="M78" s="15" t="n"/>
      <c r="N78" s="285" t="n">
        <v>6309.69</v>
      </c>
      <c r="O78" s="15">
        <f>N78/N66-1</f>
        <v/>
      </c>
      <c r="P78" s="15" t="n"/>
      <c r="Q78" s="285" t="n">
        <v>5619.22</v>
      </c>
      <c r="R78" s="15">
        <f>Q78/Q66-1</f>
        <v/>
      </c>
      <c r="S78" s="15" t="n"/>
      <c r="T78" s="285" t="n">
        <v>685.34</v>
      </c>
      <c r="U78" s="15">
        <f>T78/T66-1</f>
        <v/>
      </c>
      <c r="V78" s="15" t="n"/>
      <c r="W78" s="285" t="n">
        <v>5.13</v>
      </c>
      <c r="X78" s="15">
        <f>W78/W66-1</f>
        <v/>
      </c>
      <c r="Y78" s="15" t="n"/>
      <c r="Z78" s="285" t="n">
        <v>3754.45</v>
      </c>
      <c r="AA78" s="15">
        <f>Z78/Z66-1</f>
        <v/>
      </c>
      <c r="AB78" s="15" t="n"/>
      <c r="AC78" s="285" t="n">
        <v>3616.21</v>
      </c>
      <c r="AD78" s="15">
        <f>AC78/AC66-1</f>
        <v/>
      </c>
      <c r="AE78" s="15" t="n"/>
      <c r="AF78" s="285" t="n">
        <v>133.4</v>
      </c>
      <c r="AG78" s="15">
        <f>AF78/AF66-1</f>
        <v/>
      </c>
      <c r="AH78" s="15" t="n"/>
      <c r="AI78" s="285" t="n">
        <v>4.84</v>
      </c>
      <c r="AJ78" s="15">
        <f>AI78/AI66-1</f>
        <v/>
      </c>
      <c r="AK78" s="15" t="n"/>
      <c r="AL78" s="286" t="n">
        <v>58.16</v>
      </c>
      <c r="AM78" s="290">
        <f>AL78-AL66</f>
        <v/>
      </c>
      <c r="AN78" s="15" t="n"/>
      <c r="AO78" s="286" t="n">
        <v>60.38</v>
      </c>
      <c r="AP78" s="290">
        <f>AO78-AO66</f>
        <v/>
      </c>
      <c r="AQ78" s="15" t="n"/>
      <c r="AR78" s="286" t="n">
        <v>45.1</v>
      </c>
      <c r="AS78" s="290">
        <f>AR78-AR66</f>
        <v/>
      </c>
      <c r="AT78" s="15" t="n"/>
      <c r="AU78" s="286" t="n">
        <v>21.22</v>
      </c>
      <c r="AV78" s="290">
        <f>AU78-AU66</f>
        <v/>
      </c>
      <c r="AW78" s="15" t="n"/>
      <c r="AX78" s="285" t="n">
        <v>859</v>
      </c>
      <c r="AY78" s="15">
        <f>AX78/AX66-1</f>
        <v/>
      </c>
      <c r="AZ78" s="15" t="n"/>
      <c r="BA78" s="287" t="n"/>
      <c r="BB78" s="37" t="n"/>
      <c r="BC78" s="287" t="n"/>
      <c r="BD78" s="37" t="n"/>
      <c r="BE78" s="287" t="n"/>
      <c r="BF78" s="37" t="n"/>
      <c r="BG78" s="287" t="n"/>
      <c r="BH78" s="37" t="n"/>
      <c r="BI78" s="288" t="n"/>
      <c r="BJ78" s="37" t="n"/>
      <c r="BK78" s="288" t="n"/>
      <c r="BL78" s="37" t="n"/>
      <c r="BM78" s="288" t="n"/>
      <c r="BN78" s="37" t="n"/>
      <c r="BO78" s="288" t="n"/>
      <c r="BP78" s="288" t="n"/>
      <c r="BQ78" s="37" t="n"/>
      <c r="BR78" s="288" t="n"/>
      <c r="BS78" s="37" t="n"/>
      <c r="BT78" s="288" t="n"/>
      <c r="BU78" s="37" t="n"/>
      <c r="BV78" s="288" t="n"/>
      <c r="BW78" s="37" t="n"/>
      <c r="BX78" s="288" t="n"/>
      <c r="BY78" s="37" t="n"/>
      <c r="BZ78" s="288" t="n"/>
      <c r="CA78" s="37" t="n"/>
      <c r="CB78" s="288" t="n"/>
      <c r="CC78" s="37" t="n"/>
      <c r="CD78" s="288" t="n"/>
      <c r="CE78" s="37" t="n"/>
      <c r="CF78" s="288" t="n"/>
      <c r="CG78" s="291" t="n"/>
      <c r="CH78" s="288" t="n"/>
      <c r="CI78" s="291" t="n"/>
      <c r="CJ78" s="288" t="n"/>
      <c r="CK78" s="291" t="n"/>
      <c r="CL78" s="288" t="n"/>
      <c r="CM78" s="291" t="n"/>
      <c r="CN78" s="288" t="n"/>
      <c r="CO78" s="80" t="n"/>
      <c r="CP78" s="288" t="n"/>
      <c r="CQ78" s="80" t="n"/>
      <c r="CR78" s="288" t="n"/>
      <c r="CS78" s="80" t="n"/>
      <c r="CT78" s="288" t="n"/>
      <c r="CU78" s="80" t="n"/>
      <c r="CW78" s="288" t="n"/>
      <c r="CX78" s="37" t="n"/>
      <c r="CY78" s="288" t="n"/>
      <c r="CZ78" s="37" t="n"/>
      <c r="DA78" s="288" t="n"/>
      <c r="DB78" s="37" t="n"/>
      <c r="DC78" s="288" t="n"/>
      <c r="DD78" s="37" t="n"/>
      <c r="DE78" s="295" t="n"/>
      <c r="DF78" s="295" t="n"/>
      <c r="DG78" s="288" t="n"/>
    </row>
    <row r="79">
      <c r="A79" s="284" t="n">
        <v>43951</v>
      </c>
      <c r="B79" s="285" t="n">
        <v>9522.450000000001</v>
      </c>
      <c r="C79" s="15">
        <f>B79/B67-1</f>
        <v/>
      </c>
      <c r="D79" s="15" t="n"/>
      <c r="E79" s="285" t="n">
        <v>9030.129999999999</v>
      </c>
      <c r="F79" s="15">
        <f>E79/E67-1</f>
        <v/>
      </c>
      <c r="G79" s="15" t="n"/>
      <c r="H79" s="285" t="n">
        <v>478.23</v>
      </c>
      <c r="I79" s="15">
        <f>H79/H67-1</f>
        <v/>
      </c>
      <c r="J79" s="15" t="n"/>
      <c r="K79" s="285" t="n">
        <v>14.09</v>
      </c>
      <c r="L79" s="15">
        <f>K79/K67-1</f>
        <v/>
      </c>
      <c r="M79" s="15" t="n"/>
      <c r="N79" s="285" t="n">
        <v>6032.84</v>
      </c>
      <c r="O79" s="15">
        <f>N79/N67-1</f>
        <v/>
      </c>
      <c r="P79" s="15" t="n"/>
      <c r="Q79" s="285" t="n">
        <v>5826.34</v>
      </c>
      <c r="R79" s="15">
        <f>Q79/Q67-1</f>
        <v/>
      </c>
      <c r="S79" s="15" t="n"/>
      <c r="T79" s="285" t="n">
        <v>205.68</v>
      </c>
      <c r="U79" s="15">
        <f>T79/T67-1</f>
        <v/>
      </c>
      <c r="V79" s="15" t="n"/>
      <c r="W79" s="285" t="n">
        <v>0.82</v>
      </c>
      <c r="X79" s="15">
        <f>W79/W67-1</f>
        <v/>
      </c>
      <c r="Y79" s="15" t="n"/>
      <c r="Z79" s="285" t="n">
        <v>3868.43</v>
      </c>
      <c r="AA79" s="15">
        <f>Z79/Z67-1</f>
        <v/>
      </c>
      <c r="AB79" s="15" t="n"/>
      <c r="AC79" s="285" t="n">
        <v>3837.93</v>
      </c>
      <c r="AD79" s="15">
        <f>AC79/AC67-1</f>
        <v/>
      </c>
      <c r="AE79" s="15" t="n"/>
      <c r="AF79" s="285" t="n">
        <v>29.65</v>
      </c>
      <c r="AG79" s="15">
        <f>AF79/AF67-1</f>
        <v/>
      </c>
      <c r="AH79" s="15" t="n"/>
      <c r="AI79" s="285" t="n">
        <v>0.86</v>
      </c>
      <c r="AJ79" s="15">
        <f>AI79/AI67-1</f>
        <v/>
      </c>
      <c r="AK79" s="15" t="n"/>
      <c r="AL79" s="286" t="n">
        <v>63.35</v>
      </c>
      <c r="AM79" s="290">
        <f>AL79-AL67</f>
        <v/>
      </c>
      <c r="AN79" s="15" t="n"/>
      <c r="AO79" s="286" t="n">
        <v>64.52</v>
      </c>
      <c r="AP79" s="290">
        <f>AO79-AO67</f>
        <v/>
      </c>
      <c r="AQ79" s="15" t="n"/>
      <c r="AR79" s="286" t="n">
        <v>43.01</v>
      </c>
      <c r="AS79" s="290">
        <f>AR79-AR67</f>
        <v/>
      </c>
      <c r="AT79" s="15" t="n"/>
      <c r="AU79" s="286" t="n">
        <v>5.85</v>
      </c>
      <c r="AV79" s="290">
        <f>AU79-AU67</f>
        <v/>
      </c>
      <c r="AW79" s="15" t="n"/>
      <c r="AX79" s="285" t="n">
        <v>856</v>
      </c>
      <c r="AY79" s="15">
        <f>AX79/AX67-1</f>
        <v/>
      </c>
      <c r="AZ79" s="15" t="n"/>
      <c r="BA79" s="287" t="n"/>
      <c r="BB79" s="37" t="n"/>
      <c r="BC79" s="287" t="n"/>
      <c r="BD79" s="37" t="n"/>
      <c r="BE79" s="287" t="n"/>
      <c r="BF79" s="37" t="n"/>
      <c r="BG79" s="287" t="n"/>
      <c r="BH79" s="37" t="n"/>
      <c r="BI79" s="288" t="n"/>
      <c r="BJ79" s="37" t="n"/>
      <c r="BK79" s="288" t="n"/>
      <c r="BL79" s="37" t="n"/>
      <c r="BM79" s="288" t="n"/>
      <c r="BN79" s="37" t="n"/>
      <c r="BO79" s="288" t="n"/>
      <c r="BP79" s="288" t="n"/>
      <c r="BQ79" s="37" t="n"/>
      <c r="BR79" s="288" t="n"/>
      <c r="BS79" s="37" t="n"/>
      <c r="BT79" s="288" t="n"/>
      <c r="BU79" s="37" t="n"/>
      <c r="BV79" s="288" t="n"/>
      <c r="BW79" s="37" t="n"/>
      <c r="BX79" s="288" t="n"/>
      <c r="BY79" s="37" t="n"/>
      <c r="BZ79" s="288" t="n"/>
      <c r="CA79" s="37" t="n"/>
      <c r="CB79" s="288" t="n"/>
      <c r="CC79" s="37" t="n"/>
      <c r="CD79" s="288" t="n"/>
      <c r="CE79" s="37" t="n"/>
      <c r="CF79" s="288" t="n"/>
      <c r="CG79" s="291" t="n"/>
      <c r="CH79" s="288" t="n"/>
      <c r="CI79" s="291" t="n"/>
      <c r="CJ79" s="288" t="n"/>
      <c r="CK79" s="291" t="n"/>
      <c r="CL79" s="288" t="n"/>
      <c r="CM79" s="291" t="n"/>
      <c r="CN79" s="288" t="n"/>
      <c r="CO79" s="80" t="n"/>
      <c r="CP79" s="288" t="n"/>
      <c r="CQ79" s="80" t="n"/>
      <c r="CR79" s="288" t="n"/>
      <c r="CS79" s="80" t="n"/>
      <c r="CT79" s="288" t="n"/>
      <c r="CU79" s="80" t="n"/>
      <c r="CW79" s="288" t="n"/>
      <c r="CX79" s="37" t="n"/>
      <c r="CY79" s="288" t="n"/>
      <c r="CZ79" s="37" t="n"/>
      <c r="DA79" s="288" t="n"/>
      <c r="DB79" s="37" t="n"/>
      <c r="DC79" s="288" t="n"/>
      <c r="DD79" s="37" t="n"/>
      <c r="DE79" s="295" t="n"/>
      <c r="DF79" s="295" t="n"/>
      <c r="DG79" s="288" t="n"/>
    </row>
    <row r="80">
      <c r="A80" s="284" t="n">
        <v>43982</v>
      </c>
      <c r="B80" s="285" t="n">
        <v>13146.35</v>
      </c>
      <c r="C80" s="15">
        <f>B80/B68-1</f>
        <v/>
      </c>
      <c r="D80" s="15" t="n"/>
      <c r="E80" s="285" t="n">
        <v>12570.67</v>
      </c>
      <c r="F80" s="15">
        <f>E80/E68-1</f>
        <v/>
      </c>
      <c r="G80" s="15" t="n"/>
      <c r="H80" s="285" t="n">
        <v>556.03</v>
      </c>
      <c r="I80" s="15">
        <f>H80/H68-1</f>
        <v/>
      </c>
      <c r="J80" s="15" t="n"/>
      <c r="K80" s="285" t="n">
        <v>19.64</v>
      </c>
      <c r="L80" s="15">
        <f>K80/K68-1</f>
        <v/>
      </c>
      <c r="M80" s="15" t="n"/>
      <c r="N80" s="285" t="n">
        <v>8781.9</v>
      </c>
      <c r="O80" s="15">
        <f>N80/N68-1</f>
        <v/>
      </c>
      <c r="P80" s="15" t="n"/>
      <c r="Q80" s="285" t="n">
        <v>8518.41</v>
      </c>
      <c r="R80" s="15">
        <f>Q80/Q68-1</f>
        <v/>
      </c>
      <c r="S80" s="15" t="n"/>
      <c r="T80" s="285" t="n">
        <v>260.5</v>
      </c>
      <c r="U80" s="15">
        <f>T80/T68-1</f>
        <v/>
      </c>
      <c r="V80" s="15" t="n"/>
      <c r="W80" s="285" t="n">
        <v>2.99</v>
      </c>
      <c r="X80" s="15">
        <f>W80/W68-1</f>
        <v/>
      </c>
      <c r="Y80" s="15" t="n"/>
      <c r="Z80" s="285" t="n">
        <v>5871.17</v>
      </c>
      <c r="AA80" s="15">
        <f>Z80/Z68-1</f>
        <v/>
      </c>
      <c r="AB80" s="15" t="n"/>
      <c r="AC80" s="285" t="n">
        <v>5829.99</v>
      </c>
      <c r="AD80" s="15">
        <f>AC80/AC68-1</f>
        <v/>
      </c>
      <c r="AE80" s="15" t="n"/>
      <c r="AF80" s="285" t="n">
        <v>38.33</v>
      </c>
      <c r="AG80" s="15">
        <f>AF80/AF68-1</f>
        <v/>
      </c>
      <c r="AH80" s="15" t="n"/>
      <c r="AI80" s="285" t="n">
        <v>2.85</v>
      </c>
      <c r="AJ80" s="15">
        <f>AI80/AI68-1</f>
        <v/>
      </c>
      <c r="AK80" s="15" t="n"/>
      <c r="AL80" s="286" t="n">
        <v>66.8</v>
      </c>
      <c r="AM80" s="290">
        <f>AL80-AL68</f>
        <v/>
      </c>
      <c r="AN80" s="15" t="n"/>
      <c r="AO80" s="286" t="n">
        <v>67.76000000000001</v>
      </c>
      <c r="AP80" s="290">
        <f>AO80-AO68</f>
        <v/>
      </c>
      <c r="AQ80" s="15" t="n"/>
      <c r="AR80" s="286" t="n">
        <v>46.85</v>
      </c>
      <c r="AS80" s="290">
        <f>AR80-AR68</f>
        <v/>
      </c>
      <c r="AT80" s="15" t="n"/>
      <c r="AU80" s="286" t="n">
        <v>15.21</v>
      </c>
      <c r="AV80" s="290">
        <f>AU80-AU68</f>
        <v/>
      </c>
      <c r="AW80" s="15" t="n"/>
      <c r="AX80" s="285" t="n">
        <v>853</v>
      </c>
      <c r="AY80" s="15">
        <f>AX80/AX68-1</f>
        <v/>
      </c>
      <c r="AZ80" s="15" t="n"/>
      <c r="BA80" s="287" t="n"/>
      <c r="BB80" s="37" t="n"/>
      <c r="BC80" s="287" t="n"/>
      <c r="BD80" s="37" t="n"/>
      <c r="BE80" s="287" t="n"/>
      <c r="BF80" s="37" t="n"/>
      <c r="BG80" s="287" t="n"/>
      <c r="BH80" s="37" t="n"/>
      <c r="BI80" s="288" t="n"/>
      <c r="BJ80" s="37" t="n"/>
      <c r="BK80" s="288" t="n"/>
      <c r="BL80" s="37" t="n"/>
      <c r="BM80" s="288" t="n"/>
      <c r="BN80" s="37" t="n"/>
      <c r="BO80" s="288" t="n"/>
      <c r="BP80" s="288" t="n"/>
      <c r="BQ80" s="37" t="n"/>
      <c r="BR80" s="288" t="n"/>
      <c r="BS80" s="37" t="n"/>
      <c r="BT80" s="288" t="n"/>
      <c r="BU80" s="37" t="n"/>
      <c r="BV80" s="288" t="n"/>
      <c r="BW80" s="37" t="n"/>
      <c r="BX80" s="288" t="n"/>
      <c r="BY80" s="37" t="n"/>
      <c r="BZ80" s="288" t="n"/>
      <c r="CA80" s="37" t="n"/>
      <c r="CB80" s="288" t="n"/>
      <c r="CC80" s="37" t="n"/>
      <c r="CD80" s="288" t="n"/>
      <c r="CE80" s="37" t="n"/>
      <c r="CF80" s="288" t="n"/>
      <c r="CG80" s="291" t="n"/>
      <c r="CH80" s="288" t="n"/>
      <c r="CI80" s="291" t="n"/>
      <c r="CJ80" s="288" t="n"/>
      <c r="CK80" s="291" t="n"/>
      <c r="CL80" s="288" t="n"/>
      <c r="CM80" s="291" t="n"/>
      <c r="CN80" s="288" t="n"/>
      <c r="CO80" s="80" t="n"/>
      <c r="CP80" s="288" t="n"/>
      <c r="CQ80" s="80" t="n"/>
      <c r="CR80" s="288" t="n"/>
      <c r="CS80" s="80" t="n"/>
      <c r="CT80" s="288" t="n"/>
      <c r="CU80" s="80" t="n"/>
      <c r="CW80" s="288" t="n"/>
      <c r="CX80" s="37" t="n"/>
      <c r="CY80" s="288" t="n"/>
      <c r="CZ80" s="37" t="n"/>
      <c r="DA80" s="288" t="n"/>
      <c r="DB80" s="37" t="n"/>
      <c r="DC80" s="288" t="n"/>
      <c r="DD80" s="37" t="n"/>
      <c r="DE80" s="295" t="n"/>
      <c r="DF80" s="295" t="n"/>
      <c r="DG80" s="288" t="n"/>
    </row>
    <row r="81">
      <c r="A81" s="284" t="n">
        <v>44012</v>
      </c>
      <c r="B81" s="285" t="n">
        <v>15404.63</v>
      </c>
      <c r="C81" s="15">
        <f>B81/B69-1</f>
        <v/>
      </c>
      <c r="D81" s="15" t="n"/>
      <c r="E81" s="285" t="n">
        <v>14850.66</v>
      </c>
      <c r="F81" s="15">
        <f>E81/E69-1</f>
        <v/>
      </c>
      <c r="G81" s="15" t="n"/>
      <c r="H81" s="285" t="n">
        <v>528.4299999999999</v>
      </c>
      <c r="I81" s="15">
        <f>H81/H69-1</f>
        <v/>
      </c>
      <c r="J81" s="15" t="n"/>
      <c r="K81" s="285" t="n">
        <v>25.54</v>
      </c>
      <c r="L81" s="15">
        <f>K81/K69-1</f>
        <v/>
      </c>
      <c r="M81" s="15" t="n"/>
      <c r="N81" s="285" t="n">
        <v>10623.76</v>
      </c>
      <c r="O81" s="15">
        <f>N81/N69-1</f>
        <v/>
      </c>
      <c r="P81" s="15" t="n"/>
      <c r="Q81" s="285" t="n">
        <v>10282.56</v>
      </c>
      <c r="R81" s="15">
        <f>Q81/Q69-1</f>
        <v/>
      </c>
      <c r="S81" s="15" t="n"/>
      <c r="T81" s="285" t="n">
        <v>336.11</v>
      </c>
      <c r="U81" s="15">
        <f>T81/T69-1</f>
        <v/>
      </c>
      <c r="V81" s="15" t="n"/>
      <c r="W81" s="285" t="n">
        <v>5.09</v>
      </c>
      <c r="X81" s="15">
        <f>W81/W69-1</f>
        <v/>
      </c>
      <c r="Y81" s="15" t="n"/>
      <c r="Z81" s="285" t="n">
        <v>7138.62</v>
      </c>
      <c r="AA81" s="15">
        <f>Z81/Z69-1</f>
        <v/>
      </c>
      <c r="AB81" s="15" t="n"/>
      <c r="AC81" s="285" t="n">
        <v>7081.51</v>
      </c>
      <c r="AD81" s="15">
        <f>AC81/AC69-1</f>
        <v/>
      </c>
      <c r="AE81" s="15" t="n"/>
      <c r="AF81" s="285" t="n">
        <v>52.32</v>
      </c>
      <c r="AG81" s="15">
        <f>AF81/AF69-1</f>
        <v/>
      </c>
      <c r="AH81" s="15" t="n"/>
      <c r="AI81" s="285" t="n">
        <v>4.79</v>
      </c>
      <c r="AJ81" s="15">
        <f>AI81/AI69-1</f>
        <v/>
      </c>
      <c r="AK81" s="15" t="n"/>
      <c r="AL81" s="286" t="n">
        <v>68.95999999999999</v>
      </c>
      <c r="AM81" s="290">
        <f>AL81-AL69</f>
        <v/>
      </c>
      <c r="AN81" s="15" t="n"/>
      <c r="AO81" s="286" t="n">
        <v>69.23999999999999</v>
      </c>
      <c r="AP81" s="290">
        <f>AO81-AO69</f>
        <v/>
      </c>
      <c r="AQ81" s="15" t="n"/>
      <c r="AR81" s="286" t="n">
        <v>63.61</v>
      </c>
      <c r="AS81" s="290">
        <f>AR81-AR69</f>
        <v/>
      </c>
      <c r="AT81" s="15" t="n"/>
      <c r="AU81" s="286" t="n">
        <v>19.92</v>
      </c>
      <c r="AV81" s="290">
        <f>AU81-AU69</f>
        <v/>
      </c>
      <c r="AW81" s="15" t="n"/>
      <c r="AX81" s="285" t="n">
        <v>857</v>
      </c>
      <c r="AY81" s="15">
        <f>AX81/AX69-1</f>
        <v/>
      </c>
      <c r="AZ81" s="15" t="n"/>
      <c r="BA81" s="287" t="n"/>
      <c r="BB81" s="37" t="n"/>
      <c r="BC81" s="287" t="n"/>
      <c r="BD81" s="37" t="n"/>
      <c r="BE81" s="287" t="n"/>
      <c r="BF81" s="37" t="n"/>
      <c r="BG81" s="287" t="n"/>
      <c r="BH81" s="37" t="n"/>
      <c r="BI81" s="288" t="n"/>
      <c r="BJ81" s="37" t="n"/>
      <c r="BK81" s="288" t="n"/>
      <c r="BL81" s="37" t="n"/>
      <c r="BM81" s="288" t="n"/>
      <c r="BN81" s="37" t="n"/>
      <c r="BO81" s="288" t="n"/>
      <c r="BP81" s="288" t="n"/>
      <c r="BQ81" s="37" t="n"/>
      <c r="BR81" s="288" t="n"/>
      <c r="BS81" s="37" t="n"/>
      <c r="BT81" s="288" t="n"/>
      <c r="BU81" s="37" t="n"/>
      <c r="BV81" s="288" t="n"/>
      <c r="BW81" s="37" t="n"/>
      <c r="BX81" s="288" t="n"/>
      <c r="BY81" s="37" t="n"/>
      <c r="BZ81" s="288" t="n"/>
      <c r="CA81" s="37" t="n"/>
      <c r="CB81" s="288" t="n"/>
      <c r="CC81" s="37" t="n"/>
      <c r="CD81" s="288" t="n"/>
      <c r="CE81" s="37" t="n"/>
      <c r="CF81" s="288" t="n"/>
      <c r="CG81" s="291" t="n"/>
      <c r="CH81" s="288" t="n"/>
      <c r="CI81" s="291" t="n"/>
      <c r="CJ81" s="288" t="n"/>
      <c r="CK81" s="291" t="n"/>
      <c r="CL81" s="288" t="n"/>
      <c r="CM81" s="291" t="n"/>
      <c r="CN81" s="288" t="n"/>
      <c r="CO81" s="80" t="n"/>
      <c r="CP81" s="288" t="n"/>
      <c r="CQ81" s="80" t="n"/>
      <c r="CR81" s="288" t="n"/>
      <c r="CS81" s="80" t="n"/>
      <c r="CT81" s="288" t="n"/>
      <c r="CU81" s="80" t="n"/>
      <c r="CW81" s="288" t="n"/>
      <c r="CX81" s="37" t="n"/>
      <c r="CY81" s="288" t="n"/>
      <c r="CZ81" s="37" t="n"/>
      <c r="DA81" s="288" t="n"/>
      <c r="DB81" s="37" t="n"/>
      <c r="DC81" s="288" t="n"/>
      <c r="DD81" s="37" t="n"/>
      <c r="DE81" s="295" t="n"/>
      <c r="DF81" s="295" t="n"/>
      <c r="DG81" s="288" t="n"/>
    </row>
    <row r="82">
      <c r="A82" s="284" t="n">
        <v>44043</v>
      </c>
      <c r="B82" s="285" t="n">
        <v>18322.1</v>
      </c>
      <c r="C82" s="15">
        <f>B82/B70-1</f>
        <v/>
      </c>
      <c r="D82" s="15" t="n"/>
      <c r="E82" s="285" t="n">
        <v>17674.9</v>
      </c>
      <c r="F82" s="15">
        <f>E82/E70-1</f>
        <v/>
      </c>
      <c r="G82" s="15" t="n"/>
      <c r="H82" s="285" t="n">
        <v>627.65</v>
      </c>
      <c r="I82" s="15">
        <f>H82/H70-1</f>
        <v/>
      </c>
      <c r="J82" s="15" t="n"/>
      <c r="K82" s="285" t="n">
        <v>19.54</v>
      </c>
      <c r="L82" s="15">
        <f>K82/K70-1</f>
        <v/>
      </c>
      <c r="M82" s="15" t="n"/>
      <c r="N82" s="285" t="n">
        <v>13286.35</v>
      </c>
      <c r="O82" s="15">
        <f>N82/N70-1</f>
        <v/>
      </c>
      <c r="P82" s="15" t="n"/>
      <c r="Q82" s="285" t="n">
        <v>12891.39</v>
      </c>
      <c r="R82" s="15">
        <f>Q82/Q70-1</f>
        <v/>
      </c>
      <c r="S82" s="15" t="n"/>
      <c r="T82" s="285" t="n">
        <v>387.99</v>
      </c>
      <c r="U82" s="15">
        <f>T82/T70-1</f>
        <v/>
      </c>
      <c r="V82" s="15" t="n"/>
      <c r="W82" s="285" t="n">
        <v>6.97</v>
      </c>
      <c r="X82" s="15">
        <f>W82/W70-1</f>
        <v/>
      </c>
      <c r="Y82" s="15" t="n"/>
      <c r="Z82" s="285" t="n">
        <v>9037.870000000001</v>
      </c>
      <c r="AA82" s="15">
        <f>Z82/Z70-1</f>
        <v/>
      </c>
      <c r="AB82" s="15" t="n"/>
      <c r="AC82" s="285" t="n">
        <v>8970.469999999999</v>
      </c>
      <c r="AD82" s="15">
        <f>AC82/AC70-1</f>
        <v/>
      </c>
      <c r="AE82" s="15" t="n"/>
      <c r="AF82" s="285" t="n">
        <v>60.8</v>
      </c>
      <c r="AG82" s="15">
        <f>AF82/AF70-1</f>
        <v/>
      </c>
      <c r="AH82" s="15" t="n"/>
      <c r="AI82" s="285" t="n">
        <v>6.61</v>
      </c>
      <c r="AJ82" s="15">
        <f>AI82/AI70-1</f>
        <v/>
      </c>
      <c r="AK82" s="15" t="n"/>
      <c r="AL82" s="286" t="n">
        <v>72.52</v>
      </c>
      <c r="AM82" s="290">
        <f>AL82-AL70</f>
        <v/>
      </c>
      <c r="AN82" s="15" t="n"/>
      <c r="AO82" s="286" t="n">
        <v>72.94</v>
      </c>
      <c r="AP82" s="290">
        <f>AO82-AO70</f>
        <v/>
      </c>
      <c r="AQ82" s="15" t="n"/>
      <c r="AR82" s="286" t="n">
        <v>61.82</v>
      </c>
      <c r="AS82" s="290">
        <f>AR82-AR70</f>
        <v/>
      </c>
      <c r="AT82" s="15" t="n"/>
      <c r="AU82" s="286" t="n">
        <v>35.68</v>
      </c>
      <c r="AV82" s="290">
        <f>AU82-AU70</f>
        <v/>
      </c>
      <c r="AW82" s="15" t="n"/>
      <c r="AX82" s="285" t="n">
        <v>856</v>
      </c>
      <c r="AY82" s="15">
        <f>AX82/AX70-1</f>
        <v/>
      </c>
      <c r="AZ82" s="15" t="n"/>
      <c r="BA82" s="287" t="n"/>
      <c r="BB82" s="37" t="n"/>
      <c r="BC82" s="287" t="n"/>
      <c r="BD82" s="37" t="n"/>
      <c r="BE82" s="287" t="n"/>
      <c r="BF82" s="37" t="n"/>
      <c r="BG82" s="287" t="n"/>
      <c r="BH82" s="37" t="n"/>
      <c r="BI82" s="288" t="n"/>
      <c r="BJ82" s="37" t="n"/>
      <c r="BK82" s="288" t="n"/>
      <c r="BL82" s="37" t="n"/>
      <c r="BM82" s="288" t="n"/>
      <c r="BN82" s="37" t="n"/>
      <c r="BO82" s="288" t="n"/>
      <c r="BP82" s="288" t="n"/>
      <c r="BQ82" s="37" t="n"/>
      <c r="BR82" s="288" t="n"/>
      <c r="BS82" s="37" t="n"/>
      <c r="BT82" s="288" t="n"/>
      <c r="BU82" s="37" t="n"/>
      <c r="BV82" s="288" t="n"/>
      <c r="BW82" s="37" t="n"/>
      <c r="BX82" s="288" t="n"/>
      <c r="BY82" s="37" t="n"/>
      <c r="BZ82" s="288" t="n"/>
      <c r="CA82" s="37" t="n"/>
      <c r="CB82" s="288" t="n"/>
      <c r="CC82" s="37" t="n"/>
      <c r="CD82" s="288" t="n"/>
      <c r="CE82" s="37" t="n"/>
      <c r="CF82" s="288" t="n"/>
      <c r="CG82" s="291" t="n"/>
      <c r="CH82" s="288" t="n"/>
      <c r="CI82" s="291" t="n"/>
      <c r="CJ82" s="288" t="n"/>
      <c r="CK82" s="291" t="n"/>
      <c r="CL82" s="288" t="n"/>
      <c r="CM82" s="291" t="n"/>
      <c r="CN82" s="288" t="n"/>
      <c r="CO82" s="80" t="n"/>
      <c r="CP82" s="288" t="n"/>
      <c r="CQ82" s="80" t="n"/>
      <c r="CR82" s="288" t="n"/>
      <c r="CS82" s="80" t="n"/>
      <c r="CT82" s="288" t="n"/>
      <c r="CU82" s="80" t="n"/>
      <c r="CW82" s="288" t="n"/>
      <c r="CX82" s="37" t="n"/>
      <c r="CY82" s="288" t="n"/>
      <c r="CZ82" s="37" t="n"/>
      <c r="DA82" s="288" t="n"/>
      <c r="DB82" s="37" t="n"/>
      <c r="DC82" s="288" t="n"/>
      <c r="DD82" s="37" t="n"/>
      <c r="DE82" s="295" t="n"/>
      <c r="DF82" s="295" t="n"/>
      <c r="DG82" s="288" t="n"/>
    </row>
    <row r="83">
      <c r="A83" s="284" t="n">
        <v>44074</v>
      </c>
      <c r="B83" s="285" t="n">
        <v>20729.1</v>
      </c>
      <c r="C83" s="15">
        <f>B83/B71-1</f>
        <v/>
      </c>
      <c r="D83" s="15" t="n"/>
      <c r="E83" s="285" t="n">
        <v>19917.51</v>
      </c>
      <c r="F83" s="15">
        <f>E83/E71-1</f>
        <v/>
      </c>
      <c r="G83" s="15" t="n"/>
      <c r="H83" s="285" t="n">
        <v>802.53</v>
      </c>
      <c r="I83" s="15">
        <f>H83/H71-1</f>
        <v/>
      </c>
      <c r="J83" s="15" t="n"/>
      <c r="K83" s="285" t="n">
        <v>9.06</v>
      </c>
      <c r="L83" s="15">
        <f>K83/K71-1</f>
        <v/>
      </c>
      <c r="M83" s="15" t="n"/>
      <c r="N83" s="285" t="n">
        <v>15172.18</v>
      </c>
      <c r="O83" s="15">
        <f>N83/N71-1</f>
        <v/>
      </c>
      <c r="P83" s="15" t="n"/>
      <c r="Q83" s="285" t="n">
        <v>14704.1</v>
      </c>
      <c r="R83" s="15">
        <f>Q83/Q71-1</f>
        <v/>
      </c>
      <c r="S83" s="15" t="n"/>
      <c r="T83" s="285" t="n">
        <v>463.48</v>
      </c>
      <c r="U83" s="15">
        <f>T83/T71-1</f>
        <v/>
      </c>
      <c r="V83" s="15" t="n"/>
      <c r="W83" s="285" t="n">
        <v>4.6</v>
      </c>
      <c r="X83" s="15">
        <f>W83/W71-1</f>
        <v/>
      </c>
      <c r="Y83" s="15" t="n"/>
      <c r="Z83" s="285" t="n">
        <v>10330.36</v>
      </c>
      <c r="AA83" s="15">
        <f>Z83/Z71-1</f>
        <v/>
      </c>
      <c r="AB83" s="15" t="n"/>
      <c r="AC83" s="285" t="n">
        <v>10252.54</v>
      </c>
      <c r="AD83" s="15">
        <f>AC83/AC71-1</f>
        <v/>
      </c>
      <c r="AE83" s="15" t="n"/>
      <c r="AF83" s="285" t="n">
        <v>73.52</v>
      </c>
      <c r="AG83" s="15">
        <f>AF83/AF71-1</f>
        <v/>
      </c>
      <c r="AH83" s="15" t="n"/>
      <c r="AI83" s="285" t="n">
        <v>4.31</v>
      </c>
      <c r="AJ83" s="15">
        <f>AI83/AI71-1</f>
        <v/>
      </c>
      <c r="AK83" s="15" t="n"/>
      <c r="AL83" s="286" t="n">
        <v>73.19</v>
      </c>
      <c r="AM83" s="290">
        <f>AL83-AL71</f>
        <v/>
      </c>
      <c r="AN83" s="15" t="n"/>
      <c r="AO83" s="286" t="n">
        <v>73.81999999999999</v>
      </c>
      <c r="AP83" s="290">
        <f>AO83-AO71</f>
        <v/>
      </c>
      <c r="AQ83" s="15" t="n"/>
      <c r="AR83" s="286" t="n">
        <v>57.75</v>
      </c>
      <c r="AS83" s="290">
        <f>AR83-AR71</f>
        <v/>
      </c>
      <c r="AT83" s="15" t="n"/>
      <c r="AU83" s="286" t="n">
        <v>50.77</v>
      </c>
      <c r="AV83" s="290">
        <f>AU83-AU71</f>
        <v/>
      </c>
      <c r="AW83" s="15" t="n"/>
      <c r="AX83" s="285" t="n">
        <v>853</v>
      </c>
      <c r="AY83" s="15">
        <f>AX83/AX71-1</f>
        <v/>
      </c>
      <c r="AZ83" s="15" t="n"/>
      <c r="BA83" s="287" t="n"/>
      <c r="BB83" s="37" t="n"/>
      <c r="BC83" s="287" t="n"/>
      <c r="BD83" s="37" t="n"/>
      <c r="BE83" s="287" t="n"/>
      <c r="BF83" s="37" t="n"/>
      <c r="BG83" s="287" t="n"/>
      <c r="BH83" s="37" t="n"/>
      <c r="BI83" s="288" t="n"/>
      <c r="BJ83" s="37" t="n"/>
      <c r="BK83" s="288" t="n"/>
      <c r="BL83" s="37" t="n"/>
      <c r="BM83" s="288" t="n"/>
      <c r="BN83" s="37" t="n"/>
      <c r="BO83" s="288" t="n"/>
      <c r="BP83" s="288" t="n"/>
      <c r="BQ83" s="37" t="n"/>
      <c r="BR83" s="288" t="n"/>
      <c r="BS83" s="37" t="n"/>
      <c r="BT83" s="288" t="n"/>
      <c r="BU83" s="37" t="n"/>
      <c r="BV83" s="288" t="n"/>
      <c r="BW83" s="37" t="n"/>
      <c r="BX83" s="288" t="n"/>
      <c r="BY83" s="37" t="n"/>
      <c r="BZ83" s="288" t="n"/>
      <c r="CA83" s="37" t="n"/>
      <c r="CB83" s="288" t="n"/>
      <c r="CC83" s="37" t="n"/>
      <c r="CD83" s="288" t="n"/>
      <c r="CE83" s="37" t="n"/>
      <c r="CF83" s="288" t="n"/>
      <c r="CG83" s="291" t="n"/>
      <c r="CH83" s="288" t="n"/>
      <c r="CI83" s="291" t="n"/>
      <c r="CJ83" s="288" t="n"/>
      <c r="CK83" s="291" t="n"/>
      <c r="CL83" s="288" t="n"/>
      <c r="CM83" s="291" t="n"/>
      <c r="CN83" s="288" t="n"/>
      <c r="CO83" s="80" t="n"/>
      <c r="CP83" s="288" t="n"/>
      <c r="CQ83" s="80" t="n"/>
      <c r="CR83" s="288" t="n"/>
      <c r="CS83" s="80" t="n"/>
      <c r="CT83" s="288" t="n"/>
      <c r="CU83" s="80" t="n"/>
      <c r="CW83" s="288" t="n"/>
      <c r="CX83" s="37" t="n"/>
      <c r="CY83" s="288" t="n"/>
      <c r="CZ83" s="37" t="n"/>
      <c r="DA83" s="288" t="n"/>
      <c r="DB83" s="37" t="n"/>
      <c r="DC83" s="288" t="n"/>
      <c r="DD83" s="37" t="n"/>
      <c r="DE83" s="295" t="n"/>
      <c r="DF83" s="295" t="n"/>
      <c r="DG83" s="288" t="n"/>
    </row>
    <row r="84">
      <c r="A84" s="284" t="n">
        <v>44104</v>
      </c>
      <c r="B84" s="285" t="n">
        <v>22079.35</v>
      </c>
      <c r="C84" s="15">
        <f>B84/B72-1</f>
        <v/>
      </c>
      <c r="D84" s="15" t="n"/>
      <c r="E84" s="285" t="n">
        <v>21169.71</v>
      </c>
      <c r="F84" s="15">
        <f>E84/E72-1</f>
        <v/>
      </c>
      <c r="G84" s="15" t="n"/>
      <c r="H84" s="285" t="n">
        <v>885.73</v>
      </c>
      <c r="I84" s="15">
        <f>H84/H72-1</f>
        <v/>
      </c>
      <c r="J84" s="15" t="n"/>
      <c r="K84" s="285" t="n">
        <v>23.91</v>
      </c>
      <c r="L84" s="15">
        <f>K84/K72-1</f>
        <v/>
      </c>
      <c r="M84" s="15" t="n"/>
      <c r="N84" s="285" t="n">
        <v>17133.15</v>
      </c>
      <c r="O84" s="15">
        <f>N84/N72-1</f>
        <v/>
      </c>
      <c r="P84" s="15" t="n"/>
      <c r="Q84" s="285" t="n">
        <v>16609.03</v>
      </c>
      <c r="R84" s="15">
        <f>Q84/Q72-1</f>
        <v/>
      </c>
      <c r="S84" s="15" t="n"/>
      <c r="T84" s="285" t="n">
        <v>515.96</v>
      </c>
      <c r="U84" s="15">
        <f>T84/T72-1</f>
        <v/>
      </c>
      <c r="V84" s="15" t="n"/>
      <c r="W84" s="285" t="n">
        <v>8.16</v>
      </c>
      <c r="X84" s="15">
        <f>W84/W72-1</f>
        <v/>
      </c>
      <c r="Y84" s="15" t="n"/>
      <c r="Z84" s="285" t="n">
        <v>11185.58</v>
      </c>
      <c r="AA84" s="15">
        <f>Z84/Z72-1</f>
        <v/>
      </c>
      <c r="AB84" s="15" t="n"/>
      <c r="AC84" s="285" t="n">
        <v>11096.8</v>
      </c>
      <c r="AD84" s="15">
        <f>AC84/AC72-1</f>
        <v/>
      </c>
      <c r="AE84" s="15" t="n"/>
      <c r="AF84" s="285" t="n">
        <v>80.84</v>
      </c>
      <c r="AG84" s="15">
        <f>AF84/AF72-1</f>
        <v/>
      </c>
      <c r="AH84" s="15" t="n"/>
      <c r="AI84" s="285" t="n">
        <v>7.95</v>
      </c>
      <c r="AJ84" s="15">
        <f>AI84/AI72-1</f>
        <v/>
      </c>
      <c r="AK84" s="15" t="n"/>
      <c r="AL84" s="286" t="n">
        <v>77.59999999999999</v>
      </c>
      <c r="AM84" s="290">
        <f>AL84-AL72</f>
        <v/>
      </c>
      <c r="AN84" s="15" t="n"/>
      <c r="AO84" s="286" t="n">
        <v>78.45999999999999</v>
      </c>
      <c r="AP84" s="290">
        <f>AO84-AO72</f>
        <v/>
      </c>
      <c r="AQ84" s="15" t="n"/>
      <c r="AR84" s="286" t="n">
        <v>58.25</v>
      </c>
      <c r="AS84" s="290">
        <f>AR84-AR72</f>
        <v/>
      </c>
      <c r="AT84" s="15" t="n"/>
      <c r="AU84" s="286" t="n">
        <v>34.11</v>
      </c>
      <c r="AV84" s="290">
        <f>AU84-AU72</f>
        <v/>
      </c>
      <c r="AW84" s="15" t="n"/>
      <c r="AX84" s="285" t="n">
        <v>854</v>
      </c>
      <c r="AY84" s="15">
        <f>AX84/AX72-1</f>
        <v/>
      </c>
      <c r="AZ84" s="15" t="n"/>
      <c r="BA84" s="287" t="n"/>
      <c r="BB84" s="37" t="n"/>
      <c r="BC84" s="287" t="n"/>
      <c r="BD84" s="37" t="n"/>
      <c r="BE84" s="287" t="n"/>
      <c r="BF84" s="37" t="n"/>
      <c r="BG84" s="287" t="n"/>
      <c r="BH84" s="37" t="n"/>
      <c r="BI84" s="288" t="n"/>
      <c r="BJ84" s="37" t="n"/>
      <c r="BK84" s="288" t="n"/>
      <c r="BL84" s="37" t="n"/>
      <c r="BM84" s="288" t="n"/>
      <c r="BN84" s="37" t="n"/>
      <c r="BO84" s="288" t="n"/>
      <c r="BP84" s="288" t="n"/>
      <c r="BQ84" s="37" t="n"/>
      <c r="BR84" s="288" t="n"/>
      <c r="BS84" s="37" t="n"/>
      <c r="BT84" s="288" t="n"/>
      <c r="BU84" s="37" t="n"/>
      <c r="BV84" s="288" t="n"/>
      <c r="BW84" s="37" t="n"/>
      <c r="BX84" s="288" t="n"/>
      <c r="BY84" s="37" t="n"/>
      <c r="BZ84" s="288" t="n"/>
      <c r="CA84" s="37" t="n"/>
      <c r="CB84" s="288" t="n"/>
      <c r="CC84" s="37" t="n"/>
      <c r="CD84" s="288" t="n"/>
      <c r="CE84" s="37" t="n"/>
      <c r="CF84" s="288" t="n"/>
      <c r="CG84" s="291" t="n"/>
      <c r="CH84" s="288" t="n"/>
      <c r="CI84" s="291" t="n"/>
      <c r="CJ84" s="288" t="n"/>
      <c r="CK84" s="291" t="n"/>
      <c r="CL84" s="288" t="n"/>
      <c r="CM84" s="291" t="n"/>
      <c r="CN84" s="288" t="n"/>
      <c r="CO84" s="80" t="n"/>
      <c r="CP84" s="288" t="n"/>
      <c r="CQ84" s="80" t="n"/>
      <c r="CR84" s="288" t="n"/>
      <c r="CS84" s="80" t="n"/>
      <c r="CT84" s="288" t="n"/>
      <c r="CU84" s="80" t="n"/>
      <c r="CW84" s="288" t="n"/>
      <c r="CX84" s="37" t="n"/>
      <c r="CY84" s="288" t="n"/>
      <c r="CZ84" s="37" t="n"/>
      <c r="DA84" s="288" t="n"/>
      <c r="DB84" s="37" t="n"/>
      <c r="DC84" s="288" t="n"/>
      <c r="DD84" s="37" t="n"/>
      <c r="DE84" s="295" t="n"/>
      <c r="DF84" s="295" t="n"/>
      <c r="DG84" s="288" t="n"/>
    </row>
    <row r="85">
      <c r="A85" s="284" t="n">
        <v>44135</v>
      </c>
      <c r="B85" s="285" t="n">
        <v>23763.47</v>
      </c>
      <c r="C85" s="15">
        <f>B85/B73-1</f>
        <v/>
      </c>
      <c r="D85" s="15" t="n"/>
      <c r="E85" s="285" t="n">
        <v>22867.03</v>
      </c>
      <c r="F85" s="15">
        <f>E85/E73-1</f>
        <v/>
      </c>
      <c r="G85" s="15" t="n"/>
      <c r="H85" s="285" t="n">
        <v>860.64</v>
      </c>
      <c r="I85" s="15">
        <f>H85/H73-1</f>
        <v/>
      </c>
      <c r="J85" s="15" t="n"/>
      <c r="K85" s="285" t="n">
        <v>35.79</v>
      </c>
      <c r="L85" s="15">
        <f>K85/K73-1</f>
        <v/>
      </c>
      <c r="M85" s="15" t="n"/>
      <c r="N85" s="285" t="n">
        <v>18167.51</v>
      </c>
      <c r="O85" s="15">
        <f>N85/N73-1</f>
        <v/>
      </c>
      <c r="P85" s="15" t="n"/>
      <c r="Q85" s="285" t="n">
        <v>17679.49</v>
      </c>
      <c r="R85" s="15">
        <f>Q85/Q73-1</f>
        <v/>
      </c>
      <c r="S85" s="15" t="n"/>
      <c r="T85" s="285" t="n">
        <v>477.27</v>
      </c>
      <c r="U85" s="15">
        <f>T85/T73-1</f>
        <v/>
      </c>
      <c r="V85" s="15" t="n"/>
      <c r="W85" s="285" t="n">
        <v>10.76</v>
      </c>
      <c r="X85" s="15">
        <f>W85/W73-1</f>
        <v/>
      </c>
      <c r="Y85" s="15" t="n"/>
      <c r="Z85" s="285" t="n">
        <v>11879.07</v>
      </c>
      <c r="AA85" s="15">
        <f>Z85/Z73-1</f>
        <v/>
      </c>
      <c r="AB85" s="15" t="n"/>
      <c r="AC85" s="285" t="n">
        <v>11792.71</v>
      </c>
      <c r="AD85" s="15">
        <f>AC85/AC73-1</f>
        <v/>
      </c>
      <c r="AE85" s="15" t="n"/>
      <c r="AF85" s="285" t="n">
        <v>76.13</v>
      </c>
      <c r="AG85" s="15">
        <f>AF85/AF73-1</f>
        <v/>
      </c>
      <c r="AH85" s="15" t="n"/>
      <c r="AI85" s="285" t="n">
        <v>10.23</v>
      </c>
      <c r="AJ85" s="15">
        <f>AI85/AI73-1</f>
        <v/>
      </c>
      <c r="AK85" s="15" t="n"/>
      <c r="AL85" s="286" t="n">
        <v>76.45</v>
      </c>
      <c r="AM85" s="290">
        <f>AL85-AL73</f>
        <v/>
      </c>
      <c r="AN85" s="15" t="n"/>
      <c r="AO85" s="286" t="n">
        <v>77.31</v>
      </c>
      <c r="AP85" s="290">
        <f>AO85-AO73</f>
        <v/>
      </c>
      <c r="AQ85" s="15" t="n"/>
      <c r="AR85" s="286" t="n">
        <v>55.45</v>
      </c>
      <c r="AS85" s="290">
        <f>AR85-AR73</f>
        <v/>
      </c>
      <c r="AT85" s="15" t="n"/>
      <c r="AU85" s="286" t="n">
        <v>30.06</v>
      </c>
      <c r="AV85" s="290">
        <f>AU85-AU73</f>
        <v/>
      </c>
      <c r="AW85" s="15" t="n"/>
      <c r="AX85" s="285" t="n">
        <v>856</v>
      </c>
      <c r="AY85" s="15">
        <f>AX85/AX73-1</f>
        <v/>
      </c>
      <c r="AZ85" s="15" t="n"/>
      <c r="BA85" s="287" t="n"/>
      <c r="BB85" s="37" t="n"/>
      <c r="BC85" s="287" t="n"/>
      <c r="BD85" s="37" t="n"/>
      <c r="BE85" s="287" t="n"/>
      <c r="BF85" s="37" t="n"/>
      <c r="BG85" s="287" t="n"/>
      <c r="BH85" s="37" t="n"/>
      <c r="BI85" s="288" t="n"/>
      <c r="BJ85" s="37" t="n"/>
      <c r="BK85" s="288" t="n"/>
      <c r="BL85" s="37" t="n"/>
      <c r="BM85" s="288" t="n"/>
      <c r="BN85" s="37" t="n"/>
      <c r="BO85" s="288" t="n"/>
      <c r="BP85" s="288" t="n"/>
      <c r="BQ85" s="37" t="n"/>
      <c r="BR85" s="288" t="n"/>
      <c r="BS85" s="37" t="n"/>
      <c r="BT85" s="288" t="n"/>
      <c r="BU85" s="37" t="n"/>
      <c r="BV85" s="288" t="n"/>
      <c r="BW85" s="37" t="n"/>
      <c r="BX85" s="288" t="n"/>
      <c r="BY85" s="37" t="n"/>
      <c r="BZ85" s="288" t="n"/>
      <c r="CA85" s="37" t="n"/>
      <c r="CB85" s="288" t="n"/>
      <c r="CC85" s="37" t="n"/>
      <c r="CD85" s="288" t="n"/>
      <c r="CE85" s="37" t="n"/>
      <c r="CF85" s="288" t="n"/>
      <c r="CG85" s="291" t="n"/>
      <c r="CH85" s="288" t="n"/>
      <c r="CI85" s="291" t="n"/>
      <c r="CJ85" s="288" t="n"/>
      <c r="CK85" s="291" t="n"/>
      <c r="CL85" s="288" t="n"/>
      <c r="CM85" s="291" t="n"/>
      <c r="CN85" s="288" t="n"/>
      <c r="CO85" s="80" t="n"/>
      <c r="CP85" s="288" t="n"/>
      <c r="CQ85" s="80" t="n"/>
      <c r="CR85" s="288" t="n"/>
      <c r="CS85" s="80" t="n"/>
      <c r="CT85" s="288" t="n"/>
      <c r="CU85" s="80" t="n"/>
      <c r="CW85" s="288" t="n"/>
      <c r="CX85" s="37" t="n"/>
      <c r="CY85" s="288" t="n"/>
      <c r="CZ85" s="37" t="n"/>
      <c r="DA85" s="288" t="n"/>
      <c r="DB85" s="37" t="n"/>
      <c r="DC85" s="288" t="n"/>
      <c r="DD85" s="37" t="n"/>
      <c r="DE85" s="295" t="n"/>
      <c r="DF85" s="295" t="n"/>
      <c r="DG85" s="296" t="n"/>
    </row>
    <row r="86">
      <c r="A86" s="284" t="n">
        <v>44165</v>
      </c>
      <c r="B86" s="285" t="n">
        <v>22010.06</v>
      </c>
      <c r="C86" s="15">
        <f>B86/B74-1</f>
        <v/>
      </c>
      <c r="D86" s="15" t="n"/>
      <c r="E86" s="285" t="n">
        <v>21187.72</v>
      </c>
      <c r="F86" s="15">
        <f>E86/E74-1</f>
        <v/>
      </c>
      <c r="G86" s="15" t="n"/>
      <c r="H86" s="285" t="n">
        <v>781.37</v>
      </c>
      <c r="I86" s="15">
        <f>H86/H74-1</f>
        <v/>
      </c>
      <c r="J86" s="15" t="n"/>
      <c r="K86" s="285" t="n">
        <v>40.97</v>
      </c>
      <c r="L86" s="15">
        <f>K86/K74-1</f>
        <v/>
      </c>
      <c r="M86" s="15" t="n"/>
      <c r="N86" s="285" t="n">
        <v>16230.88</v>
      </c>
      <c r="O86" s="15">
        <f>N86/N74-1</f>
        <v/>
      </c>
      <c r="P86" s="15" t="n"/>
      <c r="Q86" s="285" t="n">
        <v>15827.57</v>
      </c>
      <c r="R86" s="15">
        <f>Q86/Q74-1</f>
        <v/>
      </c>
      <c r="S86" s="15" t="n"/>
      <c r="T86" s="285" t="n">
        <v>391.97</v>
      </c>
      <c r="U86" s="15">
        <f>T86/T74-1</f>
        <v/>
      </c>
      <c r="V86" s="15" t="n"/>
      <c r="W86" s="285" t="n">
        <v>11.34</v>
      </c>
      <c r="X86" s="15">
        <f>W86/W74-1</f>
        <v/>
      </c>
      <c r="Y86" s="15" t="n"/>
      <c r="Z86" s="285" t="n">
        <v>10672.98</v>
      </c>
      <c r="AA86" s="15">
        <f>Z86/Z74-1</f>
        <v/>
      </c>
      <c r="AB86" s="15" t="n"/>
      <c r="AC86" s="285" t="n">
        <v>10590.62</v>
      </c>
      <c r="AD86" s="15">
        <f>AC86/AC74-1</f>
        <v/>
      </c>
      <c r="AE86" s="15" t="n"/>
      <c r="AF86" s="285" t="n">
        <v>71.73</v>
      </c>
      <c r="AG86" s="15">
        <f>AF86/AF74-1</f>
        <v/>
      </c>
      <c r="AH86" s="15" t="n"/>
      <c r="AI86" s="285" t="n">
        <v>10.63</v>
      </c>
      <c r="AJ86" s="15">
        <f>AI86/AI74-1</f>
        <v/>
      </c>
      <c r="AK86" s="15" t="n"/>
      <c r="AL86" s="286" t="n">
        <v>73.73999999999999</v>
      </c>
      <c r="AM86" s="290">
        <f>AL86-AL74</f>
        <v/>
      </c>
      <c r="AN86" s="15" t="n"/>
      <c r="AO86" s="286" t="n">
        <v>74.7</v>
      </c>
      <c r="AP86" s="290">
        <f>AO86-AO74</f>
        <v/>
      </c>
      <c r="AQ86" s="15" t="n"/>
      <c r="AR86" s="286" t="n">
        <v>50.16</v>
      </c>
      <c r="AS86" s="290">
        <f>AR86-AR74</f>
        <v/>
      </c>
      <c r="AT86" s="15" t="n"/>
      <c r="AU86" s="286" t="n">
        <v>27.68</v>
      </c>
      <c r="AV86" s="290">
        <f>AU86-AU74</f>
        <v/>
      </c>
      <c r="AW86" s="15" t="n"/>
      <c r="AX86" s="285" t="n">
        <v>859</v>
      </c>
      <c r="AY86" s="15">
        <f>AX86/AX74-1</f>
        <v/>
      </c>
      <c r="AZ86" s="15" t="n"/>
      <c r="BA86" s="287" t="n"/>
      <c r="BB86" s="37" t="n"/>
      <c r="BC86" s="287" t="n"/>
      <c r="BD86" s="37" t="n"/>
      <c r="BE86" s="287" t="n"/>
      <c r="BF86" s="37" t="n"/>
      <c r="BG86" s="287" t="n"/>
      <c r="BH86" s="37" t="n"/>
      <c r="BI86" s="288" t="n"/>
      <c r="BJ86" s="37" t="n"/>
      <c r="BK86" s="288" t="n"/>
      <c r="BL86" s="37" t="n"/>
      <c r="BM86" s="288" t="n"/>
      <c r="BN86" s="37" t="n"/>
      <c r="BO86" s="288" t="n"/>
      <c r="BP86" s="288" t="n"/>
      <c r="BQ86" s="37" t="n"/>
      <c r="BR86" s="288" t="n"/>
      <c r="BS86" s="37" t="n"/>
      <c r="BT86" s="288" t="n"/>
      <c r="BU86" s="37" t="n"/>
      <c r="BV86" s="288" t="n"/>
      <c r="BW86" s="37" t="n"/>
      <c r="BX86" s="288" t="n"/>
      <c r="BY86" s="37" t="n"/>
      <c r="BZ86" s="288" t="n"/>
      <c r="CA86" s="37" t="n"/>
      <c r="CB86" s="288" t="n"/>
      <c r="CC86" s="37" t="n"/>
      <c r="CD86" s="288" t="n"/>
      <c r="CE86" s="37" t="n"/>
      <c r="CF86" s="288" t="n"/>
      <c r="CG86" s="291" t="n"/>
      <c r="CH86" s="288" t="n"/>
      <c r="CI86" s="291" t="n"/>
      <c r="CJ86" s="288" t="n"/>
      <c r="CK86" s="291" t="n"/>
      <c r="CL86" s="288" t="n"/>
      <c r="CM86" s="291" t="n"/>
      <c r="CN86" s="288" t="n"/>
      <c r="CO86" s="80" t="n"/>
      <c r="CP86" s="288" t="n"/>
      <c r="CQ86" s="80" t="n"/>
      <c r="CR86" s="288" t="n"/>
      <c r="CS86" s="80" t="n"/>
      <c r="CT86" s="288" t="n"/>
      <c r="CU86" s="80" t="n"/>
      <c r="CW86" s="288" t="n"/>
      <c r="CX86" s="37" t="n"/>
      <c r="CY86" s="288" t="n"/>
      <c r="CZ86" s="37" t="n"/>
      <c r="DA86" s="288" t="n"/>
      <c r="DB86" s="37" t="n"/>
      <c r="DC86" s="288" t="n"/>
      <c r="DD86" s="37" t="n"/>
      <c r="DE86" s="295" t="n"/>
      <c r="DF86" s="295" t="n"/>
      <c r="DG86" s="288" t="n"/>
    </row>
    <row r="87">
      <c r="A87" s="284" t="n">
        <v>44196</v>
      </c>
      <c r="B87" s="285" t="n">
        <v>22093.84</v>
      </c>
      <c r="C87" s="15">
        <f>B87/B75-1</f>
        <v/>
      </c>
      <c r="D87" s="15" t="n"/>
      <c r="E87" s="285" t="n">
        <v>21197.94</v>
      </c>
      <c r="F87" s="15">
        <f>E87/E75-1</f>
        <v/>
      </c>
      <c r="G87" s="15" t="n"/>
      <c r="H87" s="285" t="n">
        <v>851.1</v>
      </c>
      <c r="I87" s="15">
        <f>H87/H75-1</f>
        <v/>
      </c>
      <c r="J87" s="15" t="n"/>
      <c r="K87" s="285" t="n">
        <v>44.8</v>
      </c>
      <c r="L87" s="15">
        <f>K87/K75-1</f>
        <v/>
      </c>
      <c r="M87" s="15" t="n"/>
      <c r="N87" s="285" t="n">
        <v>15574.06</v>
      </c>
      <c r="O87" s="15">
        <f>N87/N75-1</f>
        <v/>
      </c>
      <c r="P87" s="15" t="n"/>
      <c r="Q87" s="285" t="n">
        <v>15152.39</v>
      </c>
      <c r="R87" s="15">
        <f>Q87/Q75-1</f>
        <v/>
      </c>
      <c r="S87" s="15" t="n"/>
      <c r="T87" s="285" t="n">
        <v>408.98</v>
      </c>
      <c r="U87" s="15">
        <f>T87/T75-1</f>
        <v/>
      </c>
      <c r="V87" s="15" t="n"/>
      <c r="W87" s="285" t="n">
        <v>12.68</v>
      </c>
      <c r="X87" s="15">
        <f>W87/W75-1</f>
        <v/>
      </c>
      <c r="Y87" s="15" t="n"/>
      <c r="Z87" s="285" t="n">
        <v>10022.46</v>
      </c>
      <c r="AA87" s="15">
        <f>Z87/Z75-1</f>
        <v/>
      </c>
      <c r="AB87" s="15" t="n"/>
      <c r="AC87" s="285" t="n">
        <v>9939.530000000001</v>
      </c>
      <c r="AD87" s="15">
        <f>AC87/AC75-1</f>
        <v/>
      </c>
      <c r="AE87" s="15" t="n"/>
      <c r="AF87" s="285" t="n">
        <v>70.88</v>
      </c>
      <c r="AG87" s="15">
        <f>AF87/AF75-1</f>
        <v/>
      </c>
      <c r="AH87" s="15" t="n"/>
      <c r="AI87" s="285" t="n">
        <v>12.05</v>
      </c>
      <c r="AJ87" s="15">
        <f>AI87/AI75-1</f>
        <v/>
      </c>
      <c r="AK87" s="15" t="n"/>
      <c r="AL87" s="286" t="n">
        <v>70.48999999999999</v>
      </c>
      <c r="AM87" s="290">
        <f>AL87-AL75</f>
        <v/>
      </c>
      <c r="AN87" s="15" t="n"/>
      <c r="AO87" s="286" t="n">
        <v>71.48</v>
      </c>
      <c r="AP87" s="290">
        <f>AO87-AO75</f>
        <v/>
      </c>
      <c r="AQ87" s="15" t="n"/>
      <c r="AR87" s="286" t="n">
        <v>48.05</v>
      </c>
      <c r="AS87" s="290">
        <f>AR87-AR75</f>
        <v/>
      </c>
      <c r="AT87" s="15" t="n"/>
      <c r="AU87" s="286" t="n">
        <v>28.3</v>
      </c>
      <c r="AV87" s="290">
        <f>AU87-AU75</f>
        <v/>
      </c>
      <c r="AW87" s="15" t="n"/>
      <c r="AX87" s="285" t="n">
        <v>867</v>
      </c>
      <c r="AY87" s="15">
        <f>AX87/AX75-1</f>
        <v/>
      </c>
      <c r="AZ87" s="15" t="n"/>
      <c r="BA87" s="287" t="n"/>
      <c r="BB87" s="37" t="n"/>
      <c r="BC87" s="287" t="n"/>
      <c r="BD87" s="37" t="n"/>
      <c r="BE87" s="287" t="n"/>
      <c r="BF87" s="37" t="n"/>
      <c r="BG87" s="287" t="n"/>
      <c r="BH87" s="37" t="n"/>
      <c r="BI87" s="288" t="n"/>
      <c r="BJ87" s="37" t="n"/>
      <c r="BK87" s="288" t="n"/>
      <c r="BL87" s="37" t="n"/>
      <c r="BM87" s="288" t="n"/>
      <c r="BN87" s="37" t="n"/>
      <c r="BO87" s="288" t="n"/>
      <c r="BP87" s="288" t="n"/>
      <c r="BQ87" s="37" t="n"/>
      <c r="BR87" s="288" t="n"/>
      <c r="BS87" s="37" t="n"/>
      <c r="BT87" s="288" t="n"/>
      <c r="BU87" s="37" t="n"/>
      <c r="BV87" s="288" t="n"/>
      <c r="BW87" s="37" t="n"/>
      <c r="BX87" s="288" t="n"/>
      <c r="BY87" s="37" t="n"/>
      <c r="BZ87" s="288" t="n"/>
      <c r="CA87" s="37" t="n"/>
      <c r="CB87" s="288" t="n"/>
      <c r="CC87" s="37" t="n"/>
      <c r="CD87" s="288" t="n"/>
      <c r="CE87" s="37" t="n"/>
      <c r="CF87" s="288" t="n"/>
      <c r="CG87" s="291" t="n"/>
      <c r="CH87" s="288" t="n"/>
      <c r="CI87" s="291" t="n"/>
      <c r="CJ87" s="288" t="n"/>
      <c r="CK87" s="291" t="n"/>
      <c r="CL87" s="288" t="n"/>
      <c r="CM87" s="291" t="n"/>
      <c r="CN87" s="288" t="n"/>
      <c r="CO87" s="80" t="n"/>
      <c r="CP87" s="288" t="n"/>
      <c r="CQ87" s="80" t="n"/>
      <c r="CR87" s="288" t="n"/>
      <c r="CS87" s="80" t="n"/>
      <c r="CT87" s="288" t="n"/>
      <c r="CU87" s="80" t="n"/>
      <c r="CW87" s="288" t="n"/>
      <c r="CX87" s="37" t="n"/>
      <c r="CY87" s="288" t="n"/>
      <c r="CZ87" s="37" t="n"/>
      <c r="DA87" s="288" t="n"/>
      <c r="DB87" s="37" t="n"/>
      <c r="DC87" s="288" t="n"/>
      <c r="DD87" s="37" t="n"/>
      <c r="DE87" s="295" t="n"/>
      <c r="DF87" s="295" t="n"/>
      <c r="DG87" s="288" t="n"/>
    </row>
    <row r="88" customFormat="1" s="245">
      <c r="A88" s="280" t="n">
        <v>44227</v>
      </c>
      <c r="B88" s="292" t="n">
        <v>14480.99</v>
      </c>
      <c r="C88" s="15">
        <f>B88/B76-1</f>
        <v/>
      </c>
      <c r="D88" s="15" t="n"/>
      <c r="E88" s="292" t="n">
        <v>13614.38</v>
      </c>
      <c r="F88" s="15">
        <f>E88/E76-1</f>
        <v/>
      </c>
      <c r="G88" s="15" t="n"/>
      <c r="H88" s="292" t="n">
        <v>824.22</v>
      </c>
      <c r="I88" s="15">
        <f>H88/H76-1</f>
        <v/>
      </c>
      <c r="J88" s="15" t="n"/>
      <c r="K88" s="292" t="n">
        <v>42.39</v>
      </c>
      <c r="L88" s="15">
        <f>K88/K76-1</f>
        <v/>
      </c>
      <c r="M88" s="15" t="n"/>
      <c r="N88" s="292" t="n">
        <v>9261.08</v>
      </c>
      <c r="O88" s="15">
        <f>N88/N76-1</f>
        <v/>
      </c>
      <c r="P88" s="15" t="n"/>
      <c r="Q88" s="292" t="n">
        <v>8884.49</v>
      </c>
      <c r="R88" s="15">
        <f>Q88/Q76-1</f>
        <v/>
      </c>
      <c r="S88" s="15" t="n"/>
      <c r="T88" s="292" t="n">
        <v>364.73</v>
      </c>
      <c r="U88" s="15">
        <f>T88/T76-1</f>
        <v/>
      </c>
      <c r="V88" s="15" t="n"/>
      <c r="W88" s="292" t="n">
        <v>11.87</v>
      </c>
      <c r="X88" s="15">
        <f>W88/W76-1</f>
        <v/>
      </c>
      <c r="Y88" s="15" t="n"/>
      <c r="Z88" s="292" t="n">
        <v>6074.61</v>
      </c>
      <c r="AA88" s="15">
        <f>Z88/Z76-1</f>
        <v/>
      </c>
      <c r="AB88" s="15" t="n"/>
      <c r="AC88" s="292" t="n">
        <v>6001.55</v>
      </c>
      <c r="AD88" s="15">
        <f>AC88/AC76-1</f>
        <v/>
      </c>
      <c r="AE88" s="15" t="n"/>
      <c r="AF88" s="292" t="n">
        <v>61.44</v>
      </c>
      <c r="AG88" s="15">
        <f>AF88/AF76-1</f>
        <v/>
      </c>
      <c r="AH88" s="15" t="n"/>
      <c r="AI88" s="292" t="n">
        <v>11.62</v>
      </c>
      <c r="AJ88" s="15">
        <f>AI88/AI76-1</f>
        <v/>
      </c>
      <c r="AK88" s="15" t="n"/>
      <c r="AL88" s="293" t="n">
        <v>63.95</v>
      </c>
      <c r="AM88" s="290">
        <f>AL88-AL76</f>
        <v/>
      </c>
      <c r="AN88" s="15" t="n"/>
      <c r="AO88" s="293" t="n">
        <v>65.26000000000001</v>
      </c>
      <c r="AP88" s="290">
        <f>AO88-AO76</f>
        <v/>
      </c>
      <c r="AQ88" s="15" t="n"/>
      <c r="AR88" s="293" t="n">
        <v>44.25</v>
      </c>
      <c r="AS88" s="290">
        <f>AR88-AR76</f>
        <v/>
      </c>
      <c r="AT88" s="15" t="n"/>
      <c r="AU88" s="293" t="n">
        <v>27.99</v>
      </c>
      <c r="AV88" s="290">
        <f>AU88-AU76</f>
        <v/>
      </c>
      <c r="AW88" s="15" t="n"/>
      <c r="AX88" s="292" t="n">
        <v>866</v>
      </c>
      <c r="AY88" s="15">
        <f>AX88/AX76-1</f>
        <v/>
      </c>
      <c r="AZ88" s="15" t="n"/>
      <c r="BA88" s="292" t="n"/>
      <c r="BB88" s="254" t="n"/>
      <c r="BC88" s="292" t="n"/>
      <c r="BD88" s="254" t="n"/>
      <c r="BE88" s="292" t="n"/>
      <c r="BF88" s="254" t="n"/>
      <c r="BG88" s="292" t="n"/>
      <c r="BH88" s="254" t="n"/>
      <c r="BI88" s="292" t="n"/>
      <c r="BJ88" s="254" t="n"/>
      <c r="BK88" s="292" t="n"/>
      <c r="BL88" s="254" t="n"/>
      <c r="BM88" s="292" t="n"/>
      <c r="BN88" s="254" t="n"/>
      <c r="BO88" s="292" t="n"/>
      <c r="BP88" s="292" t="n"/>
      <c r="BQ88" s="254" t="n"/>
      <c r="BR88" s="292" t="n"/>
      <c r="BS88" s="254" t="n"/>
      <c r="BT88" s="292" t="n"/>
      <c r="BU88" s="254" t="n"/>
      <c r="BV88" s="292" t="n"/>
      <c r="BW88" s="254" t="n"/>
      <c r="BX88" s="292" t="n"/>
      <c r="BY88" s="254" t="n"/>
      <c r="BZ88" s="292" t="n"/>
      <c r="CA88" s="254" t="n"/>
      <c r="CB88" s="292" t="n"/>
      <c r="CC88" s="254" t="n"/>
      <c r="CD88" s="292" t="n"/>
      <c r="CE88" s="254" t="n"/>
      <c r="CF88" s="292" t="n"/>
      <c r="CG88" s="292" t="n"/>
      <c r="CH88" s="292" t="n"/>
      <c r="CI88" s="292" t="n"/>
      <c r="CJ88" s="292" t="n"/>
      <c r="CK88" s="292" t="n"/>
      <c r="CL88" s="292" t="n"/>
      <c r="CM88" s="292" t="n"/>
      <c r="CN88" s="292" t="n"/>
      <c r="CO88" s="218" t="n"/>
      <c r="CP88" s="292" t="n"/>
      <c r="CQ88" s="218" t="n"/>
      <c r="CR88" s="297" t="n"/>
      <c r="CS88" s="218" t="n"/>
      <c r="CT88" s="292" t="n"/>
      <c r="CU88" s="218" t="n"/>
      <c r="CW88" s="292" t="n"/>
      <c r="CX88" s="254" t="n"/>
      <c r="CY88" s="292" t="n"/>
      <c r="CZ88" s="254" t="n"/>
      <c r="DA88" s="292" t="n"/>
      <c r="DB88" s="254" t="n"/>
      <c r="DC88" s="292" t="n"/>
      <c r="DD88" s="254" t="n"/>
      <c r="DE88" s="294" t="n"/>
      <c r="DF88" s="294" t="n"/>
    </row>
    <row r="89">
      <c r="A89" s="284" t="n">
        <v>44255</v>
      </c>
      <c r="B89" s="285" t="n">
        <v>12111.5</v>
      </c>
      <c r="C89" s="15">
        <f>B89/B77-1</f>
        <v/>
      </c>
      <c r="D89" s="15" t="n"/>
      <c r="E89" s="285" t="n">
        <v>11498.9</v>
      </c>
      <c r="F89" s="15">
        <f>E89/E77-1</f>
        <v/>
      </c>
      <c r="G89" s="15" t="n"/>
      <c r="H89" s="285" t="n">
        <v>580.53</v>
      </c>
      <c r="I89" s="15">
        <f>H89/H77-1</f>
        <v/>
      </c>
      <c r="J89" s="15" t="n"/>
      <c r="K89" s="285" t="n">
        <v>32.07</v>
      </c>
      <c r="L89" s="15">
        <f>K89/K77-1</f>
        <v/>
      </c>
      <c r="M89" s="15" t="n"/>
      <c r="N89" s="285" t="n">
        <v>7844.1</v>
      </c>
      <c r="O89" s="15">
        <f>N89/N77-1</f>
        <v/>
      </c>
      <c r="P89" s="15" t="n"/>
      <c r="Q89" s="285" t="n">
        <v>7596.26</v>
      </c>
      <c r="R89" s="15">
        <f>Q89/Q77-1</f>
        <v/>
      </c>
      <c r="S89" s="15" t="n"/>
      <c r="T89" s="285" t="n">
        <v>237.84</v>
      </c>
      <c r="U89" s="15">
        <f>T89/T77-1</f>
        <v/>
      </c>
      <c r="V89" s="15" t="n"/>
      <c r="W89" s="285" t="n">
        <v>10</v>
      </c>
      <c r="X89" s="15">
        <f>W89/W77-1</f>
        <v/>
      </c>
      <c r="Y89" s="15" t="n"/>
      <c r="Z89" s="285" t="n">
        <v>5052.34</v>
      </c>
      <c r="AA89" s="15">
        <f>Z89/Z77-1</f>
        <v/>
      </c>
      <c r="AB89" s="15" t="n"/>
      <c r="AC89" s="285" t="n">
        <v>5003.39</v>
      </c>
      <c r="AD89" s="15">
        <f>AC89/AC77-1</f>
        <v/>
      </c>
      <c r="AE89" s="15" t="n"/>
      <c r="AF89" s="285" t="n">
        <v>39.34</v>
      </c>
      <c r="AG89" s="15">
        <f>AF89/AF77-1</f>
        <v/>
      </c>
      <c r="AH89" s="15" t="n"/>
      <c r="AI89" s="285" t="n">
        <v>9.609999999999999</v>
      </c>
      <c r="AJ89" s="15">
        <f>AI89/AI77-1</f>
        <v/>
      </c>
      <c r="AK89" s="15" t="n"/>
      <c r="AL89" s="286" t="n">
        <v>64.77</v>
      </c>
      <c r="AM89" s="290">
        <f>AL89-AL77</f>
        <v/>
      </c>
      <c r="AN89" s="15" t="n"/>
      <c r="AO89" s="286" t="n">
        <v>66.06</v>
      </c>
      <c r="AP89" s="290">
        <f>AO89-AO77</f>
        <v/>
      </c>
      <c r="AQ89" s="15" t="n"/>
      <c r="AR89" s="286" t="n">
        <v>40.97</v>
      </c>
      <c r="AS89" s="290">
        <f>AR89-AR77</f>
        <v/>
      </c>
      <c r="AT89" s="15" t="n"/>
      <c r="AU89" s="286" t="n">
        <v>31.18</v>
      </c>
      <c r="AV89" s="290">
        <f>AU89-AU77</f>
        <v/>
      </c>
      <c r="AW89" s="15" t="n"/>
      <c r="AX89" s="285" t="n">
        <v>867</v>
      </c>
      <c r="AY89" s="15">
        <f>AX89/AX77-1</f>
        <v/>
      </c>
      <c r="AZ89" s="15" t="n"/>
      <c r="BA89" s="287" t="n"/>
      <c r="BB89" s="37" t="n"/>
      <c r="BC89" s="287" t="n"/>
      <c r="BD89" s="37" t="n"/>
      <c r="BE89" s="287" t="n"/>
      <c r="BF89" s="37" t="n"/>
      <c r="BG89" s="287" t="n"/>
      <c r="BH89" s="37" t="n"/>
      <c r="BI89" s="288" t="n"/>
      <c r="BJ89" s="37" t="n"/>
      <c r="BK89" s="288" t="n"/>
      <c r="BL89" s="37" t="n"/>
      <c r="BM89" s="288" t="n"/>
      <c r="BN89" s="37" t="n"/>
      <c r="BO89" s="288" t="n"/>
      <c r="BP89" s="288" t="n"/>
      <c r="BQ89" s="37" t="n"/>
      <c r="BR89" s="288" t="n"/>
      <c r="BS89" s="37" t="n"/>
      <c r="BT89" s="288" t="n"/>
      <c r="BU89" s="37" t="n"/>
      <c r="BV89" s="288" t="n"/>
      <c r="BW89" s="37" t="n"/>
      <c r="BX89" s="288" t="n"/>
      <c r="BY89" s="37" t="n"/>
      <c r="BZ89" s="288" t="n"/>
      <c r="CA89" s="37" t="n"/>
      <c r="CB89" s="288" t="n"/>
      <c r="CC89" s="37" t="n"/>
      <c r="CD89" s="288" t="n"/>
      <c r="CE89" s="37" t="n"/>
      <c r="CF89" s="288" t="n"/>
      <c r="CG89" s="291" t="n"/>
      <c r="CH89" s="288" t="n"/>
      <c r="CI89" s="291" t="n"/>
      <c r="CJ89" s="288" t="n"/>
      <c r="CK89" s="291" t="n"/>
      <c r="CL89" s="288" t="n"/>
      <c r="CM89" s="291" t="n"/>
      <c r="CN89" s="288" t="n"/>
      <c r="CO89" s="80" t="n"/>
      <c r="CP89" s="288" t="n"/>
      <c r="CQ89" s="80" t="n"/>
      <c r="CR89" s="288" t="n"/>
      <c r="CS89" s="80" t="n"/>
      <c r="CT89" s="288" t="n"/>
      <c r="CU89" s="80" t="n"/>
      <c r="CW89" s="288" t="n"/>
      <c r="CX89" s="37" t="n"/>
      <c r="CY89" s="288" t="n"/>
      <c r="CZ89" s="37" t="n"/>
      <c r="DA89" s="288" t="n"/>
      <c r="DB89" s="37" t="n"/>
      <c r="DC89" s="288" t="n"/>
      <c r="DD89" s="37" t="n"/>
      <c r="DE89" s="295" t="n"/>
      <c r="DF89" s="295" t="n"/>
      <c r="DG89" s="288" t="n"/>
    </row>
    <row r="90">
      <c r="A90" s="284" t="n">
        <v>44286</v>
      </c>
      <c r="B90" s="285" t="n">
        <v>23093.5</v>
      </c>
      <c r="C90" s="15">
        <f>B90/B78-1</f>
        <v/>
      </c>
      <c r="D90" s="15" t="n"/>
      <c r="E90" s="285" t="n">
        <v>22309.59</v>
      </c>
      <c r="F90" s="15">
        <f>E90/E78-1</f>
        <v/>
      </c>
      <c r="G90" s="15" t="n"/>
      <c r="H90" s="285" t="n">
        <v>733.92</v>
      </c>
      <c r="I90" s="15">
        <f>H90/H78-1</f>
        <v/>
      </c>
      <c r="J90" s="15" t="n"/>
      <c r="K90" s="285" t="n">
        <v>49.99</v>
      </c>
      <c r="L90" s="15">
        <f>K90/K78-1</f>
        <v/>
      </c>
      <c r="M90" s="15" t="n"/>
      <c r="N90" s="285" t="n">
        <v>17310.29</v>
      </c>
      <c r="O90" s="15">
        <f>N90/N78-1</f>
        <v/>
      </c>
      <c r="P90" s="15" t="n"/>
      <c r="Q90" s="285" t="n">
        <v>16968.93</v>
      </c>
      <c r="R90" s="15">
        <f>Q90/Q78-1</f>
        <v/>
      </c>
      <c r="S90" s="15" t="n"/>
      <c r="T90" s="285" t="n">
        <v>323.64</v>
      </c>
      <c r="U90" s="15">
        <f>T90/T78-1</f>
        <v/>
      </c>
      <c r="V90" s="15" t="n"/>
      <c r="W90" s="285" t="n">
        <v>17.72</v>
      </c>
      <c r="X90" s="15">
        <f>W90/W78-1</f>
        <v/>
      </c>
      <c r="Y90" s="15" t="n"/>
      <c r="Z90" s="285" t="n">
        <v>11204.55</v>
      </c>
      <c r="AA90" s="15">
        <f>Z90/Z78-1</f>
        <v/>
      </c>
      <c r="AB90" s="15" t="n"/>
      <c r="AC90" s="285" t="n">
        <v>11126.13</v>
      </c>
      <c r="AD90" s="15">
        <f>AC90/AC78-1</f>
        <v/>
      </c>
      <c r="AE90" s="15" t="n"/>
      <c r="AF90" s="285" t="n">
        <v>61.53</v>
      </c>
      <c r="AG90" s="15">
        <f>AF90/AF78-1</f>
        <v/>
      </c>
      <c r="AH90" s="15" t="n"/>
      <c r="AI90" s="285" t="n">
        <v>16.88</v>
      </c>
      <c r="AJ90" s="15">
        <f>AI90/AI78-1</f>
        <v/>
      </c>
      <c r="AK90" s="15" t="n"/>
      <c r="AL90" s="286" t="n">
        <v>74.95999999999999</v>
      </c>
      <c r="AM90" s="290">
        <f>AL90-AL78</f>
        <v/>
      </c>
      <c r="AN90" s="15" t="n"/>
      <c r="AO90" s="286" t="n">
        <v>76.06</v>
      </c>
      <c r="AP90" s="290">
        <f>AO90-AO78</f>
        <v/>
      </c>
      <c r="AQ90" s="15" t="n"/>
      <c r="AR90" s="286" t="n">
        <v>44.1</v>
      </c>
      <c r="AS90" s="290">
        <f>AR90-AR78</f>
        <v/>
      </c>
      <c r="AT90" s="15" t="n"/>
      <c r="AU90" s="286" t="n">
        <v>35.46</v>
      </c>
      <c r="AV90" s="290">
        <f>AU90-AU78</f>
        <v/>
      </c>
      <c r="AW90" s="15" t="n"/>
      <c r="AX90" s="285" t="n">
        <v>870</v>
      </c>
      <c r="AY90" s="15">
        <f>AX90/AX78-1</f>
        <v/>
      </c>
      <c r="AZ90" s="15" t="n"/>
      <c r="BA90" s="287" t="n"/>
      <c r="BB90" s="37" t="n"/>
      <c r="BC90" s="287" t="n"/>
      <c r="BD90" s="37" t="n"/>
      <c r="BE90" s="287" t="n"/>
      <c r="BF90" s="37" t="n"/>
      <c r="BG90" s="287" t="n"/>
      <c r="BH90" s="37" t="n"/>
      <c r="BI90" s="288" t="n"/>
      <c r="BJ90" s="37" t="n"/>
      <c r="BK90" s="288" t="n"/>
      <c r="BL90" s="37" t="n"/>
      <c r="BM90" s="288" t="n"/>
      <c r="BN90" s="37" t="n"/>
      <c r="BO90" s="288" t="n"/>
      <c r="BP90" s="288" t="n"/>
      <c r="BQ90" s="37" t="n"/>
      <c r="BR90" s="288" t="n"/>
      <c r="BS90" s="37" t="n"/>
      <c r="BT90" s="288" t="n"/>
      <c r="BU90" s="37" t="n"/>
      <c r="BV90" s="288" t="n"/>
      <c r="BW90" s="37" t="n"/>
      <c r="BX90" s="288" t="n"/>
      <c r="BY90" s="37" t="n"/>
      <c r="BZ90" s="288" t="n"/>
      <c r="CA90" s="37" t="n"/>
      <c r="CB90" s="288" t="n"/>
      <c r="CC90" s="37" t="n"/>
      <c r="CD90" s="288" t="n"/>
      <c r="CE90" s="37" t="n"/>
      <c r="CF90" s="288" t="n"/>
      <c r="CG90" s="291" t="n"/>
      <c r="CH90" s="288" t="n"/>
      <c r="CI90" s="291" t="n"/>
      <c r="CJ90" s="288" t="n"/>
      <c r="CK90" s="291" t="n"/>
      <c r="CL90" s="288" t="n"/>
      <c r="CM90" s="291" t="n"/>
      <c r="CN90" s="288" t="n"/>
      <c r="CO90" s="80" t="n"/>
      <c r="CP90" s="288" t="n"/>
      <c r="CQ90" s="80" t="n"/>
      <c r="CR90" s="288" t="n"/>
      <c r="CS90" s="80" t="n"/>
      <c r="CT90" s="288" t="n"/>
      <c r="CU90" s="80" t="n"/>
      <c r="CW90" s="288" t="n"/>
      <c r="CX90" s="37" t="n"/>
      <c r="CY90" s="288" t="n"/>
      <c r="CZ90" s="37" t="n"/>
      <c r="DA90" s="288" t="n"/>
      <c r="DB90" s="37" t="n"/>
      <c r="DC90" s="288" t="n"/>
      <c r="DD90" s="37" t="n"/>
      <c r="DE90" s="295" t="n"/>
      <c r="DF90" s="295" t="n"/>
      <c r="DG90" s="296" t="n"/>
    </row>
    <row r="91">
      <c r="A91" s="284" t="n">
        <v>44316</v>
      </c>
      <c r="B91" s="285" t="n">
        <v>24006.47</v>
      </c>
      <c r="C91" s="15">
        <f>B91/B79-1</f>
        <v/>
      </c>
      <c r="D91" s="15" t="n"/>
      <c r="E91" s="285" t="n">
        <v>23209.97</v>
      </c>
      <c r="F91" s="15">
        <f>E91/E79-1</f>
        <v/>
      </c>
      <c r="G91" s="15" t="n"/>
      <c r="H91" s="285" t="n">
        <v>743.51</v>
      </c>
      <c r="I91" s="15">
        <f>H91/H79-1</f>
        <v/>
      </c>
      <c r="J91" s="15" t="n"/>
      <c r="K91" s="285" t="n">
        <v>52.99</v>
      </c>
      <c r="L91" s="15">
        <f>K91/K79-1</f>
        <v/>
      </c>
      <c r="M91" s="15" t="n"/>
      <c r="N91" s="285" t="n">
        <v>18513.14</v>
      </c>
      <c r="O91" s="15">
        <f>N91/N79-1</f>
        <v/>
      </c>
      <c r="P91" s="15" t="n"/>
      <c r="Q91" s="285" t="n">
        <v>18124.64</v>
      </c>
      <c r="R91" s="15">
        <f>Q91/Q79-1</f>
        <v/>
      </c>
      <c r="S91" s="15" t="n"/>
      <c r="T91" s="285" t="n">
        <v>369.76</v>
      </c>
      <c r="U91" s="15">
        <f>T91/T79-1</f>
        <v/>
      </c>
      <c r="V91" s="15" t="n"/>
      <c r="W91" s="285" t="n">
        <v>18.74</v>
      </c>
      <c r="X91" s="15">
        <f>W91/W79-1</f>
        <v/>
      </c>
      <c r="Y91" s="15" t="n"/>
      <c r="Z91" s="285" t="n">
        <v>12046.24</v>
      </c>
      <c r="AA91" s="15">
        <f>Z91/Z79-1</f>
        <v/>
      </c>
      <c r="AB91" s="15" t="n"/>
      <c r="AC91" s="285" t="n">
        <v>11967.16</v>
      </c>
      <c r="AD91" s="15">
        <f>AC91/AC79-1</f>
        <v/>
      </c>
      <c r="AE91" s="15" t="n"/>
      <c r="AF91" s="285" t="n">
        <v>61.45</v>
      </c>
      <c r="AG91" s="15">
        <f>AF91/AF79-1</f>
        <v/>
      </c>
      <c r="AH91" s="15" t="n"/>
      <c r="AI91" s="285" t="n">
        <v>17.63</v>
      </c>
      <c r="AJ91" s="15">
        <f>AI91/AI79-1</f>
        <v/>
      </c>
      <c r="AK91" s="15" t="n"/>
      <c r="AL91" s="286" t="n">
        <v>77.12</v>
      </c>
      <c r="AM91" s="290">
        <f>AL91-AL79</f>
        <v/>
      </c>
      <c r="AN91" s="15" t="n"/>
      <c r="AO91" s="286" t="n">
        <v>78.09</v>
      </c>
      <c r="AP91" s="290">
        <f>AO91-AO79</f>
        <v/>
      </c>
      <c r="AQ91" s="15" t="n"/>
      <c r="AR91" s="286" t="n">
        <v>49.73</v>
      </c>
      <c r="AS91" s="290">
        <f>AR91-AR79</f>
        <v/>
      </c>
      <c r="AT91" s="15" t="n"/>
      <c r="AU91" s="286" t="n">
        <v>35.37</v>
      </c>
      <c r="AV91" s="290">
        <f>AU91-AU79</f>
        <v/>
      </c>
      <c r="AW91" s="15" t="n"/>
      <c r="AX91" s="285" t="n">
        <v>870</v>
      </c>
      <c r="AY91" s="15">
        <f>AX91/AX79-1</f>
        <v/>
      </c>
      <c r="AZ91" s="15" t="n"/>
      <c r="BA91" s="287" t="n"/>
      <c r="BB91" s="37" t="n"/>
      <c r="BC91" s="287" t="n"/>
      <c r="BD91" s="37" t="n"/>
      <c r="BE91" s="287" t="n"/>
      <c r="BF91" s="37" t="n"/>
      <c r="BG91" s="287" t="n"/>
      <c r="BH91" s="37" t="n"/>
      <c r="BI91" s="288" t="n"/>
      <c r="BJ91" s="37" t="n"/>
      <c r="BK91" s="288" t="n"/>
      <c r="BL91" s="37" t="n"/>
      <c r="BM91" s="288" t="n"/>
      <c r="BN91" s="37" t="n"/>
      <c r="BO91" s="288" t="n"/>
      <c r="BP91" s="288" t="n"/>
      <c r="BQ91" s="37" t="n"/>
      <c r="BR91" s="288" t="n"/>
      <c r="BS91" s="37" t="n"/>
      <c r="BT91" s="288" t="n"/>
      <c r="BU91" s="37" t="n"/>
      <c r="BV91" s="288" t="n"/>
      <c r="BW91" s="37" t="n"/>
      <c r="BX91" s="288" t="n"/>
      <c r="BY91" s="37" t="n"/>
      <c r="BZ91" s="288" t="n"/>
      <c r="CA91" s="37" t="n"/>
      <c r="CB91" s="288" t="n"/>
      <c r="CC91" s="37" t="n"/>
      <c r="CD91" s="288" t="n"/>
      <c r="CE91" s="37" t="n"/>
      <c r="CF91" s="288" t="n"/>
      <c r="CG91" s="291" t="n"/>
      <c r="CH91" s="288" t="n"/>
      <c r="CI91" s="291" t="n"/>
      <c r="CJ91" s="288" t="n"/>
      <c r="CK91" s="291" t="n"/>
      <c r="CL91" s="288" t="n"/>
      <c r="CM91" s="291" t="n"/>
      <c r="CN91" s="288" t="n"/>
      <c r="CO91" s="80" t="n"/>
      <c r="CP91" s="288" t="n"/>
      <c r="CQ91" s="80" t="n"/>
      <c r="CR91" s="288" t="n"/>
      <c r="CS91" s="80" t="n"/>
      <c r="CT91" s="288" t="n"/>
      <c r="CU91" s="80" t="n"/>
      <c r="CW91" s="288" t="n"/>
      <c r="CX91" s="37" t="n"/>
      <c r="CY91" s="288" t="n"/>
      <c r="CZ91" s="37" t="n"/>
      <c r="DA91" s="288" t="n"/>
      <c r="DB91" s="37" t="n"/>
      <c r="DC91" s="288" t="n"/>
      <c r="DD91" s="37" t="n"/>
      <c r="DE91" s="295" t="n"/>
      <c r="DF91" s="295" t="n"/>
      <c r="DG91" s="296" t="n"/>
    </row>
    <row r="92">
      <c r="A92" s="284" t="n">
        <v>44347</v>
      </c>
      <c r="B92" s="285" t="n">
        <v>23165.17</v>
      </c>
      <c r="C92" s="15">
        <f>B92/B80-1</f>
        <v/>
      </c>
      <c r="D92" s="15" t="n"/>
      <c r="E92" s="285" t="n">
        <v>22410.2</v>
      </c>
      <c r="F92" s="15">
        <f>E92/E80-1</f>
        <v/>
      </c>
      <c r="G92" s="15" t="n"/>
      <c r="H92" s="285" t="n">
        <v>696.66</v>
      </c>
      <c r="I92" s="15">
        <f>H92/H80-1</f>
        <v/>
      </c>
      <c r="J92" s="15" t="n"/>
      <c r="K92" s="285" t="n">
        <v>58.31</v>
      </c>
      <c r="L92" s="15">
        <f>K92/K80-1</f>
        <v/>
      </c>
      <c r="M92" s="15" t="n"/>
      <c r="N92" s="285" t="n">
        <v>18121.39</v>
      </c>
      <c r="O92" s="15">
        <f>N92/N80-1</f>
        <v/>
      </c>
      <c r="P92" s="15" t="n"/>
      <c r="Q92" s="285" t="n">
        <v>17750.3</v>
      </c>
      <c r="R92" s="15">
        <f>Q92/Q80-1</f>
        <v/>
      </c>
      <c r="S92" s="15" t="n"/>
      <c r="T92" s="285" t="n">
        <v>349.36</v>
      </c>
      <c r="U92" s="15">
        <f>T92/T80-1</f>
        <v/>
      </c>
      <c r="V92" s="15" t="n"/>
      <c r="W92" s="285" t="n">
        <v>21.73</v>
      </c>
      <c r="X92" s="15">
        <f>W92/W80-1</f>
        <v/>
      </c>
      <c r="Y92" s="15" t="n"/>
      <c r="Z92" s="285" t="n">
        <v>11848.02</v>
      </c>
      <c r="AA92" s="15">
        <f>Z92/Z80-1</f>
        <v/>
      </c>
      <c r="AB92" s="15" t="n"/>
      <c r="AC92" s="285" t="n">
        <v>11770.12</v>
      </c>
      <c r="AD92" s="15">
        <f>AC92/AC80-1</f>
        <v/>
      </c>
      <c r="AE92" s="15" t="n"/>
      <c r="AF92" s="285" t="n">
        <v>57.55</v>
      </c>
      <c r="AG92" s="15">
        <f>AF92/AF80-1</f>
        <v/>
      </c>
      <c r="AH92" s="15" t="n"/>
      <c r="AI92" s="285" t="n">
        <v>20.35</v>
      </c>
      <c r="AJ92" s="15">
        <f>AI92/AI80-1</f>
        <v/>
      </c>
      <c r="AK92" s="15" t="n"/>
      <c r="AL92" s="286" t="n">
        <v>78.23</v>
      </c>
      <c r="AM92" s="290">
        <f>AL92-AL80</f>
        <v/>
      </c>
      <c r="AN92" s="15" t="n"/>
      <c r="AO92" s="286" t="n">
        <v>79.20999999999999</v>
      </c>
      <c r="AP92" s="290">
        <f>AO92-AO80</f>
        <v/>
      </c>
      <c r="AQ92" s="15" t="n"/>
      <c r="AR92" s="286" t="n">
        <v>50.15</v>
      </c>
      <c r="AS92" s="290">
        <f>AR92-AR80</f>
        <v/>
      </c>
      <c r="AT92" s="15" t="n"/>
      <c r="AU92" s="286" t="n">
        <v>37.27</v>
      </c>
      <c r="AV92" s="290">
        <f>AU92-AU80</f>
        <v/>
      </c>
      <c r="AW92" s="15" t="n"/>
      <c r="AX92" s="285" t="n">
        <v>869</v>
      </c>
      <c r="AY92" s="15">
        <f>AX92/AX80-1</f>
        <v/>
      </c>
      <c r="AZ92" s="15" t="n"/>
      <c r="BA92" s="287" t="n"/>
      <c r="BB92" s="37" t="n"/>
      <c r="BC92" s="287" t="n"/>
      <c r="BD92" s="37" t="n"/>
      <c r="BE92" s="287" t="n"/>
      <c r="BF92" s="37" t="n"/>
      <c r="BG92" s="287" t="n"/>
      <c r="BH92" s="37" t="n"/>
      <c r="BI92" s="288" t="n"/>
      <c r="BJ92" s="37" t="n"/>
      <c r="BK92" s="288" t="n"/>
      <c r="BL92" s="37" t="n"/>
      <c r="BM92" s="288" t="n"/>
      <c r="BN92" s="37" t="n"/>
      <c r="BO92" s="288" t="n"/>
      <c r="BP92" s="288" t="n"/>
      <c r="BQ92" s="37" t="n"/>
      <c r="BR92" s="288" t="n"/>
      <c r="BS92" s="37" t="n"/>
      <c r="BT92" s="288" t="n"/>
      <c r="BU92" s="37" t="n"/>
      <c r="BV92" s="288" t="n"/>
      <c r="BW92" s="37" t="n"/>
      <c r="BX92" s="288" t="n"/>
      <c r="BY92" s="37" t="n"/>
      <c r="BZ92" s="288" t="n"/>
      <c r="CA92" s="37" t="n"/>
      <c r="CB92" s="288" t="n"/>
      <c r="CC92" s="37" t="n"/>
      <c r="CD92" s="288" t="n"/>
      <c r="CE92" s="37" t="n"/>
      <c r="CF92" s="288" t="n"/>
      <c r="CG92" s="291" t="n"/>
      <c r="CH92" s="288" t="n"/>
      <c r="CI92" s="291" t="n"/>
      <c r="CJ92" s="288" t="n"/>
      <c r="CK92" s="291" t="n"/>
      <c r="CL92" s="288" t="n"/>
      <c r="CM92" s="291" t="n"/>
      <c r="CN92" s="288" t="n"/>
      <c r="CO92" s="80" t="n"/>
      <c r="CP92" s="288" t="n"/>
      <c r="CQ92" s="80" t="n"/>
      <c r="CR92" s="288" t="n"/>
      <c r="CS92" s="80" t="n"/>
      <c r="CT92" s="288" t="n"/>
      <c r="CU92" s="80" t="n"/>
      <c r="CW92" s="288" t="n"/>
      <c r="CX92" s="37" t="n"/>
      <c r="CY92" s="288" t="n"/>
      <c r="CZ92" s="37" t="n"/>
      <c r="DA92" s="288" t="n"/>
      <c r="DB92" s="37" t="n"/>
      <c r="DC92" s="288" t="n"/>
      <c r="DD92" s="37" t="n"/>
      <c r="DE92" s="295" t="n"/>
      <c r="DF92" s="295" t="n"/>
      <c r="DG92" s="296" t="n"/>
    </row>
    <row r="93">
      <c r="A93" s="284" t="n">
        <v>44377</v>
      </c>
      <c r="B93" s="285" t="n">
        <v>17449.51</v>
      </c>
      <c r="C93" s="15">
        <f>B93/B81-1</f>
        <v/>
      </c>
      <c r="D93" s="15" t="n"/>
      <c r="E93" s="285" t="n">
        <v>16726.58</v>
      </c>
      <c r="F93" s="15">
        <f>E93/E81-1</f>
        <v/>
      </c>
      <c r="G93" s="15" t="n"/>
      <c r="H93" s="285" t="n">
        <v>664.98</v>
      </c>
      <c r="I93" s="15">
        <f>H93/H81-1</f>
        <v/>
      </c>
      <c r="J93" s="15" t="n"/>
      <c r="K93" s="285" t="n">
        <v>57.95</v>
      </c>
      <c r="L93" s="15">
        <f>K93/K81-1</f>
        <v/>
      </c>
      <c r="M93" s="15" t="n"/>
      <c r="N93" s="285" t="n">
        <v>13169.26</v>
      </c>
      <c r="O93" s="15">
        <f>N93/N81-1</f>
        <v/>
      </c>
      <c r="P93" s="15" t="n"/>
      <c r="Q93" s="285" t="n">
        <v>12815.15</v>
      </c>
      <c r="R93" s="15">
        <f>Q93/Q81-1</f>
        <v/>
      </c>
      <c r="S93" s="15" t="n"/>
      <c r="T93" s="285" t="n">
        <v>334.04</v>
      </c>
      <c r="U93" s="15">
        <f>T93/T81-1</f>
        <v/>
      </c>
      <c r="V93" s="15" t="n"/>
      <c r="W93" s="285" t="n">
        <v>20.07</v>
      </c>
      <c r="X93" s="15">
        <f>W93/W81-1</f>
        <v/>
      </c>
      <c r="Y93" s="15" t="n"/>
      <c r="Z93" s="285" t="n">
        <v>8499.469999999999</v>
      </c>
      <c r="AA93" s="15">
        <f>Z93/Z81-1</f>
        <v/>
      </c>
      <c r="AB93" s="15" t="n"/>
      <c r="AC93" s="285" t="n">
        <v>8426.190000000001</v>
      </c>
      <c r="AD93" s="15">
        <f>AC93/AC81-1</f>
        <v/>
      </c>
      <c r="AE93" s="15" t="n"/>
      <c r="AF93" s="285" t="n">
        <v>53.47</v>
      </c>
      <c r="AG93" s="15">
        <f>AF93/AF81-1</f>
        <v/>
      </c>
      <c r="AH93" s="15" t="n"/>
      <c r="AI93" s="285" t="n">
        <v>19.81</v>
      </c>
      <c r="AJ93" s="15">
        <f>AI93/AI81-1</f>
        <v/>
      </c>
      <c r="AK93" s="15" t="n"/>
      <c r="AL93" s="286" t="n">
        <v>75.47</v>
      </c>
      <c r="AM93" s="290">
        <f>AL93-AL81</f>
        <v/>
      </c>
      <c r="AN93" s="15" t="n"/>
      <c r="AO93" s="286" t="n">
        <v>76.62</v>
      </c>
      <c r="AP93" s="290">
        <f>AO93-AO81</f>
        <v/>
      </c>
      <c r="AQ93" s="15" t="n"/>
      <c r="AR93" s="286" t="n">
        <v>50.23</v>
      </c>
      <c r="AS93" s="290">
        <f>AR93-AR81</f>
        <v/>
      </c>
      <c r="AT93" s="15" t="n"/>
      <c r="AU93" s="286" t="n">
        <v>34.63</v>
      </c>
      <c r="AV93" s="290">
        <f>AU93-AU81</f>
        <v/>
      </c>
      <c r="AW93" s="15" t="n"/>
      <c r="AX93" s="285" t="n">
        <v>869</v>
      </c>
      <c r="AY93" s="15">
        <f>AX93/AX81-1</f>
        <v/>
      </c>
      <c r="AZ93" s="15" t="n"/>
      <c r="BA93" s="287" t="n"/>
      <c r="BB93" s="37" t="n"/>
      <c r="BC93" s="287" t="n"/>
      <c r="BD93" s="37" t="n"/>
      <c r="BE93" s="287" t="n"/>
      <c r="BF93" s="37" t="n"/>
      <c r="BG93" s="287" t="n"/>
      <c r="BH93" s="37" t="n"/>
      <c r="BI93" s="288" t="n"/>
      <c r="BJ93" s="37" t="n"/>
      <c r="BK93" s="288" t="n"/>
      <c r="BL93" s="37" t="n"/>
      <c r="BM93" s="288" t="n"/>
      <c r="BN93" s="37" t="n"/>
      <c r="BO93" s="288" t="n"/>
      <c r="BP93" s="288" t="n"/>
      <c r="BQ93" s="37" t="n"/>
      <c r="BR93" s="288" t="n"/>
      <c r="BS93" s="37" t="n"/>
      <c r="BT93" s="288" t="n"/>
      <c r="BU93" s="37" t="n"/>
      <c r="BV93" s="288" t="n"/>
      <c r="BW93" s="37" t="n"/>
      <c r="BX93" s="288" t="n"/>
      <c r="BY93" s="37" t="n"/>
      <c r="BZ93" s="288" t="n"/>
      <c r="CA93" s="37" t="n"/>
      <c r="CB93" s="288" t="n"/>
      <c r="CC93" s="37" t="n"/>
      <c r="CD93" s="288" t="n"/>
      <c r="CE93" s="37" t="n"/>
      <c r="CF93" s="288" t="n"/>
      <c r="CG93" s="291" t="n"/>
      <c r="CH93" s="288" t="n"/>
      <c r="CI93" s="291" t="n"/>
      <c r="CJ93" s="288" t="n"/>
      <c r="CK93" s="291" t="n"/>
      <c r="CL93" s="288" t="n"/>
      <c r="CM93" s="291" t="n"/>
      <c r="CN93" s="288" t="n"/>
      <c r="CO93" s="80" t="n"/>
      <c r="CP93" s="288" t="n"/>
      <c r="CQ93" s="80" t="n"/>
      <c r="CR93" s="288" t="n"/>
      <c r="CS93" s="80" t="n"/>
      <c r="CT93" s="288" t="n"/>
      <c r="CU93" s="80" t="n"/>
      <c r="CW93" s="288" t="n"/>
      <c r="CX93" s="37" t="n"/>
      <c r="CY93" s="288" t="n"/>
      <c r="CZ93" s="37" t="n"/>
      <c r="DA93" s="288" t="n"/>
      <c r="DB93" s="37" t="n"/>
      <c r="DC93" s="288" t="n"/>
      <c r="DD93" s="37" t="n"/>
      <c r="DE93" s="295" t="n"/>
      <c r="DF93" s="295" t="n"/>
      <c r="DG93" s="288" t="n"/>
    </row>
    <row r="94">
      <c r="A94" s="284" t="n">
        <v>44408</v>
      </c>
      <c r="B94" s="285" t="n">
        <v>22949.65</v>
      </c>
      <c r="C94" s="15">
        <f>B94/B82-1</f>
        <v/>
      </c>
      <c r="D94" s="15" t="n"/>
      <c r="E94" s="285" t="n">
        <v>22205.76</v>
      </c>
      <c r="F94" s="15">
        <f>E94/E82-1</f>
        <v/>
      </c>
      <c r="G94" s="15" t="n"/>
      <c r="H94" s="285" t="n">
        <v>692.59</v>
      </c>
      <c r="I94" s="15">
        <f>H94/H82-1</f>
        <v/>
      </c>
      <c r="J94" s="15" t="n"/>
      <c r="K94" s="285" t="n">
        <v>51.29</v>
      </c>
      <c r="L94" s="15">
        <f>K94/K82-1</f>
        <v/>
      </c>
      <c r="M94" s="15" t="n"/>
      <c r="N94" s="285" t="n">
        <v>17563.52</v>
      </c>
      <c r="O94" s="15">
        <f>N94/N82-1</f>
        <v/>
      </c>
      <c r="P94" s="15" t="n"/>
      <c r="Q94" s="285" t="n">
        <v>17168.89</v>
      </c>
      <c r="R94" s="15">
        <f>Q94/Q82-1</f>
        <v/>
      </c>
      <c r="S94" s="15" t="n"/>
      <c r="T94" s="285" t="n">
        <v>376.36</v>
      </c>
      <c r="U94" s="15">
        <f>T94/T82-1</f>
        <v/>
      </c>
      <c r="V94" s="15" t="n"/>
      <c r="W94" s="285" t="n">
        <v>18.27</v>
      </c>
      <c r="X94" s="15">
        <f>W94/W82-1</f>
        <v/>
      </c>
      <c r="Y94" s="15" t="n"/>
      <c r="Z94" s="285" t="n">
        <v>11195.01</v>
      </c>
      <c r="AA94" s="15">
        <f>Z94/Z82-1</f>
        <v/>
      </c>
      <c r="AB94" s="15" t="n"/>
      <c r="AC94" s="285" t="n">
        <v>11121.58</v>
      </c>
      <c r="AD94" s="15">
        <f>AC94/AC82-1</f>
        <v/>
      </c>
      <c r="AE94" s="15" t="n"/>
      <c r="AF94" s="285" t="n">
        <v>55.85</v>
      </c>
      <c r="AG94" s="15">
        <f>AF94/AF82-1</f>
        <v/>
      </c>
      <c r="AH94" s="15" t="n"/>
      <c r="AI94" s="285" t="n">
        <v>17.57</v>
      </c>
      <c r="AJ94" s="15">
        <f>AI94/AI82-1</f>
        <v/>
      </c>
      <c r="AK94" s="15" t="n"/>
      <c r="AL94" s="286" t="n">
        <v>76.53</v>
      </c>
      <c r="AM94" s="290">
        <f>AL94-AL82</f>
        <v/>
      </c>
      <c r="AN94" s="15" t="n"/>
      <c r="AO94" s="286" t="n">
        <v>77.31999999999999</v>
      </c>
      <c r="AP94" s="290">
        <f>AO94-AO82</f>
        <v/>
      </c>
      <c r="AQ94" s="15" t="n"/>
      <c r="AR94" s="286" t="n">
        <v>54.34</v>
      </c>
      <c r="AS94" s="290">
        <f>AR94-AR82</f>
        <v/>
      </c>
      <c r="AT94" s="15" t="n"/>
      <c r="AU94" s="286" t="n">
        <v>35.61</v>
      </c>
      <c r="AV94" s="290">
        <f>AU94-AU82</f>
        <v/>
      </c>
      <c r="AW94" s="15" t="n"/>
      <c r="AX94" s="285" t="n">
        <v>869</v>
      </c>
      <c r="AY94" s="15">
        <f>AX94/AX82-1</f>
        <v/>
      </c>
      <c r="AZ94" s="15" t="n"/>
      <c r="BA94" s="287" t="n"/>
      <c r="BB94" s="37" t="n"/>
      <c r="BC94" s="287" t="n"/>
      <c r="BD94" s="37" t="n"/>
      <c r="BE94" s="287" t="n"/>
      <c r="BF94" s="37" t="n"/>
      <c r="BG94" s="287" t="n"/>
      <c r="BH94" s="37" t="n"/>
      <c r="BI94" s="288" t="n"/>
      <c r="BJ94" s="37" t="n"/>
      <c r="BK94" s="288" t="n"/>
      <c r="BL94" s="37" t="n"/>
      <c r="BM94" s="288" t="n"/>
      <c r="BN94" s="37" t="n"/>
      <c r="BO94" s="288" t="n"/>
      <c r="BP94" s="288" t="n"/>
      <c r="BQ94" s="37" t="n"/>
      <c r="BR94" s="288" t="n"/>
      <c r="BS94" s="37" t="n"/>
      <c r="BT94" s="288" t="n"/>
      <c r="BU94" s="37" t="n"/>
      <c r="BV94" s="288" t="n"/>
      <c r="BW94" s="37" t="n"/>
      <c r="BX94" s="288" t="n"/>
      <c r="BY94" s="37" t="n"/>
      <c r="BZ94" s="288" t="n"/>
      <c r="CA94" s="37" t="n"/>
      <c r="CB94" s="288" t="n"/>
      <c r="CC94" s="37" t="n"/>
      <c r="CD94" s="288" t="n"/>
      <c r="CE94" s="37" t="n"/>
      <c r="CF94" s="288" t="n"/>
      <c r="CG94" s="291" t="n"/>
      <c r="CH94" s="288" t="n"/>
      <c r="CI94" s="291" t="n"/>
      <c r="CJ94" s="288" t="n"/>
      <c r="CK94" s="291" t="n"/>
      <c r="CL94" s="288" t="n"/>
      <c r="CM94" s="291" t="n"/>
      <c r="CN94" s="288" t="n"/>
      <c r="CO94" s="80" t="n"/>
      <c r="CP94" s="288" t="n"/>
      <c r="CQ94" s="80" t="n"/>
      <c r="CR94" s="288" t="n"/>
      <c r="CS94" s="80" t="n"/>
      <c r="CT94" s="288" t="n"/>
      <c r="CU94" s="80" t="n"/>
      <c r="CW94" s="288" t="n"/>
      <c r="CX94" s="37" t="n"/>
      <c r="CY94" s="288" t="n"/>
      <c r="CZ94" s="37" t="n"/>
      <c r="DA94" s="288" t="n"/>
      <c r="DB94" s="37" t="n"/>
      <c r="DC94" s="288" t="n"/>
      <c r="DD94" s="37" t="n"/>
      <c r="DE94" s="295" t="n"/>
      <c r="DF94" s="295" t="n"/>
      <c r="DG94" s="288" t="n"/>
    </row>
    <row r="95">
      <c r="A95" s="284" t="n">
        <v>44439</v>
      </c>
      <c r="B95" s="285" t="n">
        <v>12264.73</v>
      </c>
      <c r="C95" s="15">
        <f>B95/B83-1</f>
        <v/>
      </c>
      <c r="D95" s="15" t="n"/>
      <c r="E95" s="285" t="n">
        <v>11630.4</v>
      </c>
      <c r="F95" s="15">
        <f>E95/E83-1</f>
        <v/>
      </c>
      <c r="G95" s="15" t="n"/>
      <c r="H95" s="285" t="n">
        <v>609.89</v>
      </c>
      <c r="I95" s="15">
        <f>H95/H83-1</f>
        <v/>
      </c>
      <c r="J95" s="15" t="n"/>
      <c r="K95" s="285" t="n">
        <v>24.44</v>
      </c>
      <c r="L95" s="15">
        <f>K95/K83-1</f>
        <v/>
      </c>
      <c r="M95" s="15" t="n"/>
      <c r="N95" s="285" t="n">
        <v>7398.92</v>
      </c>
      <c r="O95" s="15">
        <f>N95/N83-1</f>
        <v/>
      </c>
      <c r="P95" s="15" t="n"/>
      <c r="Q95" s="285" t="n">
        <v>7026.48</v>
      </c>
      <c r="R95" s="15">
        <f>Q95/Q83-1</f>
        <v/>
      </c>
      <c r="S95" s="15" t="n"/>
      <c r="T95" s="285" t="n">
        <v>364.85</v>
      </c>
      <c r="U95" s="15">
        <f>T95/T83-1</f>
        <v/>
      </c>
      <c r="V95" s="15" t="n"/>
      <c r="W95" s="285" t="n">
        <v>7.59</v>
      </c>
      <c r="X95" s="15">
        <f>W95/W83-1</f>
        <v/>
      </c>
      <c r="Y95" s="15" t="n"/>
      <c r="Z95" s="285" t="n">
        <v>4599.02</v>
      </c>
      <c r="AA95" s="15">
        <f>Z95/Z83-1</f>
        <v/>
      </c>
      <c r="AB95" s="15" t="n"/>
      <c r="AC95" s="285" t="n">
        <v>4535.89</v>
      </c>
      <c r="AD95" s="15">
        <f>AC95/AC83-1</f>
        <v/>
      </c>
      <c r="AE95" s="15" t="n"/>
      <c r="AF95" s="285" t="n">
        <v>55.42</v>
      </c>
      <c r="AG95" s="15">
        <f>AF95/AF83-1</f>
        <v/>
      </c>
      <c r="AH95" s="15" t="n"/>
      <c r="AI95" s="285" t="n">
        <v>7.72</v>
      </c>
      <c r="AJ95" s="15">
        <f>AI95/AI83-1</f>
        <v/>
      </c>
      <c r="AK95" s="15" t="n"/>
      <c r="AL95" s="286" t="n">
        <v>60.33</v>
      </c>
      <c r="AM95" s="290">
        <f>AL95-AL83</f>
        <v/>
      </c>
      <c r="AN95" s="15" t="n"/>
      <c r="AO95" s="286" t="n">
        <v>60.41</v>
      </c>
      <c r="AP95" s="290">
        <f>AO95-AO83</f>
        <v/>
      </c>
      <c r="AQ95" s="15" t="n"/>
      <c r="AR95" s="286" t="n">
        <v>59.82</v>
      </c>
      <c r="AS95" s="290">
        <f>AR95-AR83</f>
        <v/>
      </c>
      <c r="AT95" s="15" t="n"/>
      <c r="AU95" s="286" t="n">
        <v>31.06</v>
      </c>
      <c r="AV95" s="290">
        <f>AU95-AU83</f>
        <v/>
      </c>
      <c r="AW95" s="15" t="n"/>
      <c r="AX95" s="285" t="n">
        <v>872</v>
      </c>
      <c r="AY95" s="15">
        <f>AX95/AX83-1</f>
        <v/>
      </c>
      <c r="AZ95" s="15" t="n"/>
      <c r="BA95" s="287" t="n"/>
      <c r="BB95" s="37" t="n"/>
      <c r="BC95" s="287" t="n"/>
      <c r="BD95" s="37" t="n"/>
      <c r="BE95" s="287" t="n"/>
      <c r="BF95" s="37" t="n"/>
      <c r="BG95" s="287" t="n"/>
      <c r="BH95" s="37" t="n"/>
      <c r="BI95" s="288" t="n"/>
      <c r="BJ95" s="37" t="n"/>
      <c r="BK95" s="288" t="n"/>
      <c r="BL95" s="37" t="n"/>
      <c r="BM95" s="288" t="n"/>
      <c r="BN95" s="37" t="n"/>
      <c r="BO95" s="288" t="n"/>
      <c r="BP95" s="288" t="n"/>
      <c r="BQ95" s="37" t="n"/>
      <c r="BR95" s="288" t="n"/>
      <c r="BS95" s="37" t="n"/>
      <c r="BT95" s="288" t="n"/>
      <c r="BU95" s="37" t="n"/>
      <c r="BV95" s="288" t="n"/>
      <c r="BW95" s="37" t="n"/>
      <c r="BX95" s="288" t="n"/>
      <c r="BY95" s="37" t="n"/>
      <c r="BZ95" s="288" t="n"/>
      <c r="CA95" s="37" t="n"/>
      <c r="CB95" s="288" t="n"/>
      <c r="CC95" s="37" t="n"/>
      <c r="CD95" s="288" t="n"/>
      <c r="CE95" s="37" t="n"/>
      <c r="CF95" s="288" t="n"/>
      <c r="CG95" s="291" t="n"/>
      <c r="CH95" s="288" t="n"/>
      <c r="CI95" s="291" t="n"/>
      <c r="CJ95" s="288" t="n"/>
      <c r="CK95" s="291" t="n"/>
      <c r="CL95" s="288" t="n"/>
      <c r="CM95" s="291" t="n"/>
      <c r="CN95" s="288" t="n"/>
      <c r="CO95" s="80" t="n"/>
      <c r="CP95" s="288" t="n"/>
      <c r="CQ95" s="80" t="n"/>
      <c r="CR95" s="288" t="n"/>
      <c r="CS95" s="80" t="n"/>
      <c r="CT95" s="288" t="n"/>
      <c r="CU95" s="80" t="n"/>
      <c r="CW95" s="288" t="n"/>
      <c r="CX95" s="37" t="n"/>
      <c r="CY95" s="288" t="n"/>
      <c r="CZ95" s="37" t="n"/>
      <c r="DA95" s="288" t="n"/>
      <c r="DB95" s="37" t="n"/>
      <c r="DC95" s="288" t="n"/>
      <c r="DD95" s="37" t="n"/>
      <c r="DE95" s="295" t="n"/>
      <c r="DF95" s="295" t="n"/>
      <c r="DG95" s="288" t="n"/>
    </row>
    <row r="96">
      <c r="A96" s="284" t="n">
        <v>44469</v>
      </c>
      <c r="B96" s="285" t="n">
        <v>18495.77</v>
      </c>
      <c r="C96" s="15">
        <f>B96/B84-1</f>
        <v/>
      </c>
      <c r="D96" s="15" t="n"/>
      <c r="E96" s="285" t="n">
        <v>17845.57</v>
      </c>
      <c r="F96" s="15">
        <f>E96/E84-1</f>
        <v/>
      </c>
      <c r="G96" s="15" t="n"/>
      <c r="H96" s="285" t="n">
        <v>633.41</v>
      </c>
      <c r="I96" s="15">
        <f>H96/H84-1</f>
        <v/>
      </c>
      <c r="J96" s="15" t="n"/>
      <c r="K96" s="285" t="n">
        <v>16.79</v>
      </c>
      <c r="L96" s="15">
        <f>K96/K84-1</f>
        <v/>
      </c>
      <c r="M96" s="15" t="n"/>
      <c r="N96" s="285" t="n">
        <v>12737.69</v>
      </c>
      <c r="O96" s="15">
        <f>N96/N84-1</f>
        <v/>
      </c>
      <c r="P96" s="15" t="n"/>
      <c r="Q96" s="285" t="n">
        <v>12362.15</v>
      </c>
      <c r="R96" s="15">
        <f>Q96/Q84-1</f>
        <v/>
      </c>
      <c r="S96" s="15" t="n"/>
      <c r="T96" s="285" t="n">
        <v>370.37</v>
      </c>
      <c r="U96" s="15">
        <f>T96/T84-1</f>
        <v/>
      </c>
      <c r="V96" s="15" t="n"/>
      <c r="W96" s="285" t="n">
        <v>5.17</v>
      </c>
      <c r="X96" s="15">
        <f>W96/W84-1</f>
        <v/>
      </c>
      <c r="Y96" s="15" t="n"/>
      <c r="Z96" s="285" t="n">
        <v>8165</v>
      </c>
      <c r="AA96" s="15">
        <f>Z96/Z84-1</f>
        <v/>
      </c>
      <c r="AB96" s="15" t="n"/>
      <c r="AC96" s="285" t="n">
        <v>8106.73</v>
      </c>
      <c r="AD96" s="15">
        <f>AC96/AC84-1</f>
        <v/>
      </c>
      <c r="AE96" s="15" t="n"/>
      <c r="AF96" s="285" t="n">
        <v>53.03</v>
      </c>
      <c r="AG96" s="15">
        <f>AF96/AF84-1</f>
        <v/>
      </c>
      <c r="AH96" s="15" t="n"/>
      <c r="AI96" s="285" t="n">
        <v>5.25</v>
      </c>
      <c r="AJ96" s="15">
        <f>AI96/AI84-1</f>
        <v/>
      </c>
      <c r="AK96" s="15" t="n"/>
      <c r="AL96" s="286" t="n">
        <v>68.87</v>
      </c>
      <c r="AM96" s="290">
        <f>AL96-AL84</f>
        <v/>
      </c>
      <c r="AN96" s="15" t="n"/>
      <c r="AO96" s="286" t="n">
        <v>69.27</v>
      </c>
      <c r="AP96" s="290">
        <f>AO96-AO84</f>
        <v/>
      </c>
      <c r="AQ96" s="15" t="n"/>
      <c r="AR96" s="286" t="n">
        <v>58.47</v>
      </c>
      <c r="AS96" s="290">
        <f>AR96-AR84</f>
        <v/>
      </c>
      <c r="AT96" s="15" t="n"/>
      <c r="AU96" s="286" t="n">
        <v>30.76</v>
      </c>
      <c r="AV96" s="290">
        <f>AU96-AU84</f>
        <v/>
      </c>
      <c r="AW96" s="15" t="n"/>
      <c r="AX96" s="285" t="n">
        <v>874</v>
      </c>
      <c r="AY96" s="15">
        <f>AX96/AX84-1</f>
        <v/>
      </c>
      <c r="AZ96" s="15" t="n"/>
      <c r="BA96" s="287" t="n"/>
      <c r="BB96" s="37" t="n"/>
      <c r="BC96" s="287" t="n"/>
      <c r="BD96" s="37" t="n"/>
      <c r="BE96" s="287" t="n"/>
      <c r="BF96" s="37" t="n"/>
      <c r="BG96" s="287" t="n"/>
      <c r="BH96" s="37" t="n"/>
      <c r="BI96" s="288" t="n"/>
      <c r="BJ96" s="37" t="n"/>
      <c r="BK96" s="288" t="n"/>
      <c r="BL96" s="37" t="n"/>
      <c r="BM96" s="288" t="n"/>
      <c r="BN96" s="37" t="n"/>
      <c r="BO96" s="288" t="n"/>
      <c r="BP96" s="288" t="n"/>
      <c r="BQ96" s="37" t="n"/>
      <c r="BR96" s="288" t="n"/>
      <c r="BS96" s="37" t="n"/>
      <c r="BT96" s="288" t="n"/>
      <c r="BU96" s="37" t="n"/>
      <c r="BV96" s="288" t="n"/>
      <c r="BW96" s="37" t="n"/>
      <c r="BX96" s="288" t="n"/>
      <c r="BY96" s="37" t="n"/>
      <c r="BZ96" s="288" t="n"/>
      <c r="CA96" s="37" t="n"/>
      <c r="CB96" s="288" t="n"/>
      <c r="CC96" s="37" t="n"/>
      <c r="CD96" s="288" t="n"/>
      <c r="CE96" s="37" t="n"/>
      <c r="CF96" s="288" t="n"/>
      <c r="CG96" s="291" t="n"/>
      <c r="CH96" s="288" t="n"/>
      <c r="CI96" s="291" t="n"/>
      <c r="CJ96" s="288" t="n"/>
      <c r="CK96" s="291" t="n"/>
      <c r="CL96" s="288" t="n"/>
      <c r="CM96" s="291" t="n"/>
      <c r="CN96" s="288" t="n"/>
      <c r="CO96" s="80" t="n"/>
      <c r="CP96" s="288" t="n"/>
      <c r="CQ96" s="80" t="n"/>
      <c r="CR96" s="288" t="n"/>
      <c r="CS96" s="80" t="n"/>
      <c r="CT96" s="288" t="n"/>
      <c r="CU96" s="80" t="n"/>
      <c r="CW96" s="288" t="n"/>
      <c r="CX96" s="37" t="n"/>
      <c r="CY96" s="288" t="n"/>
      <c r="CZ96" s="37" t="n"/>
      <c r="DA96" s="288" t="n"/>
      <c r="DB96" s="37" t="n"/>
      <c r="DC96" s="288" t="n"/>
      <c r="DD96" s="37" t="n"/>
      <c r="DE96" s="295" t="n"/>
      <c r="DF96" s="295" t="n"/>
      <c r="DG96" s="288" t="n"/>
    </row>
    <row r="97">
      <c r="A97" s="284" t="n">
        <v>44500</v>
      </c>
      <c r="B97" s="285" t="n">
        <v>18873.84</v>
      </c>
      <c r="C97" s="15">
        <f>B97/B85-1</f>
        <v/>
      </c>
      <c r="D97" s="15" t="n"/>
      <c r="E97" s="285" t="n">
        <v>18273.64</v>
      </c>
      <c r="F97" s="15">
        <f>E97/E85-1</f>
        <v/>
      </c>
      <c r="G97" s="15" t="n"/>
      <c r="H97" s="285" t="n">
        <v>581.9299999999999</v>
      </c>
      <c r="I97" s="15">
        <f>H97/H85-1</f>
        <v/>
      </c>
      <c r="J97" s="15" t="n"/>
      <c r="K97" s="285" t="n">
        <v>18.27</v>
      </c>
      <c r="L97" s="15">
        <f>K97/K85-1</f>
        <v/>
      </c>
      <c r="M97" s="15" t="n"/>
      <c r="N97" s="285" t="n">
        <v>13131.03</v>
      </c>
      <c r="O97" s="15">
        <f>N97/N85-1</f>
        <v/>
      </c>
      <c r="P97" s="15" t="n"/>
      <c r="Q97" s="285" t="n">
        <v>12842.07</v>
      </c>
      <c r="R97" s="15">
        <f>Q97/Q85-1</f>
        <v/>
      </c>
      <c r="S97" s="15" t="n"/>
      <c r="T97" s="285" t="n">
        <v>285.35</v>
      </c>
      <c r="U97" s="15">
        <f>T97/T85-1</f>
        <v/>
      </c>
      <c r="V97" s="15" t="n"/>
      <c r="W97" s="285" t="n">
        <v>3.61</v>
      </c>
      <c r="X97" s="15">
        <f>W97/W85-1</f>
        <v/>
      </c>
      <c r="Y97" s="15" t="n"/>
      <c r="Z97" s="285" t="n">
        <v>8647.18</v>
      </c>
      <c r="AA97" s="15">
        <f>Z97/Z85-1</f>
        <v/>
      </c>
      <c r="AB97" s="15" t="n"/>
      <c r="AC97" s="285" t="n">
        <v>8601.66</v>
      </c>
      <c r="AD97" s="15">
        <f>AC97/AC85-1</f>
        <v/>
      </c>
      <c r="AE97" s="15" t="n"/>
      <c r="AF97" s="285" t="n">
        <v>41.92</v>
      </c>
      <c r="AG97" s="15">
        <f>AF97/AF85-1</f>
        <v/>
      </c>
      <c r="AH97" s="15" t="n"/>
      <c r="AI97" s="285" t="n">
        <v>3.61</v>
      </c>
      <c r="AJ97" s="15">
        <f>AI97/AI85-1</f>
        <v/>
      </c>
      <c r="AK97" s="15" t="n"/>
      <c r="AL97" s="286" t="n">
        <v>69.56999999999999</v>
      </c>
      <c r="AM97" s="290">
        <f>AL97-AL85</f>
        <v/>
      </c>
      <c r="AN97" s="15" t="n"/>
      <c r="AO97" s="286" t="n">
        <v>70.28</v>
      </c>
      <c r="AP97" s="290">
        <f>AO97-AO85</f>
        <v/>
      </c>
      <c r="AQ97" s="15" t="n"/>
      <c r="AR97" s="286" t="n">
        <v>49.03</v>
      </c>
      <c r="AS97" s="290">
        <f>AR97-AR85</f>
        <v/>
      </c>
      <c r="AT97" s="15" t="n"/>
      <c r="AU97" s="286" t="n">
        <v>19.77</v>
      </c>
      <c r="AV97" s="290">
        <f>AU97-AU85</f>
        <v/>
      </c>
      <c r="AW97" s="15" t="n"/>
      <c r="AX97" s="285" t="n">
        <v>875</v>
      </c>
      <c r="AY97" s="15">
        <f>AX97/AX85-1</f>
        <v/>
      </c>
      <c r="AZ97" s="15" t="n"/>
      <c r="BA97" s="287" t="n"/>
      <c r="BB97" s="37" t="n"/>
      <c r="BC97" s="287" t="n"/>
      <c r="BD97" s="37" t="n"/>
      <c r="BE97" s="287" t="n"/>
      <c r="BF97" s="37" t="n"/>
      <c r="BG97" s="287" t="n"/>
      <c r="BH97" s="37" t="n"/>
      <c r="BI97" s="288" t="n"/>
      <c r="BJ97" s="37" t="n"/>
      <c r="BK97" s="288" t="n"/>
      <c r="BL97" s="37" t="n"/>
      <c r="BM97" s="288" t="n"/>
      <c r="BN97" s="37" t="n"/>
      <c r="BO97" s="288" t="n"/>
      <c r="BP97" s="288" t="n"/>
      <c r="BQ97" s="37" t="n"/>
      <c r="BR97" s="288" t="n"/>
      <c r="BS97" s="37" t="n"/>
      <c r="BT97" s="288" t="n"/>
      <c r="BU97" s="37" t="n"/>
      <c r="BV97" s="288" t="n"/>
      <c r="BW97" s="37" t="n"/>
      <c r="BX97" s="288" t="n"/>
      <c r="BY97" s="37" t="n"/>
      <c r="BZ97" s="288" t="n"/>
      <c r="CA97" s="37" t="n"/>
      <c r="CB97" s="288" t="n"/>
      <c r="CC97" s="37" t="n"/>
      <c r="CD97" s="288" t="n"/>
      <c r="CE97" s="37" t="n"/>
      <c r="CF97" s="288" t="n"/>
      <c r="CG97" s="291" t="n"/>
      <c r="CH97" s="288" t="n"/>
      <c r="CI97" s="291" t="n"/>
      <c r="CJ97" s="288" t="n"/>
      <c r="CK97" s="291" t="n"/>
      <c r="CL97" s="288" t="n"/>
      <c r="CM97" s="291" t="n"/>
      <c r="CN97" s="288" t="n"/>
      <c r="CO97" s="80" t="n"/>
      <c r="CP97" s="288" t="n"/>
      <c r="CQ97" s="80" t="n"/>
      <c r="CR97" s="288" t="n"/>
      <c r="CS97" s="80" t="n"/>
      <c r="CT97" s="288" t="n"/>
      <c r="CU97" s="80" t="n"/>
      <c r="CW97" s="288" t="n"/>
      <c r="CX97" s="37" t="n"/>
      <c r="CY97" s="288" t="n"/>
      <c r="CZ97" s="37" t="n"/>
      <c r="DA97" s="288" t="n"/>
      <c r="DB97" s="37" t="n"/>
      <c r="DC97" s="288" t="n"/>
      <c r="DD97" s="37" t="n"/>
      <c r="DE97" s="295" t="n"/>
      <c r="DF97" s="295" t="n"/>
      <c r="DG97" s="288" t="n"/>
    </row>
    <row r="98">
      <c r="A98" s="284" t="n">
        <v>44530</v>
      </c>
      <c r="B98" s="285" t="n">
        <v>12012.17</v>
      </c>
      <c r="C98" s="15">
        <f>B98/B86-1</f>
        <v/>
      </c>
      <c r="D98" s="15" t="n"/>
      <c r="E98" s="285" t="n">
        <v>11387.69</v>
      </c>
      <c r="F98" s="15">
        <f>E98/E86-1</f>
        <v/>
      </c>
      <c r="G98" s="15" t="n"/>
      <c r="H98" s="285" t="n">
        <v>596.34</v>
      </c>
      <c r="I98" s="15">
        <f>H98/H86-1</f>
        <v/>
      </c>
      <c r="J98" s="15" t="n"/>
      <c r="K98" s="285" t="n">
        <v>28.15</v>
      </c>
      <c r="L98" s="15">
        <f>K98/K86-1</f>
        <v/>
      </c>
      <c r="M98" s="15" t="n"/>
      <c r="N98" s="285" t="n">
        <v>7594.3</v>
      </c>
      <c r="O98" s="15">
        <f>N98/N86-1</f>
        <v/>
      </c>
      <c r="P98" s="15" t="n"/>
      <c r="Q98" s="285" t="n">
        <v>7290.35</v>
      </c>
      <c r="R98" s="15">
        <f>Q98/Q86-1</f>
        <v/>
      </c>
      <c r="S98" s="15" t="n"/>
      <c r="T98" s="285" t="n">
        <v>298.21</v>
      </c>
      <c r="U98" s="15">
        <f>T98/T86-1</f>
        <v/>
      </c>
      <c r="V98" s="15" t="n"/>
      <c r="W98" s="285" t="n">
        <v>5.73</v>
      </c>
      <c r="X98" s="15">
        <f>W98/W86-1</f>
        <v/>
      </c>
      <c r="Y98" s="15" t="n"/>
      <c r="Z98" s="285" t="n">
        <v>4990.03</v>
      </c>
      <c r="AA98" s="15">
        <f>Z98/Z86-1</f>
        <v/>
      </c>
      <c r="AB98" s="15" t="n"/>
      <c r="AC98" s="285" t="n">
        <v>4939.71</v>
      </c>
      <c r="AD98" s="15">
        <f>AC98/AC86-1</f>
        <v/>
      </c>
      <c r="AE98" s="15" t="n"/>
      <c r="AF98" s="285" t="n">
        <v>44.45</v>
      </c>
      <c r="AG98" s="15">
        <f>AF98/AF86-1</f>
        <v/>
      </c>
      <c r="AH98" s="15" t="n"/>
      <c r="AI98" s="285" t="n">
        <v>5.87</v>
      </c>
      <c r="AJ98" s="15">
        <f>AI98/AI86-1</f>
        <v/>
      </c>
      <c r="AK98" s="15" t="n"/>
      <c r="AL98" s="286" t="n">
        <v>63.22</v>
      </c>
      <c r="AM98" s="290">
        <f>AL98-AL86</f>
        <v/>
      </c>
      <c r="AN98" s="15" t="n"/>
      <c r="AO98" s="286" t="n">
        <v>64.02</v>
      </c>
      <c r="AP98" s="290">
        <f>AO98-AO86</f>
        <v/>
      </c>
      <c r="AQ98" s="15" t="n"/>
      <c r="AR98" s="286" t="n">
        <v>50.01</v>
      </c>
      <c r="AS98" s="290">
        <f>AR98-AR86</f>
        <v/>
      </c>
      <c r="AT98" s="15" t="n"/>
      <c r="AU98" s="286" t="n">
        <v>20.36</v>
      </c>
      <c r="AV98" s="290">
        <f>AU98-AU86</f>
        <v/>
      </c>
      <c r="AW98" s="15" t="n"/>
      <c r="AX98" s="285" t="n">
        <v>875</v>
      </c>
      <c r="AY98" s="15">
        <f>AX98/AX86-1</f>
        <v/>
      </c>
      <c r="AZ98" s="15" t="n"/>
      <c r="BA98" s="287" t="n"/>
      <c r="BB98" s="37" t="n"/>
      <c r="BC98" s="287" t="n"/>
      <c r="BD98" s="37" t="n"/>
      <c r="BE98" s="287" t="n"/>
      <c r="BF98" s="37" t="n"/>
      <c r="BG98" s="287" t="n"/>
      <c r="BH98" s="37" t="n"/>
      <c r="BI98" s="288" t="n"/>
      <c r="BJ98" s="37" t="n"/>
      <c r="BK98" s="288" t="n"/>
      <c r="BL98" s="37" t="n"/>
      <c r="BM98" s="288" t="n"/>
      <c r="BN98" s="37" t="n"/>
      <c r="BP98" s="298" t="n"/>
      <c r="BQ98" s="37" t="n"/>
      <c r="BR98" s="298" t="n"/>
      <c r="BS98" s="37" t="n"/>
      <c r="BT98" s="298" t="n"/>
      <c r="BU98" s="37" t="n"/>
      <c r="BV98" s="298" t="n"/>
      <c r="BW98" s="37" t="n"/>
      <c r="BX98" s="298" t="n"/>
      <c r="BY98" s="37" t="n"/>
      <c r="BZ98" s="298" t="n"/>
      <c r="CA98" s="37" t="n"/>
      <c r="CB98" s="298" t="n"/>
      <c r="CC98" s="37" t="n"/>
      <c r="CD98" s="298" t="n"/>
      <c r="CE98" s="37" t="n"/>
      <c r="CF98" s="298" t="n"/>
      <c r="CG98" s="291" t="n"/>
      <c r="CH98" s="298" t="n"/>
      <c r="CI98" s="291" t="n"/>
      <c r="CJ98" s="298" t="n"/>
      <c r="CK98" s="291" t="n"/>
      <c r="CL98" s="298" t="n"/>
      <c r="CM98" s="291" t="n"/>
      <c r="CN98" s="288" t="n"/>
      <c r="CO98" s="80" t="n"/>
      <c r="CP98" s="288" t="n"/>
      <c r="CQ98" s="80" t="n"/>
      <c r="CR98" s="288" t="n"/>
      <c r="CS98" s="80" t="n"/>
      <c r="CT98" s="288" t="n"/>
      <c r="CU98" s="80" t="n"/>
      <c r="CW98" s="298" t="n"/>
      <c r="CX98" s="37" t="n"/>
      <c r="CY98" s="298" t="n"/>
      <c r="CZ98" s="37" t="n"/>
      <c r="DA98" s="298" t="n"/>
      <c r="DB98" s="37" t="n"/>
      <c r="DC98" s="298" t="n"/>
      <c r="DD98" s="37" t="n"/>
      <c r="DE98" s="295" t="n"/>
      <c r="DF98" s="295" t="n"/>
    </row>
    <row r="99">
      <c r="A99" s="284" t="n">
        <v>44561</v>
      </c>
      <c r="B99" s="285" t="n">
        <v>15029.6</v>
      </c>
      <c r="C99" s="15">
        <f>B99/B87-1</f>
        <v/>
      </c>
      <c r="D99" s="15" t="n"/>
      <c r="E99" s="285" t="n">
        <v>14334.29</v>
      </c>
      <c r="F99" s="15">
        <f>E99/E87-1</f>
        <v/>
      </c>
      <c r="G99" s="15" t="n"/>
      <c r="H99" s="285" t="n">
        <v>665.59</v>
      </c>
      <c r="I99" s="15">
        <f>H99/H87-1</f>
        <v/>
      </c>
      <c r="J99" s="15" t="n"/>
      <c r="K99" s="285" t="n">
        <v>29.72</v>
      </c>
      <c r="L99" s="15">
        <f>K99/K87-1</f>
        <v/>
      </c>
      <c r="M99" s="15" t="n"/>
      <c r="N99" s="285" t="n">
        <v>9756.940000000001</v>
      </c>
      <c r="O99" s="15">
        <f>N99/N87-1</f>
        <v/>
      </c>
      <c r="P99" s="15" t="n"/>
      <c r="Q99" s="285" t="n">
        <v>9390.25</v>
      </c>
      <c r="R99" s="15">
        <f>Q99/Q87-1</f>
        <v/>
      </c>
      <c r="S99" s="15" t="n"/>
      <c r="T99" s="285" t="n">
        <v>357.93</v>
      </c>
      <c r="U99" s="15">
        <f>T99/T87-1</f>
        <v/>
      </c>
      <c r="V99" s="15" t="n"/>
      <c r="W99" s="285" t="n">
        <v>8.76</v>
      </c>
      <c r="X99" s="15">
        <f>W99/W87-1</f>
        <v/>
      </c>
      <c r="Y99" s="15" t="n"/>
      <c r="Z99" s="285" t="n">
        <v>6182.38</v>
      </c>
      <c r="AA99" s="15">
        <f>Z99/Z87-1</f>
        <v/>
      </c>
      <c r="AB99" s="15" t="n"/>
      <c r="AC99" s="285" t="n">
        <v>6121.32</v>
      </c>
      <c r="AD99" s="15">
        <f>AC99/AC87-1</f>
        <v/>
      </c>
      <c r="AE99" s="15" t="n"/>
      <c r="AF99" s="285" t="n">
        <v>52.22</v>
      </c>
      <c r="AG99" s="15">
        <f>AF99/AF87-1</f>
        <v/>
      </c>
      <c r="AH99" s="15" t="n"/>
      <c r="AI99" s="285" t="n">
        <v>8.84</v>
      </c>
      <c r="AJ99" s="15">
        <f>AI99/AI87-1</f>
        <v/>
      </c>
      <c r="AK99" s="15" t="n"/>
      <c r="AL99" s="286" t="n">
        <v>64.92</v>
      </c>
      <c r="AM99" s="290">
        <f>AL99-AL87</f>
        <v/>
      </c>
      <c r="AN99" s="15" t="n"/>
      <c r="AO99" s="286" t="n">
        <v>65.51000000000001</v>
      </c>
      <c r="AP99" s="290">
        <f>AO99-AO87</f>
        <v/>
      </c>
      <c r="AQ99" s="15" t="n"/>
      <c r="AR99" s="286" t="n">
        <v>53.78</v>
      </c>
      <c r="AS99" s="290">
        <f>AR99-AR87</f>
        <v/>
      </c>
      <c r="AT99" s="15" t="n"/>
      <c r="AU99" s="286" t="n">
        <v>29.49</v>
      </c>
      <c r="AV99" s="290">
        <f>AU99-AU87</f>
        <v/>
      </c>
      <c r="AW99" s="15" t="n"/>
      <c r="AX99" s="285" t="n">
        <v>878</v>
      </c>
      <c r="AY99" s="15">
        <f>AX99/AX87-1</f>
        <v/>
      </c>
      <c r="AZ99" s="15" t="n"/>
      <c r="BA99" s="287" t="n"/>
      <c r="BB99" s="37" t="n"/>
      <c r="BC99" s="287" t="n"/>
      <c r="BD99" s="37" t="n"/>
      <c r="BE99" s="287" t="n"/>
      <c r="BF99" s="37" t="n"/>
      <c r="BG99" s="287" t="n"/>
      <c r="BH99" s="37" t="n"/>
      <c r="BI99" s="288" t="n"/>
      <c r="BJ99" s="37" t="n"/>
      <c r="BK99" s="288" t="n"/>
      <c r="BL99" s="37" t="n"/>
      <c r="BM99" s="288" t="n"/>
      <c r="BN99" s="37" t="n"/>
      <c r="BP99" s="298" t="n"/>
      <c r="BQ99" s="37" t="n"/>
      <c r="BR99" s="298" t="n"/>
      <c r="BS99" s="37" t="n"/>
      <c r="BT99" s="298" t="n"/>
      <c r="BU99" s="37" t="n"/>
      <c r="BV99" s="298" t="n"/>
      <c r="BW99" s="37" t="n"/>
      <c r="BX99" s="298" t="n"/>
      <c r="BY99" s="37" t="n"/>
      <c r="BZ99" s="298" t="n"/>
      <c r="CA99" s="37" t="n"/>
      <c r="CB99" s="298" t="n"/>
      <c r="CC99" s="37" t="n"/>
      <c r="CD99" s="298" t="n"/>
      <c r="CE99" s="37" t="n"/>
      <c r="CF99" s="298" t="n"/>
      <c r="CG99" s="291" t="n"/>
      <c r="CH99" s="298" t="n"/>
      <c r="CI99" s="291" t="n"/>
      <c r="CJ99" s="298" t="n"/>
      <c r="CK99" s="291" t="n"/>
      <c r="CL99" s="298" t="n"/>
      <c r="CM99" s="291" t="n"/>
      <c r="CN99" s="288" t="n"/>
      <c r="CO99" s="80" t="n"/>
      <c r="CP99" s="288" t="n"/>
      <c r="CQ99" s="80" t="n"/>
      <c r="CR99" s="288" t="n"/>
      <c r="CS99" s="80" t="n"/>
      <c r="CT99" s="288" t="n"/>
      <c r="CU99" s="80" t="n"/>
      <c r="CW99" s="298" t="n"/>
      <c r="CX99" s="37" t="n"/>
      <c r="CY99" s="298" t="n"/>
      <c r="CZ99" s="37" t="n"/>
      <c r="DA99" s="298" t="n"/>
      <c r="DB99" s="37" t="n"/>
      <c r="DC99" s="298" t="n"/>
      <c r="DD99" s="37" t="n"/>
      <c r="DE99" s="295" t="n"/>
    </row>
    <row r="100" customFormat="1" s="246">
      <c r="A100" s="280" t="n">
        <v>44592</v>
      </c>
      <c r="B100" s="22" t="n">
        <v>17244.09</v>
      </c>
      <c r="C100" s="15">
        <f>B100/B88-1</f>
        <v/>
      </c>
      <c r="D100" s="15" t="n"/>
      <c r="E100" s="22" t="n">
        <v>16672.58</v>
      </c>
      <c r="F100" s="15">
        <f>E100/E88-1</f>
        <v/>
      </c>
      <c r="G100" s="15" t="n"/>
      <c r="H100" s="22" t="n">
        <v>543.4</v>
      </c>
      <c r="I100" s="15">
        <f>H100/H88-1</f>
        <v/>
      </c>
      <c r="J100" s="15" t="n"/>
      <c r="K100" s="22" t="n">
        <v>28.11</v>
      </c>
      <c r="L100" s="15">
        <f>K100/K88-1</f>
        <v/>
      </c>
      <c r="M100" s="15" t="n"/>
      <c r="N100" s="22" t="n">
        <v>10862.03</v>
      </c>
      <c r="O100" s="15">
        <f>N100/N88-1</f>
        <v/>
      </c>
      <c r="P100" s="15" t="n"/>
      <c r="Q100" s="22" t="n">
        <v>10574.92</v>
      </c>
      <c r="R100" s="15">
        <f>Q100/Q88-1</f>
        <v/>
      </c>
      <c r="S100" s="15" t="n"/>
      <c r="T100" s="22" t="n">
        <v>277.38</v>
      </c>
      <c r="U100" s="15">
        <f>T100/T88-1</f>
        <v/>
      </c>
      <c r="V100" s="15" t="n"/>
      <c r="W100" s="22" t="n">
        <v>9.73</v>
      </c>
      <c r="X100" s="15">
        <f>W100/W88-1</f>
        <v/>
      </c>
      <c r="Y100" s="15" t="n"/>
      <c r="Z100" s="22" t="n">
        <v>6679.44</v>
      </c>
      <c r="AA100" s="15">
        <f>Z100/Z88-1</f>
        <v/>
      </c>
      <c r="AB100" s="15" t="n"/>
      <c r="AC100" s="22" t="n">
        <v>6627.44</v>
      </c>
      <c r="AD100" s="15">
        <f>AC100/AC88-1</f>
        <v/>
      </c>
      <c r="AE100" s="15" t="n"/>
      <c r="AF100" s="22" t="n">
        <v>41.99</v>
      </c>
      <c r="AG100" s="15">
        <f>AF100/AF88-1</f>
        <v/>
      </c>
      <c r="AH100" s="15" t="n"/>
      <c r="AI100" s="22" t="n">
        <v>10.02</v>
      </c>
      <c r="AJ100" s="15">
        <f>AI100/AI88-1</f>
        <v/>
      </c>
      <c r="AK100" s="15" t="n"/>
      <c r="AL100" s="299" t="n">
        <v>62.99</v>
      </c>
      <c r="AM100" s="290">
        <f>AL100-AL88</f>
        <v/>
      </c>
      <c r="AN100" s="15" t="n"/>
      <c r="AO100" s="299" t="n">
        <v>63.43</v>
      </c>
      <c r="AP100" s="290">
        <f>AO100-AO88</f>
        <v/>
      </c>
      <c r="AQ100" s="15" t="n"/>
      <c r="AR100" s="299" t="n">
        <v>51.04</v>
      </c>
      <c r="AS100" s="290">
        <f>AR100-AR88</f>
        <v/>
      </c>
      <c r="AT100" s="15" t="n"/>
      <c r="AU100" s="299" t="n">
        <v>34.61</v>
      </c>
      <c r="AV100" s="290">
        <f>AU100-AU88</f>
        <v/>
      </c>
      <c r="AW100" s="15" t="n"/>
      <c r="AX100" s="22" t="n">
        <v>877</v>
      </c>
      <c r="AY100" s="15">
        <f>AX100/AX88-1</f>
        <v/>
      </c>
      <c r="AZ100" s="15" t="n"/>
      <c r="BA100" s="300" t="n"/>
      <c r="BB100" s="254" t="n"/>
      <c r="BC100" s="300" t="n"/>
      <c r="BD100" s="254" t="n"/>
      <c r="BE100" s="300" t="n"/>
      <c r="BF100" s="254" t="n"/>
      <c r="BG100" s="300" t="n"/>
      <c r="BH100" s="254" t="n"/>
      <c r="BI100" s="297" t="n"/>
      <c r="BJ100" s="254" t="n"/>
      <c r="BK100" s="297" t="n"/>
      <c r="BL100" s="254" t="n"/>
      <c r="BM100" s="297" t="n"/>
      <c r="BN100" s="254" t="n"/>
      <c r="BP100" s="301" t="n"/>
      <c r="BQ100" s="254" t="n"/>
      <c r="BR100" s="301" t="n"/>
      <c r="BS100" s="254" t="n"/>
      <c r="BT100" s="301" t="n"/>
      <c r="BU100" s="254" t="n"/>
      <c r="BV100" s="301" t="n"/>
      <c r="BW100" s="254" t="n"/>
      <c r="BX100" s="301" t="n"/>
      <c r="BY100" s="254" t="n"/>
      <c r="BZ100" s="301" t="n"/>
      <c r="CA100" s="254" t="n"/>
      <c r="CB100" s="301" t="n"/>
      <c r="CC100" s="254" t="n"/>
      <c r="CD100" s="301" t="n"/>
      <c r="CE100" s="254" t="n"/>
      <c r="CF100" s="301" t="n"/>
      <c r="CG100" s="292" t="n"/>
      <c r="CH100" s="301" t="n"/>
      <c r="CI100" s="292" t="n"/>
      <c r="CJ100" s="301" t="n"/>
      <c r="CK100" s="292" t="n"/>
      <c r="CL100" s="301" t="n"/>
      <c r="CM100" s="292" t="n"/>
      <c r="CN100" s="297" t="n"/>
      <c r="CO100" s="218" t="n"/>
      <c r="CP100" s="297" t="n"/>
      <c r="CQ100" s="218" t="n"/>
      <c r="CR100" s="297" t="n"/>
      <c r="CS100" s="218" t="n"/>
      <c r="CT100" s="297" t="n"/>
      <c r="CU100" s="218" t="n"/>
      <c r="CW100" s="301" t="n"/>
      <c r="CX100" s="254" t="n"/>
      <c r="CY100" s="301" t="n"/>
      <c r="CZ100" s="254" t="n"/>
      <c r="DA100" s="301" t="n"/>
      <c r="DB100" s="254" t="n"/>
      <c r="DC100" s="301" t="n"/>
      <c r="DD100" s="254" t="n"/>
      <c r="DE100" s="302" t="n"/>
      <c r="DF100" s="303" t="n"/>
    </row>
    <row r="101">
      <c r="A101" s="284" t="n">
        <v>44620</v>
      </c>
      <c r="B101" s="285" t="n">
        <v>17333.19</v>
      </c>
      <c r="C101" s="15">
        <f>B101/B89-1</f>
        <v/>
      </c>
      <c r="D101" s="15" t="n"/>
      <c r="E101" s="285" t="n">
        <v>16900.18</v>
      </c>
      <c r="F101" s="15">
        <f>E101/E89-1</f>
        <v/>
      </c>
      <c r="G101" s="15" t="n"/>
      <c r="H101" s="285" t="n">
        <v>407.02</v>
      </c>
      <c r="I101" s="15">
        <f>H101/H89-1</f>
        <v/>
      </c>
      <c r="J101" s="15" t="n"/>
      <c r="K101" s="285" t="n">
        <v>25.99</v>
      </c>
      <c r="L101" s="15">
        <f>K101/K89-1</f>
        <v/>
      </c>
      <c r="M101" s="15" t="n"/>
      <c r="N101" s="285" t="n">
        <v>11829.7</v>
      </c>
      <c r="O101" s="15">
        <f>N101/N89-1</f>
        <v/>
      </c>
      <c r="P101" s="15" t="n"/>
      <c r="Q101" s="285" t="n">
        <v>11601.2</v>
      </c>
      <c r="R101" s="15">
        <f>Q101/Q89-1</f>
        <v/>
      </c>
      <c r="S101" s="15" t="n"/>
      <c r="T101" s="285" t="n">
        <v>217.39</v>
      </c>
      <c r="U101" s="15">
        <f>T101/T89-1</f>
        <v/>
      </c>
      <c r="V101" s="15" t="n"/>
      <c r="W101" s="285" t="n">
        <v>11.11</v>
      </c>
      <c r="X101" s="15">
        <f>W101/W89-1</f>
        <v/>
      </c>
      <c r="Y101" s="15" t="n"/>
      <c r="Z101" s="285" t="n">
        <v>7348.59</v>
      </c>
      <c r="AA101" s="15">
        <f>Z101/Z89-1</f>
        <v/>
      </c>
      <c r="AB101" s="15" t="n"/>
      <c r="AC101" s="285" t="n">
        <v>7297.62</v>
      </c>
      <c r="AD101" s="15">
        <f>AC101/AC89-1</f>
        <v/>
      </c>
      <c r="AE101" s="15" t="n"/>
      <c r="AF101" s="285" t="n">
        <v>39.69</v>
      </c>
      <c r="AG101" s="15">
        <f>AF101/AF89-1</f>
        <v/>
      </c>
      <c r="AH101" s="15" t="n"/>
      <c r="AI101" s="285" t="n">
        <v>11.27</v>
      </c>
      <c r="AJ101" s="15">
        <f>AI101/AI89-1</f>
        <v/>
      </c>
      <c r="AK101" s="15" t="n"/>
      <c r="AL101" s="286" t="n">
        <v>68.25</v>
      </c>
      <c r="AM101" s="290">
        <f>AL101-AL89</f>
        <v/>
      </c>
      <c r="AN101" s="15" t="n"/>
      <c r="AO101" s="286" t="n">
        <v>68.65000000000001</v>
      </c>
      <c r="AP101" s="290">
        <f>AO101-AO89</f>
        <v/>
      </c>
      <c r="AQ101" s="15" t="n"/>
      <c r="AR101" s="286" t="n">
        <v>53.41</v>
      </c>
      <c r="AS101" s="290">
        <f>AR101-AR89</f>
        <v/>
      </c>
      <c r="AT101" s="15" t="n"/>
      <c r="AU101" s="286" t="n">
        <v>42.74</v>
      </c>
      <c r="AV101" s="290">
        <f>AU101-AU89</f>
        <v/>
      </c>
      <c r="AW101" s="15" t="n"/>
      <c r="AX101" s="285" t="n">
        <v>880</v>
      </c>
      <c r="AY101" s="15">
        <f>AX101/AX89-1</f>
        <v/>
      </c>
      <c r="AZ101" s="15" t="n"/>
      <c r="BA101" s="287" t="n"/>
      <c r="BB101" s="37" t="n"/>
      <c r="BC101" s="287" t="n"/>
      <c r="BD101" s="37" t="n"/>
      <c r="BE101" s="287" t="n"/>
      <c r="BF101" s="37" t="n"/>
      <c r="BG101" s="287" t="n"/>
      <c r="BH101" s="37" t="n"/>
      <c r="BI101" s="288" t="n"/>
      <c r="BJ101" s="37" t="n"/>
      <c r="BK101" s="288" t="n"/>
      <c r="BL101" s="37" t="n"/>
      <c r="BM101" s="288" t="n"/>
      <c r="BN101" s="37" t="n"/>
      <c r="BP101" s="288" t="n"/>
      <c r="BQ101" s="37" t="n"/>
      <c r="BR101" s="298" t="n"/>
      <c r="BS101" s="37" t="n"/>
      <c r="BT101" s="298" t="n"/>
      <c r="BU101" s="37" t="n"/>
      <c r="BV101" s="288" t="n"/>
      <c r="BW101" s="37" t="n"/>
      <c r="BX101" s="298" t="n"/>
      <c r="BY101" s="37" t="n"/>
      <c r="BZ101" s="288" t="n"/>
      <c r="CA101" s="37" t="n"/>
      <c r="CB101" s="298" t="n"/>
      <c r="CC101" s="37" t="n"/>
      <c r="CD101" s="298" t="n"/>
      <c r="CE101" s="37" t="n"/>
      <c r="CF101" s="298" t="n"/>
      <c r="CG101" s="291" t="n"/>
      <c r="CH101" s="288" t="n"/>
      <c r="CI101" s="291" t="n"/>
      <c r="CJ101" s="288" t="n"/>
      <c r="CK101" s="291" t="n"/>
      <c r="CL101" s="298" t="n"/>
      <c r="CM101" s="291" t="n"/>
      <c r="CN101" s="288" t="n"/>
      <c r="CO101" s="80" t="n"/>
      <c r="CP101" s="288" t="n"/>
      <c r="CQ101" s="80" t="n"/>
      <c r="CR101" s="288" t="n"/>
      <c r="CS101" s="80" t="n"/>
      <c r="CT101" s="288" t="n"/>
      <c r="CU101" s="80" t="n"/>
      <c r="CW101" s="288" t="n"/>
      <c r="CX101" s="37" t="n"/>
      <c r="CY101" s="298" t="n"/>
      <c r="CZ101" s="37" t="n"/>
      <c r="DA101" s="298" t="n"/>
      <c r="DB101" s="37" t="n"/>
      <c r="DC101" s="298" t="n"/>
      <c r="DD101" s="37" t="n"/>
      <c r="DE101" s="295" t="n"/>
    </row>
    <row r="102">
      <c r="A102" s="284" t="n">
        <v>44651</v>
      </c>
      <c r="B102" s="285" t="n">
        <v>10158.96</v>
      </c>
      <c r="C102" s="15">
        <f>B102/B90-1</f>
        <v/>
      </c>
      <c r="D102" s="15" t="n"/>
      <c r="E102" s="285" t="n">
        <v>9610.370000000001</v>
      </c>
      <c r="F102" s="15">
        <f>E102/E90-1</f>
        <v/>
      </c>
      <c r="G102" s="15" t="n"/>
      <c r="H102" s="285" t="n">
        <v>520.2</v>
      </c>
      <c r="I102" s="15">
        <f>H102/H90-1</f>
        <v/>
      </c>
      <c r="J102" s="15" t="n"/>
      <c r="K102" s="285" t="n">
        <v>28.39</v>
      </c>
      <c r="L102" s="15">
        <f>K102/K90-1</f>
        <v/>
      </c>
      <c r="M102" s="15" t="n"/>
      <c r="N102" s="285" t="n">
        <v>6514.78</v>
      </c>
      <c r="O102" s="15">
        <f>N102/N90-1</f>
        <v/>
      </c>
      <c r="P102" s="15" t="n"/>
      <c r="Q102" s="285" t="n">
        <v>6206.79</v>
      </c>
      <c r="R102" s="15">
        <f>Q102/Q90-1</f>
        <v/>
      </c>
      <c r="S102" s="15" t="n"/>
      <c r="T102" s="285" t="n">
        <v>301.49</v>
      </c>
      <c r="U102" s="15">
        <f>T102/T90-1</f>
        <v/>
      </c>
      <c r="V102" s="15" t="n"/>
      <c r="W102" s="285" t="n">
        <v>6.5</v>
      </c>
      <c r="X102" s="15">
        <f>W102/W90-1</f>
        <v/>
      </c>
      <c r="Y102" s="15" t="n"/>
      <c r="Z102" s="285" t="n">
        <v>4075.75</v>
      </c>
      <c r="AA102" s="15">
        <f>Z102/Z90-1</f>
        <v/>
      </c>
      <c r="AB102" s="15" t="n"/>
      <c r="AC102" s="285" t="n">
        <v>4020.94</v>
      </c>
      <c r="AD102" s="15">
        <f>AC102/AC90-1</f>
        <v/>
      </c>
      <c r="AE102" s="15" t="n"/>
      <c r="AF102" s="285" t="n">
        <v>48.51</v>
      </c>
      <c r="AG102" s="15">
        <f>AF102/AF90-1</f>
        <v/>
      </c>
      <c r="AH102" s="15" t="n"/>
      <c r="AI102" s="285" t="n">
        <v>6.3</v>
      </c>
      <c r="AJ102" s="15">
        <f>AI102/AI90-1</f>
        <v/>
      </c>
      <c r="AK102" s="15" t="n"/>
      <c r="AL102" s="286" t="n">
        <v>64.13</v>
      </c>
      <c r="AM102" s="290">
        <f>AL102-AL90</f>
        <v/>
      </c>
      <c r="AN102" s="15" t="n"/>
      <c r="AO102" s="286" t="n">
        <v>64.58</v>
      </c>
      <c r="AP102" s="290">
        <f>AO102-AO90</f>
        <v/>
      </c>
      <c r="AQ102" s="15" t="n"/>
      <c r="AR102" s="286" t="n">
        <v>57.96</v>
      </c>
      <c r="AS102" s="290">
        <f>AR102-AR90</f>
        <v/>
      </c>
      <c r="AT102" s="15" t="n"/>
      <c r="AU102" s="286" t="n">
        <v>22.89</v>
      </c>
      <c r="AV102" s="290">
        <f>AU102-AU90</f>
        <v/>
      </c>
      <c r="AW102" s="15" t="n"/>
      <c r="AX102" s="285" t="n">
        <v>879</v>
      </c>
      <c r="AY102" s="15">
        <f>AX102/AX90-1</f>
        <v/>
      </c>
      <c r="AZ102" s="15" t="n"/>
      <c r="BA102" s="287" t="n"/>
      <c r="BB102" s="37" t="n"/>
      <c r="BC102" s="287" t="n"/>
      <c r="BD102" s="37" t="n"/>
      <c r="BE102" s="287" t="n"/>
      <c r="BF102" s="37" t="n"/>
      <c r="BG102" s="287" t="n"/>
      <c r="BH102" s="37" t="n"/>
      <c r="BI102" s="288" t="n"/>
      <c r="BJ102" s="37" t="n"/>
      <c r="BK102" s="288" t="n"/>
      <c r="BL102" s="37" t="n"/>
      <c r="BM102" s="288" t="n"/>
      <c r="BN102" s="37" t="n"/>
      <c r="BP102" s="288" t="n"/>
      <c r="BQ102" s="37" t="n"/>
      <c r="BR102" s="288" t="n"/>
      <c r="BS102" s="37" t="n"/>
      <c r="BT102" s="288" t="n"/>
      <c r="BU102" s="37" t="n"/>
      <c r="BV102" s="288" t="n"/>
      <c r="BW102" s="37" t="n"/>
      <c r="BX102" s="298" t="n"/>
      <c r="BY102" s="37" t="n"/>
      <c r="BZ102" s="288" t="n"/>
      <c r="CA102" s="37" t="n"/>
      <c r="CB102" s="288" t="n"/>
      <c r="CC102" s="37" t="n"/>
      <c r="CD102" s="288" t="n"/>
      <c r="CE102" s="37" t="n"/>
      <c r="CF102" s="288" t="n"/>
      <c r="CG102" s="291" t="n"/>
      <c r="CH102" s="288" t="n"/>
      <c r="CI102" s="291" t="n"/>
      <c r="CJ102" s="288" t="n"/>
      <c r="CK102" s="291" t="n"/>
      <c r="CL102" s="288" t="n"/>
      <c r="CM102" s="291" t="n"/>
      <c r="CN102" s="288" t="n"/>
      <c r="CO102" s="80" t="n"/>
      <c r="CP102" s="288" t="n"/>
      <c r="CQ102" s="80" t="n"/>
      <c r="CR102" s="288" t="n"/>
      <c r="CS102" s="80" t="n"/>
      <c r="CT102" s="288" t="n"/>
      <c r="CU102" s="80" t="n"/>
      <c r="CW102" s="288" t="n"/>
      <c r="CX102" s="37" t="n"/>
      <c r="CY102" s="288" t="n"/>
      <c r="CZ102" s="37" t="n"/>
      <c r="DA102" s="288" t="n"/>
      <c r="DB102" s="37" t="n"/>
      <c r="DC102" s="288" t="n"/>
      <c r="DD102" s="37" t="n"/>
      <c r="DE102" s="295" t="n"/>
    </row>
    <row r="103">
      <c r="A103" s="284" t="n">
        <v>44681</v>
      </c>
      <c r="B103" s="285" t="n">
        <v>6460.29</v>
      </c>
      <c r="C103" s="15">
        <f>B103/B91-1</f>
        <v/>
      </c>
      <c r="D103" s="15" t="n"/>
      <c r="E103" s="285" t="n">
        <v>5919.26</v>
      </c>
      <c r="F103" s="15">
        <f>E103/E91-1</f>
        <v/>
      </c>
      <c r="G103" s="15" t="n"/>
      <c r="H103" s="285" t="n">
        <v>527.66</v>
      </c>
      <c r="I103" s="15">
        <f>H103/H91-1</f>
        <v/>
      </c>
      <c r="J103" s="15" t="n"/>
      <c r="K103" s="285" t="n">
        <v>13.37</v>
      </c>
      <c r="L103" s="15">
        <f>K103/K91-1</f>
        <v/>
      </c>
      <c r="M103" s="15" t="n"/>
      <c r="N103" s="285" t="n">
        <v>3693.09</v>
      </c>
      <c r="O103" s="15">
        <f>N103/N91-1</f>
        <v/>
      </c>
      <c r="P103" s="15" t="n"/>
      <c r="Q103" s="285" t="n">
        <v>3352.01</v>
      </c>
      <c r="R103" s="15">
        <f>Q103/Q91-1</f>
        <v/>
      </c>
      <c r="S103" s="15" t="n"/>
      <c r="T103" s="285" t="n">
        <v>335.86</v>
      </c>
      <c r="U103" s="15">
        <f>T103/T91-1</f>
        <v/>
      </c>
      <c r="V103" s="15" t="n"/>
      <c r="W103" s="285" t="n">
        <v>5.21</v>
      </c>
      <c r="X103" s="15">
        <f>W103/W91-1</f>
        <v/>
      </c>
      <c r="Y103" s="15" t="n"/>
      <c r="Z103" s="285" t="n">
        <v>2244.92</v>
      </c>
      <c r="AA103" s="15">
        <f>Z103/Z91-1</f>
        <v/>
      </c>
      <c r="AB103" s="15" t="n"/>
      <c r="AC103" s="285" t="n">
        <v>2189.02</v>
      </c>
      <c r="AD103" s="15">
        <f>AC103/AC91-1</f>
        <v/>
      </c>
      <c r="AE103" s="15" t="n"/>
      <c r="AF103" s="285" t="n">
        <v>51.03</v>
      </c>
      <c r="AG103" s="15">
        <f>AF103/AF91-1</f>
        <v/>
      </c>
      <c r="AH103" s="15" t="n"/>
      <c r="AI103" s="285" t="n">
        <v>4.87</v>
      </c>
      <c r="AJ103" s="15">
        <f>AI103/AI91-1</f>
        <v/>
      </c>
      <c r="AK103" s="15" t="n"/>
      <c r="AL103" s="286" t="n">
        <v>57.17</v>
      </c>
      <c r="AM103" s="290">
        <f>AL103-AL91</f>
        <v/>
      </c>
      <c r="AN103" s="15" t="n"/>
      <c r="AO103" s="286" t="n">
        <v>56.63</v>
      </c>
      <c r="AP103" s="290">
        <f>AO103-AO91</f>
        <v/>
      </c>
      <c r="AQ103" s="15" t="n"/>
      <c r="AR103" s="286" t="n">
        <v>63.65</v>
      </c>
      <c r="AS103" s="290">
        <f>AR103-AR91</f>
        <v/>
      </c>
      <c r="AT103" s="15" t="n"/>
      <c r="AU103" s="286" t="n">
        <v>39</v>
      </c>
      <c r="AV103" s="290">
        <f>AU103-AU91</f>
        <v/>
      </c>
      <c r="AW103" s="15" t="n"/>
      <c r="AX103" s="285" t="n">
        <v>878</v>
      </c>
      <c r="AY103" s="15">
        <f>AX103/AX91-1</f>
        <v/>
      </c>
      <c r="AZ103" s="15" t="n"/>
      <c r="BA103" s="287" t="n"/>
      <c r="BB103" s="37" t="n"/>
      <c r="BC103" s="287" t="n"/>
      <c r="BD103" s="37" t="n"/>
      <c r="BE103" s="287" t="n"/>
      <c r="BF103" s="37" t="n"/>
      <c r="BG103" s="287" t="n"/>
      <c r="BH103" s="37" t="n"/>
      <c r="BI103" s="288" t="n"/>
      <c r="BJ103" s="37" t="n"/>
      <c r="BK103" s="288" t="n"/>
      <c r="BL103" s="37" t="n"/>
      <c r="BM103" s="288" t="n"/>
      <c r="BN103" s="37" t="n"/>
      <c r="BP103" s="288" t="n"/>
      <c r="BQ103" s="37" t="n"/>
      <c r="BR103" s="288" t="n"/>
      <c r="BS103" s="37" t="n"/>
      <c r="BT103" s="288" t="n"/>
      <c r="BU103" s="37" t="n"/>
      <c r="BV103" s="288" t="n"/>
      <c r="BW103" s="37" t="n"/>
      <c r="BX103" s="298" t="n"/>
      <c r="BY103" s="37" t="n"/>
      <c r="BZ103" s="288" t="n"/>
      <c r="CA103" s="37" t="n"/>
      <c r="CB103" s="288" t="n"/>
      <c r="CC103" s="37" t="n"/>
      <c r="CD103" s="288" t="n"/>
      <c r="CE103" s="37" t="n"/>
      <c r="CF103" s="288" t="n"/>
      <c r="CG103" s="291" t="n"/>
      <c r="CH103" s="288" t="n"/>
      <c r="CI103" s="291" t="n"/>
      <c r="CJ103" s="288" t="n"/>
      <c r="CK103" s="291" t="n"/>
      <c r="CL103" s="288" t="n"/>
      <c r="CM103" s="291" t="n"/>
      <c r="CN103" s="288" t="n"/>
      <c r="CO103" s="80" t="n"/>
      <c r="CP103" s="288" t="n"/>
      <c r="CQ103" s="80" t="n"/>
      <c r="CR103" s="288" t="n"/>
      <c r="CS103" s="80" t="n"/>
      <c r="CT103" s="288" t="n"/>
      <c r="CU103" s="80" t="n"/>
      <c r="CW103" s="288" t="n"/>
      <c r="CX103" s="37" t="n"/>
      <c r="CY103" s="288" t="n"/>
      <c r="CZ103" s="37" t="n"/>
      <c r="DA103" s="288" t="n"/>
      <c r="DB103" s="37" t="n"/>
      <c r="DC103" s="288" t="n"/>
      <c r="DD103" s="37" t="n"/>
      <c r="DE103" s="295" t="n"/>
    </row>
    <row r="104">
      <c r="A104" s="284" t="n">
        <v>44712</v>
      </c>
      <c r="B104" s="285" t="n">
        <v>9339.74</v>
      </c>
      <c r="C104" s="15">
        <f>B104/B92-1</f>
        <v/>
      </c>
      <c r="D104" s="15" t="n"/>
      <c r="E104" s="285" t="n">
        <v>8799.940000000001</v>
      </c>
      <c r="F104" s="15">
        <f>E104/E92-1</f>
        <v/>
      </c>
      <c r="G104" s="15" t="n"/>
      <c r="H104" s="285" t="n">
        <v>529.66</v>
      </c>
      <c r="I104" s="15">
        <f>H104/H92-1</f>
        <v/>
      </c>
      <c r="J104" s="15" t="n"/>
      <c r="K104" s="285" t="n">
        <v>10.15</v>
      </c>
      <c r="L104" s="15">
        <f>K104/K92-1</f>
        <v/>
      </c>
      <c r="M104" s="15" t="n"/>
      <c r="N104" s="285" t="n">
        <v>5680.4</v>
      </c>
      <c r="O104" s="15">
        <f>N104/N92-1</f>
        <v/>
      </c>
      <c r="P104" s="15" t="n"/>
      <c r="Q104" s="285" t="n">
        <v>5319.95</v>
      </c>
      <c r="R104" s="15">
        <f>Q104/Q92-1</f>
        <v/>
      </c>
      <c r="S104" s="15" t="n"/>
      <c r="T104" s="285" t="n">
        <v>355.46</v>
      </c>
      <c r="U104" s="15">
        <f>T104/T92-1</f>
        <v/>
      </c>
      <c r="V104" s="15" t="n"/>
      <c r="W104" s="285" t="n">
        <v>4.99</v>
      </c>
      <c r="X104" s="15">
        <f>W104/W92-1</f>
        <v/>
      </c>
      <c r="Y104" s="15" t="n"/>
      <c r="Z104" s="285" t="n">
        <v>3420.24</v>
      </c>
      <c r="AA104" s="15">
        <f>Z104/Z92-1</f>
        <v/>
      </c>
      <c r="AB104" s="15" t="n"/>
      <c r="AC104" s="285" t="n">
        <v>3360.28</v>
      </c>
      <c r="AD104" s="15">
        <f>AC104/AC92-1</f>
        <v/>
      </c>
      <c r="AE104" s="15" t="n"/>
      <c r="AF104" s="285" t="n">
        <v>54.78</v>
      </c>
      <c r="AG104" s="15">
        <f>AF104/AF92-1</f>
        <v/>
      </c>
      <c r="AH104" s="15" t="n"/>
      <c r="AI104" s="285" t="n">
        <v>5.18</v>
      </c>
      <c r="AJ104" s="15">
        <f>AI104/AI92-1</f>
        <v/>
      </c>
      <c r="AK104" s="15" t="n"/>
      <c r="AL104" s="286" t="n">
        <v>60.82</v>
      </c>
      <c r="AM104" s="290">
        <f>AL104-AL92</f>
        <v/>
      </c>
      <c r="AN104" s="15" t="n"/>
      <c r="AO104" s="286" t="n">
        <v>60.45</v>
      </c>
      <c r="AP104" s="290">
        <f>AO104-AO92</f>
        <v/>
      </c>
      <c r="AQ104" s="15" t="n"/>
      <c r="AR104" s="286" t="n">
        <v>67.11</v>
      </c>
      <c r="AS104" s="290">
        <f>AR104-AR92</f>
        <v/>
      </c>
      <c r="AT104" s="15" t="n"/>
      <c r="AU104" s="286" t="n">
        <v>49.17</v>
      </c>
      <c r="AV104" s="290">
        <f>AU104-AU92</f>
        <v/>
      </c>
      <c r="AW104" s="15" t="n"/>
      <c r="AX104" s="285" t="n">
        <v>878</v>
      </c>
      <c r="AY104" s="15">
        <f>AX104/AX92-1</f>
        <v/>
      </c>
      <c r="AZ104" s="15" t="n"/>
      <c r="BA104" s="287" t="n"/>
      <c r="BB104" s="37" t="n"/>
      <c r="BC104" s="287" t="n"/>
      <c r="BD104" s="37" t="n"/>
      <c r="BE104" s="287" t="n"/>
      <c r="BF104" s="37" t="n"/>
      <c r="BG104" s="287" t="n"/>
      <c r="BH104" s="37" t="n"/>
      <c r="BI104" s="288" t="n"/>
      <c r="BJ104" s="37" t="n"/>
      <c r="BK104" s="288" t="n"/>
      <c r="BL104" s="37" t="n"/>
      <c r="BM104" s="288" t="n"/>
      <c r="BN104" s="37" t="n"/>
      <c r="BP104" s="288" t="n"/>
      <c r="BQ104" s="37" t="n"/>
      <c r="BR104" s="288" t="n"/>
      <c r="BS104" s="37" t="n"/>
      <c r="BT104" s="288" t="n"/>
      <c r="BU104" s="37" t="n"/>
      <c r="BV104" s="288" t="n"/>
      <c r="BW104" s="37" t="n"/>
      <c r="BX104" s="288" t="n"/>
      <c r="BY104" s="37" t="n"/>
      <c r="BZ104" s="288" t="n"/>
      <c r="CA104" s="37" t="n"/>
      <c r="CB104" s="288" t="n"/>
      <c r="CC104" s="37" t="n"/>
      <c r="CD104" s="288" t="n"/>
      <c r="CE104" s="37" t="n"/>
      <c r="CF104" s="288" t="n"/>
      <c r="CG104" s="291" t="n"/>
      <c r="CH104" s="288" t="n"/>
      <c r="CI104" s="291" t="n"/>
      <c r="CJ104" s="288" t="n"/>
      <c r="CK104" s="291" t="n"/>
      <c r="CL104" s="288" t="n"/>
      <c r="CM104" s="291" t="n"/>
      <c r="CN104" s="288" t="n"/>
      <c r="CO104" s="80" t="n"/>
      <c r="CP104" s="288" t="n"/>
      <c r="CQ104" s="80" t="n"/>
      <c r="CR104" s="288" t="n"/>
      <c r="CS104" s="80" t="n"/>
      <c r="CT104" s="288" t="n"/>
      <c r="CU104" s="80" t="n"/>
      <c r="CW104" s="288" t="n"/>
      <c r="CX104" s="37" t="n"/>
      <c r="CY104" s="288" t="n"/>
      <c r="CZ104" s="37" t="n"/>
      <c r="DA104" s="288" t="n"/>
      <c r="DB104" s="37" t="n"/>
      <c r="DC104" s="288" t="n"/>
      <c r="DD104" s="37" t="n"/>
    </row>
    <row r="105" customFormat="1" s="40">
      <c r="A105" s="284" t="n">
        <v>44742</v>
      </c>
      <c r="B105" s="285" t="n">
        <v>14522.22</v>
      </c>
      <c r="C105" s="15">
        <f>B105/B93-1</f>
        <v/>
      </c>
      <c r="D105" s="15" t="n"/>
      <c r="E105" s="285" t="n">
        <v>13946.8</v>
      </c>
      <c r="F105" s="15">
        <f>E105/E93-1</f>
        <v/>
      </c>
      <c r="G105" s="15" t="n"/>
      <c r="H105" s="285" t="n">
        <v>563.4299999999999</v>
      </c>
      <c r="I105" s="15">
        <f>H105/H93-1</f>
        <v/>
      </c>
      <c r="J105" s="15" t="n"/>
      <c r="K105" s="285" t="n">
        <v>11.99</v>
      </c>
      <c r="L105" s="15">
        <f>K105/K93-1</f>
        <v/>
      </c>
      <c r="M105" s="15" t="n"/>
      <c r="N105" s="285" t="n">
        <v>9735.790000000001</v>
      </c>
      <c r="O105" s="15">
        <f>N105/N93-1</f>
        <v/>
      </c>
      <c r="P105" s="15" t="n"/>
      <c r="Q105" s="285" t="n">
        <v>9377.709999999999</v>
      </c>
      <c r="R105" s="15">
        <f>Q105/Q93-1</f>
        <v/>
      </c>
      <c r="S105" s="15" t="n"/>
      <c r="T105" s="285" t="n">
        <v>350.75</v>
      </c>
      <c r="U105" s="15">
        <f>T105/T93-1</f>
        <v/>
      </c>
      <c r="V105" s="15" t="n"/>
      <c r="W105" s="285" t="n">
        <v>7.33</v>
      </c>
      <c r="X105" s="15">
        <f>W105/W93-1</f>
        <v/>
      </c>
      <c r="Y105" s="15" t="n"/>
      <c r="Z105" s="285" t="n">
        <v>5957.06</v>
      </c>
      <c r="AA105" s="15">
        <f>Z105/Z93-1</f>
        <v/>
      </c>
      <c r="AB105" s="15" t="n"/>
      <c r="AC105" s="285" t="n">
        <v>5891.36</v>
      </c>
      <c r="AD105" s="15">
        <f>AC105/AC93-1</f>
        <v/>
      </c>
      <c r="AE105" s="15" t="n"/>
      <c r="AF105" s="285" t="n">
        <v>58.26</v>
      </c>
      <c r="AG105" s="15">
        <f>AF105/AF93-1</f>
        <v/>
      </c>
      <c r="AH105" s="15" t="n"/>
      <c r="AI105" s="285" t="n">
        <v>7.44</v>
      </c>
      <c r="AJ105" s="15">
        <f>AI105/AI93-1</f>
        <v/>
      </c>
      <c r="AK105" s="15" t="n"/>
      <c r="AL105" s="286" t="n">
        <v>67.04000000000001</v>
      </c>
      <c r="AM105" s="290">
        <f>AL105-AL93</f>
        <v/>
      </c>
      <c r="AN105" s="15" t="n"/>
      <c r="AO105" s="286" t="n">
        <v>67.23999999999999</v>
      </c>
      <c r="AP105" s="290">
        <f>AO105-AO93</f>
        <v/>
      </c>
      <c r="AQ105" s="15" t="n"/>
      <c r="AR105" s="286" t="n">
        <v>62.25</v>
      </c>
      <c r="AS105" s="290">
        <f>AR105-AR93</f>
        <v/>
      </c>
      <c r="AT105" s="15" t="n"/>
      <c r="AU105" s="286" t="n">
        <v>61.1</v>
      </c>
      <c r="AV105" s="290">
        <f>AU105-AU93</f>
        <v/>
      </c>
      <c r="AW105" s="15" t="n"/>
      <c r="AX105" s="285" t="n">
        <v>880</v>
      </c>
      <c r="AY105" s="15">
        <f>AX105/AX93-1</f>
        <v/>
      </c>
      <c r="AZ105" s="15" t="n"/>
      <c r="BA105" s="287" t="n"/>
      <c r="BB105" s="37" t="n"/>
      <c r="BC105" s="287" t="n"/>
      <c r="BD105" s="37" t="n"/>
      <c r="BE105" s="287" t="n"/>
      <c r="BF105" s="37" t="n"/>
      <c r="BG105" s="287" t="n"/>
      <c r="BH105" s="37" t="n"/>
      <c r="BI105" s="288" t="n"/>
      <c r="BJ105" s="37" t="n"/>
      <c r="BK105" s="288" t="n"/>
      <c r="BL105" s="37" t="n"/>
      <c r="BM105" s="288" t="n"/>
      <c r="BN105" s="37" t="n"/>
      <c r="BP105" s="288" t="n"/>
      <c r="BQ105" s="37" t="n"/>
      <c r="BR105" s="288" t="n"/>
      <c r="BS105" s="37" t="n"/>
      <c r="BT105" s="288" t="n"/>
      <c r="BU105" s="37" t="n"/>
      <c r="BV105" s="288" t="n"/>
      <c r="BW105" s="37" t="n"/>
      <c r="BX105" s="288" t="n"/>
      <c r="BY105" s="37" t="n"/>
      <c r="BZ105" s="288" t="n"/>
      <c r="CA105" s="37" t="n"/>
      <c r="CB105" s="288" t="n"/>
      <c r="CC105" s="37" t="n"/>
      <c r="CD105" s="288" t="n"/>
      <c r="CE105" s="37" t="n"/>
      <c r="CF105" s="288" t="n"/>
      <c r="CG105" s="291" t="n"/>
      <c r="CH105" s="288" t="n"/>
      <c r="CI105" s="291" t="n"/>
      <c r="CJ105" s="288" t="n"/>
      <c r="CK105" s="291" t="n"/>
      <c r="CL105" s="288" t="n"/>
      <c r="CM105" s="291" t="n"/>
      <c r="CN105" s="288" t="n"/>
      <c r="CO105" s="80" t="n"/>
      <c r="CP105" s="288" t="n"/>
      <c r="CQ105" s="80" t="n"/>
      <c r="CR105" s="288" t="n"/>
      <c r="CS105" s="80" t="n"/>
      <c r="CT105" s="288" t="n"/>
      <c r="CU105" s="80" t="n"/>
      <c r="CW105" s="288" t="n"/>
      <c r="CX105" s="37" t="n"/>
      <c r="CY105" s="288" t="n"/>
      <c r="CZ105" s="37" t="n"/>
      <c r="DA105" s="288" t="n"/>
      <c r="DB105" s="37" t="n"/>
      <c r="DC105" s="288" t="n"/>
      <c r="DD105" s="37" t="n"/>
      <c r="DE105" s="304" t="n"/>
      <c r="DF105" s="304" t="n"/>
    </row>
    <row r="106" customFormat="1" s="40">
      <c r="A106" s="284" t="n">
        <v>44773</v>
      </c>
      <c r="B106" s="285" t="n">
        <v>20144.3</v>
      </c>
      <c r="C106" s="15">
        <f>B106/B94-1</f>
        <v/>
      </c>
      <c r="D106" s="15" t="n"/>
      <c r="E106" s="285" t="n">
        <v>19529.89</v>
      </c>
      <c r="F106" s="15">
        <f>E106/E94-1</f>
        <v/>
      </c>
      <c r="G106" s="15" t="n"/>
      <c r="H106" s="285" t="n">
        <v>596.89</v>
      </c>
      <c r="I106" s="15">
        <f>H106/H94-1</f>
        <v/>
      </c>
      <c r="J106" s="15" t="n"/>
      <c r="K106" s="285" t="n">
        <v>17.52</v>
      </c>
      <c r="L106" s="15">
        <f>K106/K94-1</f>
        <v/>
      </c>
      <c r="M106" s="15" t="n"/>
      <c r="N106" s="285" t="n">
        <v>14096.18</v>
      </c>
      <c r="O106" s="15">
        <f>N106/N94-1</f>
        <v/>
      </c>
      <c r="P106" s="15" t="n"/>
      <c r="Q106" s="285" t="n">
        <v>13676.29</v>
      </c>
      <c r="R106" s="15">
        <f>Q106/Q94-1</f>
        <v/>
      </c>
      <c r="S106" s="15" t="n"/>
      <c r="T106" s="285" t="n">
        <v>407.56</v>
      </c>
      <c r="U106" s="15">
        <f>T106/T94-1</f>
        <v/>
      </c>
      <c r="V106" s="15" t="n"/>
      <c r="W106" s="285" t="n">
        <v>12.33</v>
      </c>
      <c r="X106" s="15">
        <f>W106/W94-1</f>
        <v/>
      </c>
      <c r="Y106" s="15" t="n"/>
      <c r="Z106" s="285" t="n">
        <v>8462.700000000001</v>
      </c>
      <c r="AA106" s="15">
        <f>Z106/Z94-1</f>
        <v/>
      </c>
      <c r="AB106" s="15" t="n"/>
      <c r="AC106" s="285" t="n">
        <v>8385.559999999999</v>
      </c>
      <c r="AD106" s="15">
        <f>AC106/AC94-1</f>
        <v/>
      </c>
      <c r="AE106" s="15" t="n"/>
      <c r="AF106" s="285" t="n">
        <v>65.28</v>
      </c>
      <c r="AG106" s="15">
        <f>AF106/AF94-1</f>
        <v/>
      </c>
      <c r="AH106" s="15" t="n"/>
      <c r="AI106" s="285" t="n">
        <v>11.86</v>
      </c>
      <c r="AJ106" s="15">
        <f>AI106/AI94-1</f>
        <v/>
      </c>
      <c r="AK106" s="15" t="n"/>
      <c r="AL106" s="286" t="n">
        <v>69.98</v>
      </c>
      <c r="AM106" s="290">
        <f>AL106-AL94</f>
        <v/>
      </c>
      <c r="AN106" s="15" t="n"/>
      <c r="AO106" s="286" t="n">
        <v>70.03</v>
      </c>
      <c r="AP106" s="290">
        <f>AO106-AO94</f>
        <v/>
      </c>
      <c r="AQ106" s="15" t="n"/>
      <c r="AR106" s="286" t="n">
        <v>68.28</v>
      </c>
      <c r="AS106" s="290">
        <f>AR106-AR94</f>
        <v/>
      </c>
      <c r="AT106" s="15" t="n"/>
      <c r="AU106" s="286" t="n">
        <v>70.42</v>
      </c>
      <c r="AV106" s="290">
        <f>AU106-AU94</f>
        <v/>
      </c>
      <c r="AW106" s="15" t="n"/>
      <c r="AX106" s="285" t="n">
        <v>882</v>
      </c>
      <c r="AY106" s="15">
        <f>AX106/AX94-1</f>
        <v/>
      </c>
      <c r="AZ106" s="15" t="n"/>
      <c r="BA106" s="287" t="n"/>
      <c r="BB106" s="37" t="n"/>
      <c r="BC106" s="287" t="n"/>
      <c r="BD106" s="37" t="n"/>
      <c r="BE106" s="287" t="n"/>
      <c r="BF106" s="37" t="n"/>
      <c r="BG106" s="287" t="n"/>
      <c r="BH106" s="37" t="n"/>
      <c r="BI106" s="288" t="n"/>
      <c r="BJ106" s="37" t="n"/>
      <c r="BK106" s="288" t="n"/>
      <c r="BL106" s="37" t="n"/>
      <c r="BM106" s="288" t="n"/>
      <c r="BN106" s="37" t="n"/>
      <c r="BO106" s="1" t="n"/>
      <c r="BP106" s="288" t="n"/>
      <c r="BQ106" s="37" t="n"/>
      <c r="BR106" s="288" t="n"/>
      <c r="BS106" s="37" t="n"/>
      <c r="BT106" s="288" t="n"/>
      <c r="BU106" s="37" t="n"/>
      <c r="BV106" s="288" t="n"/>
      <c r="BW106" s="37" t="n"/>
      <c r="BX106" s="288" t="n"/>
      <c r="BY106" s="37" t="n"/>
      <c r="BZ106" s="288" t="n"/>
      <c r="CA106" s="37" t="n"/>
      <c r="CB106" s="288" t="n"/>
      <c r="CC106" s="37" t="n"/>
      <c r="CD106" s="288" t="n"/>
      <c r="CE106" s="37" t="n"/>
      <c r="CF106" s="288" t="n"/>
      <c r="CG106" s="291" t="n"/>
      <c r="CH106" s="288" t="n"/>
      <c r="CI106" s="291" t="n"/>
      <c r="CJ106" s="288" t="n"/>
      <c r="CK106" s="291" t="n"/>
      <c r="CL106" s="288" t="n"/>
      <c r="CM106" s="291" t="n"/>
      <c r="CN106" s="288" t="n"/>
      <c r="CO106" s="80" t="n"/>
      <c r="CP106" s="288" t="n"/>
      <c r="CQ106" s="80" t="n"/>
      <c r="CR106" s="288" t="n"/>
      <c r="CS106" s="80" t="n"/>
      <c r="CT106" s="288" t="n"/>
      <c r="CU106" s="80" t="n"/>
      <c r="CW106" s="288" t="n"/>
      <c r="CX106" s="37" t="n"/>
      <c r="CY106" s="288" t="n"/>
      <c r="CZ106" s="37" t="n"/>
      <c r="DA106" s="288" t="n"/>
      <c r="DB106" s="37" t="n"/>
      <c r="DC106" s="288" t="n"/>
      <c r="DD106" s="37" t="n"/>
      <c r="DE106" s="270" t="n"/>
      <c r="DF106" s="270" t="n"/>
    </row>
    <row r="107" customFormat="1" s="40">
      <c r="A107" s="284" t="n">
        <v>44804</v>
      </c>
      <c r="B107" s="285" t="n">
        <v>18027.54</v>
      </c>
      <c r="C107" s="15">
        <f>B107/B95-1</f>
        <v/>
      </c>
      <c r="D107" s="15" t="n"/>
      <c r="E107" s="285" t="n">
        <v>17305.3</v>
      </c>
      <c r="F107" s="15">
        <f>E107/E95-1</f>
        <v/>
      </c>
      <c r="G107" s="15" t="n"/>
      <c r="H107" s="285" t="n">
        <v>696.95</v>
      </c>
      <c r="I107" s="15">
        <f>H107/H95-1</f>
        <v/>
      </c>
      <c r="J107" s="15" t="n"/>
      <c r="K107" s="285" t="n">
        <v>25.3</v>
      </c>
      <c r="L107" s="15">
        <f>K107/K95-1</f>
        <v/>
      </c>
      <c r="M107" s="15" t="n"/>
      <c r="N107" s="285" t="n">
        <v>12423.14</v>
      </c>
      <c r="O107" s="15">
        <f>N107/N95-1</f>
        <v/>
      </c>
      <c r="P107" s="15" t="n"/>
      <c r="Q107" s="285" t="n">
        <v>11955.49</v>
      </c>
      <c r="R107" s="15">
        <f>Q107/Q95-1</f>
        <v/>
      </c>
      <c r="S107" s="15" t="n"/>
      <c r="T107" s="285" t="n">
        <v>453.45</v>
      </c>
      <c r="U107" s="15">
        <f>T107/T95-1</f>
        <v/>
      </c>
      <c r="V107" s="15" t="n"/>
      <c r="W107" s="285" t="n">
        <v>14.21</v>
      </c>
      <c r="X107" s="15">
        <f>W107/W95-1</f>
        <v/>
      </c>
      <c r="Y107" s="15" t="n"/>
      <c r="Z107" s="285" t="n">
        <v>7800.35</v>
      </c>
      <c r="AA107" s="15">
        <f>Z107/Z95-1</f>
        <v/>
      </c>
      <c r="AB107" s="15" t="n"/>
      <c r="AC107" s="285" t="n">
        <v>7711.64</v>
      </c>
      <c r="AD107" s="15">
        <f>AC107/AC95-1</f>
        <v/>
      </c>
      <c r="AE107" s="15" t="n"/>
      <c r="AF107" s="285" t="n">
        <v>75.09</v>
      </c>
      <c r="AG107" s="15">
        <f>AF107/AF95-1</f>
        <v/>
      </c>
      <c r="AH107" s="15" t="n"/>
      <c r="AI107" s="285" t="n">
        <v>13.62</v>
      </c>
      <c r="AJ107" s="15">
        <f>AI107/AI95-1</f>
        <v/>
      </c>
      <c r="AK107" s="15" t="n"/>
      <c r="AL107" s="286" t="n">
        <v>68.91</v>
      </c>
      <c r="AM107" s="290">
        <f>AL107-AL95</f>
        <v/>
      </c>
      <c r="AN107" s="15" t="n"/>
      <c r="AO107" s="286" t="n">
        <v>69.09</v>
      </c>
      <c r="AP107" s="290">
        <f>AO107-AO95</f>
        <v/>
      </c>
      <c r="AQ107" s="15" t="n"/>
      <c r="AR107" s="286" t="n">
        <v>65.06</v>
      </c>
      <c r="AS107" s="290">
        <f>AR107-AR95</f>
        <v/>
      </c>
      <c r="AT107" s="15" t="n"/>
      <c r="AU107" s="286" t="n">
        <v>56.16</v>
      </c>
      <c r="AV107" s="290">
        <f>AU107-AU95</f>
        <v/>
      </c>
      <c r="AW107" s="15" t="n"/>
      <c r="AX107" s="285" t="n">
        <v>885</v>
      </c>
      <c r="AY107" s="15">
        <f>AX107/AX95-1</f>
        <v/>
      </c>
      <c r="AZ107" s="15" t="n"/>
      <c r="BA107" s="287" t="n"/>
      <c r="BB107" s="37" t="n"/>
      <c r="BC107" s="287" t="n"/>
      <c r="BD107" s="37" t="n"/>
      <c r="BE107" s="287" t="n"/>
      <c r="BF107" s="37" t="n"/>
      <c r="BG107" s="287" t="n"/>
      <c r="BH107" s="37" t="n"/>
      <c r="BI107" s="288" t="n"/>
      <c r="BJ107" s="37" t="n"/>
      <c r="BK107" s="288" t="n"/>
      <c r="BL107" s="37" t="n"/>
      <c r="BM107" s="288" t="n"/>
      <c r="BN107" s="37" t="n"/>
      <c r="BO107" s="1" t="n"/>
      <c r="BP107" s="288" t="n"/>
      <c r="BQ107" s="37" t="n"/>
      <c r="BR107" s="288" t="n"/>
      <c r="BS107" s="37" t="n"/>
      <c r="BT107" s="288" t="n"/>
      <c r="BU107" s="37" t="n"/>
      <c r="BV107" s="288" t="n"/>
      <c r="BW107" s="37" t="n"/>
      <c r="BX107" s="288" t="n"/>
      <c r="BY107" s="37" t="n"/>
      <c r="BZ107" s="288" t="n"/>
      <c r="CA107" s="37" t="n"/>
      <c r="CB107" s="288" t="n"/>
      <c r="CC107" s="37" t="n"/>
      <c r="CD107" s="288" t="n"/>
      <c r="CE107" s="37" t="n"/>
      <c r="CF107" s="288" t="n"/>
      <c r="CG107" s="291" t="n"/>
      <c r="CH107" s="288" t="n"/>
      <c r="CI107" s="291" t="n"/>
      <c r="CJ107" s="288" t="n"/>
      <c r="CK107" s="291" t="n"/>
      <c r="CL107" s="288" t="n"/>
      <c r="CM107" s="291" t="n"/>
      <c r="CN107" s="288" t="n"/>
      <c r="CO107" s="80" t="n"/>
      <c r="CP107" s="288" t="n"/>
      <c r="CQ107" s="80" t="n"/>
      <c r="CR107" s="288" t="n"/>
      <c r="CS107" s="80" t="n"/>
      <c r="CT107" s="288" t="n"/>
      <c r="CU107" s="80" t="n"/>
      <c r="CW107" s="288" t="n"/>
      <c r="CX107" s="37" t="n"/>
      <c r="CY107" s="288" t="n"/>
      <c r="CZ107" s="37" t="n"/>
      <c r="DA107" s="288" t="n"/>
      <c r="DB107" s="37" t="n"/>
      <c r="DC107" s="288" t="n"/>
      <c r="DD107" s="37" t="n"/>
      <c r="DE107" s="270" t="n"/>
      <c r="DF107" s="270" t="n"/>
    </row>
    <row r="108" customFormat="1" s="40">
      <c r="A108" s="284" t="n">
        <v>44834</v>
      </c>
      <c r="B108" s="285" t="n">
        <v>12249.13</v>
      </c>
      <c r="C108" s="15">
        <f>B108/B96-1</f>
        <v/>
      </c>
      <c r="D108" s="15" t="n"/>
      <c r="E108" s="285" t="n">
        <v>11452.52</v>
      </c>
      <c r="F108" s="15">
        <f>E108/E96-1</f>
        <v/>
      </c>
      <c r="G108" s="15" t="n"/>
      <c r="H108" s="285" t="n">
        <v>741.58</v>
      </c>
      <c r="I108" s="15">
        <f>H108/H96-1</f>
        <v/>
      </c>
      <c r="J108" s="15" t="n"/>
      <c r="K108" s="285" t="n">
        <v>55.03</v>
      </c>
      <c r="L108" s="15">
        <f>K108/K96-1</f>
        <v/>
      </c>
      <c r="M108" s="15" t="n"/>
      <c r="N108" s="285" t="n">
        <v>8361.34</v>
      </c>
      <c r="O108" s="15">
        <f>N108/N96-1</f>
        <v/>
      </c>
      <c r="P108" s="15" t="n"/>
      <c r="Q108" s="285" t="n">
        <v>7841.46</v>
      </c>
      <c r="R108" s="15">
        <f>Q108/Q96-1</f>
        <v/>
      </c>
      <c r="S108" s="15" t="n"/>
      <c r="T108" s="285" t="n">
        <v>495.84</v>
      </c>
      <c r="U108" s="15">
        <f>T108/T96-1</f>
        <v/>
      </c>
      <c r="V108" s="15" t="n"/>
      <c r="W108" s="285" t="n">
        <v>24.04</v>
      </c>
      <c r="X108" s="15">
        <f>W108/W96-1</f>
        <v/>
      </c>
      <c r="Y108" s="15" t="n"/>
      <c r="Z108" s="285" t="n">
        <v>5372.51</v>
      </c>
      <c r="AA108" s="15">
        <f>Z108/Z96-1</f>
        <v/>
      </c>
      <c r="AB108" s="15" t="n"/>
      <c r="AC108" s="285" t="n">
        <v>5270.27</v>
      </c>
      <c r="AD108" s="15">
        <f>AC108/AC96-1</f>
        <v/>
      </c>
      <c r="AE108" s="15" t="n"/>
      <c r="AF108" s="285" t="n">
        <v>82.79000000000001</v>
      </c>
      <c r="AG108" s="15">
        <f>AF108/AF96-1</f>
        <v/>
      </c>
      <c r="AH108" s="15" t="n"/>
      <c r="AI108" s="285" t="n">
        <v>19.45</v>
      </c>
      <c r="AJ108" s="15">
        <f>AI108/AI96-1</f>
        <v/>
      </c>
      <c r="AK108" s="15" t="n"/>
      <c r="AL108" s="286" t="n">
        <v>68.26000000000001</v>
      </c>
      <c r="AM108" s="290">
        <f>AL108-AL96</f>
        <v/>
      </c>
      <c r="AN108" s="15" t="n"/>
      <c r="AO108" s="286" t="n">
        <v>68.47</v>
      </c>
      <c r="AP108" s="290">
        <f>AO108-AO96</f>
        <v/>
      </c>
      <c r="AQ108" s="15" t="n"/>
      <c r="AR108" s="286" t="n">
        <v>66.86</v>
      </c>
      <c r="AS108" s="290">
        <f>AR108-AR96</f>
        <v/>
      </c>
      <c r="AT108" s="15" t="n"/>
      <c r="AU108" s="286" t="n">
        <v>43.69</v>
      </c>
      <c r="AV108" s="290">
        <f>AU108-AU96</f>
        <v/>
      </c>
      <c r="AW108" s="15" t="n"/>
      <c r="AX108" s="285" t="n">
        <v>886</v>
      </c>
      <c r="AY108" s="15">
        <f>AX108/AX96-1</f>
        <v/>
      </c>
      <c r="AZ108" s="15" t="n"/>
      <c r="BA108" s="287" t="n"/>
      <c r="BB108" s="37" t="n"/>
      <c r="BC108" s="287" t="n"/>
      <c r="BD108" s="37" t="n"/>
      <c r="BE108" s="287" t="n"/>
      <c r="BF108" s="37" t="n"/>
      <c r="BG108" s="287" t="n"/>
      <c r="BH108" s="37" t="n"/>
      <c r="BI108" s="288" t="n"/>
      <c r="BJ108" s="37" t="n"/>
      <c r="BK108" s="288" t="n"/>
      <c r="BL108" s="37" t="n"/>
      <c r="BM108" s="288" t="n"/>
      <c r="BN108" s="37" t="n"/>
      <c r="BO108" s="1" t="n"/>
      <c r="BP108" s="288" t="n"/>
      <c r="BQ108" s="37" t="n"/>
      <c r="BR108" s="288" t="n"/>
      <c r="BS108" s="37" t="n"/>
      <c r="BT108" s="288" t="n"/>
      <c r="BU108" s="37" t="n"/>
      <c r="BV108" s="288" t="n"/>
      <c r="BW108" s="37" t="n"/>
      <c r="BX108" s="288" t="n"/>
      <c r="BY108" s="37" t="n"/>
      <c r="BZ108" s="288" t="n"/>
      <c r="CA108" s="37" t="n"/>
      <c r="CB108" s="288" t="n"/>
      <c r="CC108" s="37" t="n"/>
      <c r="CD108" s="288" t="n"/>
      <c r="CE108" s="37" t="n"/>
      <c r="CF108" s="288" t="n"/>
      <c r="CG108" s="291" t="n"/>
      <c r="CH108" s="288" t="n"/>
      <c r="CI108" s="291" t="n"/>
      <c r="CJ108" s="288" t="n"/>
      <c r="CK108" s="291" t="n"/>
      <c r="CL108" s="288" t="n"/>
      <c r="CM108" s="291" t="n"/>
      <c r="CN108" s="288" t="n"/>
      <c r="CO108" s="80" t="n"/>
      <c r="CP108" s="288" t="n"/>
      <c r="CQ108" s="80" t="n"/>
      <c r="CR108" s="288" t="n"/>
      <c r="CS108" s="80" t="n"/>
      <c r="CT108" s="288" t="n"/>
      <c r="CU108" s="80" t="n"/>
      <c r="CW108" s="288" t="n"/>
      <c r="CX108" s="37" t="n"/>
      <c r="CY108" s="288" t="n"/>
      <c r="CZ108" s="37" t="n"/>
      <c r="DA108" s="288" t="n"/>
      <c r="DB108" s="37" t="n"/>
      <c r="DC108" s="288" t="n"/>
      <c r="DD108" s="37" t="n"/>
      <c r="DE108" s="270" t="n"/>
      <c r="DF108" s="270" t="n"/>
    </row>
    <row r="109" customFormat="1" s="40">
      <c r="A109" s="284" t="n">
        <v>44865</v>
      </c>
      <c r="B109" s="285" t="n">
        <v>9716.58</v>
      </c>
      <c r="C109" s="15">
        <f>B109/B97-1</f>
        <v/>
      </c>
      <c r="D109" s="15" t="n"/>
      <c r="E109" s="285" t="n">
        <v>8864.01</v>
      </c>
      <c r="F109" s="15">
        <f>E109/E97-1</f>
        <v/>
      </c>
      <c r="G109" s="15" t="n"/>
      <c r="H109" s="285" t="n">
        <v>793.45</v>
      </c>
      <c r="I109" s="15">
        <f>H109/H97-1</f>
        <v/>
      </c>
      <c r="J109" s="15" t="n"/>
      <c r="K109" s="285" t="n">
        <v>59.12</v>
      </c>
      <c r="L109" s="15">
        <f>K109/K97-1</f>
        <v/>
      </c>
      <c r="M109" s="15" t="n"/>
      <c r="N109" s="285" t="n">
        <v>6503.48</v>
      </c>
      <c r="O109" s="15">
        <f>N109/N97-1</f>
        <v/>
      </c>
      <c r="P109" s="15" t="n"/>
      <c r="Q109" s="285" t="n">
        <v>5969.82</v>
      </c>
      <c r="R109" s="15">
        <f>Q109/Q97-1</f>
        <v/>
      </c>
      <c r="S109" s="15" t="n"/>
      <c r="T109" s="285" t="n">
        <v>509.23</v>
      </c>
      <c r="U109" s="15">
        <f>T109/T97-1</f>
        <v/>
      </c>
      <c r="V109" s="15" t="n"/>
      <c r="W109" s="285" t="n">
        <v>24.43</v>
      </c>
      <c r="X109" s="15">
        <f>W109/W97-1</f>
        <v/>
      </c>
      <c r="Y109" s="15" t="n"/>
      <c r="Z109" s="285" t="n">
        <v>4137.17</v>
      </c>
      <c r="AA109" s="15">
        <f>Z109/Z97-1</f>
        <v/>
      </c>
      <c r="AB109" s="15" t="n"/>
      <c r="AC109" s="285" t="n">
        <v>4034.28</v>
      </c>
      <c r="AD109" s="15">
        <f>AC109/AC97-1</f>
        <v/>
      </c>
      <c r="AE109" s="15" t="n"/>
      <c r="AF109" s="285" t="n">
        <v>82.56999999999999</v>
      </c>
      <c r="AG109" s="15">
        <f>AF109/AF97-1</f>
        <v/>
      </c>
      <c r="AH109" s="15" t="n"/>
      <c r="AI109" s="285" t="n">
        <v>20.32</v>
      </c>
      <c r="AJ109" s="15">
        <f>AI109/AI97-1</f>
        <v/>
      </c>
      <c r="AK109" s="15" t="n"/>
      <c r="AL109" s="286" t="n">
        <v>66.93000000000001</v>
      </c>
      <c r="AM109" s="290">
        <f>AL109-AL97</f>
        <v/>
      </c>
      <c r="AN109" s="15" t="n"/>
      <c r="AO109" s="286" t="n">
        <v>67.34999999999999</v>
      </c>
      <c r="AP109" s="290">
        <f>AO109-AO97</f>
        <v/>
      </c>
      <c r="AQ109" s="15" t="n"/>
      <c r="AR109" s="286" t="n">
        <v>64.18000000000001</v>
      </c>
      <c r="AS109" s="290">
        <f>AR109-AR97</f>
        <v/>
      </c>
      <c r="AT109" s="15" t="n"/>
      <c r="AU109" s="286" t="n">
        <v>41.32</v>
      </c>
      <c r="AV109" s="290">
        <f>AU109-AU97</f>
        <v/>
      </c>
      <c r="AW109" s="15" t="n"/>
      <c r="AX109" s="285" t="n">
        <v>887</v>
      </c>
      <c r="AY109" s="15">
        <f>AX109/AX97-1</f>
        <v/>
      </c>
      <c r="AZ109" s="15" t="n"/>
      <c r="BA109" s="287" t="n"/>
      <c r="BB109" s="37" t="n"/>
      <c r="BC109" s="287" t="n"/>
      <c r="BD109" s="37" t="n"/>
      <c r="BE109" s="287" t="n"/>
      <c r="BF109" s="37" t="n"/>
      <c r="BG109" s="287" t="n"/>
      <c r="BH109" s="37" t="n"/>
      <c r="BI109" s="288" t="n"/>
      <c r="BJ109" s="37" t="n"/>
      <c r="BK109" s="288" t="n"/>
      <c r="BL109" s="37" t="n"/>
      <c r="BM109" s="288" t="n"/>
      <c r="BN109" s="37" t="n"/>
      <c r="BP109" s="288" t="n"/>
      <c r="BQ109" s="37" t="n"/>
      <c r="BR109" s="288" t="n"/>
      <c r="BS109" s="37" t="n"/>
      <c r="BT109" s="288" t="n"/>
      <c r="BU109" s="37" t="n"/>
      <c r="BV109" s="288" t="n"/>
      <c r="BW109" s="37" t="n"/>
      <c r="BX109" s="288" t="n"/>
      <c r="BY109" s="37" t="n"/>
      <c r="BZ109" s="288" t="n"/>
      <c r="CA109" s="37" t="n"/>
      <c r="CB109" s="288" t="n"/>
      <c r="CC109" s="37" t="n"/>
      <c r="CD109" s="288" t="n"/>
      <c r="CE109" s="37" t="n"/>
      <c r="CF109" s="288" t="n"/>
      <c r="CG109" s="291" t="n"/>
      <c r="CH109" s="288" t="n"/>
      <c r="CI109" s="291" t="n"/>
      <c r="CJ109" s="288" t="n"/>
      <c r="CK109" s="291" t="n"/>
      <c r="CL109" s="288" t="n"/>
      <c r="CM109" s="291" t="n"/>
      <c r="CN109" s="288" t="n"/>
      <c r="CO109" s="80" t="n"/>
      <c r="CP109" s="288" t="n"/>
      <c r="CQ109" s="80" t="n"/>
      <c r="CR109" s="288" t="n"/>
      <c r="CS109" s="80" t="n"/>
      <c r="CT109" s="288" t="n"/>
      <c r="CU109" s="80" t="n"/>
      <c r="CW109" s="288" t="n"/>
      <c r="CX109" s="37" t="n"/>
      <c r="CY109" s="288" t="n"/>
      <c r="CZ109" s="37" t="n"/>
      <c r="DA109" s="288" t="n"/>
      <c r="DB109" s="37" t="n"/>
      <c r="DC109" s="288" t="n"/>
      <c r="DD109" s="37" t="n"/>
      <c r="DE109" s="304" t="n"/>
      <c r="DF109" s="304" t="n"/>
    </row>
    <row r="110" customFormat="1" s="40">
      <c r="A110" s="284" t="n">
        <v>44895</v>
      </c>
      <c r="B110" s="285" t="n">
        <v>7423.36</v>
      </c>
      <c r="C110" s="15">
        <f>B110/B98-1</f>
        <v/>
      </c>
      <c r="D110" s="15" t="n"/>
      <c r="E110" s="285" t="n">
        <v>6534.08</v>
      </c>
      <c r="F110" s="15">
        <f>E110/E98-1</f>
        <v/>
      </c>
      <c r="G110" s="15" t="n"/>
      <c r="H110" s="285" t="n">
        <v>828.14</v>
      </c>
      <c r="I110" s="15">
        <f>H110/H98-1</f>
        <v/>
      </c>
      <c r="J110" s="15" t="n"/>
      <c r="K110" s="285" t="n">
        <v>61.14</v>
      </c>
      <c r="L110" s="15">
        <f>K110/K98-1</f>
        <v/>
      </c>
      <c r="M110" s="15" t="n"/>
      <c r="N110" s="285" t="n">
        <v>4871.17</v>
      </c>
      <c r="O110" s="15">
        <f>N110/N98-1</f>
        <v/>
      </c>
      <c r="P110" s="15" t="n"/>
      <c r="Q110" s="285" t="n">
        <v>4338.19</v>
      </c>
      <c r="R110" s="15">
        <f>Q110/Q98-1</f>
        <v/>
      </c>
      <c r="S110" s="15" t="n"/>
      <c r="T110" s="285" t="n">
        <v>507.83</v>
      </c>
      <c r="U110" s="15">
        <f>T110/T98-1</f>
        <v/>
      </c>
      <c r="V110" s="15" t="n"/>
      <c r="W110" s="285" t="n">
        <v>25.15</v>
      </c>
      <c r="X110" s="15">
        <f>W110/W98-1</f>
        <v/>
      </c>
      <c r="Y110" s="15" t="n"/>
      <c r="Z110" s="285" t="n">
        <v>2855.85</v>
      </c>
      <c r="AA110" s="15">
        <f>Z110/Z98-1</f>
        <v/>
      </c>
      <c r="AB110" s="15" t="n"/>
      <c r="AC110" s="285" t="n">
        <v>2744.45</v>
      </c>
      <c r="AD110" s="15">
        <f>AC110/AC98-1</f>
        <v/>
      </c>
      <c r="AE110" s="15" t="n"/>
      <c r="AF110" s="285" t="n">
        <v>89.91</v>
      </c>
      <c r="AG110" s="15">
        <f>AF110/AF98-1</f>
        <v/>
      </c>
      <c r="AH110" s="15" t="n"/>
      <c r="AI110" s="285" t="n">
        <v>21.49</v>
      </c>
      <c r="AJ110" s="15">
        <f>AI110/AI98-1</f>
        <v/>
      </c>
      <c r="AK110" s="15" t="n"/>
      <c r="AL110" s="286" t="n">
        <v>65.62</v>
      </c>
      <c r="AM110" s="290">
        <f>AL110-AL98</f>
        <v/>
      </c>
      <c r="AN110" s="15" t="n"/>
      <c r="AO110" s="286" t="n">
        <v>66.39</v>
      </c>
      <c r="AP110" s="290">
        <f>AO110-AO98</f>
        <v/>
      </c>
      <c r="AQ110" s="15" t="n"/>
      <c r="AR110" s="286" t="n">
        <v>61.32</v>
      </c>
      <c r="AS110" s="290">
        <f>AR110-AR98</f>
        <v/>
      </c>
      <c r="AT110" s="15" t="n"/>
      <c r="AU110" s="286" t="n">
        <v>41.13</v>
      </c>
      <c r="AV110" s="290">
        <f>AU110-AU98</f>
        <v/>
      </c>
      <c r="AW110" s="15" t="n"/>
      <c r="AX110" s="285" t="n">
        <v>887</v>
      </c>
      <c r="AY110" s="15">
        <f>AX110/AX98-1</f>
        <v/>
      </c>
      <c r="AZ110" s="15" t="n"/>
      <c r="BA110" s="287" t="n"/>
      <c r="BB110" s="37" t="n"/>
      <c r="BC110" s="287" t="n"/>
      <c r="BD110" s="37" t="n"/>
      <c r="BE110" s="287" t="n"/>
      <c r="BF110" s="37" t="n"/>
      <c r="BG110" s="287" t="n"/>
      <c r="BH110" s="37" t="n"/>
      <c r="BI110" s="288" t="n"/>
      <c r="BJ110" s="37" t="n"/>
      <c r="BK110" s="288" t="n"/>
      <c r="BL110" s="37" t="n"/>
      <c r="BM110" s="288" t="n"/>
      <c r="BN110" s="37" t="n"/>
      <c r="BP110" s="288" t="n"/>
      <c r="BQ110" s="37" t="n"/>
      <c r="BR110" s="288" t="n"/>
      <c r="BS110" s="37" t="n"/>
      <c r="BT110" s="288" t="n"/>
      <c r="BU110" s="37" t="n"/>
      <c r="BV110" s="288" t="n"/>
      <c r="BW110" s="37" t="n"/>
      <c r="BX110" s="288" t="n"/>
      <c r="BY110" s="37" t="n"/>
      <c r="BZ110" s="288" t="n"/>
      <c r="CA110" s="37" t="n"/>
      <c r="CB110" s="288" t="n"/>
      <c r="CC110" s="37" t="n"/>
      <c r="CD110" s="288" t="n"/>
      <c r="CE110" s="37" t="n"/>
      <c r="CF110" s="288" t="n"/>
      <c r="CG110" s="291" t="n"/>
      <c r="CH110" s="288" t="n"/>
      <c r="CI110" s="291" t="n"/>
      <c r="CJ110" s="288" t="n"/>
      <c r="CK110" s="291" t="n"/>
      <c r="CL110" s="288" t="n"/>
      <c r="CM110" s="291" t="n"/>
      <c r="CN110" s="288" t="n"/>
      <c r="CO110" s="80" t="n"/>
      <c r="CP110" s="288" t="n"/>
      <c r="CQ110" s="80" t="n"/>
      <c r="CR110" s="288" t="n"/>
      <c r="CS110" s="80" t="n"/>
      <c r="CT110" s="288" t="n"/>
      <c r="CU110" s="80" t="n"/>
      <c r="CW110" s="288" t="n"/>
      <c r="CX110" s="37" t="n"/>
      <c r="CY110" s="288" t="n"/>
      <c r="CZ110" s="37" t="n"/>
      <c r="DA110" s="288" t="n"/>
      <c r="DB110" s="37" t="n"/>
      <c r="DC110" s="288" t="n"/>
      <c r="DD110" s="37" t="n"/>
      <c r="DE110" s="304" t="n"/>
      <c r="DF110" s="304" t="n"/>
    </row>
    <row r="111" customFormat="1" s="40">
      <c r="A111" s="284" t="n">
        <v>44926</v>
      </c>
      <c r="B111" s="285" t="n">
        <v>11265.61</v>
      </c>
      <c r="C111" s="15">
        <f>B111/B99-1</f>
        <v/>
      </c>
      <c r="D111" s="15" t="n"/>
      <c r="E111" s="285" t="n">
        <v>10164.38</v>
      </c>
      <c r="F111" s="15">
        <f>E111/E99-1</f>
        <v/>
      </c>
      <c r="G111" s="15" t="n"/>
      <c r="H111" s="285" t="n">
        <v>1026.96</v>
      </c>
      <c r="I111" s="15">
        <f>H111/H99-1</f>
        <v/>
      </c>
      <c r="J111" s="15" t="n"/>
      <c r="K111" s="285" t="n">
        <v>74.27</v>
      </c>
      <c r="L111" s="15">
        <f>K111/K99-1</f>
        <v/>
      </c>
      <c r="M111" s="15" t="n"/>
      <c r="N111" s="285" t="n">
        <v>7495.55</v>
      </c>
      <c r="O111" s="15">
        <f>N111/N99-1</f>
        <v/>
      </c>
      <c r="P111" s="15" t="n"/>
      <c r="Q111" s="285" t="n">
        <v>6793.81</v>
      </c>
      <c r="R111" s="15">
        <f>Q111/Q99-1</f>
        <v/>
      </c>
      <c r="S111" s="15" t="n"/>
      <c r="T111" s="285" t="n">
        <v>671.71</v>
      </c>
      <c r="U111" s="15">
        <f>T111/T99-1</f>
        <v/>
      </c>
      <c r="V111" s="15" t="n"/>
      <c r="W111" s="285" t="n">
        <v>30.03</v>
      </c>
      <c r="X111" s="15">
        <f>W111/W99-1</f>
        <v/>
      </c>
      <c r="Y111" s="15" t="n"/>
      <c r="Z111" s="285" t="n">
        <v>4276.01</v>
      </c>
      <c r="AA111" s="15">
        <f>Z111/Z99-1</f>
        <v/>
      </c>
      <c r="AB111" s="15" t="n"/>
      <c r="AC111" s="285" t="n">
        <v>4132.64</v>
      </c>
      <c r="AD111" s="15">
        <f>AC111/AC99-1</f>
        <v/>
      </c>
      <c r="AE111" s="15" t="n"/>
      <c r="AF111" s="285" t="n">
        <v>117.95</v>
      </c>
      <c r="AG111" s="15">
        <f>AF111/AF99-1</f>
        <v/>
      </c>
      <c r="AH111" s="15" t="n"/>
      <c r="AI111" s="285" t="n">
        <v>25.42</v>
      </c>
      <c r="AJ111" s="15">
        <f>AI111/AI99-1</f>
        <v/>
      </c>
      <c r="AK111" s="15" t="n"/>
      <c r="AL111" s="286" t="n">
        <v>66.53</v>
      </c>
      <c r="AM111" s="290">
        <f>AL111-AL99</f>
        <v/>
      </c>
      <c r="AN111" s="15" t="n"/>
      <c r="AO111" s="286" t="n">
        <v>66.84</v>
      </c>
      <c r="AP111" s="290">
        <f>AO111-AO99</f>
        <v/>
      </c>
      <c r="AQ111" s="15" t="n"/>
      <c r="AR111" s="286" t="n">
        <v>65.41</v>
      </c>
      <c r="AS111" s="290">
        <f>AR111-AR99</f>
        <v/>
      </c>
      <c r="AT111" s="15" t="n"/>
      <c r="AU111" s="286" t="n">
        <v>40.43</v>
      </c>
      <c r="AV111" s="290">
        <f>AU111-AU99</f>
        <v/>
      </c>
      <c r="AW111" s="15" t="n"/>
      <c r="AX111" s="285" t="n">
        <v>894</v>
      </c>
      <c r="AY111" s="15">
        <f>AX111/AX99-1</f>
        <v/>
      </c>
      <c r="AZ111" s="15" t="n"/>
      <c r="BA111" s="287" t="n"/>
      <c r="BB111" s="37" t="n"/>
      <c r="BC111" s="287" t="n"/>
      <c r="BD111" s="37" t="n"/>
      <c r="BE111" s="287" t="n"/>
      <c r="BF111" s="37" t="n"/>
      <c r="BG111" s="287" t="n"/>
      <c r="BH111" s="37" t="n"/>
      <c r="BI111" s="288" t="n"/>
      <c r="BJ111" s="37" t="n"/>
      <c r="BK111" s="288" t="n"/>
      <c r="BL111" s="37" t="n"/>
      <c r="BM111" s="288" t="n"/>
      <c r="BN111" s="37" t="n"/>
      <c r="BP111" s="288" t="n"/>
      <c r="BQ111" s="37" t="n"/>
      <c r="BR111" s="288" t="n"/>
      <c r="BS111" s="37" t="n"/>
      <c r="BT111" s="288" t="n"/>
      <c r="BU111" s="37" t="n"/>
      <c r="BV111" s="288" t="n"/>
      <c r="BW111" s="37" t="n"/>
      <c r="BX111" s="288" t="n"/>
      <c r="BY111" s="37" t="n"/>
      <c r="BZ111" s="288" t="n"/>
      <c r="CA111" s="37" t="n"/>
      <c r="CB111" s="288" t="n"/>
      <c r="CC111" s="37" t="n"/>
      <c r="CD111" s="288" t="n"/>
      <c r="CE111" s="37" t="n"/>
      <c r="CF111" s="288" t="n"/>
      <c r="CG111" s="291" t="n"/>
      <c r="CH111" s="288" t="n"/>
      <c r="CI111" s="291" t="n"/>
      <c r="CJ111" s="288" t="n"/>
      <c r="CK111" s="291" t="n"/>
      <c r="CL111" s="288" t="n"/>
      <c r="CM111" s="291" t="n"/>
      <c r="CN111" s="288" t="n"/>
      <c r="CO111" s="80" t="n"/>
      <c r="CP111" s="288" t="n"/>
      <c r="CQ111" s="80" t="n"/>
      <c r="CR111" s="288" t="n"/>
      <c r="CS111" s="80" t="n"/>
      <c r="CT111" s="288" t="n"/>
      <c r="CU111" s="80" t="n"/>
      <c r="CW111" s="288" t="n"/>
      <c r="CX111" s="37" t="n"/>
      <c r="CY111" s="288" t="n"/>
      <c r="CZ111" s="37" t="n"/>
      <c r="DA111" s="288" t="n"/>
      <c r="DB111" s="37" t="n"/>
      <c r="DC111" s="288" t="n"/>
      <c r="DD111" s="37" t="n"/>
      <c r="DE111" s="1" t="n"/>
      <c r="DF111" s="304" t="n"/>
    </row>
    <row r="112" customFormat="1" s="40">
      <c r="A112" s="305" t="n">
        <v>44957</v>
      </c>
      <c r="B112" s="306" t="n">
        <v>21615.57</v>
      </c>
      <c r="C112" s="15">
        <f>B112/B100-1</f>
        <v/>
      </c>
      <c r="D112" s="15">
        <f>B112/B64-1</f>
        <v/>
      </c>
      <c r="E112" s="306" t="n">
        <v>20343.06</v>
      </c>
      <c r="F112" s="15">
        <f>E112/E100-1</f>
        <v/>
      </c>
      <c r="G112" s="15">
        <f>E112/E64-1</f>
        <v/>
      </c>
      <c r="H112" s="306" t="n">
        <v>1164.56</v>
      </c>
      <c r="I112" s="15">
        <f>H112/H100-1</f>
        <v/>
      </c>
      <c r="J112" s="15">
        <f>H112/H64-1</f>
        <v/>
      </c>
      <c r="K112" s="306" t="n">
        <v>107.95</v>
      </c>
      <c r="L112" s="15">
        <f>K112/K100-1</f>
        <v/>
      </c>
      <c r="M112" s="15">
        <f>K112/K64-1</f>
        <v/>
      </c>
      <c r="N112" s="306" t="n">
        <v>15707.5</v>
      </c>
      <c r="O112" s="15">
        <f>N112/N100-1</f>
        <v/>
      </c>
      <c r="P112" s="15">
        <f>N112/N64-1</f>
        <v/>
      </c>
      <c r="Q112" s="306" t="n">
        <v>14797.69</v>
      </c>
      <c r="R112" s="15">
        <f>Q112/Q100-1</f>
        <v/>
      </c>
      <c r="S112" s="15">
        <f>Q112/Q64-1</f>
        <v/>
      </c>
      <c r="T112" s="306" t="n">
        <v>843.09</v>
      </c>
      <c r="U112" s="15">
        <f>T112/T100-1</f>
        <v/>
      </c>
      <c r="V112" s="15">
        <f>T112/T64-1</f>
        <v/>
      </c>
      <c r="W112" s="306" t="n">
        <v>66.72</v>
      </c>
      <c r="X112" s="15">
        <f>W112/W100-1</f>
        <v/>
      </c>
      <c r="Y112" s="15">
        <f>W112/W64-1</f>
        <v/>
      </c>
      <c r="Z112" s="306" t="n">
        <v>9433.92</v>
      </c>
      <c r="AA112" s="15">
        <f>Z112/Z100-1</f>
        <v/>
      </c>
      <c r="AB112" s="15">
        <f>Z112/Z64-1</f>
        <v/>
      </c>
      <c r="AC112" s="306" t="n">
        <v>9211.1</v>
      </c>
      <c r="AD112" s="15">
        <f>AC112/AC100-1</f>
        <v/>
      </c>
      <c r="AE112" s="15">
        <f>AC112/AC64-1</f>
        <v/>
      </c>
      <c r="AF112" s="306" t="n">
        <v>161.93</v>
      </c>
      <c r="AG112" s="15">
        <f>AF112/AF100-1</f>
        <v/>
      </c>
      <c r="AH112" s="15">
        <f>AF112/AF64-1</f>
        <v/>
      </c>
      <c r="AI112" s="306" t="n">
        <v>60.88</v>
      </c>
      <c r="AJ112" s="15">
        <f>AI112/AI100-1</f>
        <v/>
      </c>
      <c r="AK112" s="15">
        <f>AI112/AI64-1</f>
        <v/>
      </c>
      <c r="AL112" s="307" t="n">
        <v>72.67</v>
      </c>
      <c r="AM112" s="290">
        <f>AL112-AL100</f>
        <v/>
      </c>
      <c r="AN112" s="290">
        <f>AL112-AL64</f>
        <v/>
      </c>
      <c r="AO112" s="307" t="n">
        <v>72.73999999999999</v>
      </c>
      <c r="AP112" s="290">
        <f>AO112-AO100</f>
        <v/>
      </c>
      <c r="AQ112" s="290">
        <f>AO112-AO64</f>
        <v/>
      </c>
      <c r="AR112" s="307" t="n">
        <v>72.40000000000001</v>
      </c>
      <c r="AS112" s="290">
        <f>AR112-AR100</f>
        <v/>
      </c>
      <c r="AT112" s="290">
        <f>AR112-AR64</f>
        <v/>
      </c>
      <c r="AU112" s="307" t="n">
        <v>61.8</v>
      </c>
      <c r="AV112" s="290">
        <f>AU112-AU100</f>
        <v/>
      </c>
      <c r="AW112" s="290">
        <f>AU112-AU64</f>
        <v/>
      </c>
      <c r="AX112" s="306" t="n">
        <v>892</v>
      </c>
      <c r="AY112" s="15">
        <f>AX112/AX100-1</f>
        <v/>
      </c>
      <c r="AZ112" s="15">
        <f>AX112/AX64-1</f>
        <v/>
      </c>
      <c r="BA112" s="308" t="n"/>
      <c r="BB112" s="262" t="n"/>
      <c r="BC112" s="308" t="n"/>
      <c r="BD112" s="262" t="n"/>
      <c r="BE112" s="308" t="n"/>
      <c r="BF112" s="262" t="n"/>
      <c r="BG112" s="308" t="n"/>
      <c r="BH112" s="262" t="n"/>
      <c r="BI112" s="306" t="n"/>
      <c r="BJ112" s="262" t="n"/>
      <c r="BK112" s="306" t="n"/>
      <c r="BL112" s="262" t="n"/>
      <c r="BM112" s="306" t="n"/>
      <c r="BN112" s="262" t="n"/>
      <c r="BO112" s="247" t="n"/>
      <c r="BP112" s="306" t="n"/>
      <c r="BQ112" s="262" t="n"/>
      <c r="BR112" s="306" t="n"/>
      <c r="BS112" s="262" t="n"/>
      <c r="BT112" s="306" t="n"/>
      <c r="BU112" s="262" t="n"/>
      <c r="BV112" s="306" t="n"/>
      <c r="BW112" s="262" t="n"/>
      <c r="BX112" s="306" t="n"/>
      <c r="BY112" s="262" t="n"/>
      <c r="BZ112" s="306" t="n"/>
      <c r="CA112" s="262" t="n"/>
      <c r="CB112" s="306" t="n"/>
      <c r="CC112" s="262" t="n"/>
      <c r="CD112" s="306" t="n"/>
      <c r="CE112" s="262" t="n"/>
      <c r="CF112" s="306" t="n"/>
      <c r="CG112" s="309" t="n"/>
      <c r="CH112" s="306" t="n"/>
      <c r="CI112" s="309" t="n"/>
      <c r="CJ112" s="306" t="n"/>
      <c r="CK112" s="309" t="n"/>
      <c r="CL112" s="306" t="n"/>
      <c r="CM112" s="309" t="n"/>
      <c r="CN112" s="306" t="n"/>
      <c r="CO112" s="234" t="n"/>
      <c r="CP112" s="306" t="n"/>
      <c r="CQ112" s="234" t="n"/>
      <c r="CR112" s="306" t="n"/>
      <c r="CS112" s="234" t="n"/>
      <c r="CT112" s="306" t="n"/>
      <c r="CU112" s="234" t="n"/>
      <c r="CW112" s="306" t="n"/>
      <c r="CX112" s="262" t="n"/>
      <c r="CY112" s="306" t="n"/>
      <c r="CZ112" s="262" t="n"/>
      <c r="DA112" s="306" t="n"/>
      <c r="DB112" s="262" t="n"/>
      <c r="DC112" s="306" t="n"/>
      <c r="DD112" s="262" t="n"/>
      <c r="DE112" s="264" t="n"/>
      <c r="DF112" s="310" t="n"/>
      <c r="DG112" s="247" t="n"/>
      <c r="DH112" s="247" t="n"/>
      <c r="DI112" s="247" t="n"/>
      <c r="DZ112" s="247" t="n"/>
      <c r="EI112" s="247" t="n"/>
      <c r="EJ112" s="247" t="n"/>
      <c r="EK112" s="247" t="n"/>
      <c r="EL112" s="247" t="n"/>
      <c r="EM112" s="247" t="n"/>
    </row>
    <row r="113" customFormat="1" s="40">
      <c r="A113" s="284" t="n">
        <v>44985</v>
      </c>
      <c r="B113" s="285" t="n">
        <v>22101.7</v>
      </c>
      <c r="C113" s="15">
        <f>B113/B101-1</f>
        <v/>
      </c>
      <c r="D113" s="15">
        <f>B113/B65-1</f>
        <v/>
      </c>
      <c r="E113" s="285" t="n">
        <v>20279.67</v>
      </c>
      <c r="F113" s="15">
        <f>E113/E101-1</f>
        <v/>
      </c>
      <c r="G113" s="15">
        <f>E113/E65-1</f>
        <v/>
      </c>
      <c r="H113" s="285" t="n">
        <v>1697.29</v>
      </c>
      <c r="I113" s="15">
        <f>H113/H101-1</f>
        <v/>
      </c>
      <c r="J113" s="15">
        <f>H113/H65-1</f>
        <v/>
      </c>
      <c r="K113" s="285" t="n">
        <v>124.74</v>
      </c>
      <c r="L113" s="15">
        <f>K113/K101-1</f>
        <v/>
      </c>
      <c r="M113" s="15">
        <f>K113/K65-1</f>
        <v/>
      </c>
      <c r="N113" s="285" t="n">
        <v>16928.61</v>
      </c>
      <c r="O113" s="15">
        <f>N113/N101-1</f>
        <v/>
      </c>
      <c r="P113" s="15">
        <f>N113/N65-1</f>
        <v/>
      </c>
      <c r="Q113" s="285" t="n">
        <v>15616.24</v>
      </c>
      <c r="R113" s="15">
        <f>Q113/Q101-1</f>
        <v/>
      </c>
      <c r="S113" s="15">
        <f>Q113/Q65-1</f>
        <v/>
      </c>
      <c r="T113" s="285" t="n">
        <v>1224.97</v>
      </c>
      <c r="U113" s="15">
        <f>T113/T101-1</f>
        <v/>
      </c>
      <c r="V113" s="15">
        <f>T113/T65-1</f>
        <v/>
      </c>
      <c r="W113" s="285" t="n">
        <v>87.40000000000001</v>
      </c>
      <c r="X113" s="15">
        <f>W113/W101-1</f>
        <v/>
      </c>
      <c r="Y113" s="15">
        <f>W113/W65-1</f>
        <v/>
      </c>
      <c r="Z113" s="285" t="n">
        <v>10099.83</v>
      </c>
      <c r="AA113" s="15">
        <f>Z113/Z101-1</f>
        <v/>
      </c>
      <c r="AB113" s="15">
        <f>Z113/Z65-1</f>
        <v/>
      </c>
      <c r="AC113" s="285" t="n">
        <v>9767.83</v>
      </c>
      <c r="AD113" s="15">
        <f>AC113/AC101-1</f>
        <v/>
      </c>
      <c r="AE113" s="15">
        <f>AC113/AC65-1</f>
        <v/>
      </c>
      <c r="AF113" s="285" t="n">
        <v>256.08</v>
      </c>
      <c r="AG113" s="15">
        <f>AF113/AF101-1</f>
        <v/>
      </c>
      <c r="AH113" s="15">
        <f>AF113/AF65-1</f>
        <v/>
      </c>
      <c r="AI113" s="285" t="n">
        <v>75.93000000000001</v>
      </c>
      <c r="AJ113" s="15">
        <f>AI113/AI101-1</f>
        <v/>
      </c>
      <c r="AK113" s="15">
        <f>AI113/AI65-1</f>
        <v/>
      </c>
      <c r="AL113" s="286" t="n">
        <v>76.59</v>
      </c>
      <c r="AM113" s="290">
        <f>AL113-AL101</f>
        <v/>
      </c>
      <c r="AN113" s="290">
        <f>AL113-AL65</f>
        <v/>
      </c>
      <c r="AO113" s="286" t="n">
        <v>77</v>
      </c>
      <c r="AP113" s="290">
        <f>AO113-AO101</f>
        <v/>
      </c>
      <c r="AQ113" s="290">
        <f>AO113-AO65</f>
        <v/>
      </c>
      <c r="AR113" s="286" t="n">
        <v>72.17</v>
      </c>
      <c r="AS113" s="290">
        <f>AR113-AR101</f>
        <v/>
      </c>
      <c r="AT113" s="290">
        <f>AR113-AR65</f>
        <v/>
      </c>
      <c r="AU113" s="286" t="n">
        <v>70.06999999999999</v>
      </c>
      <c r="AV113" s="290">
        <f>AU113-AU101</f>
        <v/>
      </c>
      <c r="AW113" s="290">
        <f>AU113-AU65</f>
        <v/>
      </c>
      <c r="AX113" s="285" t="n">
        <v>893</v>
      </c>
      <c r="AY113" s="15">
        <f>AX113/AX101-1</f>
        <v/>
      </c>
      <c r="AZ113" s="15">
        <f>AX113/AX65-1</f>
        <v/>
      </c>
      <c r="BA113" s="291" t="n"/>
      <c r="BB113" s="291" t="n"/>
      <c r="BC113" s="291" t="n"/>
      <c r="BD113" s="291" t="n"/>
      <c r="BE113" s="291" t="n"/>
      <c r="BF113" s="291" t="n"/>
      <c r="BG113" s="291" t="n"/>
      <c r="BH113" s="291" t="n"/>
      <c r="BI113" s="291" t="n"/>
      <c r="BJ113" s="291" t="n"/>
      <c r="BK113" s="288" t="n"/>
      <c r="BL113" s="291" t="n"/>
      <c r="BM113" s="291" t="n"/>
      <c r="BN113" s="291" t="n"/>
      <c r="BO113" s="291" t="n"/>
      <c r="BP113" s="291" t="n"/>
      <c r="BQ113" s="291" t="n"/>
      <c r="BR113" s="291" t="n"/>
      <c r="BS113" s="291" t="n"/>
      <c r="BT113" s="291" t="n"/>
      <c r="BU113" s="291" t="n"/>
      <c r="BV113" s="291" t="n"/>
      <c r="BW113" s="291" t="n"/>
      <c r="BX113" s="291" t="n"/>
      <c r="BY113" s="291" t="n"/>
      <c r="BZ113" s="291" t="n"/>
      <c r="CA113" s="291" t="n"/>
      <c r="CB113" s="291" t="n"/>
      <c r="CC113" s="291" t="n"/>
      <c r="CD113" s="291" t="n"/>
      <c r="CE113" s="291" t="n"/>
      <c r="CF113" s="291" t="n"/>
      <c r="CG113" s="291" t="n"/>
      <c r="CH113" s="291" t="n"/>
      <c r="CI113" s="291" t="n"/>
      <c r="CJ113" s="291" t="n"/>
      <c r="CK113" s="291" t="n"/>
      <c r="CL113" s="291" t="n"/>
      <c r="CM113" s="291" t="n"/>
      <c r="CN113" s="291" t="n"/>
      <c r="CW113" s="291" t="n"/>
      <c r="CX113" s="291" t="n"/>
      <c r="CY113" s="291" t="n"/>
      <c r="CZ113" s="291" t="n"/>
      <c r="DA113" s="291" t="n"/>
      <c r="DB113" s="291" t="n"/>
      <c r="DC113" s="291" t="n"/>
      <c r="DD113" s="291" t="n"/>
      <c r="DE113" s="311" t="n"/>
      <c r="DF113" s="311" t="n"/>
    </row>
    <row r="114" customFormat="1" s="40">
      <c r="A114" s="312" t="n">
        <v>45016</v>
      </c>
      <c r="B114" s="285" t="n">
        <v>23231.83</v>
      </c>
      <c r="C114" s="15">
        <f>B114/B102-1</f>
        <v/>
      </c>
      <c r="D114" s="15">
        <f>B114/B66-1</f>
        <v/>
      </c>
      <c r="E114" s="285" t="n">
        <v>20861.1</v>
      </c>
      <c r="F114" s="15">
        <f>E114/E102-1</f>
        <v/>
      </c>
      <c r="G114" s="15">
        <f>E114/E66-1</f>
        <v/>
      </c>
      <c r="H114" s="285" t="n">
        <v>2206.53</v>
      </c>
      <c r="I114" s="15">
        <f>H114/H102-1</f>
        <v/>
      </c>
      <c r="J114" s="15">
        <f>H114/H66-1</f>
        <v/>
      </c>
      <c r="K114" s="285" t="n">
        <v>164.2</v>
      </c>
      <c r="L114" s="15">
        <f>K114/K102-1</f>
        <v/>
      </c>
      <c r="M114" s="15">
        <f>K114/K66-1</f>
        <v/>
      </c>
      <c r="N114" s="285" t="n">
        <v>17207.27</v>
      </c>
      <c r="O114" s="15">
        <f>N114/N102-1</f>
        <v/>
      </c>
      <c r="P114" s="15">
        <f>N114/N66-1</f>
        <v/>
      </c>
      <c r="Q114" s="285" t="n">
        <v>15430.1</v>
      </c>
      <c r="R114" s="15">
        <f>Q114/Q102-1</f>
        <v/>
      </c>
      <c r="S114" s="15">
        <f>Q114/Q66-1</f>
        <v/>
      </c>
      <c r="T114" s="285" t="n">
        <v>1652.58</v>
      </c>
      <c r="U114" s="15">
        <f>T114/T102-1</f>
        <v/>
      </c>
      <c r="V114" s="15">
        <f>T114/T66-1</f>
        <v/>
      </c>
      <c r="W114" s="285" t="n">
        <v>124.59</v>
      </c>
      <c r="X114" s="15">
        <f>W114/W102-1</f>
        <v/>
      </c>
      <c r="Y114" s="15">
        <f>W114/W66-1</f>
        <v/>
      </c>
      <c r="Z114" s="285" t="n">
        <v>10453.38</v>
      </c>
      <c r="AA114" s="15">
        <f>Z114/Z102-1</f>
        <v/>
      </c>
      <c r="AB114" s="15">
        <f>Z114/Z66-1</f>
        <v/>
      </c>
      <c r="AC114" s="285" t="n">
        <v>9977.299999999999</v>
      </c>
      <c r="AD114" s="15">
        <f>AC114/AC102-1</f>
        <v/>
      </c>
      <c r="AE114" s="15">
        <f>AC114/AC66-1</f>
        <v/>
      </c>
      <c r="AF114" s="285" t="n">
        <v>369.29</v>
      </c>
      <c r="AG114" s="15">
        <f>AF114/AF102-1</f>
        <v/>
      </c>
      <c r="AH114" s="15">
        <f>AF114/AF66-1</f>
        <v/>
      </c>
      <c r="AI114" s="285" t="n">
        <v>106.79</v>
      </c>
      <c r="AJ114" s="15">
        <f>AI114/AI102-1</f>
        <v/>
      </c>
      <c r="AK114" s="15">
        <f>AI114/AI66-1</f>
        <v/>
      </c>
      <c r="AL114" s="286" t="n">
        <v>74.06999999999999</v>
      </c>
      <c r="AM114" s="290">
        <f>AL114-AL102</f>
        <v/>
      </c>
      <c r="AN114" s="290">
        <f>AL114-AL66</f>
        <v/>
      </c>
      <c r="AO114" s="286" t="n">
        <v>73.97</v>
      </c>
      <c r="AP114" s="290">
        <f>AO114-AO102</f>
        <v/>
      </c>
      <c r="AQ114" s="290">
        <f>AO114-AO66</f>
        <v/>
      </c>
      <c r="AR114" s="286" t="n">
        <v>74.89</v>
      </c>
      <c r="AS114" s="290">
        <f>AR114-AR102</f>
        <v/>
      </c>
      <c r="AT114" s="290">
        <f>AR114-AR66</f>
        <v/>
      </c>
      <c r="AU114" s="286" t="n">
        <v>75.88</v>
      </c>
      <c r="AV114" s="290">
        <f>AU114-AU102</f>
        <v/>
      </c>
      <c r="AW114" s="290">
        <f>AU114-AU66</f>
        <v/>
      </c>
      <c r="AX114" s="285" t="n">
        <v>891</v>
      </c>
      <c r="AY114" s="15">
        <f>AX114/AX102-1</f>
        <v/>
      </c>
      <c r="AZ114" s="15">
        <f>AX114/AX66-1</f>
        <v/>
      </c>
      <c r="BA114" s="291" t="n"/>
      <c r="BB114" s="291" t="n"/>
      <c r="BC114" s="291" t="n"/>
      <c r="BD114" s="291" t="n"/>
      <c r="BE114" s="291" t="n"/>
      <c r="BF114" s="291" t="n"/>
      <c r="BG114" s="291" t="n"/>
      <c r="BH114" s="291" t="n"/>
      <c r="BI114" s="291" t="n"/>
      <c r="BJ114" s="291" t="n"/>
      <c r="BK114" s="288" t="n"/>
      <c r="BL114" s="291" t="n"/>
      <c r="BM114" s="291" t="n"/>
      <c r="BN114" s="291" t="n"/>
      <c r="BO114" s="291" t="n"/>
      <c r="BP114" s="291" t="n"/>
      <c r="BQ114" s="291" t="n"/>
      <c r="BR114" s="291" t="n"/>
      <c r="BS114" s="291" t="n"/>
      <c r="BT114" s="291" t="n"/>
      <c r="BU114" s="291" t="n"/>
      <c r="BV114" s="291" t="n"/>
      <c r="BW114" s="291" t="n"/>
      <c r="BX114" s="291" t="n"/>
      <c r="BY114" s="291" t="n"/>
      <c r="BZ114" s="291" t="n"/>
      <c r="CA114" s="291" t="n"/>
      <c r="CB114" s="291" t="n"/>
      <c r="CC114" s="291" t="n"/>
      <c r="CD114" s="291" t="n"/>
      <c r="CE114" s="291" t="n"/>
      <c r="CF114" s="291" t="n"/>
      <c r="CG114" s="291" t="n"/>
      <c r="CH114" s="291" t="n"/>
      <c r="CI114" s="291" t="n"/>
      <c r="CJ114" s="291" t="n"/>
      <c r="CK114" s="291" t="n"/>
      <c r="CL114" s="291" t="n"/>
      <c r="CM114" s="291" t="n"/>
      <c r="CN114" s="291" t="n"/>
      <c r="CW114" s="291" t="n"/>
      <c r="CX114" s="291" t="n"/>
      <c r="CY114" s="291" t="n"/>
      <c r="CZ114" s="291" t="n"/>
      <c r="DA114" s="291" t="n"/>
      <c r="DB114" s="291" t="n"/>
      <c r="DC114" s="291" t="n"/>
      <c r="DD114" s="291" t="n"/>
      <c r="DE114" s="311" t="n"/>
      <c r="DF114" s="311" t="n"/>
    </row>
    <row r="115" customFormat="1" s="40">
      <c r="A115" s="284" t="n">
        <v>45046</v>
      </c>
      <c r="B115" s="285" t="n">
        <v>24909.01</v>
      </c>
      <c r="C115" s="15">
        <f>B115/B103-1</f>
        <v/>
      </c>
      <c r="D115" s="15">
        <f>B115/B67-1</f>
        <v/>
      </c>
      <c r="E115" s="285" t="n">
        <v>21766.85</v>
      </c>
      <c r="F115" s="15">
        <f>E115/E103-1</f>
        <v/>
      </c>
      <c r="G115" s="15">
        <f>E115/E67-1</f>
        <v/>
      </c>
      <c r="H115" s="285" t="n">
        <v>2933.05</v>
      </c>
      <c r="I115" s="15">
        <f>H115/H103-1</f>
        <v/>
      </c>
      <c r="J115" s="15">
        <f>H115/H67-1</f>
        <v/>
      </c>
      <c r="K115" s="285" t="n">
        <v>209.11</v>
      </c>
      <c r="L115" s="15">
        <f>K115/K103-1</f>
        <v/>
      </c>
      <c r="M115" s="15">
        <f>K115/K67-1</f>
        <v/>
      </c>
      <c r="N115" s="285" t="n">
        <v>18917.33</v>
      </c>
      <c r="O115" s="15">
        <f>N115/N103-1</f>
        <v/>
      </c>
      <c r="P115" s="15">
        <f>N115/N67-1</f>
        <v/>
      </c>
      <c r="Q115" s="285" t="n">
        <v>16566.9</v>
      </c>
      <c r="R115" s="15">
        <f>Q115/Q103-1</f>
        <v/>
      </c>
      <c r="S115" s="15">
        <f>Q115/Q67-1</f>
        <v/>
      </c>
      <c r="T115" s="285" t="n">
        <v>2199.63</v>
      </c>
      <c r="U115" s="15">
        <f>T115/T103-1</f>
        <v/>
      </c>
      <c r="V115" s="15">
        <f>T115/T67-1</f>
        <v/>
      </c>
      <c r="W115" s="285" t="n">
        <v>150.8</v>
      </c>
      <c r="X115" s="15">
        <f>W115/W103-1</f>
        <v/>
      </c>
      <c r="Y115" s="15">
        <f>W115/W67-1</f>
        <v/>
      </c>
      <c r="Z115" s="285" t="n">
        <v>11319.72</v>
      </c>
      <c r="AA115" s="15">
        <f>Z115/Z103-1</f>
        <v/>
      </c>
      <c r="AB115" s="15">
        <f>Z115/Z67-1</f>
        <v/>
      </c>
      <c r="AC115" s="285" t="n">
        <v>10663.76</v>
      </c>
      <c r="AD115" s="15">
        <f>AC115/AC103-1</f>
        <v/>
      </c>
      <c r="AE115" s="15">
        <f>AC115/AC67-1</f>
        <v/>
      </c>
      <c r="AF115" s="285" t="n">
        <v>523.21</v>
      </c>
      <c r="AG115" s="15">
        <f>AF115/AF103-1</f>
        <v/>
      </c>
      <c r="AH115" s="15">
        <f>AF115/AF67-1</f>
        <v/>
      </c>
      <c r="AI115" s="285" t="n">
        <v>132.75</v>
      </c>
      <c r="AJ115" s="15">
        <f>AI115/AI103-1</f>
        <v/>
      </c>
      <c r="AK115" s="15">
        <f>AI115/AI67-1</f>
        <v/>
      </c>
      <c r="AL115" s="286" t="n">
        <v>75.95</v>
      </c>
      <c r="AM115" s="290">
        <f>AL115-AL103</f>
        <v/>
      </c>
      <c r="AN115" s="290">
        <f>AL115-AL67</f>
        <v/>
      </c>
      <c r="AO115" s="286" t="n">
        <v>76.11</v>
      </c>
      <c r="AP115" s="290">
        <f>AO115-AO103</f>
        <v/>
      </c>
      <c r="AQ115" s="290">
        <f>AO115-AO67</f>
        <v/>
      </c>
      <c r="AR115" s="286" t="n">
        <v>74.98999999999999</v>
      </c>
      <c r="AS115" s="290">
        <f>AR115-AR103</f>
        <v/>
      </c>
      <c r="AT115" s="290">
        <f>AR115-AR67</f>
        <v/>
      </c>
      <c r="AU115" s="286" t="n">
        <v>72.11</v>
      </c>
      <c r="AV115" s="290">
        <f>AU115-AU103</f>
        <v/>
      </c>
      <c r="AW115" s="290">
        <f>AU115-AU67</f>
        <v/>
      </c>
      <c r="AX115" s="285" t="n">
        <v>889</v>
      </c>
      <c r="AY115" s="15">
        <f>AX115/AX103-1</f>
        <v/>
      </c>
      <c r="AZ115" s="15">
        <f>AX115/AX67-1</f>
        <v/>
      </c>
      <c r="BA115" s="291" t="n"/>
      <c r="BB115" s="291" t="n"/>
      <c r="BC115" s="291" t="n"/>
      <c r="BD115" s="291" t="n"/>
      <c r="BE115" s="291" t="n"/>
      <c r="BF115" s="291" t="n"/>
      <c r="BG115" s="291" t="n"/>
      <c r="BH115" s="291" t="n"/>
      <c r="BI115" s="291" t="n"/>
      <c r="BJ115" s="291" t="n"/>
      <c r="BK115" s="288" t="n"/>
      <c r="BL115" s="291" t="n"/>
      <c r="BM115" s="291" t="n"/>
      <c r="BN115" s="291" t="n"/>
      <c r="BO115" s="291" t="n"/>
      <c r="BP115" s="291" t="n"/>
      <c r="BQ115" s="291" t="n"/>
      <c r="BR115" s="291" t="n"/>
      <c r="BS115" s="291" t="n"/>
      <c r="BT115" s="291" t="n"/>
      <c r="BU115" s="291" t="n"/>
      <c r="BV115" s="291" t="n"/>
      <c r="BW115" s="291" t="n"/>
      <c r="BX115" s="291" t="n"/>
      <c r="BY115" s="291" t="n"/>
      <c r="BZ115" s="291" t="n"/>
      <c r="CA115" s="291" t="n"/>
      <c r="CB115" s="291" t="n"/>
      <c r="CC115" s="291" t="n"/>
      <c r="CD115" s="291" t="n"/>
      <c r="CE115" s="291" t="n"/>
      <c r="CF115" s="291" t="n"/>
      <c r="CG115" s="291" t="n"/>
      <c r="CH115" s="291" t="n"/>
      <c r="CI115" s="291" t="n"/>
      <c r="CJ115" s="291" t="n"/>
      <c r="CK115" s="291" t="n"/>
      <c r="CL115" s="291" t="n"/>
      <c r="CM115" s="291" t="n"/>
      <c r="CN115" s="291" t="n"/>
      <c r="CW115" s="291" t="n"/>
      <c r="CX115" s="291" t="n"/>
      <c r="CY115" s="291" t="n"/>
      <c r="CZ115" s="291" t="n"/>
      <c r="DA115" s="291" t="n"/>
      <c r="DB115" s="291" t="n"/>
      <c r="DC115" s="291" t="n"/>
      <c r="DD115" s="291" t="n"/>
      <c r="DE115" s="311" t="n"/>
      <c r="DF115" s="311" t="n"/>
    </row>
    <row r="116" customFormat="1" s="40">
      <c r="A116" s="284" t="n">
        <v>45077</v>
      </c>
      <c r="B116" s="285" t="n">
        <v>26253.15</v>
      </c>
      <c r="C116" s="15">
        <f>B116/B104-1</f>
        <v/>
      </c>
      <c r="D116" s="15">
        <f>B116/B68-1</f>
        <v/>
      </c>
      <c r="E116" s="285" t="n">
        <v>22717.82</v>
      </c>
      <c r="F116" s="15">
        <f>E116/E104-1</f>
        <v/>
      </c>
      <c r="G116" s="15">
        <f>E116/E68-1</f>
        <v/>
      </c>
      <c r="H116" s="285" t="n">
        <v>3326.61</v>
      </c>
      <c r="I116" s="15">
        <f>H116/H104-1</f>
        <v/>
      </c>
      <c r="J116" s="15">
        <f>H116/H68-1</f>
        <v/>
      </c>
      <c r="K116" s="285" t="n">
        <v>208.72</v>
      </c>
      <c r="L116" s="15">
        <f>K116/K104-1</f>
        <v/>
      </c>
      <c r="M116" s="15">
        <f>K116/K68-1</f>
        <v/>
      </c>
      <c r="N116" s="285" t="n">
        <v>19756.3</v>
      </c>
      <c r="O116" s="15">
        <f>N116/N104-1</f>
        <v/>
      </c>
      <c r="P116" s="15">
        <f>N116/N68-1</f>
        <v/>
      </c>
      <c r="Q116" s="285" t="n">
        <v>17051.27</v>
      </c>
      <c r="R116" s="15">
        <f>Q116/Q104-1</f>
        <v/>
      </c>
      <c r="S116" s="15">
        <f>Q116/Q68-1</f>
        <v/>
      </c>
      <c r="T116" s="285" t="n">
        <v>2548.82</v>
      </c>
      <c r="U116" s="15">
        <f>T116/T104-1</f>
        <v/>
      </c>
      <c r="V116" s="15">
        <f>T116/T68-1</f>
        <v/>
      </c>
      <c r="W116" s="285" t="n">
        <v>156.2</v>
      </c>
      <c r="X116" s="15">
        <f>W116/W104-1</f>
        <v/>
      </c>
      <c r="Y116" s="15">
        <f>W116/W68-1</f>
        <v/>
      </c>
      <c r="Z116" s="285" t="n">
        <v>11771.47</v>
      </c>
      <c r="AA116" s="15">
        <f>Z116/Z104-1</f>
        <v/>
      </c>
      <c r="AB116" s="15">
        <f>Z116/Z68-1</f>
        <v/>
      </c>
      <c r="AC116" s="285" t="n">
        <v>10988.82</v>
      </c>
      <c r="AD116" s="15">
        <f>AC116/AC104-1</f>
        <v/>
      </c>
      <c r="AE116" s="15">
        <f>AC116/AC68-1</f>
        <v/>
      </c>
      <c r="AF116" s="285" t="n">
        <v>648.84</v>
      </c>
      <c r="AG116" s="15">
        <f>AF116/AF104-1</f>
        <v/>
      </c>
      <c r="AH116" s="15">
        <f>AF116/AF68-1</f>
        <v/>
      </c>
      <c r="AI116" s="285" t="n">
        <v>133.81</v>
      </c>
      <c r="AJ116" s="15">
        <f>AI116/AI104-1</f>
        <v/>
      </c>
      <c r="AK116" s="15">
        <f>AI116/AI68-1</f>
        <v/>
      </c>
      <c r="AL116" s="286" t="n">
        <v>75.25</v>
      </c>
      <c r="AM116" s="290">
        <f>AL116-AL104</f>
        <v/>
      </c>
      <c r="AN116" s="290">
        <f>AL116-AL68</f>
        <v/>
      </c>
      <c r="AO116" s="286" t="n">
        <v>75.06</v>
      </c>
      <c r="AP116" s="290">
        <f>AO116-AO104</f>
        <v/>
      </c>
      <c r="AQ116" s="290">
        <f>AO116-AO68</f>
        <v/>
      </c>
      <c r="AR116" s="286" t="n">
        <v>76.62</v>
      </c>
      <c r="AS116" s="290">
        <f>AR116-AR104</f>
        <v/>
      </c>
      <c r="AT116" s="290">
        <f>AR116-AR68</f>
        <v/>
      </c>
      <c r="AU116" s="286" t="n">
        <v>74.84</v>
      </c>
      <c r="AV116" s="290">
        <f>AU116-AU104</f>
        <v/>
      </c>
      <c r="AW116" s="290">
        <f>AU116-AU68</f>
        <v/>
      </c>
      <c r="AX116" s="285" t="n">
        <v>892</v>
      </c>
      <c r="AY116" s="15">
        <f>AX116/AX104-1</f>
        <v/>
      </c>
      <c r="AZ116" s="15">
        <f>AX116/AX68-1</f>
        <v/>
      </c>
      <c r="BA116" s="291" t="n"/>
      <c r="BB116" s="291" t="n"/>
      <c r="BC116" s="291" t="n"/>
      <c r="BD116" s="291" t="n"/>
      <c r="BE116" s="291" t="n"/>
      <c r="BF116" s="291" t="n"/>
      <c r="BG116" s="291" t="n"/>
      <c r="BH116" s="291" t="n"/>
      <c r="BI116" s="291" t="n"/>
      <c r="BJ116" s="291" t="n"/>
      <c r="BK116" s="288" t="n"/>
      <c r="BL116" s="291" t="n"/>
      <c r="BM116" s="291" t="n"/>
      <c r="BN116" s="291" t="n"/>
      <c r="BO116" s="291" t="n"/>
      <c r="BP116" s="291" t="n"/>
      <c r="BQ116" s="291" t="n"/>
      <c r="BR116" s="291" t="n"/>
      <c r="BS116" s="291" t="n"/>
      <c r="BT116" s="291" t="n"/>
      <c r="BU116" s="291" t="n"/>
      <c r="BV116" s="291" t="n"/>
      <c r="BW116" s="291" t="n"/>
      <c r="BX116" s="291" t="n"/>
      <c r="BY116" s="291" t="n"/>
      <c r="BZ116" s="291" t="n"/>
      <c r="CA116" s="291" t="n"/>
      <c r="CB116" s="291" t="n"/>
      <c r="CC116" s="291" t="n"/>
      <c r="CD116" s="291" t="n"/>
      <c r="CE116" s="291" t="n"/>
      <c r="CF116" s="291" t="n"/>
      <c r="CG116" s="291" t="n"/>
      <c r="CH116" s="291" t="n"/>
      <c r="CI116" s="291" t="n"/>
      <c r="CJ116" s="291" t="n"/>
      <c r="CK116" s="291" t="n"/>
      <c r="CL116" s="291" t="n"/>
      <c r="CM116" s="291" t="n"/>
      <c r="CN116" s="291" t="n"/>
      <c r="CW116" s="291" t="n"/>
      <c r="CX116" s="291" t="n"/>
      <c r="CY116" s="291" t="n"/>
      <c r="CZ116" s="291" t="n"/>
      <c r="DA116" s="291" t="n"/>
      <c r="DB116" s="291" t="n"/>
      <c r="DC116" s="291" t="n"/>
      <c r="DD116" s="291" t="n"/>
      <c r="DE116" s="311" t="n"/>
      <c r="DF116" s="311" t="n"/>
    </row>
    <row r="117" customFormat="1" s="40">
      <c r="A117" s="313" t="n">
        <v>45107</v>
      </c>
      <c r="B117" s="285" t="n">
        <v>25932.67</v>
      </c>
      <c r="C117" s="15">
        <f>B117/B105-1</f>
        <v/>
      </c>
      <c r="D117" s="15">
        <f>B117/B69-1</f>
        <v/>
      </c>
      <c r="E117" s="285" t="n">
        <v>21774.79</v>
      </c>
      <c r="F117" s="15">
        <f>E117/E105-1</f>
        <v/>
      </c>
      <c r="G117" s="15">
        <f>E117/E69-1</f>
        <v/>
      </c>
      <c r="H117" s="285" t="n">
        <v>3948.39</v>
      </c>
      <c r="I117" s="15">
        <f>H117/H105-1</f>
        <v/>
      </c>
      <c r="J117" s="15">
        <f>H117/H69-1</f>
        <v/>
      </c>
      <c r="K117" s="285" t="n">
        <v>209.49</v>
      </c>
      <c r="L117" s="15">
        <f>K117/K105-1</f>
        <v/>
      </c>
      <c r="M117" s="15">
        <f>K117/K69-1</f>
        <v/>
      </c>
      <c r="N117" s="285" t="n">
        <v>20600.95</v>
      </c>
      <c r="O117" s="15">
        <f>N117/N105-1</f>
        <v/>
      </c>
      <c r="P117" s="15">
        <f>N117/N69-1</f>
        <v/>
      </c>
      <c r="Q117" s="285" t="n">
        <v>17201.68</v>
      </c>
      <c r="R117" s="15">
        <f>Q117/Q105-1</f>
        <v/>
      </c>
      <c r="S117" s="15">
        <f>Q117/Q69-1</f>
        <v/>
      </c>
      <c r="T117" s="285" t="n">
        <v>3237.66</v>
      </c>
      <c r="U117" s="15">
        <f>T117/T105-1</f>
        <v/>
      </c>
      <c r="V117" s="15">
        <f>T117/T69-1</f>
        <v/>
      </c>
      <c r="W117" s="285" t="n">
        <v>161.61</v>
      </c>
      <c r="X117" s="15">
        <f>W117/W105-1</f>
        <v/>
      </c>
      <c r="Y117" s="15">
        <f>W117/W69-1</f>
        <v/>
      </c>
      <c r="Z117" s="285" t="n">
        <v>11917.27</v>
      </c>
      <c r="AA117" s="15">
        <f>Z117/Z105-1</f>
        <v/>
      </c>
      <c r="AB117" s="15">
        <f>Z117/Z69-1</f>
        <v/>
      </c>
      <c r="AC117" s="285" t="n">
        <v>10968.8</v>
      </c>
      <c r="AD117" s="15">
        <f>AC117/AC105-1</f>
        <v/>
      </c>
      <c r="AE117" s="15">
        <f>AC117/AC69-1</f>
        <v/>
      </c>
      <c r="AF117" s="285" t="n">
        <v>811.5599999999999</v>
      </c>
      <c r="AG117" s="15">
        <f>AF117/AF105-1</f>
        <v/>
      </c>
      <c r="AH117" s="15">
        <f>AF117/AF69-1</f>
        <v/>
      </c>
      <c r="AI117" s="285" t="n">
        <v>136.9</v>
      </c>
      <c r="AJ117" s="15">
        <f>AI117/AI105-1</f>
        <v/>
      </c>
      <c r="AK117" s="15">
        <f>AI117/AI69-1</f>
        <v/>
      </c>
      <c r="AL117" s="286" t="n">
        <v>79.44</v>
      </c>
      <c r="AM117" s="290">
        <f>AL117-AL105</f>
        <v/>
      </c>
      <c r="AN117" s="290">
        <f>AL117-AL69</f>
        <v/>
      </c>
      <c r="AO117" s="286" t="n">
        <v>79</v>
      </c>
      <c r="AP117" s="290">
        <f>AO117-AO105</f>
        <v/>
      </c>
      <c r="AQ117" s="290">
        <f>AO117-AO69</f>
        <v/>
      </c>
      <c r="AR117" s="286" t="n">
        <v>82</v>
      </c>
      <c r="AS117" s="290">
        <f>AR117-AR105</f>
        <v/>
      </c>
      <c r="AT117" s="290">
        <f>AR117-AR69</f>
        <v/>
      </c>
      <c r="AU117" s="286" t="n">
        <v>77.15000000000001</v>
      </c>
      <c r="AV117" s="290">
        <f>AU117-AU105</f>
        <v/>
      </c>
      <c r="AW117" s="290">
        <f>AU117-AU69</f>
        <v/>
      </c>
      <c r="AX117" s="285" t="n">
        <v>897</v>
      </c>
      <c r="AY117" s="15">
        <f>AX117/AX105-1</f>
        <v/>
      </c>
      <c r="AZ117" s="15">
        <f>AX117/AX69-1</f>
        <v/>
      </c>
      <c r="BA117" s="291" t="n"/>
      <c r="BB117" s="291" t="n"/>
      <c r="BC117" s="291" t="n"/>
      <c r="BD117" s="291" t="n"/>
      <c r="BE117" s="291" t="n"/>
      <c r="BF117" s="291" t="n"/>
      <c r="BG117" s="291" t="n"/>
      <c r="BH117" s="291" t="n"/>
      <c r="BI117" s="291" t="n"/>
      <c r="BJ117" s="291" t="n"/>
      <c r="BK117" s="288" t="n"/>
      <c r="BL117" s="291" t="n"/>
      <c r="BM117" s="291" t="n"/>
      <c r="BN117" s="291" t="n"/>
      <c r="BO117" s="291" t="n"/>
      <c r="BP117" s="291" t="n"/>
      <c r="BQ117" s="291" t="n"/>
      <c r="BR117" s="291" t="n"/>
      <c r="BS117" s="291" t="n"/>
      <c r="BT117" s="291" t="n"/>
      <c r="BU117" s="291" t="n"/>
      <c r="BV117" s="291" t="n"/>
      <c r="BW117" s="291" t="n"/>
      <c r="BX117" s="291" t="n"/>
      <c r="BY117" s="291" t="n"/>
      <c r="BZ117" s="291" t="n"/>
      <c r="CA117" s="291" t="n"/>
      <c r="CB117" s="291" t="n"/>
      <c r="CC117" s="291" t="n"/>
      <c r="CD117" s="291" t="n"/>
      <c r="CE117" s="291" t="n"/>
      <c r="CF117" s="291" t="n"/>
      <c r="CG117" s="291" t="n"/>
      <c r="CH117" s="291" t="n"/>
      <c r="CI117" s="291" t="n"/>
      <c r="CJ117" s="291" t="n"/>
      <c r="CK117" s="291" t="n"/>
      <c r="CL117" s="291" t="n"/>
      <c r="CM117" s="291" t="n"/>
      <c r="CN117" s="291" t="n"/>
      <c r="CW117" s="291" t="n"/>
      <c r="CX117" s="291" t="n"/>
      <c r="CY117" s="291" t="n"/>
      <c r="CZ117" s="291" t="n"/>
      <c r="DA117" s="291" t="n"/>
      <c r="DB117" s="291" t="n"/>
      <c r="DC117" s="291" t="n"/>
      <c r="DD117" s="291" t="n"/>
      <c r="DE117" s="311" t="n"/>
      <c r="DF117" s="311" t="n"/>
    </row>
    <row r="118" customFormat="1" s="40">
      <c r="A118" s="313" t="n">
        <v>45138</v>
      </c>
      <c r="B118" s="285" t="n">
        <v>30549.44</v>
      </c>
      <c r="C118" s="15">
        <f>B118/B106-1</f>
        <v/>
      </c>
      <c r="D118" s="15">
        <f>B118/B70-1</f>
        <v/>
      </c>
      <c r="E118" s="285" t="n">
        <v>25449.23</v>
      </c>
      <c r="F118" s="15">
        <f>E118/E106-1</f>
        <v/>
      </c>
      <c r="G118" s="15">
        <f>E118/E70-1</f>
        <v/>
      </c>
      <c r="H118" s="285" t="n">
        <v>4880.63</v>
      </c>
      <c r="I118" s="15">
        <f>H118/H106-1</f>
        <v/>
      </c>
      <c r="J118" s="15">
        <f>H118/H70-1</f>
        <v/>
      </c>
      <c r="K118" s="285" t="n">
        <v>219.58</v>
      </c>
      <c r="L118" s="15">
        <f>K118/K106-1</f>
        <v/>
      </c>
      <c r="M118" s="15">
        <f>K118/K70-1</f>
        <v/>
      </c>
      <c r="N118" s="285" t="n">
        <v>24719.55</v>
      </c>
      <c r="O118" s="15">
        <f>N118/N106-1</f>
        <v/>
      </c>
      <c r="P118" s="15">
        <f>N118/N70-1</f>
        <v/>
      </c>
      <c r="Q118" s="285" t="n">
        <v>20476.22</v>
      </c>
      <c r="R118" s="15">
        <f>Q118/Q106-1</f>
        <v/>
      </c>
      <c r="S118" s="15">
        <f>Q118/Q70-1</f>
        <v/>
      </c>
      <c r="T118" s="285" t="n">
        <v>4060.54</v>
      </c>
      <c r="U118" s="15">
        <f>T118/T106-1</f>
        <v/>
      </c>
      <c r="V118" s="15">
        <f>T118/T70-1</f>
        <v/>
      </c>
      <c r="W118" s="285" t="n">
        <v>182.8</v>
      </c>
      <c r="X118" s="15">
        <f>W118/W106-1</f>
        <v/>
      </c>
      <c r="Y118" s="15">
        <f>W118/W70-1</f>
        <v/>
      </c>
      <c r="Z118" s="285" t="n">
        <v>13946</v>
      </c>
      <c r="AA118" s="15">
        <f>Z118/Z106-1</f>
        <v/>
      </c>
      <c r="AB118" s="15">
        <f>Z118/Z70-1</f>
        <v/>
      </c>
      <c r="AC118" s="285" t="n">
        <v>12764.48</v>
      </c>
      <c r="AD118" s="15">
        <f>AC118/AC106-1</f>
        <v/>
      </c>
      <c r="AE118" s="15">
        <f>AC118/AC70-1</f>
        <v/>
      </c>
      <c r="AF118" s="285" t="n">
        <v>1025.31</v>
      </c>
      <c r="AG118" s="15">
        <f>AF118/AF106-1</f>
        <v/>
      </c>
      <c r="AH118" s="15">
        <f>AF118/AF70-1</f>
        <v/>
      </c>
      <c r="AI118" s="285" t="n">
        <v>156.21</v>
      </c>
      <c r="AJ118" s="15">
        <f>AI118/AI106-1</f>
        <v/>
      </c>
      <c r="AK118" s="15">
        <f>AI118/AI70-1</f>
        <v/>
      </c>
      <c r="AL118" s="286" t="n">
        <v>80.92</v>
      </c>
      <c r="AM118" s="290">
        <f>AL118-AL106</f>
        <v/>
      </c>
      <c r="AN118" s="290">
        <f>AL118-AL70</f>
        <v/>
      </c>
      <c r="AO118" s="286" t="n">
        <v>80.45999999999999</v>
      </c>
      <c r="AP118" s="290">
        <f>AO118-AO106</f>
        <v/>
      </c>
      <c r="AQ118" s="290">
        <f>AO118-AO70</f>
        <v/>
      </c>
      <c r="AR118" s="286" t="n">
        <v>83.2</v>
      </c>
      <c r="AS118" s="290">
        <f>AR118-AR106</f>
        <v/>
      </c>
      <c r="AT118" s="290">
        <f>AR118-AR70</f>
        <v/>
      </c>
      <c r="AU118" s="286" t="n">
        <v>83.25</v>
      </c>
      <c r="AV118" s="290">
        <f>AU118-AU106</f>
        <v/>
      </c>
      <c r="AW118" s="290">
        <f>AU118-AU70</f>
        <v/>
      </c>
      <c r="AX118" s="285" t="n">
        <v>897</v>
      </c>
      <c r="AY118" s="15">
        <f>AX118/AX106-1</f>
        <v/>
      </c>
      <c r="AZ118" s="15">
        <f>AX118/AX70-1</f>
        <v/>
      </c>
      <c r="BA118" s="291" t="n"/>
      <c r="BB118" s="291" t="n"/>
      <c r="BC118" s="291" t="n"/>
      <c r="BD118" s="291" t="n"/>
      <c r="BE118" s="291" t="n"/>
      <c r="BF118" s="291" t="n"/>
      <c r="BG118" s="291" t="n"/>
      <c r="BH118" s="291" t="n"/>
      <c r="BI118" s="291" t="n"/>
      <c r="BJ118" s="291" t="n"/>
      <c r="BK118" s="288" t="n"/>
      <c r="BL118" s="291" t="n"/>
      <c r="BM118" s="291" t="n"/>
      <c r="BN118" s="291" t="n"/>
      <c r="BO118" s="291" t="n"/>
      <c r="BP118" s="291" t="n"/>
      <c r="BQ118" s="291" t="n"/>
      <c r="BR118" s="291" t="n"/>
      <c r="BS118" s="291" t="n"/>
      <c r="BT118" s="291" t="n"/>
      <c r="BU118" s="291" t="n"/>
      <c r="BV118" s="291" t="n"/>
      <c r="BW118" s="291" t="n"/>
      <c r="BX118" s="291" t="n"/>
      <c r="BY118" s="291" t="n"/>
      <c r="BZ118" s="291" t="n"/>
      <c r="CA118" s="291" t="n"/>
      <c r="CB118" s="291" t="n"/>
      <c r="CC118" s="291" t="n"/>
      <c r="CD118" s="291" t="n"/>
      <c r="CE118" s="291" t="n"/>
      <c r="CF118" s="291" t="n"/>
      <c r="CG118" s="291" t="n"/>
      <c r="CH118" s="291" t="n"/>
      <c r="CI118" s="291" t="n"/>
      <c r="CJ118" s="291" t="n"/>
      <c r="CK118" s="291" t="n"/>
      <c r="CL118" s="291" t="n"/>
      <c r="CM118" s="291" t="n"/>
      <c r="CN118" s="291" t="n"/>
      <c r="CW118" s="291" t="n"/>
      <c r="CX118" s="291" t="n"/>
      <c r="CY118" s="291" t="n"/>
      <c r="CZ118" s="291" t="n"/>
      <c r="DA118" s="291" t="n"/>
      <c r="DB118" s="291" t="n"/>
      <c r="DC118" s="291" t="n"/>
      <c r="DD118" s="291" t="n"/>
      <c r="DE118" s="311" t="n"/>
      <c r="DF118" s="311" t="n"/>
    </row>
    <row r="119" customFormat="1" s="40">
      <c r="A119" s="313" t="n">
        <v>45169</v>
      </c>
      <c r="B119" s="285" t="n">
        <v>30892.19</v>
      </c>
      <c r="C119" s="15">
        <f>B119/B107-1</f>
        <v/>
      </c>
      <c r="D119" s="15">
        <f>B119/B71-1</f>
        <v/>
      </c>
      <c r="E119" s="285" t="n">
        <v>25700.46</v>
      </c>
      <c r="F119" s="15">
        <f>E119/E107-1</f>
        <v/>
      </c>
      <c r="G119" s="15">
        <f>E119/E71-1</f>
        <v/>
      </c>
      <c r="H119" s="285" t="n">
        <v>4962.62</v>
      </c>
      <c r="I119" s="15">
        <f>H119/H107-1</f>
        <v/>
      </c>
      <c r="J119" s="15">
        <f>H119/H71-1</f>
        <v/>
      </c>
      <c r="K119" s="285" t="n">
        <v>229.11</v>
      </c>
      <c r="L119" s="15">
        <f>K119/K107-1</f>
        <v/>
      </c>
      <c r="M119" s="15">
        <f>K119/K71-1</f>
        <v/>
      </c>
      <c r="N119" s="285" t="n">
        <v>24988.79</v>
      </c>
      <c r="O119" s="15">
        <f>N119/N107-1</f>
        <v/>
      </c>
      <c r="P119" s="15">
        <f>N119/N71-1</f>
        <v/>
      </c>
      <c r="Q119" s="285" t="n">
        <v>20553.61</v>
      </c>
      <c r="R119" s="15">
        <f>Q119/Q107-1</f>
        <v/>
      </c>
      <c r="S119" s="15">
        <f>Q119/Q71-1</f>
        <v/>
      </c>
      <c r="T119" s="285" t="n">
        <v>4242.75</v>
      </c>
      <c r="U119" s="15">
        <f>T119/T107-1</f>
        <v/>
      </c>
      <c r="V119" s="15">
        <f>T119/T71-1</f>
        <v/>
      </c>
      <c r="W119" s="285" t="n">
        <v>192.43</v>
      </c>
      <c r="X119" s="15">
        <f>W119/W107-1</f>
        <v/>
      </c>
      <c r="Y119" s="15">
        <f>W119/W71-1</f>
        <v/>
      </c>
      <c r="Z119" s="285" t="n">
        <v>14176.09</v>
      </c>
      <c r="AA119" s="15">
        <f>Z119/Z107-1</f>
        <v/>
      </c>
      <c r="AB119" s="15">
        <f>Z119/Z71-1</f>
        <v/>
      </c>
      <c r="AC119" s="285" t="n">
        <v>12916.11</v>
      </c>
      <c r="AD119" s="15">
        <f>AC119/AC107-1</f>
        <v/>
      </c>
      <c r="AE119" s="15">
        <f>AC119/AC71-1</f>
        <v/>
      </c>
      <c r="AF119" s="285" t="n">
        <v>1097.83</v>
      </c>
      <c r="AG119" s="15">
        <f>AF119/AF107-1</f>
        <v/>
      </c>
      <c r="AH119" s="15">
        <f>AF119/AF71-1</f>
        <v/>
      </c>
      <c r="AI119" s="285" t="n">
        <v>162.14</v>
      </c>
      <c r="AJ119" s="15">
        <f>AI119/AI107-1</f>
        <v/>
      </c>
      <c r="AK119" s="15">
        <f>AI119/AI71-1</f>
        <v/>
      </c>
      <c r="AL119" s="286" t="n">
        <v>80.89</v>
      </c>
      <c r="AM119" s="290">
        <f>AL119-AL107</f>
        <v/>
      </c>
      <c r="AN119" s="290">
        <f>AL119-AL71</f>
        <v/>
      </c>
      <c r="AO119" s="286" t="n">
        <v>79.97</v>
      </c>
      <c r="AP119" s="290">
        <f>AO119-AO107</f>
        <v/>
      </c>
      <c r="AQ119" s="290">
        <f>AO119-AO71</f>
        <v/>
      </c>
      <c r="AR119" s="286" t="n">
        <v>85.48999999999999</v>
      </c>
      <c r="AS119" s="290">
        <f>AR119-AR107</f>
        <v/>
      </c>
      <c r="AT119" s="290">
        <f>AR119-AR71</f>
        <v/>
      </c>
      <c r="AU119" s="286" t="n">
        <v>83.98999999999999</v>
      </c>
      <c r="AV119" s="290">
        <f>AU119-AU107</f>
        <v/>
      </c>
      <c r="AW119" s="290">
        <f>AU119-AU71</f>
        <v/>
      </c>
      <c r="AX119" s="285" t="n">
        <v>901</v>
      </c>
      <c r="AY119" s="15">
        <f>AX119/AX107-1</f>
        <v/>
      </c>
      <c r="AZ119" s="15">
        <f>AX119/AX71-1</f>
        <v/>
      </c>
      <c r="BA119" s="291" t="n"/>
      <c r="BB119" s="291" t="n"/>
      <c r="BC119" s="291" t="n"/>
      <c r="BD119" s="291" t="n"/>
      <c r="BE119" s="291" t="n"/>
      <c r="BF119" s="291" t="n"/>
      <c r="BG119" s="291" t="n"/>
      <c r="BH119" s="291" t="n"/>
      <c r="BI119" s="291" t="n"/>
      <c r="BJ119" s="291" t="n"/>
      <c r="BK119" s="288" t="n"/>
      <c r="BL119" s="291" t="n"/>
      <c r="BM119" s="291" t="n"/>
      <c r="BN119" s="291" t="n"/>
      <c r="BO119" s="291" t="n"/>
      <c r="BP119" s="291" t="n"/>
      <c r="BQ119" s="291" t="n"/>
      <c r="BR119" s="291" t="n"/>
      <c r="BS119" s="291" t="n"/>
      <c r="BT119" s="291" t="n"/>
      <c r="BU119" s="291" t="n"/>
      <c r="BV119" s="291" t="n"/>
      <c r="BW119" s="291" t="n"/>
      <c r="BX119" s="291" t="n"/>
      <c r="BY119" s="291" t="n"/>
      <c r="BZ119" s="291" t="n"/>
      <c r="CA119" s="291" t="n"/>
      <c r="CB119" s="291" t="n"/>
      <c r="CC119" s="291" t="n"/>
      <c r="CD119" s="291" t="n"/>
      <c r="CE119" s="291" t="n"/>
      <c r="CF119" s="291" t="n"/>
      <c r="CG119" s="291" t="n"/>
      <c r="CH119" s="291" t="n"/>
      <c r="CI119" s="291" t="n"/>
      <c r="CJ119" s="291" t="n"/>
      <c r="CK119" s="291" t="n"/>
      <c r="CL119" s="291" t="n"/>
      <c r="CM119" s="291" t="n"/>
      <c r="CN119" s="291" t="n"/>
      <c r="CW119" s="291" t="n"/>
      <c r="CX119" s="291" t="n"/>
      <c r="CY119" s="291" t="n"/>
      <c r="CZ119" s="291" t="n"/>
      <c r="DA119" s="291" t="n"/>
      <c r="DB119" s="291" t="n"/>
      <c r="DC119" s="291" t="n"/>
      <c r="DD119" s="291" t="n"/>
      <c r="DE119" s="311" t="n"/>
      <c r="DF119" s="311" t="n"/>
    </row>
    <row r="120" customFormat="1" s="40">
      <c r="A120" s="313" t="n">
        <v>45199</v>
      </c>
      <c r="B120" s="285" t="n">
        <v>27717.06</v>
      </c>
      <c r="C120" s="15">
        <f>B120/B108-1</f>
        <v/>
      </c>
      <c r="D120" s="15">
        <f>B120/B72-1</f>
        <v/>
      </c>
      <c r="E120" s="285" t="n">
        <v>22452.68</v>
      </c>
      <c r="F120" s="15">
        <f>E120/E108-1</f>
        <v/>
      </c>
      <c r="G120" s="15">
        <f>E120/E72-1</f>
        <v/>
      </c>
      <c r="H120" s="285" t="n">
        <v>5045.62</v>
      </c>
      <c r="I120" s="15">
        <f>H120/H108-1</f>
        <v/>
      </c>
      <c r="J120" s="15">
        <f>H120/H72-1</f>
        <v/>
      </c>
      <c r="K120" s="285" t="n">
        <v>218.76</v>
      </c>
      <c r="L120" s="15">
        <f>K120/K108-1</f>
        <v/>
      </c>
      <c r="M120" s="15">
        <f>K120/K72-1</f>
        <v/>
      </c>
      <c r="N120" s="285" t="n">
        <v>21814.76</v>
      </c>
      <c r="O120" s="15">
        <f>N120/N108-1</f>
        <v/>
      </c>
      <c r="P120" s="15">
        <f>N120/N72-1</f>
        <v/>
      </c>
      <c r="Q120" s="285" t="n">
        <v>17512.23</v>
      </c>
      <c r="R120" s="15">
        <f>Q120/Q108-1</f>
        <v/>
      </c>
      <c r="S120" s="15">
        <f>Q120/Q72-1</f>
        <v/>
      </c>
      <c r="T120" s="285" t="n">
        <v>4143.2</v>
      </c>
      <c r="U120" s="15">
        <f>T120/T108-1</f>
        <v/>
      </c>
      <c r="V120" s="15">
        <f>T120/T72-1</f>
        <v/>
      </c>
      <c r="W120" s="285" t="n">
        <v>159.33</v>
      </c>
      <c r="X120" s="15">
        <f>W120/W108-1</f>
        <v/>
      </c>
      <c r="Y120" s="15">
        <f>W120/W72-1</f>
        <v/>
      </c>
      <c r="Z120" s="285" t="n">
        <v>12093.31</v>
      </c>
      <c r="AA120" s="15">
        <f>Z120/Z108-1</f>
        <v/>
      </c>
      <c r="AB120" s="15">
        <f>Z120/Z72-1</f>
        <v/>
      </c>
      <c r="AC120" s="285" t="n">
        <v>10931.43</v>
      </c>
      <c r="AD120" s="15">
        <f>AC120/AC108-1</f>
        <v/>
      </c>
      <c r="AE120" s="15">
        <f>AC120/AC72-1</f>
        <v/>
      </c>
      <c r="AF120" s="285" t="n">
        <v>1027.81</v>
      </c>
      <c r="AG120" s="15">
        <f>AF120/AF108-1</f>
        <v/>
      </c>
      <c r="AH120" s="15">
        <f>AF120/AF72-1</f>
        <v/>
      </c>
      <c r="AI120" s="285" t="n">
        <v>134.07</v>
      </c>
      <c r="AJ120" s="15">
        <f>AI120/AI108-1</f>
        <v/>
      </c>
      <c r="AK120" s="15">
        <f>AI120/AI72-1</f>
        <v/>
      </c>
      <c r="AL120" s="286" t="n">
        <v>78.70999999999999</v>
      </c>
      <c r="AM120" s="290">
        <f>AL120-AL108</f>
        <v/>
      </c>
      <c r="AN120" s="290">
        <f>AL120-AL72</f>
        <v/>
      </c>
      <c r="AO120" s="286" t="n">
        <v>78</v>
      </c>
      <c r="AP120" s="290">
        <f>AO120-AO108</f>
        <v/>
      </c>
      <c r="AQ120" s="290">
        <f>AO120-AO72</f>
        <v/>
      </c>
      <c r="AR120" s="286" t="n">
        <v>82.11</v>
      </c>
      <c r="AS120" s="290">
        <f>AR120-AR108</f>
        <v/>
      </c>
      <c r="AT120" s="290">
        <f>AR120-AR72</f>
        <v/>
      </c>
      <c r="AU120" s="286" t="n">
        <v>72.83</v>
      </c>
      <c r="AV120" s="290">
        <f>AU120-AU108</f>
        <v/>
      </c>
      <c r="AW120" s="290">
        <f>AU120-AU72</f>
        <v/>
      </c>
      <c r="AX120" s="285" t="n">
        <v>903</v>
      </c>
      <c r="AY120" s="15">
        <f>AX120/AX108-1</f>
        <v/>
      </c>
      <c r="AZ120" s="15">
        <f>AX120/AX72-1</f>
        <v/>
      </c>
      <c r="BA120" s="291" t="n"/>
      <c r="BB120" s="291" t="n"/>
      <c r="BC120" s="291" t="n"/>
      <c r="BD120" s="291" t="n"/>
      <c r="BE120" s="291" t="n"/>
      <c r="BF120" s="291" t="n"/>
      <c r="BG120" s="291" t="n"/>
      <c r="BH120" s="291" t="n"/>
      <c r="BI120" s="291" t="n"/>
      <c r="BJ120" s="291" t="n"/>
      <c r="BK120" s="288" t="n"/>
      <c r="BL120" s="291" t="n"/>
      <c r="BM120" s="291" t="n"/>
      <c r="BN120" s="291" t="n"/>
      <c r="BO120" s="291" t="n"/>
      <c r="BP120" s="291" t="n"/>
      <c r="BQ120" s="291" t="n"/>
      <c r="BR120" s="291" t="n"/>
      <c r="BS120" s="291" t="n"/>
      <c r="BT120" s="291" t="n"/>
      <c r="BU120" s="291" t="n"/>
      <c r="BV120" s="291" t="n"/>
      <c r="BW120" s="291" t="n"/>
      <c r="BX120" s="291" t="n"/>
      <c r="BY120" s="291" t="n"/>
      <c r="BZ120" s="291" t="n"/>
      <c r="CA120" s="291" t="n"/>
      <c r="CB120" s="291" t="n"/>
      <c r="CC120" s="291" t="n"/>
      <c r="CD120" s="291" t="n"/>
      <c r="CE120" s="291" t="n"/>
      <c r="CF120" s="291" t="n"/>
      <c r="CG120" s="291" t="n"/>
      <c r="CH120" s="291" t="n"/>
      <c r="CI120" s="291" t="n"/>
      <c r="CJ120" s="291" t="n"/>
      <c r="CK120" s="291" t="n"/>
      <c r="CL120" s="291" t="n"/>
      <c r="CM120" s="291" t="n"/>
      <c r="CN120" s="291" t="n"/>
      <c r="CW120" s="291" t="n"/>
      <c r="CX120" s="291" t="n"/>
      <c r="CY120" s="291" t="n"/>
      <c r="CZ120" s="291" t="n"/>
      <c r="DA120" s="291" t="n"/>
      <c r="DB120" s="291" t="n"/>
      <c r="DC120" s="291" t="n"/>
      <c r="DD120" s="291" t="n"/>
      <c r="DE120" s="311" t="n"/>
      <c r="DF120" s="311" t="n"/>
    </row>
    <row r="121" customFormat="1" s="40">
      <c r="A121" s="313" t="n">
        <v>45230</v>
      </c>
      <c r="B121" s="28" t="n">
        <v>28652.69</v>
      </c>
      <c r="C121" s="15">
        <f>B121/B109-1</f>
        <v/>
      </c>
      <c r="D121" s="15">
        <f>B121/B73-1</f>
        <v/>
      </c>
      <c r="E121" s="28" t="n">
        <v>23144.06</v>
      </c>
      <c r="F121" s="15">
        <f>E121/E109-1</f>
        <v/>
      </c>
      <c r="G121" s="15">
        <f>E121/E73-1</f>
        <v/>
      </c>
      <c r="H121" s="28" t="n">
        <v>5264.76</v>
      </c>
      <c r="I121" s="15">
        <f>H121/H109-1</f>
        <v/>
      </c>
      <c r="J121" s="15">
        <f>H121/H73-1</f>
        <v/>
      </c>
      <c r="K121" s="28" t="n">
        <v>243.88</v>
      </c>
      <c r="L121" s="15">
        <f>K121/K109-1</f>
        <v/>
      </c>
      <c r="M121" s="15">
        <f>K121/K73-1</f>
        <v/>
      </c>
      <c r="N121" s="28" t="n">
        <v>23250.54</v>
      </c>
      <c r="O121" s="15">
        <f>N121/N109-1</f>
        <v/>
      </c>
      <c r="P121" s="15">
        <f>N121/N73-1</f>
        <v/>
      </c>
      <c r="Q121" s="28" t="n">
        <v>18963.65</v>
      </c>
      <c r="R121" s="15">
        <f>Q121/Q109-1</f>
        <v/>
      </c>
      <c r="S121" s="15">
        <f>Q121/Q73-1</f>
        <v/>
      </c>
      <c r="T121" s="28" t="n">
        <v>4115.41</v>
      </c>
      <c r="U121" s="15">
        <f>T121/T109-1</f>
        <v/>
      </c>
      <c r="V121" s="15">
        <f>T121/T73-1</f>
        <v/>
      </c>
      <c r="W121" s="28" t="n">
        <v>171.48</v>
      </c>
      <c r="X121" s="15">
        <f>W121/W109-1</f>
        <v/>
      </c>
      <c r="Y121" s="15">
        <f>W121/W73-1</f>
        <v/>
      </c>
      <c r="Z121" s="28" t="n">
        <v>13205.15</v>
      </c>
      <c r="AA121" s="15">
        <f>Z121/Z109-1</f>
        <v/>
      </c>
      <c r="AB121" s="15">
        <f>Z121/Z73-1</f>
        <v/>
      </c>
      <c r="AC121" s="28" t="n">
        <v>12036.35</v>
      </c>
      <c r="AD121" s="15">
        <f>AC121/AC109-1</f>
        <v/>
      </c>
      <c r="AE121" s="15">
        <f>AC121/AC73-1</f>
        <v/>
      </c>
      <c r="AF121" s="28" t="n">
        <v>1023.24</v>
      </c>
      <c r="AG121" s="15">
        <f>AF121/AF109-1</f>
        <v/>
      </c>
      <c r="AH121" s="15">
        <f>AF121/AF73-1</f>
        <v/>
      </c>
      <c r="AI121" s="28" t="n">
        <v>145.56</v>
      </c>
      <c r="AJ121" s="15">
        <f>AI121/AI109-1</f>
        <v/>
      </c>
      <c r="AK121" s="15">
        <f>AI121/AI73-1</f>
        <v/>
      </c>
      <c r="AL121" s="314" t="n">
        <v>81.15000000000001</v>
      </c>
      <c r="AM121" s="290">
        <f>AL121-AL109</f>
        <v/>
      </c>
      <c r="AN121" s="290">
        <f>AL121-AL73</f>
        <v/>
      </c>
      <c r="AO121" s="314" t="n">
        <v>81.94</v>
      </c>
      <c r="AP121" s="290">
        <f>AO121-AO109</f>
        <v/>
      </c>
      <c r="AQ121" s="290">
        <f>AO121-AO73</f>
        <v/>
      </c>
      <c r="AR121" s="314" t="n">
        <v>78.17</v>
      </c>
      <c r="AS121" s="290">
        <f>AR121-AR109</f>
        <v/>
      </c>
      <c r="AT121" s="290">
        <f>AR121-AR73</f>
        <v/>
      </c>
      <c r="AU121" s="314" t="n">
        <v>70.31</v>
      </c>
      <c r="AV121" s="290">
        <f>AU121-AU109</f>
        <v/>
      </c>
      <c r="AW121" s="290">
        <f>AU121-AU73</f>
        <v/>
      </c>
      <c r="AX121" s="28" t="n">
        <v>904</v>
      </c>
      <c r="AY121" s="15">
        <f>AX121/AX109-1</f>
        <v/>
      </c>
      <c r="AZ121" s="15">
        <f>AX121/AX73-1</f>
        <v/>
      </c>
      <c r="BA121" s="291" t="n"/>
      <c r="BB121" s="291" t="n"/>
      <c r="BC121" s="291" t="n"/>
      <c r="BD121" s="291" t="n"/>
      <c r="BE121" s="291" t="n"/>
      <c r="BF121" s="291" t="n"/>
      <c r="BG121" s="291" t="n"/>
      <c r="BH121" s="291" t="n"/>
      <c r="BI121" s="291" t="n"/>
      <c r="BJ121" s="291" t="n"/>
      <c r="BK121" s="288" t="n"/>
      <c r="BL121" s="291" t="n"/>
      <c r="BM121" s="291" t="n"/>
      <c r="BN121" s="291" t="n"/>
      <c r="BO121" s="291" t="n"/>
      <c r="BP121" s="291" t="n"/>
      <c r="BQ121" s="291" t="n"/>
      <c r="BR121" s="291" t="n"/>
      <c r="BS121" s="291" t="n"/>
      <c r="BT121" s="291" t="n"/>
      <c r="BU121" s="291" t="n"/>
      <c r="BV121" s="291" t="n"/>
      <c r="BW121" s="291" t="n"/>
      <c r="BX121" s="291" t="n"/>
      <c r="BY121" s="291" t="n"/>
      <c r="BZ121" s="291" t="n"/>
      <c r="CA121" s="291" t="n"/>
      <c r="CB121" s="291" t="n"/>
      <c r="CC121" s="291" t="n"/>
      <c r="CD121" s="291" t="n"/>
      <c r="CE121" s="291" t="n"/>
      <c r="CF121" s="291" t="n"/>
      <c r="CG121" s="291" t="n"/>
      <c r="CH121" s="291" t="n"/>
      <c r="CI121" s="291" t="n"/>
      <c r="CJ121" s="291" t="n"/>
      <c r="CK121" s="291" t="n"/>
      <c r="CL121" s="291" t="n"/>
      <c r="CM121" s="291" t="n"/>
      <c r="CN121" s="291" t="n"/>
      <c r="CW121" s="291" t="n"/>
      <c r="CX121" s="291" t="n"/>
      <c r="CY121" s="291" t="n"/>
      <c r="CZ121" s="291" t="n"/>
      <c r="DA121" s="291" t="n"/>
      <c r="DB121" s="291" t="n"/>
      <c r="DC121" s="291" t="n"/>
      <c r="DD121" s="291" t="n"/>
      <c r="DE121" s="311" t="n"/>
      <c r="DF121" s="311" t="n"/>
    </row>
    <row r="122" customFormat="1" s="40">
      <c r="A122" s="313" t="n">
        <v>45260</v>
      </c>
      <c r="B122" s="285" t="n">
        <v>26234.78</v>
      </c>
      <c r="C122" s="15">
        <f>B122/B110-1</f>
        <v/>
      </c>
      <c r="D122" s="15">
        <f>B122/B74-1</f>
        <v/>
      </c>
      <c r="E122" s="285" t="n">
        <v>20736.34</v>
      </c>
      <c r="F122" s="15">
        <f>E122/E110-1</f>
        <v/>
      </c>
      <c r="G122" s="15">
        <f>E122/E74-1</f>
        <v/>
      </c>
      <c r="H122" s="285" t="n">
        <v>5257.63</v>
      </c>
      <c r="I122" s="15">
        <f>H122/H110-1</f>
        <v/>
      </c>
      <c r="J122" s="15">
        <f>H122/H74-1</f>
        <v/>
      </c>
      <c r="K122" s="285" t="n">
        <v>240.82</v>
      </c>
      <c r="L122" s="15">
        <f>K122/K110-1</f>
        <v/>
      </c>
      <c r="M122" s="15">
        <f>K122/K74-1</f>
        <v/>
      </c>
      <c r="N122" s="285" t="n">
        <v>20706.88</v>
      </c>
      <c r="O122" s="15">
        <f>N122/N110-1</f>
        <v/>
      </c>
      <c r="P122" s="15">
        <f>N122/N74-1</f>
        <v/>
      </c>
      <c r="Q122" s="285" t="n">
        <v>16563.93</v>
      </c>
      <c r="R122" s="15">
        <f>Q122/Q110-1</f>
        <v/>
      </c>
      <c r="S122" s="15">
        <f>Q122/Q74-1</f>
        <v/>
      </c>
      <c r="T122" s="285" t="n">
        <v>3976.68</v>
      </c>
      <c r="U122" s="15">
        <f>T122/T110-1</f>
        <v/>
      </c>
      <c r="V122" s="15">
        <f>T122/T74-1</f>
        <v/>
      </c>
      <c r="W122" s="285" t="n">
        <v>166.27</v>
      </c>
      <c r="X122" s="15">
        <f>W122/W110-1</f>
        <v/>
      </c>
      <c r="Y122" s="15">
        <f>W122/W74-1</f>
        <v/>
      </c>
      <c r="Z122" s="285" t="n">
        <v>11677.55</v>
      </c>
      <c r="AA122" s="15">
        <f>Z122/Z110-1</f>
        <v/>
      </c>
      <c r="AB122" s="15">
        <f>Z122/Z74-1</f>
        <v/>
      </c>
      <c r="AC122" s="285" t="n">
        <v>10586.58</v>
      </c>
      <c r="AD122" s="15">
        <f>AC122/AC110-1</f>
        <v/>
      </c>
      <c r="AE122" s="15">
        <f>AC122/AC74-1</f>
        <v/>
      </c>
      <c r="AF122" s="285" t="n">
        <v>954.08</v>
      </c>
      <c r="AG122" s="15">
        <f>AF122/AF110-1</f>
        <v/>
      </c>
      <c r="AH122" s="15">
        <f>AF122/AF74-1</f>
        <v/>
      </c>
      <c r="AI122" s="285" t="n">
        <v>136.89</v>
      </c>
      <c r="AJ122" s="15">
        <f>AI122/AI110-1</f>
        <v/>
      </c>
      <c r="AK122" s="15">
        <f>AI122/AI74-1</f>
        <v/>
      </c>
      <c r="AL122" s="286" t="n">
        <v>78.93000000000001</v>
      </c>
      <c r="AM122" s="290">
        <f>AL122-AL110</f>
        <v/>
      </c>
      <c r="AN122" s="290">
        <f>AL122-AL74</f>
        <v/>
      </c>
      <c r="AO122" s="286" t="n">
        <v>79.88</v>
      </c>
      <c r="AP122" s="290">
        <f>AO122-AO110</f>
        <v/>
      </c>
      <c r="AQ122" s="290">
        <f>AO122-AO74</f>
        <v/>
      </c>
      <c r="AR122" s="286" t="n">
        <v>75.64</v>
      </c>
      <c r="AS122" s="290">
        <f>AR122-AR110</f>
        <v/>
      </c>
      <c r="AT122" s="290">
        <f>AR122-AR74</f>
        <v/>
      </c>
      <c r="AU122" s="286" t="n">
        <v>69.04000000000001</v>
      </c>
      <c r="AV122" s="290">
        <f>AU122-AU110</f>
        <v/>
      </c>
      <c r="AW122" s="290">
        <f>AU122-AU74</f>
        <v/>
      </c>
      <c r="AX122" s="285" t="n">
        <v>904</v>
      </c>
      <c r="AY122" s="15">
        <f>AX122/AX110-1</f>
        <v/>
      </c>
      <c r="AZ122" s="15">
        <f>AX122/AX74-1</f>
        <v/>
      </c>
      <c r="BA122" s="291" t="n"/>
      <c r="BB122" s="291" t="n"/>
      <c r="BC122" s="291" t="n"/>
      <c r="BD122" s="291" t="n"/>
      <c r="BE122" s="291" t="n"/>
      <c r="BF122" s="291" t="n"/>
      <c r="BG122" s="291" t="n"/>
      <c r="BH122" s="291" t="n"/>
      <c r="BI122" s="291" t="n"/>
      <c r="BJ122" s="291" t="n"/>
      <c r="BK122" s="288" t="n"/>
      <c r="BL122" s="291" t="n"/>
      <c r="BM122" s="291" t="n"/>
      <c r="BN122" s="291" t="n"/>
      <c r="BO122" s="291" t="n"/>
      <c r="BP122" s="291" t="n"/>
      <c r="BQ122" s="291" t="n"/>
      <c r="BR122" s="291" t="n"/>
      <c r="BS122" s="291" t="n"/>
      <c r="BT122" s="291" t="n"/>
      <c r="BU122" s="291" t="n"/>
      <c r="BV122" s="291" t="n"/>
      <c r="BW122" s="291" t="n"/>
      <c r="BX122" s="291" t="n"/>
      <c r="BY122" s="291" t="n"/>
      <c r="BZ122" s="291" t="n"/>
      <c r="CA122" s="291" t="n"/>
      <c r="CB122" s="291" t="n"/>
      <c r="CC122" s="291" t="n"/>
      <c r="CD122" s="291" t="n"/>
      <c r="CE122" s="291" t="n"/>
      <c r="CF122" s="291" t="n"/>
      <c r="CG122" s="291" t="n"/>
      <c r="CH122" s="291" t="n"/>
      <c r="CI122" s="291" t="n"/>
      <c r="CJ122" s="291" t="n"/>
      <c r="CK122" s="291" t="n"/>
      <c r="CL122" s="291" t="n"/>
      <c r="CM122" s="291" t="n"/>
      <c r="CN122" s="291" t="n"/>
      <c r="CW122" s="291" t="n"/>
      <c r="CX122" s="291" t="n"/>
      <c r="CY122" s="291" t="n"/>
      <c r="CZ122" s="291" t="n"/>
      <c r="DA122" s="291" t="n"/>
      <c r="DB122" s="291" t="n"/>
      <c r="DC122" s="291" t="n"/>
      <c r="DD122" s="291" t="n"/>
      <c r="DE122" s="311" t="n"/>
      <c r="DF122" s="311" t="n"/>
    </row>
    <row r="123" customFormat="1" s="116">
      <c r="A123" s="313" t="n">
        <v>45291</v>
      </c>
      <c r="B123" s="315" t="n">
        <v>28131.49</v>
      </c>
      <c r="C123" s="111">
        <f>B123/B111-1</f>
        <v/>
      </c>
      <c r="D123" s="15">
        <f>B123/B75-1</f>
        <v/>
      </c>
      <c r="E123" s="315" t="n">
        <v>21311.54</v>
      </c>
      <c r="F123" s="111">
        <f>E123/E111-1</f>
        <v/>
      </c>
      <c r="G123" s="15">
        <f>E123/E75-1</f>
        <v/>
      </c>
      <c r="H123" s="315" t="n">
        <v>6559.29</v>
      </c>
      <c r="I123" s="111">
        <f>H123/H111-1</f>
        <v/>
      </c>
      <c r="J123" s="15">
        <f>H123/H75-1</f>
        <v/>
      </c>
      <c r="K123" s="315" t="n">
        <v>260.66</v>
      </c>
      <c r="L123" s="111">
        <f>K123/K111-1</f>
        <v/>
      </c>
      <c r="M123" s="15">
        <f>K123/K75-1</f>
        <v/>
      </c>
      <c r="N123" s="315" t="n">
        <v>22330.95</v>
      </c>
      <c r="O123" s="111">
        <f>N123/N111-1</f>
        <v/>
      </c>
      <c r="P123" s="15">
        <f>N123/N75-1</f>
        <v/>
      </c>
      <c r="Q123" s="315" t="n">
        <v>17077.44</v>
      </c>
      <c r="R123" s="111">
        <f>Q123/Q111-1</f>
        <v/>
      </c>
      <c r="S123" s="15">
        <f>Q123/Q75-1</f>
        <v/>
      </c>
      <c r="T123" s="315" t="n">
        <v>5066.71</v>
      </c>
      <c r="U123" s="111">
        <f>T123/T111-1</f>
        <v/>
      </c>
      <c r="V123" s="15">
        <f>T123/T75-1</f>
        <v/>
      </c>
      <c r="W123" s="315" t="n">
        <v>186.8</v>
      </c>
      <c r="X123" s="111">
        <f>W123/W111-1</f>
        <v/>
      </c>
      <c r="Y123" s="15">
        <f>W123/W75-1</f>
        <v/>
      </c>
      <c r="Z123" s="315" t="n">
        <v>12088.63</v>
      </c>
      <c r="AA123" s="111">
        <f>Z123/Z111-1</f>
        <v/>
      </c>
      <c r="AB123" s="15">
        <f>Z123/Z75-1</f>
        <v/>
      </c>
      <c r="AC123" s="315" t="n">
        <v>10742.8</v>
      </c>
      <c r="AD123" s="111">
        <f>AC123/AC111-1</f>
        <v/>
      </c>
      <c r="AE123" s="15">
        <f>AC123/AC75-1</f>
        <v/>
      </c>
      <c r="AF123" s="315" t="n">
        <v>1192.32</v>
      </c>
      <c r="AG123" s="111">
        <f>AF123/AF111-1</f>
        <v/>
      </c>
      <c r="AH123" s="15">
        <f>AF123/AF75-1</f>
        <v/>
      </c>
      <c r="AI123" s="315" t="n">
        <v>153.51</v>
      </c>
      <c r="AJ123" s="111">
        <f>AI123/AI111-1</f>
        <v/>
      </c>
      <c r="AK123" s="15">
        <f>AI123/AI75-1</f>
        <v/>
      </c>
      <c r="AL123" s="316" t="n">
        <v>79.38</v>
      </c>
      <c r="AM123" s="290">
        <f>AL123-AL111</f>
        <v/>
      </c>
      <c r="AN123" s="290">
        <f>AL123-AL75</f>
        <v/>
      </c>
      <c r="AO123" s="316" t="n">
        <v>80.13</v>
      </c>
      <c r="AP123" s="290">
        <f>AO123-AO111</f>
        <v/>
      </c>
      <c r="AQ123" s="290">
        <f>AO123-AO75</f>
        <v/>
      </c>
      <c r="AR123" s="316" t="n">
        <v>77.23999999999999</v>
      </c>
      <c r="AS123" s="290">
        <f>AR123-AR111</f>
        <v/>
      </c>
      <c r="AT123" s="290">
        <f>AR123-AR75</f>
        <v/>
      </c>
      <c r="AU123" s="316" t="n">
        <v>71.66</v>
      </c>
      <c r="AV123" s="290">
        <f>AU123-AU111</f>
        <v/>
      </c>
      <c r="AW123" s="290">
        <f>AU123-AU75</f>
        <v/>
      </c>
      <c r="AX123" s="315" t="n">
        <v>908</v>
      </c>
      <c r="AY123" s="15">
        <f>AX123/AX111-1</f>
        <v/>
      </c>
      <c r="AZ123" s="15">
        <f>AX123/AX75-1</f>
        <v/>
      </c>
      <c r="BA123" s="317" t="n"/>
      <c r="BB123" s="317" t="n"/>
      <c r="BC123" s="317" t="n"/>
      <c r="BD123" s="317" t="n"/>
      <c r="BE123" s="317" t="n"/>
      <c r="BF123" s="317" t="n"/>
      <c r="BG123" s="317" t="n"/>
      <c r="BH123" s="317" t="n"/>
      <c r="BI123" s="317" t="n"/>
      <c r="BJ123" s="317" t="n"/>
      <c r="BK123" s="318" t="n"/>
      <c r="BL123" s="317" t="n"/>
      <c r="BM123" s="317" t="n"/>
      <c r="BN123" s="317" t="n"/>
      <c r="BO123" s="317" t="n"/>
      <c r="BP123" s="317" t="n"/>
      <c r="BQ123" s="317" t="n"/>
      <c r="BR123" s="317" t="n"/>
      <c r="BS123" s="317" t="n"/>
      <c r="BT123" s="317" t="n"/>
      <c r="BU123" s="317" t="n"/>
      <c r="BV123" s="317" t="n"/>
      <c r="BW123" s="317" t="n"/>
      <c r="BX123" s="317" t="n"/>
      <c r="BY123" s="317" t="n"/>
      <c r="BZ123" s="317" t="n"/>
      <c r="CA123" s="317" t="n"/>
      <c r="CB123" s="317" t="n"/>
      <c r="CC123" s="317" t="n"/>
      <c r="CD123" s="317" t="n"/>
      <c r="CE123" s="317" t="n"/>
      <c r="CF123" s="317" t="n"/>
      <c r="CG123" s="317" t="n"/>
      <c r="CH123" s="317" t="n"/>
      <c r="CI123" s="317" t="n"/>
      <c r="CJ123" s="317" t="n"/>
      <c r="CK123" s="317" t="n"/>
      <c r="CL123" s="317" t="n"/>
      <c r="CM123" s="317" t="n"/>
      <c r="CN123" s="317" t="n"/>
      <c r="CW123" s="317" t="n"/>
      <c r="CX123" s="317" t="n"/>
      <c r="CY123" s="317" t="n"/>
      <c r="CZ123" s="317" t="n"/>
      <c r="DA123" s="317" t="n"/>
      <c r="DB123" s="317" t="n"/>
      <c r="DC123" s="317" t="n"/>
      <c r="DD123" s="317" t="n"/>
      <c r="DE123" s="319" t="n"/>
      <c r="DF123" s="319" t="n"/>
    </row>
    <row r="124" customFormat="1" s="247">
      <c r="A124" s="280" t="n">
        <v>45322</v>
      </c>
      <c r="B124" s="320" t="n">
        <v>30345.76</v>
      </c>
      <c r="C124" s="15">
        <f>B124/B112-1</f>
        <v/>
      </c>
      <c r="D124" s="15">
        <f>B124/B64-1</f>
        <v/>
      </c>
      <c r="E124" s="320" t="n">
        <v>23257.99</v>
      </c>
      <c r="F124" s="15">
        <f>E124/E112-1</f>
        <v/>
      </c>
      <c r="G124" s="15">
        <f>E124/E64-1</f>
        <v/>
      </c>
      <c r="H124" s="320" t="n">
        <v>6844.39</v>
      </c>
      <c r="I124" s="15">
        <f>H124/H112-1</f>
        <v/>
      </c>
      <c r="J124" s="15">
        <f>H124/H64-1</f>
        <v/>
      </c>
      <c r="K124" s="320" t="n">
        <v>243.38</v>
      </c>
      <c r="L124" s="15">
        <f>K124/K112-1</f>
        <v/>
      </c>
      <c r="M124" s="15">
        <f>K124/K64-1</f>
        <v/>
      </c>
      <c r="N124" s="320" t="n">
        <v>24583.55</v>
      </c>
      <c r="O124" s="15">
        <f>N124/N112-1</f>
        <v/>
      </c>
      <c r="P124" s="15">
        <f>N124/N64-1</f>
        <v/>
      </c>
      <c r="Q124" s="320" t="n">
        <v>19096.38</v>
      </c>
      <c r="R124" s="15">
        <f>Q124/Q112-1</f>
        <v/>
      </c>
      <c r="S124" s="15">
        <f>Q124/Q64-1</f>
        <v/>
      </c>
      <c r="T124" s="320" t="n">
        <v>5304.94</v>
      </c>
      <c r="U124" s="15">
        <f>T124/T112-1</f>
        <v/>
      </c>
      <c r="V124" s="15">
        <f>T124/T64-1</f>
        <v/>
      </c>
      <c r="W124" s="320" t="n">
        <v>182.23</v>
      </c>
      <c r="X124" s="15">
        <f>W124/W112-1</f>
        <v/>
      </c>
      <c r="Y124" s="15">
        <f>W124/W64-1</f>
        <v/>
      </c>
      <c r="Z124" s="320" t="n">
        <v>13220.88</v>
      </c>
      <c r="AA124" s="15">
        <f>Z124/Z112-1</f>
        <v/>
      </c>
      <c r="AB124" s="15">
        <f>Z124/Z64-1</f>
        <v/>
      </c>
      <c r="AC124" s="320" t="n">
        <v>11831.37</v>
      </c>
      <c r="AD124" s="15">
        <f>AC124/AC112-1</f>
        <v/>
      </c>
      <c r="AE124" s="15">
        <f>AC124/AC64-1</f>
        <v/>
      </c>
      <c r="AF124" s="320" t="n">
        <v>1236.73</v>
      </c>
      <c r="AG124" s="15">
        <f>AF124/AF112-1</f>
        <v/>
      </c>
      <c r="AH124" s="15">
        <f>AF124/AF64-1</f>
        <v/>
      </c>
      <c r="AI124" s="320" t="n">
        <v>152.78</v>
      </c>
      <c r="AJ124" s="15">
        <f>AI124/AI112-1</f>
        <v/>
      </c>
      <c r="AK124" s="15">
        <f>AI124/AI64-1</f>
        <v/>
      </c>
      <c r="AL124" s="321" t="n">
        <v>81.01000000000001</v>
      </c>
      <c r="AM124" s="290">
        <f>AL124-AL112</f>
        <v/>
      </c>
      <c r="AN124" s="290">
        <f>AL124-AL64</f>
        <v/>
      </c>
      <c r="AO124" s="321" t="n">
        <v>82.11</v>
      </c>
      <c r="AP124" s="290">
        <f>AO124-AO112</f>
        <v/>
      </c>
      <c r="AQ124" s="290">
        <f>AO124-AO64</f>
        <v/>
      </c>
      <c r="AR124" s="321" t="n">
        <v>77.51000000000001</v>
      </c>
      <c r="AS124" s="290">
        <f>AR124-AR112</f>
        <v/>
      </c>
      <c r="AT124" s="290">
        <f>AR124-AR64</f>
        <v/>
      </c>
      <c r="AU124" s="321" t="n">
        <v>74.88</v>
      </c>
      <c r="AV124" s="290">
        <f>AU124-AU112</f>
        <v/>
      </c>
      <c r="AW124" s="290">
        <f>AU124-AU64</f>
        <v/>
      </c>
      <c r="AX124" s="320" t="n">
        <v>907</v>
      </c>
      <c r="AY124" s="15">
        <f>AX124/AX112-1</f>
        <v/>
      </c>
      <c r="AZ124" s="15">
        <f>AX124/AX64-1</f>
        <v/>
      </c>
      <c r="BA124" s="309" t="n"/>
      <c r="BB124" s="309" t="n"/>
      <c r="BC124" s="309" t="n"/>
      <c r="BD124" s="309" t="n"/>
      <c r="BE124" s="309" t="n"/>
      <c r="BF124" s="309" t="n"/>
      <c r="BG124" s="309" t="n"/>
      <c r="BH124" s="309" t="n"/>
      <c r="BI124" s="309" t="n"/>
      <c r="BJ124" s="309" t="n"/>
      <c r="BK124" s="306" t="n"/>
      <c r="BL124" s="309" t="n"/>
      <c r="BM124" s="309" t="n"/>
      <c r="BN124" s="309" t="n"/>
      <c r="BO124" s="309" t="n"/>
      <c r="BP124" s="309" t="n"/>
      <c r="BQ124" s="309" t="n"/>
      <c r="BR124" s="309" t="n"/>
      <c r="BS124" s="309" t="n"/>
      <c r="BT124" s="309" t="n"/>
      <c r="BU124" s="309" t="n"/>
      <c r="BV124" s="309" t="n"/>
      <c r="BW124" s="309" t="n"/>
      <c r="BX124" s="309" t="n"/>
      <c r="BY124" s="309" t="n"/>
      <c r="BZ124" s="309" t="n"/>
      <c r="CA124" s="309" t="n"/>
      <c r="CB124" s="309" t="n"/>
      <c r="CC124" s="309" t="n"/>
      <c r="CD124" s="309" t="n"/>
      <c r="CE124" s="309" t="n"/>
      <c r="CF124" s="309" t="n"/>
      <c r="CG124" s="309" t="n"/>
      <c r="CH124" s="309" t="n"/>
      <c r="CI124" s="309" t="n"/>
      <c r="CJ124" s="309" t="n"/>
      <c r="CK124" s="309" t="n"/>
      <c r="CL124" s="309" t="n"/>
      <c r="CM124" s="309" t="n"/>
      <c r="CN124" s="309" t="n"/>
      <c r="CW124" s="309" t="n"/>
      <c r="CX124" s="309" t="n"/>
      <c r="CY124" s="309" t="n"/>
      <c r="CZ124" s="309" t="n"/>
      <c r="DA124" s="309" t="n"/>
      <c r="DB124" s="309" t="n"/>
      <c r="DC124" s="309" t="n"/>
      <c r="DD124" s="309" t="n"/>
      <c r="DE124" s="322" t="n"/>
      <c r="DF124" s="322" t="n"/>
    </row>
    <row r="125" customFormat="1" s="40">
      <c r="A125" s="313" t="n">
        <v>45351</v>
      </c>
      <c r="B125" s="28" t="n">
        <v>30751.01</v>
      </c>
      <c r="C125" s="15">
        <f>B125/B113-1</f>
        <v/>
      </c>
      <c r="D125" s="15">
        <f>B125/B65-1</f>
        <v/>
      </c>
      <c r="E125" s="28" t="n">
        <v>23876.56</v>
      </c>
      <c r="F125" s="15">
        <f>E125/E113-1</f>
        <v/>
      </c>
      <c r="G125" s="15">
        <f>E125/E65-1</f>
        <v/>
      </c>
      <c r="H125" s="28" t="n">
        <v>6632.98</v>
      </c>
      <c r="I125" s="15">
        <f>H125/H113-1</f>
        <v/>
      </c>
      <c r="J125" s="15">
        <f>H125/H65-1</f>
        <v/>
      </c>
      <c r="K125" s="28" t="n">
        <v>241.47</v>
      </c>
      <c r="L125" s="15">
        <f>K125/K113-1</f>
        <v/>
      </c>
      <c r="M125" s="15">
        <f>K125/K65-1</f>
        <v/>
      </c>
      <c r="N125" s="28" t="n">
        <v>26323.19</v>
      </c>
      <c r="O125" s="15">
        <f>N125/N113-1</f>
        <v/>
      </c>
      <c r="P125" s="15">
        <f>N125/N65-1</f>
        <v/>
      </c>
      <c r="Q125" s="28" t="n">
        <v>20552.42</v>
      </c>
      <c r="R125" s="15">
        <f>Q125/Q113-1</f>
        <v/>
      </c>
      <c r="S125" s="15">
        <f>Q125/Q65-1</f>
        <v/>
      </c>
      <c r="T125" s="28" t="n">
        <v>5577.32</v>
      </c>
      <c r="U125" s="15">
        <f>T125/T113-1</f>
        <v/>
      </c>
      <c r="V125" s="15">
        <f>T125/T65-1</f>
        <v/>
      </c>
      <c r="W125" s="28" t="n">
        <v>193.44</v>
      </c>
      <c r="X125" s="15">
        <f>W125/W113-1</f>
        <v/>
      </c>
      <c r="Y125" s="15">
        <f>W125/W65-1</f>
        <v/>
      </c>
      <c r="Z125" s="28" t="n">
        <v>14244.51</v>
      </c>
      <c r="AA125" s="15">
        <f>Z125/Z113-1</f>
        <v/>
      </c>
      <c r="AB125" s="15">
        <f>Z125/Z65-1</f>
        <v/>
      </c>
      <c r="AC125" s="28" t="n">
        <v>12739.29</v>
      </c>
      <c r="AD125" s="15">
        <f>AC125/AC113-1</f>
        <v/>
      </c>
      <c r="AE125" s="15">
        <f>AC125/AC65-1</f>
        <v/>
      </c>
      <c r="AF125" s="28" t="n">
        <v>1342.9</v>
      </c>
      <c r="AG125" s="15">
        <f>AF125/AF113-1</f>
        <v/>
      </c>
      <c r="AH125" s="15">
        <f>AF125/AF65-1</f>
        <v/>
      </c>
      <c r="AI125" s="28" t="n">
        <v>162.32</v>
      </c>
      <c r="AJ125" s="15">
        <f>AI125/AI113-1</f>
        <v/>
      </c>
      <c r="AK125" s="15">
        <f>AI125/AI65-1</f>
        <v/>
      </c>
      <c r="AL125" s="314" t="n">
        <v>85.59999999999999</v>
      </c>
      <c r="AM125" s="290">
        <f>AL125-AL113</f>
        <v/>
      </c>
      <c r="AN125" s="290">
        <f>AL125-AL65</f>
        <v/>
      </c>
      <c r="AO125" s="314" t="n">
        <v>86.08</v>
      </c>
      <c r="AP125" s="290">
        <f>AO125-AO113</f>
        <v/>
      </c>
      <c r="AQ125" s="290">
        <f>AO125-AO65</f>
        <v/>
      </c>
      <c r="AR125" s="314" t="n">
        <v>84.08</v>
      </c>
      <c r="AS125" s="290">
        <f>AR125-AR113</f>
        <v/>
      </c>
      <c r="AT125" s="290">
        <f>AR125-AR65</f>
        <v/>
      </c>
      <c r="AU125" s="314" t="n">
        <v>80.11</v>
      </c>
      <c r="AV125" s="290">
        <f>AU125-AU113</f>
        <v/>
      </c>
      <c r="AW125" s="290">
        <f>AU125-AU65</f>
        <v/>
      </c>
      <c r="AX125" s="28" t="n">
        <v>913</v>
      </c>
      <c r="AY125" s="15">
        <f>AX125/AX113-1</f>
        <v/>
      </c>
      <c r="AZ125" s="15">
        <f>AX125/AX65-1</f>
        <v/>
      </c>
      <c r="BA125" s="291" t="n"/>
      <c r="BB125" s="291" t="n"/>
      <c r="BC125" s="291" t="n"/>
      <c r="BD125" s="291" t="n"/>
      <c r="BE125" s="291" t="n"/>
      <c r="BF125" s="291" t="n"/>
      <c r="BG125" s="291" t="n"/>
      <c r="BH125" s="291" t="n"/>
      <c r="BI125" s="291" t="n"/>
      <c r="BJ125" s="291" t="n"/>
      <c r="BK125" s="288" t="n"/>
      <c r="BL125" s="291" t="n"/>
      <c r="BM125" s="291" t="n"/>
      <c r="BN125" s="291" t="n"/>
      <c r="BO125" s="291" t="n"/>
      <c r="BP125" s="291" t="n"/>
      <c r="BQ125" s="291" t="n"/>
      <c r="BR125" s="291" t="n"/>
      <c r="BS125" s="291" t="n"/>
      <c r="BT125" s="291" t="n"/>
      <c r="BU125" s="291" t="n"/>
      <c r="BV125" s="291" t="n"/>
      <c r="BW125" s="291" t="n"/>
      <c r="BX125" s="291" t="n"/>
      <c r="BY125" s="291" t="n"/>
      <c r="BZ125" s="291" t="n"/>
      <c r="CA125" s="291" t="n"/>
      <c r="CB125" s="291" t="n"/>
      <c r="CC125" s="291" t="n"/>
      <c r="CD125" s="291" t="n"/>
      <c r="CE125" s="291" t="n"/>
      <c r="CF125" s="291" t="n"/>
      <c r="CG125" s="291" t="n"/>
      <c r="CH125" s="291" t="n"/>
      <c r="CI125" s="291" t="n"/>
      <c r="CJ125" s="291" t="n"/>
      <c r="CK125" s="291" t="n"/>
      <c r="CL125" s="291" t="n"/>
      <c r="CM125" s="291" t="n"/>
      <c r="CN125" s="291" t="n"/>
      <c r="CW125" s="291" t="n"/>
      <c r="CX125" s="291" t="n"/>
      <c r="CY125" s="291" t="n"/>
      <c r="CZ125" s="291" t="n"/>
      <c r="DA125" s="291" t="n"/>
      <c r="DB125" s="291" t="n"/>
      <c r="DC125" s="291" t="n"/>
      <c r="DD125" s="291" t="n"/>
      <c r="DE125" s="311" t="n"/>
      <c r="DF125" s="311" t="n"/>
    </row>
    <row r="126" customFormat="1" s="40">
      <c r="A126" s="313" t="n">
        <v>45382</v>
      </c>
      <c r="B126" s="28" t="n">
        <v>28443.74</v>
      </c>
      <c r="C126" s="15">
        <f>B126/B114-1</f>
        <v/>
      </c>
      <c r="D126" s="15">
        <f>B126/B66-1</f>
        <v/>
      </c>
      <c r="E126" s="28" t="n">
        <v>22057.08</v>
      </c>
      <c r="F126" s="15">
        <f>E126/E114-1</f>
        <v/>
      </c>
      <c r="G126" s="15">
        <f>E126/E66-1</f>
        <v/>
      </c>
      <c r="H126" s="28" t="n">
        <v>6146.62</v>
      </c>
      <c r="I126" s="15">
        <f>H126/H114-1</f>
        <v/>
      </c>
      <c r="J126" s="15">
        <f>H126/H66-1</f>
        <v/>
      </c>
      <c r="K126" s="28" t="n">
        <v>240.04</v>
      </c>
      <c r="L126" s="15">
        <f>K126/K114-1</f>
        <v/>
      </c>
      <c r="M126" s="15">
        <f>K126/K66-1</f>
        <v/>
      </c>
      <c r="N126" s="28" t="n">
        <v>23417.02</v>
      </c>
      <c r="O126" s="15">
        <f>N126/N114-1</f>
        <v/>
      </c>
      <c r="P126" s="15">
        <f>N126/N66-1</f>
        <v/>
      </c>
      <c r="Q126" s="28" t="n">
        <v>18130.18</v>
      </c>
      <c r="R126" s="15">
        <f>Q126/Q114-1</f>
        <v/>
      </c>
      <c r="S126" s="15">
        <f>Q126/Q66-1</f>
        <v/>
      </c>
      <c r="T126" s="28" t="n">
        <v>5106.64</v>
      </c>
      <c r="U126" s="15">
        <f>T126/T114-1</f>
        <v/>
      </c>
      <c r="V126" s="15">
        <f>T126/T66-1</f>
        <v/>
      </c>
      <c r="W126" s="28" t="n">
        <v>180.2</v>
      </c>
      <c r="X126" s="15">
        <f>W126/W114-1</f>
        <v/>
      </c>
      <c r="Y126" s="15">
        <f>W126/W66-1</f>
        <v/>
      </c>
      <c r="Z126" s="28" t="n">
        <v>13015.11</v>
      </c>
      <c r="AA126" s="15">
        <f>Z126/Z114-1</f>
        <v/>
      </c>
      <c r="AB126" s="15">
        <f>Z126/Z66-1</f>
        <v/>
      </c>
      <c r="AC126" s="28" t="n">
        <v>11566.76</v>
      </c>
      <c r="AD126" s="15">
        <f>AC126/AC114-1</f>
        <v/>
      </c>
      <c r="AE126" s="15">
        <f>AC126/AC66-1</f>
        <v/>
      </c>
      <c r="AF126" s="28" t="n">
        <v>1298.51</v>
      </c>
      <c r="AG126" s="15">
        <f>AF126/AF114-1</f>
        <v/>
      </c>
      <c r="AH126" s="15">
        <f>AF126/AF66-1</f>
        <v/>
      </c>
      <c r="AI126" s="28" t="n">
        <v>149.85</v>
      </c>
      <c r="AJ126" s="15">
        <f>AI126/AI114-1</f>
        <v/>
      </c>
      <c r="AK126" s="15">
        <f>AI126/AI66-1</f>
        <v/>
      </c>
      <c r="AL126" s="314" t="n">
        <v>82.33</v>
      </c>
      <c r="AM126" s="290">
        <f>AL126-AL114</f>
        <v/>
      </c>
      <c r="AN126" s="290">
        <f>AL126-AL66</f>
        <v/>
      </c>
      <c r="AO126" s="314" t="n">
        <v>82.2</v>
      </c>
      <c r="AP126" s="290">
        <f>AO126-AO114</f>
        <v/>
      </c>
      <c r="AQ126" s="290">
        <f>AO126-AO66</f>
        <v/>
      </c>
      <c r="AR126" s="314" t="n">
        <v>83.08</v>
      </c>
      <c r="AS126" s="290">
        <f>AR126-AR114</f>
        <v/>
      </c>
      <c r="AT126" s="290">
        <f>AR126-AR66</f>
        <v/>
      </c>
      <c r="AU126" s="314" t="n">
        <v>75.06999999999999</v>
      </c>
      <c r="AV126" s="290">
        <f>AU126-AU114</f>
        <v/>
      </c>
      <c r="AW126" s="290">
        <f>AU126-AU66</f>
        <v/>
      </c>
      <c r="AX126" s="28" t="n">
        <v>917</v>
      </c>
      <c r="AY126" s="15">
        <f>AX126/AX114-1</f>
        <v/>
      </c>
      <c r="AZ126" s="15">
        <f>AX126/AX66-1</f>
        <v/>
      </c>
      <c r="BA126" s="291" t="n"/>
      <c r="BB126" s="291" t="n"/>
      <c r="BC126" s="291" t="n"/>
      <c r="BD126" s="291" t="n"/>
      <c r="BE126" s="291" t="n"/>
      <c r="BF126" s="291" t="n"/>
      <c r="BG126" s="291" t="n"/>
      <c r="BH126" s="291" t="n"/>
      <c r="BI126" s="291" t="n"/>
      <c r="BJ126" s="291" t="n"/>
      <c r="BK126" s="288" t="n"/>
      <c r="BL126" s="291" t="n"/>
      <c r="BM126" s="291" t="n"/>
      <c r="BN126" s="291" t="n"/>
      <c r="BO126" s="291" t="n"/>
      <c r="BP126" s="291" t="n"/>
      <c r="BQ126" s="291" t="n"/>
      <c r="BR126" s="291" t="n"/>
      <c r="BS126" s="291" t="n"/>
      <c r="BT126" s="291" t="n"/>
      <c r="BU126" s="291" t="n"/>
      <c r="BV126" s="291" t="n"/>
      <c r="BW126" s="291" t="n"/>
      <c r="BX126" s="291" t="n"/>
      <c r="BY126" s="291" t="n"/>
      <c r="BZ126" s="291" t="n"/>
      <c r="CA126" s="291" t="n"/>
      <c r="CB126" s="291" t="n"/>
      <c r="CC126" s="291" t="n"/>
      <c r="CD126" s="291" t="n"/>
      <c r="CE126" s="291" t="n"/>
      <c r="CF126" s="291" t="n"/>
      <c r="CG126" s="291" t="n"/>
      <c r="CH126" s="291" t="n"/>
      <c r="CI126" s="291" t="n"/>
      <c r="CJ126" s="291" t="n"/>
      <c r="CK126" s="291" t="n"/>
      <c r="CL126" s="291" t="n"/>
      <c r="CM126" s="291" t="n"/>
      <c r="CN126" s="291" t="n"/>
      <c r="CW126" s="291" t="n"/>
      <c r="CX126" s="291" t="n"/>
      <c r="CY126" s="291" t="n"/>
      <c r="CZ126" s="291" t="n"/>
      <c r="DA126" s="291" t="n"/>
      <c r="DB126" s="291" t="n"/>
      <c r="DC126" s="291" t="n"/>
      <c r="DD126" s="291" t="n"/>
      <c r="DE126" s="311" t="n"/>
      <c r="DF126" s="311" t="n"/>
    </row>
    <row r="127" customFormat="1" s="40">
      <c r="A127" s="313" t="n">
        <v>45412</v>
      </c>
      <c r="B127" s="28" t="n">
        <v>27276.01</v>
      </c>
      <c r="C127" s="15">
        <f>B127/B115-1</f>
        <v/>
      </c>
      <c r="D127" s="15">
        <f>B127/B67-1</f>
        <v/>
      </c>
      <c r="E127" s="28" t="n">
        <v>20544.73</v>
      </c>
      <c r="F127" s="15">
        <f>E127/E115-1</f>
        <v/>
      </c>
      <c r="G127" s="15">
        <f>E127/E67-1</f>
        <v/>
      </c>
      <c r="H127" s="28" t="n">
        <v>6456.3</v>
      </c>
      <c r="I127" s="15">
        <f>H127/H115-1</f>
        <v/>
      </c>
      <c r="J127" s="15">
        <f>H127/H67-1</f>
        <v/>
      </c>
      <c r="K127" s="28" t="n">
        <v>274.98</v>
      </c>
      <c r="L127" s="15">
        <f>K127/K115-1</f>
        <v/>
      </c>
      <c r="M127" s="15">
        <f>K127/K67-1</f>
        <v/>
      </c>
      <c r="N127" s="28" t="n">
        <v>22660.53</v>
      </c>
      <c r="O127" s="15">
        <f>N127/N115-1</f>
        <v/>
      </c>
      <c r="P127" s="15">
        <f>N127/N67-1</f>
        <v/>
      </c>
      <c r="Q127" s="28" t="n">
        <v>17084.36</v>
      </c>
      <c r="R127" s="15">
        <f>Q127/Q115-1</f>
        <v/>
      </c>
      <c r="S127" s="15">
        <f>Q127/Q67-1</f>
        <v/>
      </c>
      <c r="T127" s="28" t="n">
        <v>5361.41</v>
      </c>
      <c r="U127" s="15">
        <f>T127/T115-1</f>
        <v/>
      </c>
      <c r="V127" s="15">
        <f>T127/T67-1</f>
        <v/>
      </c>
      <c r="W127" s="28" t="n">
        <v>214.77</v>
      </c>
      <c r="X127" s="15">
        <f>W127/W115-1</f>
        <v/>
      </c>
      <c r="Y127" s="15">
        <f>W127/W67-1</f>
        <v/>
      </c>
      <c r="Z127" s="28" t="n">
        <v>12413.94</v>
      </c>
      <c r="AA127" s="15">
        <f>Z127/Z115-1</f>
        <v/>
      </c>
      <c r="AB127" s="15">
        <f>Z127/Z67-1</f>
        <v/>
      </c>
      <c r="AC127" s="28" t="n">
        <v>10881.02</v>
      </c>
      <c r="AD127" s="15">
        <f>AC127/AC115-1</f>
        <v/>
      </c>
      <c r="AE127" s="15">
        <f>AC127/AC67-1</f>
        <v/>
      </c>
      <c r="AF127" s="28" t="n">
        <v>1362.62</v>
      </c>
      <c r="AG127" s="15">
        <f>AF127/AF115-1</f>
        <v/>
      </c>
      <c r="AH127" s="15">
        <f>AF127/AF67-1</f>
        <v/>
      </c>
      <c r="AI127" s="28" t="n">
        <v>170.3</v>
      </c>
      <c r="AJ127" s="15">
        <f>AI127/AI115-1</f>
        <v/>
      </c>
      <c r="AK127" s="15">
        <f>AI127/AI67-1</f>
        <v/>
      </c>
      <c r="AL127" s="314" t="n">
        <v>83.08</v>
      </c>
      <c r="AM127" s="290">
        <f>AL127-AL115</f>
        <v/>
      </c>
      <c r="AN127" s="290">
        <f>AL127-AL67</f>
        <v/>
      </c>
      <c r="AO127" s="314" t="n">
        <v>83.16</v>
      </c>
      <c r="AP127" s="290">
        <f>AO127-AO115</f>
        <v/>
      </c>
      <c r="AQ127" s="290">
        <f>AO127-AO67</f>
        <v/>
      </c>
      <c r="AR127" s="314" t="n">
        <v>83.04000000000001</v>
      </c>
      <c r="AS127" s="290">
        <f>AR127-AR115</f>
        <v/>
      </c>
      <c r="AT127" s="290">
        <f>AR127-AR67</f>
        <v/>
      </c>
      <c r="AU127" s="314" t="n">
        <v>78.09999999999999</v>
      </c>
      <c r="AV127" s="290">
        <f>AU127-AU115</f>
        <v/>
      </c>
      <c r="AW127" s="290">
        <f>AU127-AU67</f>
        <v/>
      </c>
      <c r="AX127" s="28" t="n">
        <v>911</v>
      </c>
      <c r="AY127" s="15">
        <f>AX127/AX115-1</f>
        <v/>
      </c>
      <c r="AZ127" s="15">
        <f>AX127/AX67-1</f>
        <v/>
      </c>
      <c r="BA127" s="291" t="n"/>
      <c r="BB127" s="291" t="n"/>
      <c r="BC127" s="291" t="n"/>
      <c r="BD127" s="291" t="n"/>
      <c r="BE127" s="291" t="n"/>
      <c r="BF127" s="291" t="n"/>
      <c r="BG127" s="291" t="n"/>
      <c r="BH127" s="291" t="n"/>
      <c r="BI127" s="291" t="n"/>
      <c r="BJ127" s="291" t="n"/>
      <c r="BK127" s="288" t="n"/>
      <c r="BL127" s="291" t="n"/>
      <c r="BM127" s="291" t="n"/>
      <c r="BN127" s="291" t="n"/>
      <c r="BO127" s="291" t="n"/>
      <c r="BP127" s="291" t="n"/>
      <c r="BQ127" s="291" t="n"/>
      <c r="BR127" s="291" t="n"/>
      <c r="BS127" s="291" t="n"/>
      <c r="BT127" s="291" t="n"/>
      <c r="BU127" s="291" t="n"/>
      <c r="BV127" s="291" t="n"/>
      <c r="BW127" s="291" t="n"/>
      <c r="BX127" s="291" t="n"/>
      <c r="BY127" s="291" t="n"/>
      <c r="BZ127" s="291" t="n"/>
      <c r="CA127" s="291" t="n"/>
      <c r="CB127" s="291" t="n"/>
      <c r="CC127" s="291" t="n"/>
      <c r="CD127" s="291" t="n"/>
      <c r="CE127" s="291" t="n"/>
      <c r="CF127" s="291" t="n"/>
      <c r="CG127" s="291" t="n"/>
      <c r="CH127" s="291" t="n"/>
      <c r="CI127" s="291" t="n"/>
      <c r="CJ127" s="291" t="n"/>
      <c r="CK127" s="291" t="n"/>
      <c r="CL127" s="291" t="n"/>
      <c r="CM127" s="291" t="n"/>
      <c r="CN127" s="291" t="n"/>
      <c r="CW127" s="291" t="n"/>
      <c r="CX127" s="291" t="n"/>
      <c r="CY127" s="291" t="n"/>
      <c r="CZ127" s="291" t="n"/>
      <c r="DA127" s="291" t="n"/>
      <c r="DB127" s="291" t="n"/>
      <c r="DC127" s="291" t="n"/>
      <c r="DD127" s="291" t="n"/>
      <c r="DE127" s="311" t="n"/>
      <c r="DF127" s="311" t="n"/>
    </row>
    <row r="128" customFormat="1" s="40">
      <c r="A128" s="313" t="n">
        <v>45443</v>
      </c>
      <c r="B128" s="28" t="n">
        <v>29300.43</v>
      </c>
      <c r="C128" s="15">
        <f>B128/B116-1</f>
        <v/>
      </c>
      <c r="D128" s="15">
        <f>B128/B68-1</f>
        <v/>
      </c>
      <c r="E128" s="28" t="n">
        <v>22124.89</v>
      </c>
      <c r="F128" s="15">
        <f>E128/E116-1</f>
        <v/>
      </c>
      <c r="G128" s="15">
        <f>E128/E68-1</f>
        <v/>
      </c>
      <c r="H128" s="28" t="n">
        <v>6879.51</v>
      </c>
      <c r="I128" s="15">
        <f>H128/H116-1</f>
        <v/>
      </c>
      <c r="J128" s="15">
        <f>H128/H68-1</f>
        <v/>
      </c>
      <c r="K128" s="28" t="n">
        <v>296.03</v>
      </c>
      <c r="L128" s="15">
        <f>K128/K116-1</f>
        <v/>
      </c>
      <c r="M128" s="15">
        <f>K128/K68-1</f>
        <v/>
      </c>
      <c r="N128" s="28" t="n">
        <v>24338.26</v>
      </c>
      <c r="O128" s="15">
        <f>N128/N116-1</f>
        <v/>
      </c>
      <c r="P128" s="15">
        <f>N128/N68-1</f>
        <v/>
      </c>
      <c r="Q128" s="28" t="n">
        <v>18590.18</v>
      </c>
      <c r="R128" s="15">
        <f>Q128/Q116-1</f>
        <v/>
      </c>
      <c r="S128" s="15">
        <f>Q128/Q68-1</f>
        <v/>
      </c>
      <c r="T128" s="28" t="n">
        <v>5524.1</v>
      </c>
      <c r="U128" s="15">
        <f>T128/T116-1</f>
        <v/>
      </c>
      <c r="V128" s="15">
        <f>T128/T68-1</f>
        <v/>
      </c>
      <c r="W128" s="28" t="n">
        <v>223.98</v>
      </c>
      <c r="X128" s="15">
        <f>W128/W116-1</f>
        <v/>
      </c>
      <c r="Y128" s="15">
        <f>W128/W68-1</f>
        <v/>
      </c>
      <c r="Z128" s="28" t="n">
        <v>13423.57</v>
      </c>
      <c r="AA128" s="15">
        <f>Z128/Z116-1</f>
        <v/>
      </c>
      <c r="AB128" s="15">
        <f>Z128/Z68-1</f>
        <v/>
      </c>
      <c r="AC128" s="28" t="n">
        <v>11875.01</v>
      </c>
      <c r="AD128" s="15">
        <f>AC128/AC116-1</f>
        <v/>
      </c>
      <c r="AE128" s="15">
        <f>AC128/AC68-1</f>
        <v/>
      </c>
      <c r="AF128" s="28" t="n">
        <v>1378.4</v>
      </c>
      <c r="AG128" s="15">
        <f>AF128/AF116-1</f>
        <v/>
      </c>
      <c r="AH128" s="15">
        <f>AF128/AF68-1</f>
        <v/>
      </c>
      <c r="AI128" s="28" t="n">
        <v>170.15</v>
      </c>
      <c r="AJ128" s="15">
        <f>AI128/AI116-1</f>
        <v/>
      </c>
      <c r="AK128" s="15">
        <f>AI128/AI68-1</f>
        <v/>
      </c>
      <c r="AL128" s="314" t="n">
        <v>83.06</v>
      </c>
      <c r="AM128" s="290">
        <f>AL128-AL116</f>
        <v/>
      </c>
      <c r="AN128" s="290">
        <f>AL128-AL68</f>
        <v/>
      </c>
      <c r="AO128" s="314" t="n">
        <v>84.02</v>
      </c>
      <c r="AP128" s="290">
        <f>AO128-AO116</f>
        <v/>
      </c>
      <c r="AQ128" s="290">
        <f>AO128-AO68</f>
        <v/>
      </c>
      <c r="AR128" s="314" t="n">
        <v>80.3</v>
      </c>
      <c r="AS128" s="290">
        <f>AR128-AR116</f>
        <v/>
      </c>
      <c r="AT128" s="290">
        <f>AR128-AR68</f>
        <v/>
      </c>
      <c r="AU128" s="314" t="n">
        <v>75.66</v>
      </c>
      <c r="AV128" s="290">
        <f>AU128-AU116</f>
        <v/>
      </c>
      <c r="AW128" s="290">
        <f>AU128-AU68</f>
        <v/>
      </c>
      <c r="AX128" s="28" t="n">
        <v>910</v>
      </c>
      <c r="AY128" s="15">
        <f>AX128/AX116-1</f>
        <v/>
      </c>
      <c r="AZ128" s="15">
        <f>AX128/AX68-1</f>
        <v/>
      </c>
      <c r="BA128" s="291" t="n"/>
      <c r="BB128" s="291" t="n"/>
      <c r="BC128" s="291" t="n"/>
      <c r="BD128" s="291" t="n"/>
      <c r="BE128" s="291" t="n"/>
      <c r="BF128" s="291" t="n"/>
      <c r="BG128" s="291" t="n"/>
      <c r="BH128" s="291" t="n"/>
      <c r="BI128" s="291" t="n"/>
      <c r="BJ128" s="291" t="n"/>
      <c r="BK128" s="288" t="n"/>
      <c r="BL128" s="291" t="n"/>
      <c r="BM128" s="291" t="n"/>
      <c r="BN128" s="291" t="n"/>
      <c r="BO128" s="291" t="n"/>
      <c r="BP128" s="291" t="n"/>
      <c r="BQ128" s="291" t="n"/>
      <c r="BR128" s="291" t="n"/>
      <c r="BS128" s="291" t="n"/>
      <c r="BT128" s="291" t="n"/>
      <c r="BU128" s="291" t="n"/>
      <c r="BV128" s="291" t="n"/>
      <c r="BW128" s="291" t="n"/>
      <c r="BX128" s="291" t="n"/>
      <c r="BY128" s="291" t="n"/>
      <c r="BZ128" s="291" t="n"/>
      <c r="CA128" s="291" t="n"/>
      <c r="CB128" s="291" t="n"/>
      <c r="CC128" s="291" t="n"/>
      <c r="CD128" s="291" t="n"/>
      <c r="CE128" s="291" t="n"/>
      <c r="CF128" s="291" t="n"/>
      <c r="CG128" s="291" t="n"/>
      <c r="CH128" s="291" t="n"/>
      <c r="CI128" s="291" t="n"/>
      <c r="CJ128" s="291" t="n"/>
      <c r="CK128" s="291" t="n"/>
      <c r="CL128" s="291" t="n"/>
      <c r="CM128" s="291" t="n"/>
      <c r="CN128" s="291" t="n"/>
      <c r="CW128" s="291" t="n"/>
      <c r="CX128" s="291" t="n"/>
      <c r="CY128" s="291" t="n"/>
      <c r="CZ128" s="291" t="n"/>
      <c r="DA128" s="291" t="n"/>
      <c r="DB128" s="291" t="n"/>
      <c r="DC128" s="291" t="n"/>
      <c r="DD128" s="291" t="n"/>
      <c r="DE128" s="311" t="n"/>
      <c r="DF128" s="311" t="n"/>
    </row>
    <row r="129" customFormat="1" s="40">
      <c r="A129" s="313" t="n">
        <v>45473</v>
      </c>
      <c r="B129" s="28" t="n">
        <v>29165.76</v>
      </c>
      <c r="C129" s="15">
        <f>B129/B117-1</f>
        <v/>
      </c>
      <c r="D129" s="15">
        <f>B129/B69-1</f>
        <v/>
      </c>
      <c r="E129" s="28" t="n">
        <v>21956.52</v>
      </c>
      <c r="F129" s="15">
        <f>E129/E117-1</f>
        <v/>
      </c>
      <c r="G129" s="15">
        <f>E129/E69-1</f>
        <v/>
      </c>
      <c r="H129" s="28" t="n">
        <v>6915.82</v>
      </c>
      <c r="I129" s="15">
        <f>H129/H117-1</f>
        <v/>
      </c>
      <c r="J129" s="15">
        <f>H129/H69-1</f>
        <v/>
      </c>
      <c r="K129" s="28" t="n">
        <v>293.42</v>
      </c>
      <c r="L129" s="15">
        <f>K129/K117-1</f>
        <v/>
      </c>
      <c r="M129" s="15">
        <f>K129/K69-1</f>
        <v/>
      </c>
      <c r="N129" s="28" t="n">
        <v>24313.61</v>
      </c>
      <c r="O129" s="15">
        <f>N129/N117-1</f>
        <v/>
      </c>
      <c r="P129" s="15">
        <f>N129/N69-1</f>
        <v/>
      </c>
      <c r="Q129" s="28" t="n">
        <v>18387.14</v>
      </c>
      <c r="R129" s="15">
        <f>Q129/Q117-1</f>
        <v/>
      </c>
      <c r="S129" s="15">
        <f>Q129/Q69-1</f>
        <v/>
      </c>
      <c r="T129" s="28" t="n">
        <v>5696.21</v>
      </c>
      <c r="U129" s="15">
        <f>T129/T117-1</f>
        <v/>
      </c>
      <c r="V129" s="15">
        <f>T129/T69-1</f>
        <v/>
      </c>
      <c r="W129" s="28" t="n">
        <v>230.27</v>
      </c>
      <c r="X129" s="15">
        <f>W129/W117-1</f>
        <v/>
      </c>
      <c r="Y129" s="15">
        <f>W129/W69-1</f>
        <v/>
      </c>
      <c r="Z129" s="28" t="n">
        <v>13117.93</v>
      </c>
      <c r="AA129" s="15">
        <f>Z129/Z117-1</f>
        <v/>
      </c>
      <c r="AB129" s="15">
        <f>Z129/Z69-1</f>
        <v/>
      </c>
      <c r="AC129" s="28" t="n">
        <v>11547.76</v>
      </c>
      <c r="AD129" s="15">
        <f>AC129/AC117-1</f>
        <v/>
      </c>
      <c r="AE129" s="15">
        <f>AC129/AC69-1</f>
        <v/>
      </c>
      <c r="AF129" s="28" t="n">
        <v>1404.01</v>
      </c>
      <c r="AG129" s="15">
        <f>AF129/AF117-1</f>
        <v/>
      </c>
      <c r="AH129" s="15">
        <f>AF129/AF69-1</f>
        <v/>
      </c>
      <c r="AI129" s="28" t="n">
        <v>166.16</v>
      </c>
      <c r="AJ129" s="15">
        <f>AI129/AI117-1</f>
        <v/>
      </c>
      <c r="AK129" s="15">
        <f>AI129/AI69-1</f>
        <v/>
      </c>
      <c r="AL129" s="314" t="n">
        <v>83.36</v>
      </c>
      <c r="AM129" s="290">
        <f>AL129-AL117</f>
        <v/>
      </c>
      <c r="AN129" s="290">
        <f>AL129-AL69</f>
        <v/>
      </c>
      <c r="AO129" s="314" t="n">
        <v>83.73999999999999</v>
      </c>
      <c r="AP129" s="290">
        <f>AO129-AO117</f>
        <v/>
      </c>
      <c r="AQ129" s="290">
        <f>AO129-AO69</f>
        <v/>
      </c>
      <c r="AR129" s="314" t="n">
        <v>82.36</v>
      </c>
      <c r="AS129" s="290">
        <f>AR129-AR117</f>
        <v/>
      </c>
      <c r="AT129" s="290">
        <f>AR129-AR69</f>
        <v/>
      </c>
      <c r="AU129" s="314" t="n">
        <v>78.48</v>
      </c>
      <c r="AV129" s="290">
        <f>AU129-AU117</f>
        <v/>
      </c>
      <c r="AW129" s="290">
        <f>AU129-AU69</f>
        <v/>
      </c>
      <c r="AX129" s="28" t="n">
        <v>907</v>
      </c>
      <c r="AY129" s="15">
        <f>AX129/AX117-1</f>
        <v/>
      </c>
      <c r="AZ129" s="15">
        <f>AX129/AX69-1</f>
        <v/>
      </c>
      <c r="BA129" s="291" t="n"/>
      <c r="BB129" s="291" t="n"/>
      <c r="BC129" s="291" t="n"/>
      <c r="BD129" s="291" t="n"/>
      <c r="BE129" s="291" t="n"/>
      <c r="BF129" s="291" t="n"/>
      <c r="BG129" s="291" t="n"/>
      <c r="BH129" s="291" t="n"/>
      <c r="BI129" s="291" t="n"/>
      <c r="BJ129" s="291" t="n"/>
      <c r="BK129" s="288" t="n"/>
      <c r="BL129" s="291" t="n"/>
      <c r="BM129" s="291" t="n"/>
      <c r="BN129" s="291" t="n"/>
      <c r="BO129" s="291" t="n"/>
      <c r="BP129" s="291" t="n"/>
      <c r="BQ129" s="291" t="n"/>
      <c r="BR129" s="291" t="n"/>
      <c r="BS129" s="291" t="n"/>
      <c r="BT129" s="291" t="n"/>
      <c r="BU129" s="291" t="n"/>
      <c r="BV129" s="291" t="n"/>
      <c r="BW129" s="291" t="n"/>
      <c r="BX129" s="291" t="n"/>
      <c r="BY129" s="291" t="n"/>
      <c r="BZ129" s="291" t="n"/>
      <c r="CA129" s="291" t="n"/>
      <c r="CB129" s="291" t="n"/>
      <c r="CC129" s="291" t="n"/>
      <c r="CD129" s="291" t="n"/>
      <c r="CE129" s="291" t="n"/>
      <c r="CF129" s="291" t="n"/>
      <c r="CG129" s="291" t="n"/>
      <c r="CH129" s="291" t="n"/>
      <c r="CI129" s="291" t="n"/>
      <c r="CJ129" s="291" t="n"/>
      <c r="CK129" s="291" t="n"/>
      <c r="CL129" s="291" t="n"/>
      <c r="CM129" s="291" t="n"/>
      <c r="CN129" s="291" t="n"/>
      <c r="CW129" s="291" t="n"/>
      <c r="CX129" s="291" t="n"/>
      <c r="CY129" s="291" t="n"/>
      <c r="CZ129" s="291" t="n"/>
      <c r="DA129" s="291" t="n"/>
      <c r="DB129" s="291" t="n"/>
      <c r="DC129" s="291" t="n"/>
      <c r="DD129" s="291" t="n"/>
      <c r="DE129" s="311" t="n"/>
      <c r="DF129" s="311" t="n"/>
    </row>
    <row r="130" customFormat="1" s="62">
      <c r="A130" s="323" t="n">
        <v>45504</v>
      </c>
      <c r="B130" s="28" t="n">
        <v>34262.64</v>
      </c>
      <c r="C130" s="112">
        <f>B130/B118-1</f>
        <v/>
      </c>
      <c r="D130" s="15">
        <f>B130/B70-1</f>
        <v/>
      </c>
      <c r="E130" s="28" t="n">
        <v>25909.18</v>
      </c>
      <c r="F130" s="112">
        <f>E130/E118-1</f>
        <v/>
      </c>
      <c r="G130" s="15">
        <f>E130/E70-1</f>
        <v/>
      </c>
      <c r="H130" s="28" t="n">
        <v>8052.51</v>
      </c>
      <c r="I130" s="112">
        <f>H130/H118-1</f>
        <v/>
      </c>
      <c r="J130" s="15">
        <f>H130/H70-1</f>
        <v/>
      </c>
      <c r="K130" s="28" t="n">
        <v>300.96</v>
      </c>
      <c r="L130" s="112">
        <f>K130/K118-1</f>
        <v/>
      </c>
      <c r="M130" s="15">
        <f>K130/K70-1</f>
        <v/>
      </c>
      <c r="N130" s="28" t="n">
        <v>28701.72</v>
      </c>
      <c r="O130" s="112">
        <f>N130/N118-1</f>
        <v/>
      </c>
      <c r="P130" s="15">
        <f>N130/N70-1</f>
        <v/>
      </c>
      <c r="Q130" s="28" t="n">
        <v>21712.8</v>
      </c>
      <c r="R130" s="112">
        <f>Q130/Q118-1</f>
        <v/>
      </c>
      <c r="S130" s="15">
        <f>Q130/Q70-1</f>
        <v/>
      </c>
      <c r="T130" s="28" t="n">
        <v>6747.2</v>
      </c>
      <c r="U130" s="112">
        <f>T130/T118-1</f>
        <v/>
      </c>
      <c r="V130" s="15">
        <f>T130/T70-1</f>
        <v/>
      </c>
      <c r="W130" s="28" t="n">
        <v>241.72</v>
      </c>
      <c r="X130" s="112">
        <f>W130/W118-1</f>
        <v/>
      </c>
      <c r="Y130" s="15">
        <f>W130/W70-1</f>
        <v/>
      </c>
      <c r="Z130" s="28" t="n">
        <v>15163.13</v>
      </c>
      <c r="AA130" s="112">
        <f>Z130/Z118-1</f>
        <v/>
      </c>
      <c r="AB130" s="15">
        <f>Z130/Z70-1</f>
        <v/>
      </c>
      <c r="AC130" s="28" t="n">
        <v>13360.55</v>
      </c>
      <c r="AD130" s="112">
        <f>AC130/AC118-1</f>
        <v/>
      </c>
      <c r="AE130" s="15">
        <f>AC130/AC70-1</f>
        <v/>
      </c>
      <c r="AF130" s="28" t="n">
        <v>1624.84</v>
      </c>
      <c r="AG130" s="112">
        <f>AF130/AF118-1</f>
        <v/>
      </c>
      <c r="AH130" s="15">
        <f>AF130/AF70-1</f>
        <v/>
      </c>
      <c r="AI130" s="28" t="n">
        <v>177.74</v>
      </c>
      <c r="AJ130" s="112">
        <f>AI130/AI118-1</f>
        <v/>
      </c>
      <c r="AK130" s="15">
        <f>AI130/AI70-1</f>
        <v/>
      </c>
      <c r="AL130" s="314" t="n">
        <v>83.77</v>
      </c>
      <c r="AM130" s="290">
        <f>AL130-AL118</f>
        <v/>
      </c>
      <c r="AN130" s="290">
        <f>AL130-AL70</f>
        <v/>
      </c>
      <c r="AO130" s="314" t="n">
        <v>83.8</v>
      </c>
      <c r="AP130" s="290">
        <f>AO130-AO118</f>
        <v/>
      </c>
      <c r="AQ130" s="290">
        <f>AO130-AO70</f>
        <v/>
      </c>
      <c r="AR130" s="314" t="n">
        <v>83.79000000000001</v>
      </c>
      <c r="AS130" s="290">
        <f>AR130-AR118</f>
        <v/>
      </c>
      <c r="AT130" s="290">
        <f>AR130-AR70</f>
        <v/>
      </c>
      <c r="AU130" s="314" t="n">
        <v>80.31999999999999</v>
      </c>
      <c r="AV130" s="290">
        <f>AU130-AU118</f>
        <v/>
      </c>
      <c r="AW130" s="290">
        <f>AU130-AU70</f>
        <v/>
      </c>
      <c r="AX130" s="28" t="n">
        <v>909</v>
      </c>
      <c r="AY130" s="15">
        <f>AX130/AX118-1</f>
        <v/>
      </c>
      <c r="AZ130" s="15">
        <f>AX130/AX70-1</f>
        <v/>
      </c>
      <c r="BA130" s="324" t="n"/>
      <c r="BB130" s="324" t="n"/>
      <c r="BC130" s="324" t="n"/>
      <c r="BD130" s="324" t="n"/>
      <c r="BE130" s="324" t="n"/>
      <c r="BF130" s="324" t="n"/>
      <c r="BG130" s="324" t="n"/>
      <c r="BH130" s="324" t="n"/>
      <c r="BI130" s="324" t="n"/>
      <c r="BJ130" s="324" t="n"/>
      <c r="BK130" s="288" t="n"/>
      <c r="BL130" s="324" t="n"/>
      <c r="BM130" s="324" t="n"/>
      <c r="BN130" s="324" t="n"/>
      <c r="BO130" s="324" t="n"/>
      <c r="BP130" s="324" t="n"/>
      <c r="BQ130" s="324" t="n"/>
      <c r="BR130" s="324" t="n"/>
      <c r="BS130" s="324" t="n"/>
      <c r="BT130" s="324" t="n"/>
      <c r="BU130" s="324" t="n"/>
      <c r="BV130" s="324" t="n"/>
      <c r="BW130" s="324" t="n"/>
      <c r="BX130" s="324" t="n"/>
      <c r="BY130" s="324" t="n"/>
      <c r="BZ130" s="324" t="n"/>
      <c r="CA130" s="324" t="n"/>
      <c r="CB130" s="324" t="n"/>
      <c r="CC130" s="324" t="n"/>
      <c r="CD130" s="324" t="n"/>
      <c r="CE130" s="324" t="n"/>
      <c r="CF130" s="324" t="n"/>
      <c r="CG130" s="324" t="n"/>
      <c r="CH130" s="324" t="n"/>
      <c r="CI130" s="324" t="n"/>
      <c r="CJ130" s="324" t="n"/>
      <c r="CK130" s="324" t="n"/>
      <c r="CL130" s="324" t="n"/>
      <c r="CM130" s="324" t="n"/>
      <c r="CN130" s="324" t="n"/>
      <c r="CW130" s="324" t="n"/>
      <c r="CX130" s="324" t="n"/>
      <c r="CY130" s="324" t="n"/>
      <c r="CZ130" s="324" t="n"/>
      <c r="DA130" s="324" t="n"/>
      <c r="DB130" s="324" t="n"/>
      <c r="DC130" s="324" t="n"/>
      <c r="DD130" s="324" t="n"/>
      <c r="DE130" s="325" t="n"/>
      <c r="DF130" s="325" t="n"/>
    </row>
    <row r="131" customFormat="1" s="62">
      <c r="A131" s="313" t="n">
        <v>45535</v>
      </c>
      <c r="B131" s="28" t="n">
        <v>34598.14</v>
      </c>
      <c r="C131" s="112">
        <f>B131/B119-1</f>
        <v/>
      </c>
      <c r="D131" s="15">
        <f>B131/B71-1</f>
        <v/>
      </c>
      <c r="E131" s="28" t="n">
        <v>26305.67</v>
      </c>
      <c r="F131" s="112">
        <f>E131/E119-1</f>
        <v/>
      </c>
      <c r="G131" s="15">
        <f>E131/E71-1</f>
        <v/>
      </c>
      <c r="H131" s="28" t="n">
        <v>7985.13</v>
      </c>
      <c r="I131" s="112">
        <f>H131/H119-1</f>
        <v/>
      </c>
      <c r="J131" s="15">
        <f>H131/H71-1</f>
        <v/>
      </c>
      <c r="K131" s="28" t="n">
        <v>307.34</v>
      </c>
      <c r="L131" s="112">
        <f>K131/K119-1</f>
        <v/>
      </c>
      <c r="M131" s="15">
        <f>K131/K71-1</f>
        <v/>
      </c>
      <c r="N131" s="28" t="n">
        <v>30166.4</v>
      </c>
      <c r="O131" s="112">
        <f>N131/N119-1</f>
        <v/>
      </c>
      <c r="P131" s="15">
        <f>N131/N71-1</f>
        <v/>
      </c>
      <c r="Q131" s="28" t="n">
        <v>22978.88</v>
      </c>
      <c r="R131" s="112">
        <f>Q131/Q119-1</f>
        <v/>
      </c>
      <c r="S131" s="15">
        <f>Q131/Q71-1</f>
        <v/>
      </c>
      <c r="T131" s="28" t="n">
        <v>6935.47</v>
      </c>
      <c r="U131" s="112">
        <f>T131/T119-1</f>
        <v/>
      </c>
      <c r="V131" s="15">
        <f>T131/T71-1</f>
        <v/>
      </c>
      <c r="W131" s="28" t="n">
        <v>252.06</v>
      </c>
      <c r="X131" s="112">
        <f>W131/W119-1</f>
        <v/>
      </c>
      <c r="Y131" s="15">
        <f>W131/W71-1</f>
        <v/>
      </c>
      <c r="Z131" s="28" t="n">
        <v>16095.91</v>
      </c>
      <c r="AA131" s="112">
        <f>Z131/Z119-1</f>
        <v/>
      </c>
      <c r="AB131" s="15">
        <f>Z131/Z71-1</f>
        <v/>
      </c>
      <c r="AC131" s="28" t="n">
        <v>14221.91</v>
      </c>
      <c r="AD131" s="112">
        <f>AC131/AC119-1</f>
        <v/>
      </c>
      <c r="AE131" s="15">
        <f>AC131/AC71-1</f>
        <v/>
      </c>
      <c r="AF131" s="28" t="n">
        <v>1691.32</v>
      </c>
      <c r="AG131" s="112">
        <f>AF131/AF119-1</f>
        <v/>
      </c>
      <c r="AH131" s="15">
        <f>AF131/AF71-1</f>
        <v/>
      </c>
      <c r="AI131" s="28" t="n">
        <v>182.68</v>
      </c>
      <c r="AJ131" s="112">
        <f>AI131/AI119-1</f>
        <v/>
      </c>
      <c r="AK131" s="15">
        <f>AI131/AI71-1</f>
        <v/>
      </c>
      <c r="AL131" s="314" t="n">
        <v>87.19</v>
      </c>
      <c r="AM131" s="290">
        <f>AL131-AL119</f>
        <v/>
      </c>
      <c r="AN131" s="290">
        <f>AL131-AL71</f>
        <v/>
      </c>
      <c r="AO131" s="314" t="n">
        <v>87.34999999999999</v>
      </c>
      <c r="AP131" s="290">
        <f>AO131-AO119</f>
        <v/>
      </c>
      <c r="AQ131" s="290">
        <f>AO131-AO71</f>
        <v/>
      </c>
      <c r="AR131" s="314" t="n">
        <v>86.84999999999999</v>
      </c>
      <c r="AS131" s="290">
        <f>AR131-AR119</f>
        <v/>
      </c>
      <c r="AT131" s="290">
        <f>AR131-AR71</f>
        <v/>
      </c>
      <c r="AU131" s="314" t="n">
        <v>82.01000000000001</v>
      </c>
      <c r="AV131" s="290">
        <f>AU131-AU119</f>
        <v/>
      </c>
      <c r="AW131" s="290">
        <f>AU131-AU71</f>
        <v/>
      </c>
      <c r="AX131" s="28" t="n">
        <v>911</v>
      </c>
      <c r="AY131" s="15">
        <f>AX131/AX119-1</f>
        <v/>
      </c>
      <c r="AZ131" s="15">
        <f>AX131/AX71-1</f>
        <v/>
      </c>
      <c r="BA131" s="324" t="n"/>
      <c r="BB131" s="324" t="n"/>
      <c r="BC131" s="324" t="n"/>
      <c r="BD131" s="324" t="n"/>
      <c r="BE131" s="324" t="n"/>
      <c r="BF131" s="324" t="n"/>
      <c r="BG131" s="324" t="n"/>
      <c r="BH131" s="324" t="n"/>
      <c r="BI131" s="324" t="n"/>
      <c r="BJ131" s="324" t="n"/>
      <c r="BK131" s="288" t="n"/>
      <c r="BL131" s="324" t="n"/>
      <c r="BM131" s="324" t="n"/>
      <c r="BN131" s="324" t="n"/>
      <c r="BO131" s="324" t="n"/>
      <c r="BP131" s="324" t="n"/>
      <c r="BQ131" s="324" t="n"/>
      <c r="BR131" s="324" t="n"/>
      <c r="BS131" s="324" t="n"/>
      <c r="BT131" s="324" t="n"/>
      <c r="BU131" s="324" t="n"/>
      <c r="BV131" s="324" t="n"/>
      <c r="BW131" s="324" t="n"/>
      <c r="BX131" s="324" t="n"/>
      <c r="BY131" s="324" t="n"/>
      <c r="BZ131" s="324" t="n"/>
      <c r="CA131" s="324" t="n"/>
      <c r="CB131" s="324" t="n"/>
      <c r="CC131" s="324" t="n"/>
      <c r="CD131" s="324" t="n"/>
      <c r="CE131" s="324" t="n"/>
      <c r="CF131" s="324" t="n"/>
      <c r="CG131" s="324" t="n"/>
      <c r="CH131" s="324" t="n"/>
      <c r="CI131" s="324" t="n"/>
      <c r="CJ131" s="324" t="n"/>
      <c r="CK131" s="324" t="n"/>
      <c r="CL131" s="324" t="n"/>
      <c r="CM131" s="324" t="n"/>
      <c r="CN131" s="324" t="n"/>
      <c r="CW131" s="324" t="n"/>
      <c r="CX131" s="324" t="n"/>
      <c r="CY131" s="324" t="n"/>
      <c r="CZ131" s="324" t="n"/>
      <c r="DA131" s="324" t="n"/>
      <c r="DB131" s="324" t="n"/>
      <c r="DC131" s="324" t="n"/>
      <c r="DD131" s="324" t="n"/>
      <c r="DE131" s="325" t="n"/>
      <c r="DF131" s="325" t="n"/>
    </row>
    <row r="132" customFormat="1" s="62">
      <c r="A132" s="313" t="n">
        <v>45565</v>
      </c>
      <c r="B132" s="28" t="n">
        <v>30439.17</v>
      </c>
      <c r="C132" s="112">
        <f>B132/B120-1</f>
        <v/>
      </c>
      <c r="D132" s="15">
        <f>B132/B72-1</f>
        <v/>
      </c>
      <c r="E132" s="28" t="n">
        <v>22464.92</v>
      </c>
      <c r="F132" s="112">
        <f>E132/E120-1</f>
        <v/>
      </c>
      <c r="G132" s="15">
        <f>E132/E72-1</f>
        <v/>
      </c>
      <c r="H132" s="28" t="n">
        <v>7679.39</v>
      </c>
      <c r="I132" s="112">
        <f>H132/H120-1</f>
        <v/>
      </c>
      <c r="J132" s="15">
        <f>H132/H72-1</f>
        <v/>
      </c>
      <c r="K132" s="28" t="n">
        <v>294.87</v>
      </c>
      <c r="L132" s="112">
        <f>K132/K120-1</f>
        <v/>
      </c>
      <c r="M132" s="15">
        <f>K132/K72-1</f>
        <v/>
      </c>
      <c r="N132" s="28" t="n">
        <v>26027.09</v>
      </c>
      <c r="O132" s="112">
        <f>N132/N120-1</f>
        <v/>
      </c>
      <c r="P132" s="15">
        <f>N132/N72-1</f>
        <v/>
      </c>
      <c r="Q132" s="28" t="n">
        <v>19315.35</v>
      </c>
      <c r="R132" s="112">
        <f>Q132/Q120-1</f>
        <v/>
      </c>
      <c r="S132" s="15">
        <f>Q132/Q72-1</f>
        <v/>
      </c>
      <c r="T132" s="28" t="n">
        <v>6485.7</v>
      </c>
      <c r="U132" s="112">
        <f>T132/T120-1</f>
        <v/>
      </c>
      <c r="V132" s="15">
        <f>T132/T72-1</f>
        <v/>
      </c>
      <c r="W132" s="28" t="n">
        <v>226.04</v>
      </c>
      <c r="X132" s="112">
        <f>W132/W120-1</f>
        <v/>
      </c>
      <c r="Y132" s="15">
        <f>W132/W72-1</f>
        <v/>
      </c>
      <c r="Z132" s="28" t="n">
        <v>13703.19</v>
      </c>
      <c r="AA132" s="112">
        <f>Z132/Z120-1</f>
        <v/>
      </c>
      <c r="AB132" s="15">
        <f>Z132/Z72-1</f>
        <v/>
      </c>
      <c r="AC132" s="28" t="n">
        <v>11990.7</v>
      </c>
      <c r="AD132" s="112">
        <f>AC132/AC120-1</f>
        <v/>
      </c>
      <c r="AE132" s="15">
        <f>AC132/AC72-1</f>
        <v/>
      </c>
      <c r="AF132" s="28" t="n">
        <v>1561.93</v>
      </c>
      <c r="AG132" s="112">
        <f>AF132/AF120-1</f>
        <v/>
      </c>
      <c r="AH132" s="15">
        <f>AF132/AF72-1</f>
        <v/>
      </c>
      <c r="AI132" s="28" t="n">
        <v>150.56</v>
      </c>
      <c r="AJ132" s="112">
        <f>AI132/AI120-1</f>
        <v/>
      </c>
      <c r="AK132" s="15">
        <f>AI132/AI72-1</f>
        <v/>
      </c>
      <c r="AL132" s="314" t="n">
        <v>85.51000000000001</v>
      </c>
      <c r="AM132" s="290">
        <f>AL132-AL120</f>
        <v/>
      </c>
      <c r="AN132" s="290">
        <f>AL132-AL72</f>
        <v/>
      </c>
      <c r="AO132" s="314" t="n">
        <v>85.98</v>
      </c>
      <c r="AP132" s="290">
        <f>AO132-AO120</f>
        <v/>
      </c>
      <c r="AQ132" s="290">
        <f>AO132-AO72</f>
        <v/>
      </c>
      <c r="AR132" s="314" t="n">
        <v>84.45999999999999</v>
      </c>
      <c r="AS132" s="290">
        <f>AR132-AR120</f>
        <v/>
      </c>
      <c r="AT132" s="290">
        <f>AR132-AR72</f>
        <v/>
      </c>
      <c r="AU132" s="314" t="n">
        <v>76.66</v>
      </c>
      <c r="AV132" s="290">
        <f>AU132-AU120</f>
        <v/>
      </c>
      <c r="AW132" s="290">
        <f>AU132-AU72</f>
        <v/>
      </c>
      <c r="AX132" s="28" t="n">
        <v>913</v>
      </c>
      <c r="AY132" s="15">
        <f>AX132/AX120-1</f>
        <v/>
      </c>
      <c r="AZ132" s="15">
        <f>AX132/AX72-1</f>
        <v/>
      </c>
      <c r="BA132" s="324" t="n"/>
      <c r="BB132" s="324" t="n"/>
      <c r="BC132" s="324" t="n"/>
      <c r="BD132" s="324" t="n"/>
      <c r="BE132" s="324" t="n"/>
      <c r="BF132" s="324" t="n"/>
      <c r="BG132" s="324" t="n"/>
      <c r="BH132" s="324" t="n"/>
      <c r="BI132" s="324" t="n"/>
      <c r="BJ132" s="324" t="n"/>
      <c r="BK132" s="288" t="n"/>
      <c r="BL132" s="324" t="n"/>
      <c r="BM132" s="324" t="n"/>
      <c r="BN132" s="324" t="n"/>
      <c r="BO132" s="324" t="n"/>
      <c r="BP132" s="324" t="n"/>
      <c r="BQ132" s="324" t="n"/>
      <c r="BR132" s="324" t="n"/>
      <c r="BS132" s="324" t="n"/>
      <c r="BT132" s="324" t="n"/>
      <c r="BU132" s="324" t="n"/>
      <c r="BV132" s="324" t="n"/>
      <c r="BW132" s="324" t="n"/>
      <c r="BX132" s="324" t="n"/>
      <c r="BY132" s="324" t="n"/>
      <c r="BZ132" s="324" t="n"/>
      <c r="CA132" s="324" t="n"/>
      <c r="CB132" s="324" t="n"/>
      <c r="CC132" s="324" t="n"/>
      <c r="CD132" s="324" t="n"/>
      <c r="CE132" s="324" t="n"/>
      <c r="CF132" s="324" t="n"/>
      <c r="CG132" s="324" t="n"/>
      <c r="CH132" s="324" t="n"/>
      <c r="CI132" s="324" t="n"/>
      <c r="CJ132" s="324" t="n"/>
      <c r="CK132" s="324" t="n"/>
      <c r="CL132" s="324" t="n"/>
      <c r="CM132" s="324" t="n"/>
      <c r="CN132" s="324" t="n"/>
      <c r="CW132" s="324" t="n"/>
      <c r="CX132" s="324" t="n"/>
      <c r="CY132" s="324" t="n"/>
      <c r="CZ132" s="324" t="n"/>
      <c r="DA132" s="324" t="n"/>
      <c r="DB132" s="324" t="n"/>
      <c r="DC132" s="324" t="n"/>
      <c r="DD132" s="324" t="n"/>
      <c r="DE132" s="325" t="n"/>
      <c r="DF132" s="325" t="n"/>
    </row>
    <row r="133" customFormat="1" s="62">
      <c r="A133" s="313" t="n">
        <v>45596</v>
      </c>
      <c r="B133" s="28" t="n">
        <v>31156.35</v>
      </c>
      <c r="C133" s="112">
        <f>B133/B121-1</f>
        <v/>
      </c>
      <c r="D133" s="15">
        <f>B133/B73-1</f>
        <v/>
      </c>
      <c r="E133" s="28" t="n">
        <v>23184.55</v>
      </c>
      <c r="F133" s="112">
        <f>E133/E121-1</f>
        <v/>
      </c>
      <c r="G133" s="15">
        <f>E133/E73-1</f>
        <v/>
      </c>
      <c r="H133" s="28" t="n">
        <v>7703.23</v>
      </c>
      <c r="I133" s="112">
        <f>H133/H121-1</f>
        <v/>
      </c>
      <c r="J133" s="15">
        <f>H133/H73-1</f>
        <v/>
      </c>
      <c r="K133" s="28" t="n">
        <v>268.57</v>
      </c>
      <c r="L133" s="112">
        <f>K133/K121-1</f>
        <v/>
      </c>
      <c r="M133" s="15">
        <f>K133/K73-1</f>
        <v/>
      </c>
      <c r="N133" s="28" t="n">
        <v>27019</v>
      </c>
      <c r="O133" s="112">
        <f>N133/N121-1</f>
        <v/>
      </c>
      <c r="P133" s="15">
        <f>N133/N73-1</f>
        <v/>
      </c>
      <c r="Q133" s="28" t="n">
        <v>20296.5</v>
      </c>
      <c r="R133" s="112">
        <f>Q133/Q121-1</f>
        <v/>
      </c>
      <c r="S133" s="15">
        <f>Q133/Q73-1</f>
        <v/>
      </c>
      <c r="T133" s="28" t="n">
        <v>6508.19</v>
      </c>
      <c r="U133" s="112">
        <f>T133/T121-1</f>
        <v/>
      </c>
      <c r="V133" s="15">
        <f>T133/T73-1</f>
        <v/>
      </c>
      <c r="W133" s="28" t="n">
        <v>214.31</v>
      </c>
      <c r="X133" s="112">
        <f>W133/W121-1</f>
        <v/>
      </c>
      <c r="Y133" s="15">
        <f>W133/W73-1</f>
        <v/>
      </c>
      <c r="Z133" s="28" t="n">
        <v>14659.13</v>
      </c>
      <c r="AA133" s="112">
        <f>Z133/Z121-1</f>
        <v/>
      </c>
      <c r="AB133" s="15">
        <f>Z133/Z73-1</f>
        <v/>
      </c>
      <c r="AC133" s="28" t="n">
        <v>12917.79</v>
      </c>
      <c r="AD133" s="112">
        <f>AC133/AC121-1</f>
        <v/>
      </c>
      <c r="AE133" s="15">
        <f>AC133/AC73-1</f>
        <v/>
      </c>
      <c r="AF133" s="28" t="n">
        <v>1590.76</v>
      </c>
      <c r="AG133" s="112">
        <f>AF133/AF121-1</f>
        <v/>
      </c>
      <c r="AH133" s="15">
        <f>AF133/AF73-1</f>
        <v/>
      </c>
      <c r="AI133" s="28" t="n">
        <v>150.58</v>
      </c>
      <c r="AJ133" s="112">
        <f>AI133/AI121-1</f>
        <v/>
      </c>
      <c r="AK133" s="15">
        <f>AI133/AI73-1</f>
        <v/>
      </c>
      <c r="AL133" s="314" t="n">
        <v>86.72</v>
      </c>
      <c r="AM133" s="290">
        <f>AL133-AL121</f>
        <v/>
      </c>
      <c r="AN133" s="290">
        <f>AL133-AL73</f>
        <v/>
      </c>
      <c r="AO133" s="314" t="n">
        <v>87.54000000000001</v>
      </c>
      <c r="AP133" s="290">
        <f>AO133-AO121</f>
        <v/>
      </c>
      <c r="AQ133" s="290">
        <f>AO133-AO73</f>
        <v/>
      </c>
      <c r="AR133" s="314" t="n">
        <v>84.48999999999999</v>
      </c>
      <c r="AS133" s="290">
        <f>AR133-AR121</f>
        <v/>
      </c>
      <c r="AT133" s="290">
        <f>AR133-AR73</f>
        <v/>
      </c>
      <c r="AU133" s="314" t="n">
        <v>79.8</v>
      </c>
      <c r="AV133" s="290">
        <f>AU133-AU121</f>
        <v/>
      </c>
      <c r="AW133" s="290">
        <f>AU133-AU73</f>
        <v/>
      </c>
      <c r="AX133" s="28" t="n">
        <v>920</v>
      </c>
      <c r="AY133" s="15">
        <f>AX133/AX121-1</f>
        <v/>
      </c>
      <c r="AZ133" s="15">
        <f>AX133/AX73-1</f>
        <v/>
      </c>
      <c r="BA133" s="324" t="n"/>
      <c r="BB133" s="324" t="n"/>
      <c r="BC133" s="324" t="n"/>
      <c r="BD133" s="324" t="n"/>
      <c r="BE133" s="324" t="n"/>
      <c r="BF133" s="324" t="n"/>
      <c r="BG133" s="324" t="n"/>
      <c r="BH133" s="324" t="n"/>
      <c r="BI133" s="324" t="n"/>
      <c r="BJ133" s="324" t="n"/>
      <c r="BK133" s="288" t="n"/>
      <c r="BL133" s="324" t="n"/>
      <c r="BM133" s="324" t="n"/>
      <c r="BN133" s="324" t="n"/>
      <c r="BO133" s="324" t="n"/>
      <c r="BP133" s="324" t="n"/>
      <c r="BQ133" s="324" t="n"/>
      <c r="BR133" s="324" t="n"/>
      <c r="BS133" s="324" t="n"/>
      <c r="BT133" s="324" t="n"/>
      <c r="BU133" s="324" t="n"/>
      <c r="BV133" s="324" t="n"/>
      <c r="BW133" s="324" t="n"/>
      <c r="BX133" s="324" t="n"/>
      <c r="BY133" s="324" t="n"/>
      <c r="BZ133" s="324" t="n"/>
      <c r="CA133" s="324" t="n"/>
      <c r="CB133" s="324" t="n"/>
      <c r="CC133" s="324" t="n"/>
      <c r="CD133" s="324" t="n"/>
      <c r="CE133" s="324" t="n"/>
      <c r="CF133" s="324" t="n"/>
      <c r="CG133" s="324" t="n"/>
      <c r="CH133" s="324" t="n"/>
      <c r="CI133" s="324" t="n"/>
      <c r="CJ133" s="324" t="n"/>
      <c r="CK133" s="324" t="n"/>
      <c r="CL133" s="324" t="n"/>
      <c r="CM133" s="324" t="n"/>
      <c r="CN133" s="324" t="n"/>
      <c r="CW133" s="324" t="n"/>
      <c r="CX133" s="324" t="n"/>
      <c r="CY133" s="324" t="n"/>
      <c r="CZ133" s="324" t="n"/>
      <c r="DA133" s="324" t="n"/>
      <c r="DB133" s="324" t="n"/>
      <c r="DC133" s="324" t="n"/>
      <c r="DD133" s="324" t="n"/>
      <c r="DE133" s="325" t="n"/>
      <c r="DF133" s="325" t="n"/>
    </row>
    <row r="134" customFormat="1" s="62">
      <c r="A134" s="313" t="n">
        <v>45626</v>
      </c>
      <c r="B134" s="28" t="n">
        <v>28115.6</v>
      </c>
      <c r="C134" s="112">
        <f>B134/B122-1</f>
        <v/>
      </c>
      <c r="D134" s="15">
        <f>B134/B74-1</f>
        <v/>
      </c>
      <c r="E134" s="28" t="n">
        <v>20562.93</v>
      </c>
      <c r="F134" s="112">
        <f>E134/E122-1</f>
        <v/>
      </c>
      <c r="G134" s="15">
        <f>E134/E74-1</f>
        <v/>
      </c>
      <c r="H134" s="28" t="n">
        <v>7313.61</v>
      </c>
      <c r="I134" s="112">
        <f>H134/H122-1</f>
        <v/>
      </c>
      <c r="J134" s="15">
        <f>H134/H74-1</f>
        <v/>
      </c>
      <c r="K134" s="28" t="n">
        <v>239.06</v>
      </c>
      <c r="L134" s="112">
        <f>K134/K122-1</f>
        <v/>
      </c>
      <c r="M134" s="15">
        <f>K134/K74-1</f>
        <v/>
      </c>
      <c r="N134" s="28" t="n">
        <v>23844.63</v>
      </c>
      <c r="O134" s="112">
        <f>N134/N122-1</f>
        <v/>
      </c>
      <c r="P134" s="15">
        <f>N134/N74-1</f>
        <v/>
      </c>
      <c r="Q134" s="28" t="n">
        <v>17459.39</v>
      </c>
      <c r="R134" s="112">
        <f>Q134/Q122-1</f>
        <v/>
      </c>
      <c r="S134" s="15">
        <f>Q134/Q74-1</f>
        <v/>
      </c>
      <c r="T134" s="28" t="n">
        <v>6200.82</v>
      </c>
      <c r="U134" s="112">
        <f>T134/T122-1</f>
        <v/>
      </c>
      <c r="V134" s="15">
        <f>T134/T74-1</f>
        <v/>
      </c>
      <c r="W134" s="28" t="n">
        <v>184.43</v>
      </c>
      <c r="X134" s="112">
        <f>W134/W122-1</f>
        <v/>
      </c>
      <c r="Y134" s="15">
        <f>W134/W74-1</f>
        <v/>
      </c>
      <c r="Z134" s="28" t="n">
        <v>12802.17</v>
      </c>
      <c r="AA134" s="112">
        <f>Z134/Z122-1</f>
        <v/>
      </c>
      <c r="AB134" s="15">
        <f>Z134/Z74-1</f>
        <v/>
      </c>
      <c r="AC134" s="28" t="n">
        <v>11146.7</v>
      </c>
      <c r="AD134" s="112">
        <f>AC134/AC122-1</f>
        <v/>
      </c>
      <c r="AE134" s="15">
        <f>AC134/AC74-1</f>
        <v/>
      </c>
      <c r="AF134" s="28" t="n">
        <v>1517.99</v>
      </c>
      <c r="AG134" s="112">
        <f>AF134/AF122-1</f>
        <v/>
      </c>
      <c r="AH134" s="15">
        <f>AF134/AF74-1</f>
        <v/>
      </c>
      <c r="AI134" s="28" t="n">
        <v>137.48</v>
      </c>
      <c r="AJ134" s="112">
        <f>AI134/AI122-1</f>
        <v/>
      </c>
      <c r="AK134" s="15">
        <f>AI134/AI74-1</f>
        <v/>
      </c>
      <c r="AL134" s="314" t="n">
        <v>84.81</v>
      </c>
      <c r="AM134" s="290">
        <f>AL134-AL122</f>
        <v/>
      </c>
      <c r="AN134" s="290">
        <f>AL134-AL74</f>
        <v/>
      </c>
      <c r="AO134" s="314" t="n">
        <v>84.91</v>
      </c>
      <c r="AP134" s="290">
        <f>AO134-AO122</f>
        <v/>
      </c>
      <c r="AQ134" s="290">
        <f>AO134-AO74</f>
        <v/>
      </c>
      <c r="AR134" s="314" t="n">
        <v>84.78</v>
      </c>
      <c r="AS134" s="290">
        <f>AR134-AR122</f>
        <v/>
      </c>
      <c r="AT134" s="290">
        <f>AR134-AR74</f>
        <v/>
      </c>
      <c r="AU134" s="314" t="n">
        <v>77.15000000000001</v>
      </c>
      <c r="AV134" s="290">
        <f>AU134-AU122</f>
        <v/>
      </c>
      <c r="AW134" s="290">
        <f>AU134-AU74</f>
        <v/>
      </c>
      <c r="AX134" s="28" t="n">
        <v>919</v>
      </c>
      <c r="AY134" s="15">
        <f>AX134/AX122-1</f>
        <v/>
      </c>
      <c r="AZ134" s="15">
        <f>AX134/AX74-1</f>
        <v/>
      </c>
      <c r="BA134" s="324" t="n"/>
      <c r="BB134" s="324" t="n"/>
      <c r="BC134" s="324" t="n"/>
      <c r="BD134" s="324" t="n"/>
      <c r="BE134" s="324" t="n"/>
      <c r="BF134" s="324" t="n"/>
      <c r="BG134" s="324" t="n"/>
      <c r="BH134" s="324" t="n"/>
      <c r="BI134" s="324" t="n"/>
      <c r="BJ134" s="324" t="n"/>
      <c r="BK134" s="288" t="n"/>
      <c r="BL134" s="324" t="n"/>
      <c r="BM134" s="324" t="n"/>
      <c r="BN134" s="324" t="n"/>
      <c r="BO134" s="324" t="n"/>
      <c r="BP134" s="324" t="n"/>
      <c r="BQ134" s="324" t="n"/>
      <c r="BR134" s="324" t="n"/>
      <c r="BS134" s="324" t="n"/>
      <c r="BT134" s="324" t="n"/>
      <c r="BU134" s="324" t="n"/>
      <c r="BV134" s="324" t="n"/>
      <c r="BW134" s="324" t="n"/>
      <c r="BX134" s="324" t="n"/>
      <c r="BY134" s="324" t="n"/>
      <c r="BZ134" s="324" t="n"/>
      <c r="CA134" s="324" t="n"/>
      <c r="CB134" s="324" t="n"/>
      <c r="CC134" s="324" t="n"/>
      <c r="CD134" s="324" t="n"/>
      <c r="CE134" s="324" t="n"/>
      <c r="CF134" s="324" t="n"/>
      <c r="CG134" s="324" t="n"/>
      <c r="CH134" s="324" t="n"/>
      <c r="CI134" s="324" t="n"/>
      <c r="CJ134" s="324" t="n"/>
      <c r="CK134" s="324" t="n"/>
      <c r="CL134" s="324" t="n"/>
      <c r="CM134" s="324" t="n"/>
      <c r="CN134" s="324" t="n"/>
      <c r="CW134" s="324" t="n"/>
      <c r="CX134" s="324" t="n"/>
      <c r="CY134" s="324" t="n"/>
      <c r="CZ134" s="324" t="n"/>
      <c r="DA134" s="324" t="n"/>
      <c r="DB134" s="324" t="n"/>
      <c r="DC134" s="324" t="n"/>
      <c r="DD134" s="324" t="n"/>
      <c r="DE134" s="325" t="n"/>
      <c r="DF134" s="325" t="n"/>
    </row>
    <row r="135" customFormat="1" s="62">
      <c r="A135" s="313" t="n">
        <v>45657</v>
      </c>
      <c r="B135" s="28" t="n">
        <v>29069.68</v>
      </c>
      <c r="C135" s="112">
        <f>B135/B123-1</f>
        <v/>
      </c>
      <c r="D135" s="15">
        <f>B135/B75-1</f>
        <v/>
      </c>
      <c r="E135" s="28" t="n">
        <v>20932.61</v>
      </c>
      <c r="F135" s="112">
        <f>E135/E123-1</f>
        <v/>
      </c>
      <c r="G135" s="15">
        <f>E135/E75-1</f>
        <v/>
      </c>
      <c r="H135" s="28" t="n">
        <v>7873.51</v>
      </c>
      <c r="I135" s="112">
        <f>H135/H123-1</f>
        <v/>
      </c>
      <c r="J135" s="15">
        <f>H135/H75-1</f>
        <v/>
      </c>
      <c r="K135" s="28" t="n">
        <v>263.55</v>
      </c>
      <c r="L135" s="112">
        <f>K135/K123-1</f>
        <v/>
      </c>
      <c r="M135" s="15">
        <f>K135/K75-1</f>
        <v/>
      </c>
      <c r="N135" s="28" t="n">
        <v>24579.85</v>
      </c>
      <c r="O135" s="112">
        <f>N135/N123-1</f>
        <v/>
      </c>
      <c r="P135" s="15">
        <f>N135/N75-1</f>
        <v/>
      </c>
      <c r="Q135" s="28" t="n">
        <v>17665.63</v>
      </c>
      <c r="R135" s="112">
        <f>Q135/Q123-1</f>
        <v/>
      </c>
      <c r="S135" s="15">
        <f>Q135/Q75-1</f>
        <v/>
      </c>
      <c r="T135" s="28" t="n">
        <v>6713.51</v>
      </c>
      <c r="U135" s="112">
        <f>T135/T123-1</f>
        <v/>
      </c>
      <c r="V135" s="15">
        <f>T135/T75-1</f>
        <v/>
      </c>
      <c r="W135" s="28" t="n">
        <v>200.71</v>
      </c>
      <c r="X135" s="112">
        <f>W135/W123-1</f>
        <v/>
      </c>
      <c r="Y135" s="15">
        <f>W135/W75-1</f>
        <v/>
      </c>
      <c r="Z135" s="28" t="n">
        <v>12878.29</v>
      </c>
      <c r="AA135" s="112">
        <f>Z135/Z123-1</f>
        <v/>
      </c>
      <c r="AB135" s="15">
        <f>Z135/Z75-1</f>
        <v/>
      </c>
      <c r="AC135" s="28" t="n">
        <v>11086.72</v>
      </c>
      <c r="AD135" s="112">
        <f>AC135/AC123-1</f>
        <v/>
      </c>
      <c r="AE135" s="15">
        <f>AC135/AC75-1</f>
        <v/>
      </c>
      <c r="AF135" s="28" t="n">
        <v>1646.43</v>
      </c>
      <c r="AG135" s="112">
        <f>AF135/AF123-1</f>
        <v/>
      </c>
      <c r="AH135" s="15">
        <f>AF135/AF75-1</f>
        <v/>
      </c>
      <c r="AI135" s="28" t="n">
        <v>145.14</v>
      </c>
      <c r="AJ135" s="112">
        <f>AI135/AI123-1</f>
        <v/>
      </c>
      <c r="AK135" s="15">
        <f>AI135/AI75-1</f>
        <v/>
      </c>
      <c r="AL135" s="314" t="n">
        <v>84.55</v>
      </c>
      <c r="AM135" s="290">
        <f>AL135-AL123</f>
        <v/>
      </c>
      <c r="AN135" s="290">
        <f>AL135-AL75</f>
        <v/>
      </c>
      <c r="AO135" s="314" t="n">
        <v>84.39</v>
      </c>
      <c r="AP135" s="290">
        <f>AO135-AO123</f>
        <v/>
      </c>
      <c r="AQ135" s="290">
        <f>AO135-AO75</f>
        <v/>
      </c>
      <c r="AR135" s="314" t="n">
        <v>85.27</v>
      </c>
      <c r="AS135" s="290">
        <f>AR135-AR123</f>
        <v/>
      </c>
      <c r="AT135" s="290">
        <f>AR135-AR75</f>
        <v/>
      </c>
      <c r="AU135" s="314" t="n">
        <v>76.15000000000001</v>
      </c>
      <c r="AV135" s="290">
        <f>AU135-AU123</f>
        <v/>
      </c>
      <c r="AW135" s="290">
        <f>AU135-AU75</f>
        <v/>
      </c>
      <c r="AX135" s="28" t="n">
        <v>917</v>
      </c>
      <c r="AY135" s="15">
        <f>AX135/AX123-1</f>
        <v/>
      </c>
      <c r="AZ135" s="15">
        <f>AX135/AX75-1</f>
        <v/>
      </c>
      <c r="BA135" s="324" t="n"/>
      <c r="BB135" s="324" t="n"/>
      <c r="BC135" s="324" t="n"/>
      <c r="BD135" s="324" t="n"/>
      <c r="BE135" s="324" t="n"/>
      <c r="BF135" s="324" t="n"/>
      <c r="BG135" s="324" t="n"/>
      <c r="BH135" s="324" t="n"/>
      <c r="BI135" s="324" t="n"/>
      <c r="BJ135" s="324" t="n"/>
      <c r="BK135" s="288" t="n"/>
      <c r="BL135" s="324" t="n"/>
      <c r="BM135" s="324" t="n"/>
      <c r="BN135" s="324" t="n"/>
      <c r="BO135" s="324" t="n"/>
      <c r="BP135" s="324" t="n"/>
      <c r="BQ135" s="324" t="n"/>
      <c r="BR135" s="324" t="n"/>
      <c r="BS135" s="324" t="n"/>
      <c r="BT135" s="324" t="n"/>
      <c r="BU135" s="324" t="n"/>
      <c r="BV135" s="324" t="n"/>
      <c r="BW135" s="324" t="n"/>
      <c r="BX135" s="324" t="n"/>
      <c r="BY135" s="324" t="n"/>
      <c r="BZ135" s="324" t="n"/>
      <c r="CA135" s="324" t="n"/>
      <c r="CB135" s="324" t="n"/>
      <c r="CC135" s="324" t="n"/>
      <c r="CD135" s="324" t="n"/>
      <c r="CE135" s="324" t="n"/>
      <c r="CF135" s="324" t="n"/>
      <c r="CG135" s="324" t="n"/>
      <c r="CH135" s="324" t="n"/>
      <c r="CI135" s="324" t="n"/>
      <c r="CJ135" s="324" t="n"/>
      <c r="CK135" s="324" t="n"/>
      <c r="CL135" s="324" t="n"/>
      <c r="CM135" s="324" t="n"/>
      <c r="CN135" s="324" t="n"/>
      <c r="CW135" s="324" t="n"/>
      <c r="CX135" s="324" t="n"/>
      <c r="CY135" s="324" t="n"/>
      <c r="CZ135" s="324" t="n"/>
      <c r="DA135" s="324" t="n"/>
      <c r="DB135" s="324" t="n"/>
      <c r="DC135" s="324" t="n"/>
      <c r="DD135" s="324" t="n"/>
      <c r="DE135" s="325" t="n"/>
      <c r="DF135" s="325" t="n"/>
    </row>
    <row r="136" customFormat="1" s="62">
      <c r="A136" s="280" t="n">
        <v>45688</v>
      </c>
      <c r="B136" s="28" t="n">
        <v>34120.92</v>
      </c>
      <c r="C136" s="112">
        <f>B136/B124-1</f>
        <v/>
      </c>
      <c r="D136" s="15">
        <f>B136/B64-1</f>
        <v/>
      </c>
      <c r="E136" s="28" t="n">
        <v>24651.83</v>
      </c>
      <c r="F136" s="112">
        <f>E136/E124-1</f>
        <v/>
      </c>
      <c r="G136" s="15">
        <f>E136/E64-1</f>
        <v/>
      </c>
      <c r="H136" s="28" t="n">
        <v>9192.120000000001</v>
      </c>
      <c r="I136" s="112">
        <f>H136/H124-1</f>
        <v/>
      </c>
      <c r="J136" s="15">
        <f>H136/H64-1</f>
        <v/>
      </c>
      <c r="K136" s="28" t="n">
        <v>276.97</v>
      </c>
      <c r="L136" s="112">
        <f>K136/K124-1</f>
        <v/>
      </c>
      <c r="M136" s="15">
        <f>K136/K64-1</f>
        <v/>
      </c>
      <c r="N136" s="28" t="n">
        <v>28919.99</v>
      </c>
      <c r="O136" s="112">
        <f>N136/N124-1</f>
        <v/>
      </c>
      <c r="P136" s="15">
        <f>N136/N64-1</f>
        <v/>
      </c>
      <c r="Q136" s="28" t="n">
        <v>20945.55</v>
      </c>
      <c r="R136" s="112">
        <f>Q136/Q124-1</f>
        <v/>
      </c>
      <c r="S136" s="15">
        <f>Q136/Q64-1</f>
        <v/>
      </c>
      <c r="T136" s="28" t="n">
        <v>7761.44</v>
      </c>
      <c r="U136" s="112">
        <f>T136/T124-1</f>
        <v/>
      </c>
      <c r="V136" s="15">
        <f>T136/T64-1</f>
        <v/>
      </c>
      <c r="W136" s="28" t="n">
        <v>213</v>
      </c>
      <c r="X136" s="112">
        <f>W136/W124-1</f>
        <v/>
      </c>
      <c r="Y136" s="15">
        <f>W136/W64-1</f>
        <v/>
      </c>
      <c r="Z136" s="28" t="n">
        <v>14847.88</v>
      </c>
      <c r="AA136" s="112">
        <f>Z136/Z124-1</f>
        <v/>
      </c>
      <c r="AB136" s="15">
        <f>Z136/Z64-1</f>
        <v/>
      </c>
      <c r="AC136" s="28" t="n">
        <v>12890.05</v>
      </c>
      <c r="AD136" s="112">
        <f>AC136/AC124-1</f>
        <v/>
      </c>
      <c r="AE136" s="15">
        <f>AC136/AC64-1</f>
        <v/>
      </c>
      <c r="AF136" s="28" t="n">
        <v>1804.88</v>
      </c>
      <c r="AG136" s="112">
        <f>AF136/AF124-1</f>
        <v/>
      </c>
      <c r="AH136" s="15">
        <f>AF136/AF64-1</f>
        <v/>
      </c>
      <c r="AI136" s="28" t="n">
        <v>152.95</v>
      </c>
      <c r="AJ136" s="112">
        <f>AI136/AI124-1</f>
        <v/>
      </c>
      <c r="AK136" s="15">
        <f>AI136/AI64-1</f>
        <v/>
      </c>
      <c r="AL136" s="314" t="n">
        <v>84.76000000000001</v>
      </c>
      <c r="AM136" s="290">
        <f>AL136-AL124</f>
        <v/>
      </c>
      <c r="AN136" s="290">
        <f>AL136-AL64</f>
        <v/>
      </c>
      <c r="AO136" s="314" t="n">
        <v>84.97</v>
      </c>
      <c r="AP136" s="290">
        <f>AO136-AO124</f>
        <v/>
      </c>
      <c r="AQ136" s="290">
        <f>AO136-AO64</f>
        <v/>
      </c>
      <c r="AR136" s="314" t="n">
        <v>84.44</v>
      </c>
      <c r="AS136" s="290">
        <f>AR136-AR124</f>
        <v/>
      </c>
      <c r="AT136" s="290">
        <f>AR136-AR64</f>
        <v/>
      </c>
      <c r="AU136" s="314" t="n">
        <v>76.90000000000001</v>
      </c>
      <c r="AV136" s="290">
        <f>AU136-AU124</f>
        <v/>
      </c>
      <c r="AW136" s="290">
        <f>AU136-AU64</f>
        <v/>
      </c>
      <c r="AX136" s="28" t="n">
        <v>920</v>
      </c>
      <c r="AY136" s="15">
        <f>AX136/AX124-1</f>
        <v/>
      </c>
      <c r="AZ136" s="15">
        <f>AX136/AX64-1</f>
        <v/>
      </c>
      <c r="BA136" s="324" t="n"/>
      <c r="BB136" s="324" t="n"/>
      <c r="BC136" s="324" t="n"/>
      <c r="BD136" s="324" t="n"/>
      <c r="BE136" s="324" t="n"/>
      <c r="BF136" s="324" t="n"/>
      <c r="BG136" s="324" t="n"/>
      <c r="BH136" s="324" t="n"/>
      <c r="BI136" s="324" t="n"/>
      <c r="BJ136" s="324" t="n"/>
      <c r="BK136" s="288" t="n"/>
      <c r="BL136" s="324" t="n"/>
      <c r="BM136" s="324" t="n"/>
      <c r="BN136" s="324" t="n"/>
      <c r="BO136" s="324" t="n"/>
      <c r="BP136" s="324" t="n"/>
      <c r="BQ136" s="324" t="n"/>
      <c r="BR136" s="324" t="n"/>
      <c r="BS136" s="324" t="n"/>
      <c r="BT136" s="324" t="n"/>
      <c r="BU136" s="324" t="n"/>
      <c r="BV136" s="324" t="n"/>
      <c r="BW136" s="324" t="n"/>
      <c r="BX136" s="324" t="n"/>
      <c r="BY136" s="324" t="n"/>
      <c r="BZ136" s="324" t="n"/>
      <c r="CA136" s="324" t="n"/>
      <c r="CB136" s="324" t="n"/>
      <c r="CC136" s="324" t="n"/>
      <c r="CD136" s="324" t="n"/>
      <c r="CE136" s="324" t="n"/>
      <c r="CF136" s="324" t="n"/>
      <c r="CG136" s="324" t="n"/>
      <c r="CH136" s="324" t="n"/>
      <c r="CI136" s="324" t="n"/>
      <c r="CJ136" s="324" t="n"/>
      <c r="CK136" s="324" t="n"/>
      <c r="CL136" s="324" t="n"/>
      <c r="CM136" s="324" t="n"/>
      <c r="CN136" s="324" t="n"/>
      <c r="CW136" s="324" t="n"/>
      <c r="CX136" s="324" t="n"/>
      <c r="CY136" s="324" t="n"/>
      <c r="CZ136" s="324" t="n"/>
      <c r="DA136" s="324" t="n"/>
      <c r="DB136" s="324" t="n"/>
      <c r="DC136" s="324" t="n"/>
      <c r="DD136" s="324" t="n"/>
      <c r="DE136" s="325" t="n"/>
      <c r="DF136" s="325" t="n"/>
    </row>
    <row r="137" customFormat="1" s="62">
      <c r="A137" s="313" t="n">
        <v>45716</v>
      </c>
      <c r="B137" s="28" t="n">
        <v>30479.87</v>
      </c>
      <c r="C137" s="112">
        <f>B137/B125-1</f>
        <v/>
      </c>
      <c r="D137" s="15">
        <f>B137/B65-1</f>
        <v/>
      </c>
      <c r="E137" s="28" t="n">
        <v>22407.15</v>
      </c>
      <c r="F137" s="112">
        <f>E137/E125-1</f>
        <v/>
      </c>
      <c r="G137" s="15">
        <f>E137/E65-1</f>
        <v/>
      </c>
      <c r="H137" s="28" t="n">
        <v>7831.19</v>
      </c>
      <c r="I137" s="112">
        <f>H137/H125-1</f>
        <v/>
      </c>
      <c r="J137" s="15">
        <f>H137/H65-1</f>
        <v/>
      </c>
      <c r="K137" s="28" t="n">
        <v>241.53</v>
      </c>
      <c r="L137" s="112">
        <f>K137/K125-1</f>
        <v/>
      </c>
      <c r="M137" s="15">
        <f>K137/K65-1</f>
        <v/>
      </c>
      <c r="N137" s="28" t="n">
        <v>26438.27</v>
      </c>
      <c r="O137" s="112">
        <f>N137/N125-1</f>
        <v/>
      </c>
      <c r="P137" s="15">
        <f>N137/N65-1</f>
        <v/>
      </c>
      <c r="Q137" s="28" t="n">
        <v>19716.12</v>
      </c>
      <c r="R137" s="112">
        <f>Q137/Q125-1</f>
        <v/>
      </c>
      <c r="S137" s="15">
        <f>Q137/Q65-1</f>
        <v/>
      </c>
      <c r="T137" s="28" t="n">
        <v>6540.57</v>
      </c>
      <c r="U137" s="112">
        <f>T137/T125-1</f>
        <v/>
      </c>
      <c r="V137" s="15">
        <f>T137/T65-1</f>
        <v/>
      </c>
      <c r="W137" s="28" t="n">
        <v>181.58</v>
      </c>
      <c r="X137" s="112">
        <f>W137/W125-1</f>
        <v/>
      </c>
      <c r="Y137" s="15">
        <f>W137/W65-1</f>
        <v/>
      </c>
      <c r="Z137" s="28" t="n">
        <v>13842.25</v>
      </c>
      <c r="AA137" s="112">
        <f>Z137/Z125-1</f>
        <v/>
      </c>
      <c r="AB137" s="15">
        <f>Z137/Z65-1</f>
        <v/>
      </c>
      <c r="AC137" s="28" t="n">
        <v>12147.77</v>
      </c>
      <c r="AD137" s="112">
        <f>AC137/AC125-1</f>
        <v/>
      </c>
      <c r="AE137" s="15">
        <f>AC137/AC65-1</f>
        <v/>
      </c>
      <c r="AF137" s="28" t="n">
        <v>1561.33</v>
      </c>
      <c r="AG137" s="112">
        <f>AF137/AF125-1</f>
        <v/>
      </c>
      <c r="AH137" s="15">
        <f>AF137/AF65-1</f>
        <v/>
      </c>
      <c r="AI137" s="28" t="n">
        <v>133.15</v>
      </c>
      <c r="AJ137" s="112">
        <f>AI137/AI125-1</f>
        <v/>
      </c>
      <c r="AK137" s="15">
        <f>AI137/AI65-1</f>
        <v/>
      </c>
      <c r="AL137" s="314" t="n">
        <v>86.73999999999999</v>
      </c>
      <c r="AM137" s="290">
        <f>AL137-AL125</f>
        <v/>
      </c>
      <c r="AN137" s="290">
        <f>AL137-AL65</f>
        <v/>
      </c>
      <c r="AO137" s="314" t="n">
        <v>87.98999999999999</v>
      </c>
      <c r="AP137" s="290">
        <f>AO137-AO125</f>
        <v/>
      </c>
      <c r="AQ137" s="290">
        <f>AO137-AO65</f>
        <v/>
      </c>
      <c r="AR137" s="314" t="n">
        <v>83.52</v>
      </c>
      <c r="AS137" s="290">
        <f>AR137-AR125</f>
        <v/>
      </c>
      <c r="AT137" s="290">
        <f>AR137-AR65</f>
        <v/>
      </c>
      <c r="AU137" s="314" t="n">
        <v>75.18000000000001</v>
      </c>
      <c r="AV137" s="290">
        <f>AU137-AU125</f>
        <v/>
      </c>
      <c r="AW137" s="290">
        <f>AU137-AU65</f>
        <v/>
      </c>
      <c r="AX137" s="28" t="n">
        <v>923</v>
      </c>
      <c r="AY137" s="15">
        <f>AX137/AX125-1</f>
        <v/>
      </c>
      <c r="AZ137" s="15">
        <f>AX137/AX65-1</f>
        <v/>
      </c>
      <c r="BA137" s="324" t="n"/>
      <c r="BB137" s="324" t="n"/>
      <c r="BC137" s="324" t="n"/>
      <c r="BD137" s="324" t="n"/>
      <c r="BE137" s="324" t="n"/>
      <c r="BF137" s="324" t="n"/>
      <c r="BG137" s="324" t="n"/>
      <c r="BH137" s="324" t="n"/>
      <c r="BI137" s="324" t="n"/>
      <c r="BJ137" s="324" t="n"/>
      <c r="BK137" s="288" t="n"/>
      <c r="BL137" s="324" t="n"/>
      <c r="BM137" s="324" t="n"/>
      <c r="BN137" s="324" t="n"/>
      <c r="BO137" s="324" t="n"/>
      <c r="BP137" s="324" t="n"/>
      <c r="BQ137" s="324" t="n"/>
      <c r="BR137" s="324" t="n"/>
      <c r="BS137" s="324" t="n"/>
      <c r="BT137" s="324" t="n"/>
      <c r="BU137" s="324" t="n"/>
      <c r="BV137" s="324" t="n"/>
      <c r="BW137" s="324" t="n"/>
      <c r="BX137" s="324" t="n"/>
      <c r="BY137" s="324" t="n"/>
      <c r="BZ137" s="324" t="n"/>
      <c r="CA137" s="324" t="n"/>
      <c r="CB137" s="324" t="n"/>
      <c r="CC137" s="324" t="n"/>
      <c r="CD137" s="324" t="n"/>
      <c r="CE137" s="324" t="n"/>
      <c r="CF137" s="324" t="n"/>
      <c r="CG137" s="324" t="n"/>
      <c r="CH137" s="324" t="n"/>
      <c r="CI137" s="324" t="n"/>
      <c r="CJ137" s="324" t="n"/>
      <c r="CK137" s="324" t="n"/>
      <c r="CL137" s="324" t="n"/>
      <c r="CM137" s="324" t="n"/>
      <c r="CN137" s="324" t="n"/>
      <c r="CW137" s="324" t="n"/>
      <c r="CX137" s="324" t="n"/>
      <c r="CY137" s="324" t="n"/>
      <c r="CZ137" s="324" t="n"/>
      <c r="DA137" s="324" t="n"/>
      <c r="DB137" s="324" t="n"/>
      <c r="DC137" s="324" t="n"/>
      <c r="DD137" s="324" t="n"/>
      <c r="DE137" s="325" t="n"/>
      <c r="DF137" s="325" t="n"/>
    </row>
    <row r="138" customFormat="1" s="62">
      <c r="A138" s="313" t="n">
        <v>45747</v>
      </c>
      <c r="B138" s="28" t="n">
        <v>29318.04</v>
      </c>
      <c r="C138" s="112">
        <f>B138/B126-1</f>
        <v/>
      </c>
      <c r="D138" s="15">
        <f>B138/B66-1</f>
        <v/>
      </c>
      <c r="E138" s="28" t="n">
        <v>21361.66</v>
      </c>
      <c r="F138" s="112">
        <f>E138/E126-1</f>
        <v/>
      </c>
      <c r="G138" s="15">
        <f>E138/E66-1</f>
        <v/>
      </c>
      <c r="H138" s="28" t="n">
        <v>7712.11</v>
      </c>
      <c r="I138" s="112">
        <f>H138/H126-1</f>
        <v/>
      </c>
      <c r="J138" s="15">
        <f>H138/H66-1</f>
        <v/>
      </c>
      <c r="K138" s="28" t="n">
        <v>244.27</v>
      </c>
      <c r="L138" s="112">
        <f>K138/K126-1</f>
        <v/>
      </c>
      <c r="M138" s="15">
        <f>K138/K66-1</f>
        <v/>
      </c>
      <c r="N138" s="28" t="n">
        <v>24842.68</v>
      </c>
      <c r="O138" s="112">
        <f>N138/N126-1</f>
        <v/>
      </c>
      <c r="P138" s="15">
        <f>N138/N66-1</f>
        <v/>
      </c>
      <c r="Q138" s="28" t="n">
        <v>18245.15</v>
      </c>
      <c r="R138" s="112">
        <f>Q138/Q126-1</f>
        <v/>
      </c>
      <c r="S138" s="15">
        <f>Q138/Q66-1</f>
        <v/>
      </c>
      <c r="T138" s="28" t="n">
        <v>6413.2</v>
      </c>
      <c r="U138" s="112">
        <f>T138/T126-1</f>
        <v/>
      </c>
      <c r="V138" s="15">
        <f>T138/T66-1</f>
        <v/>
      </c>
      <c r="W138" s="28" t="n">
        <v>184.33</v>
      </c>
      <c r="X138" s="112">
        <f>W138/W126-1</f>
        <v/>
      </c>
      <c r="Y138" s="15">
        <f>W138/W66-1</f>
        <v/>
      </c>
      <c r="Z138" s="28" t="n">
        <v>13258.76</v>
      </c>
      <c r="AA138" s="112">
        <f>Z138/Z126-1</f>
        <v/>
      </c>
      <c r="AB138" s="15">
        <f>Z138/Z66-1</f>
        <v/>
      </c>
      <c r="AC138" s="28" t="n">
        <v>11523.71</v>
      </c>
      <c r="AD138" s="112">
        <f>AC138/AC126-1</f>
        <v/>
      </c>
      <c r="AE138" s="15">
        <f>AC138/AC66-1</f>
        <v/>
      </c>
      <c r="AF138" s="28" t="n">
        <v>1595.47</v>
      </c>
      <c r="AG138" s="112">
        <f>AF138/AF126-1</f>
        <v/>
      </c>
      <c r="AH138" s="15">
        <f>AF138/AF66-1</f>
        <v/>
      </c>
      <c r="AI138" s="28" t="n">
        <v>139.58</v>
      </c>
      <c r="AJ138" s="112">
        <f>AI138/AI126-1</f>
        <v/>
      </c>
      <c r="AK138" s="15">
        <f>AI138/AI66-1</f>
        <v/>
      </c>
      <c r="AL138" s="314" t="n">
        <v>84.73999999999999</v>
      </c>
      <c r="AM138" s="290">
        <f>AL138-AL126</f>
        <v/>
      </c>
      <c r="AN138" s="290">
        <f>AL138-AL66</f>
        <v/>
      </c>
      <c r="AO138" s="314" t="n">
        <v>85.41</v>
      </c>
      <c r="AP138" s="290">
        <f>AO138-AO126</f>
        <v/>
      </c>
      <c r="AQ138" s="290">
        <f>AO138-AO66</f>
        <v/>
      </c>
      <c r="AR138" s="314" t="n">
        <v>83.16</v>
      </c>
      <c r="AS138" s="290">
        <f>AR138-AR126</f>
        <v/>
      </c>
      <c r="AT138" s="290">
        <f>AR138-AR66</f>
        <v/>
      </c>
      <c r="AU138" s="314" t="n">
        <v>75.45999999999999</v>
      </c>
      <c r="AV138" s="290">
        <f>AU138-AU126</f>
        <v/>
      </c>
      <c r="AW138" s="290">
        <f>AU138-AU66</f>
        <v/>
      </c>
      <c r="AX138" s="28" t="n">
        <v>932</v>
      </c>
      <c r="AY138" s="15">
        <f>AX138/AX126-1</f>
        <v/>
      </c>
      <c r="AZ138" s="15">
        <f>AX138/AX66-1</f>
        <v/>
      </c>
      <c r="BA138" s="324" t="n"/>
      <c r="BB138" s="324" t="n"/>
      <c r="BC138" s="324" t="n"/>
      <c r="BD138" s="324" t="n"/>
      <c r="BE138" s="324" t="n"/>
      <c r="BF138" s="324" t="n"/>
      <c r="BG138" s="324" t="n"/>
      <c r="BH138" s="324" t="n"/>
      <c r="BI138" s="324" t="n"/>
      <c r="BJ138" s="324" t="n"/>
      <c r="BK138" s="288" t="n"/>
      <c r="BL138" s="324" t="n"/>
      <c r="BM138" s="324" t="n"/>
      <c r="BN138" s="324" t="n"/>
      <c r="BO138" s="324" t="n"/>
      <c r="BP138" s="324" t="n"/>
      <c r="BQ138" s="324" t="n"/>
      <c r="BR138" s="324" t="n"/>
      <c r="BS138" s="324" t="n"/>
      <c r="BT138" s="324" t="n"/>
      <c r="BU138" s="324" t="n"/>
      <c r="BV138" s="324" t="n"/>
      <c r="BW138" s="324" t="n"/>
      <c r="BX138" s="324" t="n"/>
      <c r="BY138" s="324" t="n"/>
      <c r="BZ138" s="324" t="n"/>
      <c r="CA138" s="324" t="n"/>
      <c r="CB138" s="324" t="n"/>
      <c r="CC138" s="324" t="n"/>
      <c r="CD138" s="324" t="n"/>
      <c r="CE138" s="324" t="n"/>
      <c r="CF138" s="324" t="n"/>
      <c r="CG138" s="324" t="n"/>
      <c r="CH138" s="324" t="n"/>
      <c r="CI138" s="324" t="n"/>
      <c r="CJ138" s="324" t="n"/>
      <c r="CK138" s="324" t="n"/>
      <c r="CL138" s="324" t="n"/>
      <c r="CM138" s="324" t="n"/>
      <c r="CN138" s="324" t="n"/>
      <c r="CW138" s="324" t="n"/>
      <c r="CX138" s="324" t="n"/>
      <c r="CY138" s="324" t="n"/>
      <c r="CZ138" s="324" t="n"/>
      <c r="DA138" s="324" t="n"/>
      <c r="DB138" s="324" t="n"/>
      <c r="DC138" s="324" t="n"/>
      <c r="DD138" s="324" t="n"/>
      <c r="DE138" s="325" t="n"/>
      <c r="DF138" s="325" t="n"/>
    </row>
    <row r="139" customFormat="1" s="62">
      <c r="A139" s="313" t="n">
        <v>45777</v>
      </c>
      <c r="B139" s="28" t="n">
        <v>29743.71</v>
      </c>
      <c r="C139" s="112">
        <f>B139/B127-1</f>
        <v/>
      </c>
      <c r="D139" s="15">
        <f>B139/B67-1</f>
        <v/>
      </c>
      <c r="E139" s="28" t="n">
        <v>21292.46</v>
      </c>
      <c r="F139" s="112">
        <f>E139/E127-1</f>
        <v/>
      </c>
      <c r="G139" s="15">
        <f>E139/E67-1</f>
        <v/>
      </c>
      <c r="H139" s="28" t="n">
        <v>8196.780000000001</v>
      </c>
      <c r="I139" s="112">
        <f>H139/H127-1</f>
        <v/>
      </c>
      <c r="J139" s="15">
        <f>H139/H67-1</f>
        <v/>
      </c>
      <c r="K139" s="28" t="n">
        <v>254.47</v>
      </c>
      <c r="L139" s="112">
        <f>K139/K127-1</f>
        <v/>
      </c>
      <c r="M139" s="15">
        <f>K139/K67-1</f>
        <v/>
      </c>
      <c r="N139" s="28" t="n">
        <v>25454.9</v>
      </c>
      <c r="O139" s="112">
        <f>N139/N127-1</f>
        <v/>
      </c>
      <c r="P139" s="15">
        <f>N139/N67-1</f>
        <v/>
      </c>
      <c r="Q139" s="28" t="n">
        <v>18295.29</v>
      </c>
      <c r="R139" s="112">
        <f>Q139/Q127-1</f>
        <v/>
      </c>
      <c r="S139" s="15">
        <f>Q139/Q67-1</f>
        <v/>
      </c>
      <c r="T139" s="28" t="n">
        <v>6955.25</v>
      </c>
      <c r="U139" s="112">
        <f>T139/T127-1</f>
        <v/>
      </c>
      <c r="V139" s="15">
        <f>T139/T67-1</f>
        <v/>
      </c>
      <c r="W139" s="28" t="n">
        <v>204.35</v>
      </c>
      <c r="X139" s="112">
        <f>W139/W127-1</f>
        <v/>
      </c>
      <c r="Y139" s="15">
        <f>W139/W67-1</f>
        <v/>
      </c>
      <c r="Z139" s="28" t="n">
        <v>13542.82</v>
      </c>
      <c r="AA139" s="112">
        <f>Z139/Z127-1</f>
        <v/>
      </c>
      <c r="AB139" s="15">
        <f>Z139/Z67-1</f>
        <v/>
      </c>
      <c r="AC139" s="28" t="n">
        <v>11659.86</v>
      </c>
      <c r="AD139" s="112">
        <f>AC139/AC127-1</f>
        <v/>
      </c>
      <c r="AE139" s="15">
        <f>AC139/AC67-1</f>
        <v/>
      </c>
      <c r="AF139" s="28" t="n">
        <v>1730.51</v>
      </c>
      <c r="AG139" s="112">
        <f>AF139/AF127-1</f>
        <v/>
      </c>
      <c r="AH139" s="15">
        <f>AF139/AF67-1</f>
        <v/>
      </c>
      <c r="AI139" s="28" t="n">
        <v>152.46</v>
      </c>
      <c r="AJ139" s="112">
        <f>AI139/AI127-1</f>
        <v/>
      </c>
      <c r="AK139" s="15">
        <f>AI139/AI67-1</f>
        <v/>
      </c>
      <c r="AL139" s="314" t="n">
        <v>85.58</v>
      </c>
      <c r="AM139" s="290">
        <f>AL139-AL127</f>
        <v/>
      </c>
      <c r="AN139" s="290">
        <f>AL139-AL67</f>
        <v/>
      </c>
      <c r="AO139" s="314" t="n">
        <v>85.92</v>
      </c>
      <c r="AP139" s="290">
        <f>AO139-AO127</f>
        <v/>
      </c>
      <c r="AQ139" s="290">
        <f>AO139-AO67</f>
        <v/>
      </c>
      <c r="AR139" s="314" t="n">
        <v>84.84999999999999</v>
      </c>
      <c r="AS139" s="290">
        <f>AR139-AR127</f>
        <v/>
      </c>
      <c r="AT139" s="290">
        <f>AR139-AR67</f>
        <v/>
      </c>
      <c r="AU139" s="314" t="n">
        <v>80.31</v>
      </c>
      <c r="AV139" s="290">
        <f>AU139-AU127</f>
        <v/>
      </c>
      <c r="AW139" s="290">
        <f>AU139-AU67</f>
        <v/>
      </c>
      <c r="AX139" s="28" t="n">
        <v>937</v>
      </c>
      <c r="AY139" s="15">
        <f>AX139/AX127-1</f>
        <v/>
      </c>
      <c r="AZ139" s="15">
        <f>AX139/AX67-1</f>
        <v/>
      </c>
      <c r="BA139" s="324" t="n"/>
      <c r="BB139" s="324" t="n"/>
      <c r="BC139" s="324" t="n"/>
      <c r="BD139" s="324" t="n"/>
      <c r="BE139" s="324" t="n"/>
      <c r="BF139" s="324" t="n"/>
      <c r="BG139" s="324" t="n"/>
      <c r="BH139" s="324" t="n"/>
      <c r="BI139" s="324" t="n"/>
      <c r="BJ139" s="324" t="n"/>
      <c r="BK139" s="288" t="n"/>
      <c r="BL139" s="324" t="n"/>
      <c r="BM139" s="324" t="n"/>
      <c r="BN139" s="324" t="n"/>
      <c r="BO139" s="324" t="n"/>
      <c r="BP139" s="324" t="n"/>
      <c r="BQ139" s="324" t="n"/>
      <c r="BR139" s="324" t="n"/>
      <c r="BS139" s="324" t="n"/>
      <c r="BT139" s="324" t="n"/>
      <c r="BU139" s="324" t="n"/>
      <c r="BV139" s="324" t="n"/>
      <c r="BW139" s="324" t="n"/>
      <c r="BX139" s="324" t="n"/>
      <c r="BY139" s="324" t="n"/>
      <c r="BZ139" s="324" t="n"/>
      <c r="CA139" s="324" t="n"/>
      <c r="CB139" s="324" t="n"/>
      <c r="CC139" s="324" t="n"/>
      <c r="CD139" s="324" t="n"/>
      <c r="CE139" s="324" t="n"/>
      <c r="CF139" s="324" t="n"/>
      <c r="CG139" s="324" t="n"/>
      <c r="CH139" s="324" t="n"/>
      <c r="CI139" s="324" t="n"/>
      <c r="CJ139" s="324" t="n"/>
      <c r="CK139" s="324" t="n"/>
      <c r="CL139" s="324" t="n"/>
      <c r="CM139" s="324" t="n"/>
      <c r="CN139" s="324" t="n"/>
      <c r="CW139" s="324" t="n"/>
      <c r="CX139" s="324" t="n"/>
      <c r="CY139" s="324" t="n"/>
      <c r="CZ139" s="324" t="n"/>
      <c r="DA139" s="324" t="n"/>
      <c r="DB139" s="324" t="n"/>
      <c r="DC139" s="324" t="n"/>
      <c r="DD139" s="324" t="n"/>
      <c r="DE139" s="325" t="n"/>
      <c r="DF139" s="325" t="n"/>
    </row>
    <row r="140" customFormat="1" s="62">
      <c r="A140" s="313" t="n">
        <v>45808</v>
      </c>
      <c r="B140" s="28" t="n">
        <v>30721.6</v>
      </c>
      <c r="C140" s="112">
        <f>B140/B128-1</f>
        <v/>
      </c>
      <c r="D140" s="15">
        <f>B140/B68-1</f>
        <v/>
      </c>
      <c r="E140" s="28" t="n">
        <v>22423.01</v>
      </c>
      <c r="F140" s="112">
        <f>E140/E128-1</f>
        <v/>
      </c>
      <c r="G140" s="15">
        <f>E140/E68-1</f>
        <v/>
      </c>
      <c r="H140" s="28" t="n">
        <v>8002.61</v>
      </c>
      <c r="I140" s="112">
        <f>H140/H128-1</f>
        <v/>
      </c>
      <c r="J140" s="15">
        <f>H140/H68-1</f>
        <v/>
      </c>
      <c r="K140" s="28" t="n">
        <v>295.97</v>
      </c>
      <c r="L140" s="112">
        <f>K140/K128-1</f>
        <v/>
      </c>
      <c r="M140" s="15">
        <f>K140/K68-1</f>
        <v/>
      </c>
      <c r="N140" s="28" t="n">
        <v>26391.55</v>
      </c>
      <c r="O140" s="112">
        <f>N140/N128-1</f>
        <v/>
      </c>
      <c r="P140" s="15">
        <f>N140/N68-1</f>
        <v/>
      </c>
      <c r="Q140" s="28" t="n">
        <v>19455.28</v>
      </c>
      <c r="R140" s="112">
        <f>Q140/Q128-1</f>
        <v/>
      </c>
      <c r="S140" s="15">
        <f>Q140/Q68-1</f>
        <v/>
      </c>
      <c r="T140" s="28" t="n">
        <v>6714.15</v>
      </c>
      <c r="U140" s="112">
        <f>T140/T128-1</f>
        <v/>
      </c>
      <c r="V140" s="15">
        <f>T140/T68-1</f>
        <v/>
      </c>
      <c r="W140" s="28" t="n">
        <v>222.12</v>
      </c>
      <c r="X140" s="112">
        <f>W140/W128-1</f>
        <v/>
      </c>
      <c r="Y140" s="15">
        <f>W140/W68-1</f>
        <v/>
      </c>
      <c r="Z140" s="28" t="n">
        <v>14154.72</v>
      </c>
      <c r="AA140" s="112">
        <f>Z140/Z128-1</f>
        <v/>
      </c>
      <c r="AB140" s="15">
        <f>Z140/Z68-1</f>
        <v/>
      </c>
      <c r="AC140" s="28" t="n">
        <v>12331.62</v>
      </c>
      <c r="AD140" s="112">
        <f>AC140/AC128-1</f>
        <v/>
      </c>
      <c r="AE140" s="15">
        <f>AC140/AC68-1</f>
        <v/>
      </c>
      <c r="AF140" s="28" t="n">
        <v>1672.82</v>
      </c>
      <c r="AG140" s="112">
        <f>AF140/AF128-1</f>
        <v/>
      </c>
      <c r="AH140" s="15">
        <f>AF140/AF68-1</f>
        <v/>
      </c>
      <c r="AI140" s="28" t="n">
        <v>150.28</v>
      </c>
      <c r="AJ140" s="112">
        <f>AI140/AI128-1</f>
        <v/>
      </c>
      <c r="AK140" s="15">
        <f>AI140/AI68-1</f>
        <v/>
      </c>
      <c r="AL140" s="314" t="n">
        <v>85.91</v>
      </c>
      <c r="AM140" s="290">
        <f>AL140-AL128</f>
        <v/>
      </c>
      <c r="AN140" s="290">
        <f>AL140-AL68</f>
        <v/>
      </c>
      <c r="AO140" s="314" t="n">
        <v>86.76000000000001</v>
      </c>
      <c r="AP140" s="290">
        <f>AO140-AO128</f>
        <v/>
      </c>
      <c r="AQ140" s="290">
        <f>AO140-AO68</f>
        <v/>
      </c>
      <c r="AR140" s="314" t="n">
        <v>83.90000000000001</v>
      </c>
      <c r="AS140" s="290">
        <f>AR140-AR128</f>
        <v/>
      </c>
      <c r="AT140" s="290">
        <f>AR140-AR68</f>
        <v/>
      </c>
      <c r="AU140" s="314" t="n">
        <v>75.05</v>
      </c>
      <c r="AV140" s="290">
        <f>AU140-AU128</f>
        <v/>
      </c>
      <c r="AW140" s="290">
        <f>AU140-AU68</f>
        <v/>
      </c>
      <c r="AX140" s="28" t="n">
        <v>940</v>
      </c>
      <c r="AY140" s="15">
        <f>AX140/AX128-1</f>
        <v/>
      </c>
      <c r="AZ140" s="15">
        <f>AX140/AX68-1</f>
        <v/>
      </c>
      <c r="BA140" s="324" t="n"/>
      <c r="BB140" s="324" t="n"/>
      <c r="BC140" s="324" t="n"/>
      <c r="BD140" s="324" t="n"/>
      <c r="BE140" s="324" t="n"/>
      <c r="BF140" s="324" t="n"/>
      <c r="BG140" s="324" t="n"/>
      <c r="BH140" s="324" t="n"/>
      <c r="BI140" s="324" t="n"/>
      <c r="BJ140" s="324" t="n"/>
      <c r="BK140" s="288" t="n"/>
      <c r="BL140" s="324" t="n"/>
      <c r="BM140" s="324" t="n"/>
      <c r="BN140" s="324" t="n"/>
      <c r="BO140" s="324" t="n"/>
      <c r="BP140" s="324" t="n"/>
      <c r="BQ140" s="324" t="n"/>
      <c r="BR140" s="324" t="n"/>
      <c r="BS140" s="324" t="n"/>
      <c r="BT140" s="324" t="n"/>
      <c r="BU140" s="324" t="n"/>
      <c r="BV140" s="324" t="n"/>
      <c r="BW140" s="324" t="n"/>
      <c r="BX140" s="324" t="n"/>
      <c r="BY140" s="324" t="n"/>
      <c r="BZ140" s="324" t="n"/>
      <c r="CA140" s="324" t="n"/>
      <c r="CB140" s="324" t="n"/>
      <c r="CC140" s="324" t="n"/>
      <c r="CD140" s="324" t="n"/>
      <c r="CE140" s="324" t="n"/>
      <c r="CF140" s="324" t="n"/>
      <c r="CG140" s="324" t="n"/>
      <c r="CH140" s="324" t="n"/>
      <c r="CI140" s="324" t="n"/>
      <c r="CJ140" s="324" t="n"/>
      <c r="CK140" s="324" t="n"/>
      <c r="CL140" s="324" t="n"/>
      <c r="CM140" s="324" t="n"/>
      <c r="CN140" s="324" t="n"/>
      <c r="CW140" s="324" t="n"/>
      <c r="CX140" s="324" t="n"/>
      <c r="CY140" s="324" t="n"/>
      <c r="CZ140" s="324" t="n"/>
      <c r="DA140" s="324" t="n"/>
      <c r="DB140" s="324" t="n"/>
      <c r="DC140" s="324" t="n"/>
      <c r="DD140" s="324" t="n"/>
      <c r="DE140" s="325" t="n"/>
      <c r="DF140" s="325" t="n"/>
    </row>
    <row r="141" customFormat="1" s="62">
      <c r="A141" s="326" t="n"/>
      <c r="B141" s="28" t="n"/>
      <c r="C141" s="112" t="n"/>
      <c r="D141" s="15" t="n"/>
      <c r="E141" s="28" t="n"/>
      <c r="F141" s="112" t="n"/>
      <c r="G141" s="15" t="n"/>
      <c r="H141" s="28" t="n"/>
      <c r="I141" s="112" t="n"/>
      <c r="J141" s="15" t="n"/>
      <c r="K141" s="28" t="n"/>
      <c r="L141" s="112" t="n"/>
      <c r="M141" s="15" t="n"/>
      <c r="N141" s="28" t="n"/>
      <c r="O141" s="112" t="n"/>
      <c r="P141" s="15" t="n"/>
      <c r="Q141" s="28" t="n"/>
      <c r="R141" s="112" t="n"/>
      <c r="S141" s="15" t="n"/>
      <c r="T141" s="28" t="n"/>
      <c r="U141" s="112" t="n"/>
      <c r="V141" s="15" t="n"/>
      <c r="W141" s="28" t="n"/>
      <c r="X141" s="112" t="n"/>
      <c r="Y141" s="15" t="n"/>
      <c r="Z141" s="28" t="n"/>
      <c r="AA141" s="112" t="n"/>
      <c r="AB141" s="15" t="n"/>
      <c r="AC141" s="28" t="n"/>
      <c r="AD141" s="112" t="n"/>
      <c r="AE141" s="15" t="n"/>
      <c r="AF141" s="28" t="n"/>
      <c r="AG141" s="112" t="n"/>
      <c r="AH141" s="15" t="n"/>
      <c r="AI141" s="28" t="n"/>
      <c r="AJ141" s="112" t="n"/>
      <c r="AK141" s="15" t="n"/>
      <c r="AL141" s="28" t="n"/>
      <c r="AM141" s="31" t="n"/>
      <c r="AN141" s="15" t="n"/>
      <c r="AO141" s="28" t="n"/>
      <c r="AP141" s="31" t="n"/>
      <c r="AQ141" s="327" t="n"/>
      <c r="AR141" s="28" t="n"/>
      <c r="AS141" s="31" t="n"/>
      <c r="AT141" s="327" t="n"/>
      <c r="AU141" s="28" t="n"/>
      <c r="AV141" s="31" t="n"/>
      <c r="AW141" s="327" t="n"/>
      <c r="AX141" s="28" t="n"/>
      <c r="AY141" s="15" t="n"/>
      <c r="AZ141" s="15" t="n"/>
      <c r="BA141" s="324" t="n"/>
      <c r="BB141" s="324" t="n"/>
      <c r="BC141" s="324" t="n"/>
      <c r="BD141" s="324" t="n"/>
      <c r="BE141" s="324" t="n"/>
      <c r="BF141" s="324" t="n"/>
      <c r="BG141" s="324" t="n"/>
      <c r="BH141" s="324" t="n"/>
      <c r="BI141" s="324" t="n"/>
      <c r="BJ141" s="324" t="n"/>
      <c r="BK141" s="288" t="n"/>
      <c r="BL141" s="324" t="n"/>
      <c r="BM141" s="324" t="n"/>
      <c r="BN141" s="324" t="n"/>
      <c r="BO141" s="324" t="n"/>
      <c r="BP141" s="324" t="n"/>
      <c r="BQ141" s="324" t="n"/>
      <c r="BR141" s="324" t="n"/>
      <c r="BS141" s="324" t="n"/>
      <c r="BT141" s="324" t="n"/>
      <c r="BU141" s="324" t="n"/>
      <c r="BV141" s="324" t="n"/>
      <c r="BW141" s="324" t="n"/>
      <c r="BX141" s="324" t="n"/>
      <c r="BY141" s="324" t="n"/>
      <c r="BZ141" s="324" t="n"/>
      <c r="CA141" s="324" t="n"/>
      <c r="CB141" s="324" t="n"/>
      <c r="CC141" s="324" t="n"/>
      <c r="CD141" s="324" t="n"/>
      <c r="CE141" s="324" t="n"/>
      <c r="CF141" s="324" t="n"/>
      <c r="CG141" s="324" t="n"/>
      <c r="CH141" s="324" t="n"/>
      <c r="CI141" s="324" t="n"/>
      <c r="CJ141" s="324" t="n"/>
      <c r="CK141" s="324" t="n"/>
      <c r="CL141" s="324" t="n"/>
      <c r="CM141" s="324" t="n"/>
      <c r="CN141" s="324" t="n"/>
      <c r="CW141" s="324" t="n"/>
      <c r="CX141" s="324" t="n"/>
      <c r="CY141" s="324" t="n"/>
      <c r="CZ141" s="324" t="n"/>
      <c r="DA141" s="324" t="n"/>
      <c r="DB141" s="324" t="n"/>
      <c r="DC141" s="324" t="n"/>
      <c r="DD141" s="324" t="n"/>
      <c r="DE141" s="325" t="n"/>
      <c r="DF141" s="325" t="n"/>
    </row>
    <row r="142" customFormat="1" s="62">
      <c r="A142" s="328" t="inlineStr">
        <is>
          <t>季度</t>
        </is>
      </c>
      <c r="B142" s="28" t="n"/>
      <c r="C142" s="112" t="n"/>
      <c r="D142" s="15" t="n"/>
      <c r="E142" s="28" t="n"/>
      <c r="F142" s="112" t="n"/>
      <c r="G142" s="15" t="n"/>
      <c r="H142" s="28" t="n"/>
      <c r="I142" s="112" t="n"/>
      <c r="J142" s="15" t="n"/>
      <c r="K142" s="28" t="n"/>
      <c r="L142" s="112" t="n"/>
      <c r="M142" s="15" t="n"/>
      <c r="N142" s="28" t="n"/>
      <c r="O142" s="112" t="n"/>
      <c r="P142" s="15" t="n"/>
      <c r="Q142" s="28" t="n"/>
      <c r="R142" s="112" t="n"/>
      <c r="S142" s="15" t="n"/>
      <c r="T142" s="28" t="n"/>
      <c r="U142" s="112" t="n"/>
      <c r="V142" s="15" t="n"/>
      <c r="W142" s="28" t="n"/>
      <c r="X142" s="112" t="n"/>
      <c r="Y142" s="15" t="n"/>
      <c r="Z142" s="28" t="n"/>
      <c r="AA142" s="112" t="n"/>
      <c r="AB142" s="15" t="n"/>
      <c r="AC142" s="28" t="n"/>
      <c r="AD142" s="112" t="n"/>
      <c r="AE142" s="15" t="n"/>
      <c r="AF142" s="28" t="n"/>
      <c r="AG142" s="112" t="n"/>
      <c r="AH142" s="15" t="n"/>
      <c r="AI142" s="28" t="n"/>
      <c r="AJ142" s="112" t="n"/>
      <c r="AK142" s="15" t="n"/>
      <c r="AL142" s="28" t="n"/>
      <c r="AM142" s="290">
        <f>AL142-AL130</f>
        <v/>
      </c>
      <c r="AN142" s="15" t="n"/>
      <c r="AO142" s="28" t="n"/>
      <c r="AP142" s="290">
        <f>AO142-AO130</f>
        <v/>
      </c>
      <c r="AQ142" s="327" t="n"/>
      <c r="AR142" s="28" t="n"/>
      <c r="AS142" s="290">
        <f>AR142-AR130</f>
        <v/>
      </c>
      <c r="AT142" s="327" t="n"/>
      <c r="AU142" s="28" t="n"/>
      <c r="AV142" s="290">
        <f>AU142-AU130</f>
        <v/>
      </c>
      <c r="AW142" s="327" t="n"/>
      <c r="AX142" s="28" t="n"/>
      <c r="AY142" s="15" t="n"/>
      <c r="AZ142" s="15" t="n"/>
      <c r="BA142" s="324" t="n"/>
      <c r="BB142" s="324" t="n"/>
      <c r="BC142" s="324" t="n"/>
      <c r="BD142" s="324" t="n"/>
      <c r="BE142" s="324" t="n"/>
      <c r="BF142" s="324" t="n"/>
      <c r="BG142" s="324" t="n"/>
      <c r="BH142" s="324" t="n"/>
      <c r="BI142" s="324" t="n"/>
      <c r="BJ142" s="324" t="n"/>
      <c r="BK142" s="288" t="n"/>
      <c r="BL142" s="324" t="n"/>
      <c r="BM142" s="324" t="n"/>
      <c r="BN142" s="324" t="n"/>
      <c r="BO142" s="324" t="n"/>
      <c r="BP142" s="324" t="n"/>
      <c r="BQ142" s="324" t="n"/>
      <c r="BR142" s="324" t="n"/>
      <c r="BS142" s="324" t="n"/>
      <c r="BT142" s="324" t="n"/>
      <c r="BU142" s="324" t="n"/>
      <c r="BV142" s="324" t="n"/>
      <c r="BW142" s="324" t="n"/>
      <c r="BX142" s="324" t="n"/>
      <c r="BY142" s="324" t="n"/>
      <c r="BZ142" s="324" t="n"/>
      <c r="CA142" s="324" t="n"/>
      <c r="CB142" s="324" t="n"/>
      <c r="CC142" s="324" t="n"/>
      <c r="CD142" s="324" t="n"/>
      <c r="CE142" s="324" t="n"/>
      <c r="CF142" s="324" t="n"/>
      <c r="CG142" s="324" t="n"/>
      <c r="CH142" s="324" t="n"/>
      <c r="CI142" s="324" t="n"/>
      <c r="CJ142" s="324" t="n"/>
      <c r="CK142" s="324" t="n"/>
      <c r="CL142" s="324" t="n"/>
      <c r="CM142" s="324" t="n"/>
      <c r="CN142" s="324" t="n"/>
      <c r="CW142" s="324" t="n"/>
      <c r="CX142" s="324" t="n"/>
      <c r="CY142" s="324" t="n"/>
      <c r="CZ142" s="324" t="n"/>
      <c r="DA142" s="324" t="n"/>
      <c r="DB142" s="324" t="n"/>
      <c r="DC142" s="324" t="n"/>
      <c r="DD142" s="324" t="n"/>
      <c r="DE142" s="325" t="n"/>
      <c r="DF142" s="325" t="n"/>
    </row>
    <row r="143" customFormat="1" s="62">
      <c r="A143" s="326" t="inlineStr">
        <is>
          <t>18Q1</t>
        </is>
      </c>
      <c r="B143" s="329" t="n">
        <v>74932.81</v>
      </c>
      <c r="C143" s="112">
        <f>B143/(SUM(B40:B42))-1</f>
        <v/>
      </c>
      <c r="D143" s="15" t="n"/>
      <c r="E143" s="329" t="n">
        <v>51757.62</v>
      </c>
      <c r="F143" s="112">
        <f>E143/(SUM(E40:E42))-1</f>
        <v/>
      </c>
      <c r="G143" s="15" t="n"/>
      <c r="H143" s="329" t="n">
        <v>22149.4</v>
      </c>
      <c r="I143" s="112">
        <f>H143/(SUM(H40:H42))-1</f>
        <v/>
      </c>
      <c r="J143" s="15" t="n"/>
      <c r="K143" s="329" t="n">
        <v>1025.81</v>
      </c>
      <c r="L143" s="112">
        <f>K143/(SUM(K40:K42))-1</f>
        <v/>
      </c>
      <c r="M143" s="15" t="n"/>
      <c r="N143" s="329" t="n">
        <v>61737.13</v>
      </c>
      <c r="O143" s="112">
        <f>N143/(SUM(N40:N42))-1</f>
        <v/>
      </c>
      <c r="P143" s="15" t="n"/>
      <c r="Q143" s="329" t="n">
        <v>42707.79</v>
      </c>
      <c r="R143" s="112">
        <f>Q143/(SUM(Q40:Q42))-1</f>
        <v/>
      </c>
      <c r="S143" s="15" t="n"/>
      <c r="T143" s="329" t="n">
        <v>18276.8</v>
      </c>
      <c r="U143" s="112">
        <f>T143/(SUM(T40:T42))-1</f>
        <v/>
      </c>
      <c r="V143" s="15" t="n"/>
      <c r="W143" s="329" t="n">
        <v>752.55</v>
      </c>
      <c r="X143" s="112">
        <f>W143/(SUM(W40:W42))-1</f>
        <v/>
      </c>
      <c r="Y143" s="15" t="n"/>
      <c r="Z143" s="329" t="n">
        <v>33250.34</v>
      </c>
      <c r="AA143" s="112">
        <f>Z143/(SUM(Z40:Z42))-1</f>
        <v/>
      </c>
      <c r="AB143" s="15" t="n"/>
      <c r="AC143" s="329" t="n">
        <v>28321.17</v>
      </c>
      <c r="AD143" s="112">
        <f>AC143/(SUM(AC40:AC42))-1</f>
        <v/>
      </c>
      <c r="AE143" s="15" t="n"/>
      <c r="AF143" s="329" t="n">
        <v>4333.79</v>
      </c>
      <c r="AG143" s="112">
        <f>AF143/(SUM(AF40:AF42))-1</f>
        <v/>
      </c>
      <c r="AH143" s="15" t="n"/>
      <c r="AI143" s="329" t="n">
        <v>595.39</v>
      </c>
      <c r="AJ143" s="112">
        <f>AI143/(SUM(AI40:AI42))-1</f>
        <v/>
      </c>
      <c r="AK143" s="15" t="n"/>
      <c r="AL143" s="314" t="n">
        <v>82.38</v>
      </c>
      <c r="AM143" s="290">
        <f>AL143-AL131</f>
        <v/>
      </c>
      <c r="AN143" s="15" t="n"/>
      <c r="AO143" s="314" t="n">
        <v>82.48333333333333</v>
      </c>
      <c r="AP143" s="290">
        <f>AO143-AO131</f>
        <v/>
      </c>
      <c r="AQ143" s="327" t="n"/>
      <c r="AR143" s="314" t="n">
        <v>82.55666666666666</v>
      </c>
      <c r="AS143" s="290">
        <f>AR143-AR131</f>
        <v/>
      </c>
      <c r="AT143" s="327" t="n"/>
      <c r="AU143" s="314" t="n">
        <v>73.33333333333333</v>
      </c>
      <c r="AV143" s="290">
        <f>AU143-AU131</f>
        <v/>
      </c>
      <c r="AW143" s="327" t="n"/>
      <c r="AX143" s="329" t="n"/>
      <c r="AY143" s="15" t="n"/>
      <c r="AZ143" s="15" t="n"/>
      <c r="BA143" s="324" t="n"/>
      <c r="BB143" s="324" t="n"/>
      <c r="BC143" s="324" t="n"/>
      <c r="BD143" s="324" t="n"/>
      <c r="BE143" s="324" t="n"/>
      <c r="BF143" s="324" t="n"/>
      <c r="BG143" s="324" t="n"/>
      <c r="BH143" s="324" t="n"/>
      <c r="BI143" s="324" t="n"/>
      <c r="BJ143" s="324" t="n"/>
      <c r="BK143" s="288" t="n"/>
      <c r="BL143" s="324" t="n"/>
      <c r="BM143" s="324" t="n"/>
      <c r="BN143" s="324" t="n"/>
      <c r="BO143" s="324" t="n"/>
      <c r="BP143" s="324" t="n"/>
      <c r="BQ143" s="324" t="n"/>
      <c r="BR143" s="324" t="n"/>
      <c r="BS143" s="324" t="n"/>
      <c r="BT143" s="324" t="n"/>
      <c r="BU143" s="324" t="n"/>
      <c r="BV143" s="324" t="n"/>
      <c r="BW143" s="324" t="n"/>
      <c r="BX143" s="324" t="n"/>
      <c r="BY143" s="324" t="n"/>
      <c r="BZ143" s="324" t="n"/>
      <c r="CA143" s="324" t="n"/>
      <c r="CB143" s="324" t="n"/>
      <c r="CC143" s="324" t="n"/>
      <c r="CD143" s="324" t="n"/>
      <c r="CE143" s="324" t="n"/>
      <c r="CF143" s="324" t="n"/>
      <c r="CG143" s="324" t="n"/>
      <c r="CH143" s="324" t="n"/>
      <c r="CI143" s="324" t="n"/>
      <c r="CJ143" s="324" t="n"/>
      <c r="CK143" s="324" t="n"/>
      <c r="CL143" s="324" t="n"/>
      <c r="CM143" s="324" t="n"/>
      <c r="CN143" s="324" t="n"/>
      <c r="CW143" s="324" t="n"/>
      <c r="CX143" s="324" t="n"/>
      <c r="CY143" s="324" t="n"/>
      <c r="CZ143" s="324" t="n"/>
      <c r="DA143" s="324" t="n"/>
      <c r="DB143" s="324" t="n"/>
      <c r="DC143" s="324" t="n"/>
      <c r="DD143" s="324" t="n"/>
      <c r="DE143" s="325" t="n"/>
      <c r="DF143" s="325" t="n"/>
    </row>
    <row r="144" customFormat="1" s="62">
      <c r="A144" s="326" t="inlineStr">
        <is>
          <t>18Q2</t>
        </is>
      </c>
      <c r="B144" s="329" t="n">
        <v>75670</v>
      </c>
      <c r="C144" s="112">
        <f>B144/(SUM(B43:B45))-1</f>
        <v/>
      </c>
      <c r="D144" s="15" t="n"/>
      <c r="E144" s="329" t="n">
        <v>52097.99</v>
      </c>
      <c r="F144" s="112">
        <f>E144/(SUM(E43:E45))-1</f>
        <v/>
      </c>
      <c r="G144" s="15" t="n"/>
      <c r="H144" s="329" t="n">
        <v>22489.61</v>
      </c>
      <c r="I144" s="112">
        <f>H144/(SUM(H43:H45))-1</f>
        <v/>
      </c>
      <c r="J144" s="15" t="n"/>
      <c r="K144" s="329" t="n">
        <v>1082.4</v>
      </c>
      <c r="L144" s="112">
        <f>K144/(SUM(K43:K45))-1</f>
        <v/>
      </c>
      <c r="M144" s="15" t="n"/>
      <c r="N144" s="329" t="n">
        <v>62420.34999999999</v>
      </c>
      <c r="O144" s="112">
        <f>N144/(SUM(N43:N45))-1</f>
        <v/>
      </c>
      <c r="P144" s="15" t="n"/>
      <c r="Q144" s="329" t="n">
        <v>43178.77</v>
      </c>
      <c r="R144" s="112">
        <f>Q144/(SUM(Q43:Q45))-1</f>
        <v/>
      </c>
      <c r="S144" s="15" t="n"/>
      <c r="T144" s="329" t="n">
        <v>18419.69</v>
      </c>
      <c r="U144" s="112">
        <f>T144/(SUM(T43:T45))-1</f>
        <v/>
      </c>
      <c r="V144" s="15" t="n"/>
      <c r="W144" s="329" t="n">
        <v>821.8899999999999</v>
      </c>
      <c r="X144" s="112">
        <f>W144/(SUM(W43:W45))-1</f>
        <v/>
      </c>
      <c r="Y144" s="15" t="n"/>
      <c r="Z144" s="329" t="n">
        <v>34100.67</v>
      </c>
      <c r="AA144" s="112">
        <f>Z144/(SUM(Z43:Z45))-1</f>
        <v/>
      </c>
      <c r="AB144" s="15" t="n"/>
      <c r="AC144" s="329" t="n">
        <v>29085.52</v>
      </c>
      <c r="AD144" s="112">
        <f>AC144/(SUM(AC43:AC45))-1</f>
        <v/>
      </c>
      <c r="AE144" s="15" t="n"/>
      <c r="AF144" s="329" t="n">
        <v>4385.43</v>
      </c>
      <c r="AG144" s="112">
        <f>AF144/(SUM(AF43:AF45))-1</f>
        <v/>
      </c>
      <c r="AH144" s="15" t="n"/>
      <c r="AI144" s="329" t="n">
        <v>629.72</v>
      </c>
      <c r="AJ144" s="112">
        <f>AI144/(SUM(AI43:AI45))-1</f>
        <v/>
      </c>
      <c r="AK144" s="15" t="n"/>
      <c r="AL144" s="314" t="n">
        <v>82.50333333333334</v>
      </c>
      <c r="AM144" s="290">
        <f>AL144-AL132</f>
        <v/>
      </c>
      <c r="AN144" s="15" t="n"/>
      <c r="AO144" s="314" t="n">
        <v>82.89666666666666</v>
      </c>
      <c r="AP144" s="290">
        <f>AO144-AO132</f>
        <v/>
      </c>
      <c r="AQ144" s="327" t="n"/>
      <c r="AR144" s="314" t="n">
        <v>81.91333333333334</v>
      </c>
      <c r="AS144" s="290">
        <f>AR144-AR132</f>
        <v/>
      </c>
      <c r="AT144" s="327" t="n"/>
      <c r="AU144" s="314" t="n">
        <v>75.95333333333333</v>
      </c>
      <c r="AV144" s="290">
        <f>AU144-AU132</f>
        <v/>
      </c>
      <c r="AW144" s="327" t="n"/>
      <c r="AX144" s="329" t="n"/>
      <c r="AY144" s="15" t="n"/>
      <c r="AZ144" s="15" t="n"/>
      <c r="BA144" s="324" t="n"/>
      <c r="BB144" s="324" t="n"/>
      <c r="BC144" s="324" t="n"/>
      <c r="BD144" s="324" t="n"/>
      <c r="BE144" s="324" t="n"/>
      <c r="BF144" s="324" t="n"/>
      <c r="BG144" s="324" t="n"/>
      <c r="BH144" s="324" t="n"/>
      <c r="BI144" s="324" t="n"/>
      <c r="BJ144" s="324" t="n"/>
      <c r="BK144" s="288" t="n"/>
      <c r="BL144" s="324" t="n"/>
      <c r="BM144" s="324" t="n"/>
      <c r="BN144" s="324" t="n"/>
      <c r="BO144" s="324" t="n"/>
      <c r="BP144" s="324" t="n"/>
      <c r="BQ144" s="324" t="n"/>
      <c r="BR144" s="324" t="n"/>
      <c r="BS144" s="324" t="n"/>
      <c r="BT144" s="324" t="n"/>
      <c r="BU144" s="324" t="n"/>
      <c r="BV144" s="324" t="n"/>
      <c r="BW144" s="324" t="n"/>
      <c r="BX144" s="324" t="n"/>
      <c r="BY144" s="324" t="n"/>
      <c r="BZ144" s="324" t="n"/>
      <c r="CA144" s="324" t="n"/>
      <c r="CB144" s="324" t="n"/>
      <c r="CC144" s="324" t="n"/>
      <c r="CD144" s="324" t="n"/>
      <c r="CE144" s="324" t="n"/>
      <c r="CF144" s="324" t="n"/>
      <c r="CG144" s="324" t="n"/>
      <c r="CH144" s="324" t="n"/>
      <c r="CI144" s="324" t="n"/>
      <c r="CJ144" s="324" t="n"/>
      <c r="CK144" s="324" t="n"/>
      <c r="CL144" s="324" t="n"/>
      <c r="CM144" s="324" t="n"/>
      <c r="CN144" s="324" t="n"/>
      <c r="CW144" s="324" t="n"/>
      <c r="CX144" s="324" t="n"/>
      <c r="CY144" s="324" t="n"/>
      <c r="CZ144" s="324" t="n"/>
      <c r="DA144" s="324" t="n"/>
      <c r="DB144" s="324" t="n"/>
      <c r="DC144" s="324" t="n"/>
      <c r="DD144" s="324" t="n"/>
      <c r="DE144" s="325" t="n"/>
      <c r="DF144" s="325" t="n"/>
    </row>
    <row r="145" customFormat="1" s="62">
      <c r="A145" s="326" t="inlineStr">
        <is>
          <t>18Q3</t>
        </is>
      </c>
      <c r="B145" s="329" t="n">
        <v>82740.39</v>
      </c>
      <c r="C145" s="112">
        <f>B145/(SUM(B46:B48))-1</f>
        <v/>
      </c>
      <c r="D145" s="15" t="n"/>
      <c r="E145" s="329" t="n">
        <v>56766.21999999999</v>
      </c>
      <c r="F145" s="112">
        <f>E145/(SUM(E46:E48))-1</f>
        <v/>
      </c>
      <c r="G145" s="15" t="n"/>
      <c r="H145" s="329" t="n">
        <v>24818.48</v>
      </c>
      <c r="I145" s="112">
        <f>H145/(SUM(H46:H48))-1</f>
        <v/>
      </c>
      <c r="J145" s="15" t="n"/>
      <c r="K145" s="329" t="n">
        <v>1155.69</v>
      </c>
      <c r="L145" s="112">
        <f>K145/(SUM(K46:K48))-1</f>
        <v/>
      </c>
      <c r="M145" s="15" t="n"/>
      <c r="N145" s="329" t="n">
        <v>69008</v>
      </c>
      <c r="O145" s="112">
        <f>N145/(SUM(N46:N48))-1</f>
        <v/>
      </c>
      <c r="P145" s="15" t="n"/>
      <c r="Q145" s="329" t="n">
        <v>47756.09</v>
      </c>
      <c r="R145" s="112">
        <f>Q145/(SUM(Q46:Q48))-1</f>
        <v/>
      </c>
      <c r="S145" s="15" t="n"/>
      <c r="T145" s="329" t="n">
        <v>20367.21</v>
      </c>
      <c r="U145" s="112">
        <f>T145/(SUM(T46:T48))-1</f>
        <v/>
      </c>
      <c r="V145" s="15" t="n"/>
      <c r="W145" s="329" t="n">
        <v>884.7099999999999</v>
      </c>
      <c r="X145" s="112">
        <f>W145/(SUM(W46:W48))-1</f>
        <v/>
      </c>
      <c r="Y145" s="15" t="n"/>
      <c r="Z145" s="329" t="n">
        <v>37232.48</v>
      </c>
      <c r="AA145" s="112">
        <f>Z145/(SUM(Z46:Z48))-1</f>
        <v/>
      </c>
      <c r="AB145" s="15" t="n"/>
      <c r="AC145" s="329" t="n">
        <v>31916.29</v>
      </c>
      <c r="AD145" s="112">
        <f>AC145/(SUM(AC46:AC48))-1</f>
        <v/>
      </c>
      <c r="AE145" s="15" t="n"/>
      <c r="AF145" s="329" t="n">
        <v>4653.849999999999</v>
      </c>
      <c r="AG145" s="112">
        <f>AF145/(SUM(AF46:AF48))-1</f>
        <v/>
      </c>
      <c r="AH145" s="15" t="n"/>
      <c r="AI145" s="329" t="n">
        <v>662.34</v>
      </c>
      <c r="AJ145" s="112">
        <f>AI145/(SUM(AI46:AI48))-1</f>
        <v/>
      </c>
      <c r="AK145" s="15" t="n"/>
      <c r="AL145" s="314" t="n">
        <v>83.35666666666667</v>
      </c>
      <c r="AM145" s="290">
        <f>AL145-AL133</f>
        <v/>
      </c>
      <c r="AN145" s="15" t="n"/>
      <c r="AO145" s="314" t="n">
        <v>84.07333333333334</v>
      </c>
      <c r="AP145" s="290">
        <f>AO145-AO133</f>
        <v/>
      </c>
      <c r="AQ145" s="327" t="n"/>
      <c r="AR145" s="314" t="n">
        <v>82.02666666666666</v>
      </c>
      <c r="AS145" s="290">
        <f>AR145-AR133</f>
        <v/>
      </c>
      <c r="AT145" s="327" t="n"/>
      <c r="AU145" s="314" t="n">
        <v>76.48</v>
      </c>
      <c r="AV145" s="290">
        <f>AU145-AU133</f>
        <v/>
      </c>
      <c r="AW145" s="327" t="n"/>
      <c r="AX145" s="329" t="n"/>
      <c r="AY145" s="15" t="n"/>
      <c r="AZ145" s="15" t="n"/>
      <c r="BA145" s="324" t="n"/>
      <c r="BB145" s="324" t="n"/>
      <c r="BC145" s="324" t="n"/>
      <c r="BD145" s="324" t="n"/>
      <c r="BE145" s="324" t="n"/>
      <c r="BF145" s="324" t="n"/>
      <c r="BG145" s="324" t="n"/>
      <c r="BH145" s="324" t="n"/>
      <c r="BI145" s="324" t="n"/>
      <c r="BJ145" s="324" t="n"/>
      <c r="BK145" s="288" t="n"/>
      <c r="BL145" s="324" t="n"/>
      <c r="BM145" s="324" t="n"/>
      <c r="BN145" s="324" t="n"/>
      <c r="BO145" s="324" t="n"/>
      <c r="BP145" s="324" t="n"/>
      <c r="BQ145" s="324" t="n"/>
      <c r="BR145" s="324" t="n"/>
      <c r="BS145" s="324" t="n"/>
      <c r="BT145" s="324" t="n"/>
      <c r="BU145" s="324" t="n"/>
      <c r="BV145" s="324" t="n"/>
      <c r="BW145" s="324" t="n"/>
      <c r="BX145" s="324" t="n"/>
      <c r="BY145" s="324" t="n"/>
      <c r="BZ145" s="324" t="n"/>
      <c r="CA145" s="324" t="n"/>
      <c r="CB145" s="324" t="n"/>
      <c r="CC145" s="324" t="n"/>
      <c r="CD145" s="324" t="n"/>
      <c r="CE145" s="324" t="n"/>
      <c r="CF145" s="324" t="n"/>
      <c r="CG145" s="324" t="n"/>
      <c r="CH145" s="324" t="n"/>
      <c r="CI145" s="324" t="n"/>
      <c r="CJ145" s="324" t="n"/>
      <c r="CK145" s="324" t="n"/>
      <c r="CL145" s="324" t="n"/>
      <c r="CM145" s="324" t="n"/>
      <c r="CN145" s="324" t="n"/>
      <c r="CW145" s="324" t="n"/>
      <c r="CX145" s="324" t="n"/>
      <c r="CY145" s="324" t="n"/>
      <c r="CZ145" s="324" t="n"/>
      <c r="DA145" s="324" t="n"/>
      <c r="DB145" s="324" t="n"/>
      <c r="DC145" s="324" t="n"/>
      <c r="DD145" s="324" t="n"/>
      <c r="DE145" s="325" t="n"/>
      <c r="DF145" s="325" t="n"/>
    </row>
    <row r="146" customFormat="1" s="62">
      <c r="A146" s="326" t="inlineStr">
        <is>
          <t>18Q4</t>
        </is>
      </c>
      <c r="B146" s="329" t="n">
        <v>80951.47</v>
      </c>
      <c r="C146" s="112">
        <f>B146/(SUM(B49:B51))-1</f>
        <v/>
      </c>
      <c r="D146" s="15" t="n"/>
      <c r="E146" s="329" t="n">
        <v>55502.04</v>
      </c>
      <c r="F146" s="112">
        <f>E146/(SUM(E49:E51))-1</f>
        <v/>
      </c>
      <c r="G146" s="15" t="n"/>
      <c r="H146" s="329" t="n">
        <v>24345.78</v>
      </c>
      <c r="I146" s="112">
        <f>H146/(SUM(H49:H51))-1</f>
        <v/>
      </c>
      <c r="J146" s="15" t="n"/>
      <c r="K146" s="329" t="n">
        <v>1103.66</v>
      </c>
      <c r="L146" s="112">
        <f>K146/(SUM(K49:K51))-1</f>
        <v/>
      </c>
      <c r="M146" s="15" t="n"/>
      <c r="N146" s="329" t="n">
        <v>65900.64999999999</v>
      </c>
      <c r="O146" s="112">
        <f>N146/(SUM(N49:N51))-1</f>
        <v/>
      </c>
      <c r="P146" s="15" t="n"/>
      <c r="Q146" s="329" t="n">
        <v>45291.18</v>
      </c>
      <c r="R146" s="112">
        <f>Q146/(SUM(Q49:Q51))-1</f>
        <v/>
      </c>
      <c r="S146" s="15" t="n"/>
      <c r="T146" s="329" t="n">
        <v>19775.49</v>
      </c>
      <c r="U146" s="112">
        <f>T146/(SUM(T49:T51))-1</f>
        <v/>
      </c>
      <c r="V146" s="15" t="n"/>
      <c r="W146" s="329" t="n">
        <v>833.98</v>
      </c>
      <c r="X146" s="112">
        <f>W146/(SUM(W49:W51))-1</f>
        <v/>
      </c>
      <c r="Y146" s="15" t="n"/>
      <c r="Z146" s="329" t="n">
        <v>35298.14</v>
      </c>
      <c r="AA146" s="112">
        <f>Z146/(SUM(Z49:Z51))-1</f>
        <v/>
      </c>
      <c r="AB146" s="15" t="n"/>
      <c r="AC146" s="329" t="n">
        <v>30168.85</v>
      </c>
      <c r="AD146" s="112">
        <f>AC146/(SUM(AC49:AC51))-1</f>
        <v/>
      </c>
      <c r="AE146" s="15" t="n"/>
      <c r="AF146" s="329" t="n">
        <v>4489.68</v>
      </c>
      <c r="AG146" s="112">
        <f>AF146/(SUM(AF49:AF51))-1</f>
        <v/>
      </c>
      <c r="AH146" s="15" t="n"/>
      <c r="AI146" s="329" t="n">
        <v>639.61</v>
      </c>
      <c r="AJ146" s="112">
        <f>AI146/(SUM(AI49:AI51))-1</f>
        <v/>
      </c>
      <c r="AK146" s="15" t="n"/>
      <c r="AL146" s="314" t="n">
        <v>81.39666666666666</v>
      </c>
      <c r="AM146" s="290">
        <f>AL146-AL134</f>
        <v/>
      </c>
      <c r="AN146" s="15" t="n"/>
      <c r="AO146" s="314" t="n">
        <v>81.58666666666666</v>
      </c>
      <c r="AP146" s="290">
        <f>AO146-AO134</f>
        <v/>
      </c>
      <c r="AQ146" s="327" t="n"/>
      <c r="AR146" s="314" t="n">
        <v>81.19</v>
      </c>
      <c r="AS146" s="290">
        <f>AR146-AR134</f>
        <v/>
      </c>
      <c r="AT146" s="327" t="n"/>
      <c r="AU146" s="314" t="n">
        <v>75.59666666666666</v>
      </c>
      <c r="AV146" s="290">
        <f>AU146-AU134</f>
        <v/>
      </c>
      <c r="AW146" s="327" t="n"/>
      <c r="AX146" s="329" t="n"/>
      <c r="AY146" s="15" t="n"/>
      <c r="AZ146" s="15" t="n"/>
      <c r="BA146" s="324" t="n"/>
      <c r="BB146" s="324" t="n"/>
      <c r="BC146" s="324" t="n"/>
      <c r="BD146" s="324" t="n"/>
      <c r="BE146" s="324" t="n"/>
      <c r="BF146" s="324" t="n"/>
      <c r="BG146" s="324" t="n"/>
      <c r="BH146" s="324" t="n"/>
      <c r="BI146" s="324" t="n"/>
      <c r="BJ146" s="324" t="n"/>
      <c r="BK146" s="288" t="n"/>
      <c r="BL146" s="324" t="n"/>
      <c r="BM146" s="324" t="n"/>
      <c r="BN146" s="324" t="n"/>
      <c r="BO146" s="324" t="n"/>
      <c r="BP146" s="324" t="n"/>
      <c r="BQ146" s="324" t="n"/>
      <c r="BR146" s="324" t="n"/>
      <c r="BS146" s="324" t="n"/>
      <c r="BT146" s="324" t="n"/>
      <c r="BU146" s="324" t="n"/>
      <c r="BV146" s="324" t="n"/>
      <c r="BW146" s="324" t="n"/>
      <c r="BX146" s="324" t="n"/>
      <c r="BY146" s="324" t="n"/>
      <c r="BZ146" s="324" t="n"/>
      <c r="CA146" s="324" t="n"/>
      <c r="CB146" s="324" t="n"/>
      <c r="CC146" s="324" t="n"/>
      <c r="CD146" s="324" t="n"/>
      <c r="CE146" s="324" t="n"/>
      <c r="CF146" s="324" t="n"/>
      <c r="CG146" s="324" t="n"/>
      <c r="CH146" s="324" t="n"/>
      <c r="CI146" s="324" t="n"/>
      <c r="CJ146" s="324" t="n"/>
      <c r="CK146" s="324" t="n"/>
      <c r="CL146" s="324" t="n"/>
      <c r="CM146" s="324" t="n"/>
      <c r="CN146" s="324" t="n"/>
      <c r="CW146" s="324" t="n"/>
      <c r="CX146" s="324" t="n"/>
      <c r="CY146" s="324" t="n"/>
      <c r="CZ146" s="324" t="n"/>
      <c r="DA146" s="324" t="n"/>
      <c r="DB146" s="324" t="n"/>
      <c r="DC146" s="324" t="n"/>
      <c r="DD146" s="324" t="n"/>
      <c r="DE146" s="325" t="n"/>
      <c r="DF146" s="325" t="n"/>
    </row>
    <row r="147" customFormat="1" s="62">
      <c r="A147" s="326" t="n"/>
      <c r="B147" s="28" t="n"/>
      <c r="C147" s="112" t="n"/>
      <c r="D147" s="15" t="n"/>
      <c r="E147" s="28" t="n"/>
      <c r="F147" s="112" t="n"/>
      <c r="G147" s="15" t="n"/>
      <c r="H147" s="28" t="n"/>
      <c r="I147" s="112" t="n"/>
      <c r="J147" s="15" t="n"/>
      <c r="K147" s="28" t="n"/>
      <c r="L147" s="112" t="n"/>
      <c r="M147" s="15" t="n"/>
      <c r="N147" s="28" t="n"/>
      <c r="O147" s="112" t="n"/>
      <c r="P147" s="15" t="n"/>
      <c r="Q147" s="28" t="n"/>
      <c r="R147" s="112" t="n"/>
      <c r="S147" s="15" t="n"/>
      <c r="T147" s="28" t="n"/>
      <c r="U147" s="112" t="n"/>
      <c r="V147" s="15" t="n"/>
      <c r="W147" s="28" t="n"/>
      <c r="X147" s="112" t="n"/>
      <c r="Y147" s="15" t="n"/>
      <c r="Z147" s="28" t="n"/>
      <c r="AA147" s="112" t="n"/>
      <c r="AB147" s="15" t="n"/>
      <c r="AC147" s="28" t="n"/>
      <c r="AD147" s="112" t="n"/>
      <c r="AE147" s="15" t="n"/>
      <c r="AF147" s="28" t="n"/>
      <c r="AG147" s="112" t="n"/>
      <c r="AH147" s="15" t="n"/>
      <c r="AI147" s="28" t="n"/>
      <c r="AJ147" s="112" t="n"/>
      <c r="AK147" s="15" t="n"/>
      <c r="AL147" s="28" t="n"/>
      <c r="AM147" s="31" t="n"/>
      <c r="AN147" s="15" t="n"/>
      <c r="AO147" s="28" t="n"/>
      <c r="AP147" s="31" t="n"/>
      <c r="AQ147" s="327" t="n"/>
      <c r="AR147" s="28" t="n"/>
      <c r="AS147" s="31" t="n"/>
      <c r="AT147" s="327" t="n"/>
      <c r="AU147" s="28" t="n"/>
      <c r="AV147" s="31" t="n"/>
      <c r="AW147" s="327" t="n"/>
      <c r="AX147" s="28" t="n"/>
      <c r="AY147" s="15" t="n"/>
      <c r="AZ147" s="15" t="n"/>
      <c r="BA147" s="324" t="n"/>
      <c r="BB147" s="324" t="n"/>
      <c r="BC147" s="324" t="n"/>
      <c r="BD147" s="324" t="n"/>
      <c r="BE147" s="324" t="n"/>
      <c r="BF147" s="324" t="n"/>
      <c r="BG147" s="324" t="n"/>
      <c r="BH147" s="324" t="n"/>
      <c r="BI147" s="324" t="n"/>
      <c r="BJ147" s="324" t="n"/>
      <c r="BK147" s="288" t="n"/>
      <c r="BL147" s="324" t="n"/>
      <c r="BM147" s="324" t="n"/>
      <c r="BN147" s="324" t="n"/>
      <c r="BO147" s="324" t="n"/>
      <c r="BP147" s="324" t="n"/>
      <c r="BQ147" s="324" t="n"/>
      <c r="BR147" s="324" t="n"/>
      <c r="BS147" s="324" t="n"/>
      <c r="BT147" s="324" t="n"/>
      <c r="BU147" s="324" t="n"/>
      <c r="BV147" s="324" t="n"/>
      <c r="BW147" s="324" t="n"/>
      <c r="BX147" s="324" t="n"/>
      <c r="BY147" s="324" t="n"/>
      <c r="BZ147" s="324" t="n"/>
      <c r="CA147" s="324" t="n"/>
      <c r="CB147" s="324" t="n"/>
      <c r="CC147" s="324" t="n"/>
      <c r="CD147" s="324" t="n"/>
      <c r="CE147" s="324" t="n"/>
      <c r="CF147" s="324" t="n"/>
      <c r="CG147" s="324" t="n"/>
      <c r="CH147" s="324" t="n"/>
      <c r="CI147" s="324" t="n"/>
      <c r="CJ147" s="324" t="n"/>
      <c r="CK147" s="324" t="n"/>
      <c r="CL147" s="324" t="n"/>
      <c r="CM147" s="324" t="n"/>
      <c r="CN147" s="324" t="n"/>
      <c r="CW147" s="324" t="n"/>
      <c r="CX147" s="324" t="n"/>
      <c r="CY147" s="324" t="n"/>
      <c r="CZ147" s="324" t="n"/>
      <c r="DA147" s="324" t="n"/>
      <c r="DB147" s="324" t="n"/>
      <c r="DC147" s="324" t="n"/>
      <c r="DD147" s="324" t="n"/>
      <c r="DE147" s="325" t="n"/>
      <c r="DF147" s="325" t="n"/>
    </row>
    <row r="148" customFormat="1" s="62">
      <c r="A148" s="330" t="inlineStr">
        <is>
          <t>19Q1</t>
        </is>
      </c>
      <c r="B148" s="329" t="n">
        <v>83512.61</v>
      </c>
      <c r="C148" s="112">
        <f>B148/B143-1</f>
        <v/>
      </c>
      <c r="D148" s="15" t="n"/>
      <c r="E148" s="329" t="n">
        <v>57176.89</v>
      </c>
      <c r="F148" s="112">
        <f>E148/E143-1</f>
        <v/>
      </c>
      <c r="G148" s="15" t="n"/>
      <c r="H148" s="329" t="n">
        <v>25190.99</v>
      </c>
      <c r="I148" s="112">
        <f>H148/H143-1</f>
        <v/>
      </c>
      <c r="J148" s="15" t="n"/>
      <c r="K148" s="329" t="n">
        <v>1144.72</v>
      </c>
      <c r="L148" s="112">
        <f>K148/K143-1</f>
        <v/>
      </c>
      <c r="M148" s="15" t="n"/>
      <c r="N148" s="329" t="n">
        <v>69215.41</v>
      </c>
      <c r="O148" s="112">
        <f>N148/N143-1</f>
        <v/>
      </c>
      <c r="P148" s="15" t="n"/>
      <c r="Q148" s="329" t="n">
        <v>47207.27</v>
      </c>
      <c r="R148" s="112">
        <f>Q148/Q143-1</f>
        <v/>
      </c>
      <c r="S148" s="15" t="n"/>
      <c r="T148" s="329" t="n">
        <v>21135.87</v>
      </c>
      <c r="U148" s="112">
        <f>T148/T143-1</f>
        <v/>
      </c>
      <c r="V148" s="15" t="n"/>
      <c r="W148" s="329" t="n">
        <v>872.2900000000002</v>
      </c>
      <c r="X148" s="112">
        <f>W148/W143-1</f>
        <v/>
      </c>
      <c r="Y148" s="15" t="n"/>
      <c r="Z148" s="329" t="n">
        <v>36378.07</v>
      </c>
      <c r="AA148" s="112">
        <f>Z148/Z143-1</f>
        <v/>
      </c>
      <c r="AB148" s="15" t="n"/>
      <c r="AC148" s="329" t="n">
        <v>30785.98</v>
      </c>
      <c r="AD148" s="112">
        <f>AC148/AC143-1</f>
        <v/>
      </c>
      <c r="AE148" s="15" t="n"/>
      <c r="AF148" s="329" t="n">
        <v>4921.16</v>
      </c>
      <c r="AG148" s="112">
        <f>AF148/AF143-1</f>
        <v/>
      </c>
      <c r="AH148" s="15" t="n"/>
      <c r="AI148" s="329" t="n">
        <v>670.92</v>
      </c>
      <c r="AJ148" s="112">
        <f>AI148/AI143-1</f>
        <v/>
      </c>
      <c r="AK148" s="15" t="n"/>
      <c r="AL148" s="314" t="n">
        <v>82.92666666666666</v>
      </c>
      <c r="AM148" s="290">
        <f>AL148-AL136</f>
        <v/>
      </c>
      <c r="AN148" s="15" t="n"/>
      <c r="AO148" s="314" t="n">
        <v>82.60666666666667</v>
      </c>
      <c r="AP148" s="290">
        <f>AO148-AO136</f>
        <v/>
      </c>
      <c r="AQ148" s="15" t="n"/>
      <c r="AR148" s="314" t="n">
        <v>83.92999999999999</v>
      </c>
      <c r="AS148" s="290">
        <f>AR148-AR136</f>
        <v/>
      </c>
      <c r="AT148" s="15" t="n"/>
      <c r="AU148" s="314" t="n">
        <v>76.22666666666667</v>
      </c>
      <c r="AV148" s="290">
        <f>AU148-AU136</f>
        <v/>
      </c>
      <c r="AW148" s="15" t="n"/>
      <c r="AX148" s="329" t="n"/>
      <c r="AY148" s="15" t="n"/>
      <c r="AZ148" s="15" t="n"/>
      <c r="BA148" s="324" t="n"/>
      <c r="BB148" s="324" t="n"/>
      <c r="BC148" s="324" t="n"/>
      <c r="BD148" s="324" t="n"/>
      <c r="BE148" s="324" t="n"/>
      <c r="BF148" s="324" t="n"/>
      <c r="BG148" s="324" t="n"/>
      <c r="BH148" s="324" t="n"/>
      <c r="BI148" s="324" t="n"/>
      <c r="BJ148" s="324" t="n"/>
      <c r="BK148" s="288" t="n"/>
      <c r="BL148" s="324" t="n"/>
      <c r="BM148" s="324" t="n"/>
      <c r="BN148" s="324" t="n"/>
      <c r="BO148" s="324" t="n"/>
      <c r="BP148" s="324" t="n"/>
      <c r="BQ148" s="324" t="n"/>
      <c r="BR148" s="324" t="n"/>
      <c r="BS148" s="324" t="n"/>
      <c r="BT148" s="324" t="n"/>
      <c r="BU148" s="324" t="n"/>
      <c r="BV148" s="324" t="n"/>
      <c r="BW148" s="324" t="n"/>
      <c r="BX148" s="324" t="n"/>
      <c r="BY148" s="324" t="n"/>
      <c r="BZ148" s="324" t="n"/>
      <c r="CA148" s="324" t="n"/>
      <c r="CB148" s="324" t="n"/>
      <c r="CC148" s="324" t="n"/>
      <c r="CD148" s="324" t="n"/>
      <c r="CE148" s="324" t="n"/>
      <c r="CF148" s="324" t="n"/>
      <c r="CG148" s="324" t="n"/>
      <c r="CH148" s="324" t="n"/>
      <c r="CI148" s="324" t="n"/>
      <c r="CJ148" s="324" t="n"/>
      <c r="CK148" s="324" t="n"/>
      <c r="CL148" s="324" t="n"/>
      <c r="CM148" s="324" t="n"/>
      <c r="CN148" s="324" t="n"/>
      <c r="CW148" s="324" t="n"/>
      <c r="CX148" s="324" t="n"/>
      <c r="CY148" s="324" t="n"/>
      <c r="CZ148" s="324" t="n"/>
      <c r="DA148" s="324" t="n"/>
      <c r="DB148" s="324" t="n"/>
      <c r="DC148" s="324" t="n"/>
      <c r="DD148" s="324" t="n"/>
      <c r="DE148" s="325" t="n"/>
      <c r="DF148" s="325" t="n"/>
    </row>
    <row r="149" customFormat="1" s="62">
      <c r="A149" s="326" t="inlineStr">
        <is>
          <t>19Q2</t>
        </is>
      </c>
      <c r="B149" s="329" t="n">
        <v>82504.74000000001</v>
      </c>
      <c r="C149" s="112">
        <f>B149/B144-1</f>
        <v/>
      </c>
      <c r="D149" s="15" t="n"/>
      <c r="E149" s="329" t="n">
        <v>56008.46</v>
      </c>
      <c r="F149" s="112">
        <f>E149/E144-1</f>
        <v/>
      </c>
      <c r="G149" s="15" t="n"/>
      <c r="H149" s="329" t="n">
        <v>25278.21</v>
      </c>
      <c r="I149" s="112">
        <f>H149/H144-1</f>
        <v/>
      </c>
      <c r="J149" s="15" t="n"/>
      <c r="K149" s="329" t="n">
        <v>1218.06</v>
      </c>
      <c r="L149" s="112">
        <f>K149/K144-1</f>
        <v/>
      </c>
      <c r="M149" s="15" t="n"/>
      <c r="N149" s="329" t="n">
        <v>67995.04000000001</v>
      </c>
      <c r="O149" s="112">
        <f>N149/N144-1</f>
        <v/>
      </c>
      <c r="P149" s="15" t="n"/>
      <c r="Q149" s="329" t="n">
        <v>46260.89</v>
      </c>
      <c r="R149" s="112">
        <f>Q149/Q144-1</f>
        <v/>
      </c>
      <c r="S149" s="15" t="n"/>
      <c r="T149" s="329" t="n">
        <v>20796.01</v>
      </c>
      <c r="U149" s="112">
        <f>T149/T144-1</f>
        <v/>
      </c>
      <c r="V149" s="15" t="n"/>
      <c r="W149" s="329" t="n">
        <v>938.1399999999999</v>
      </c>
      <c r="X149" s="112">
        <f>W149/W144-1</f>
        <v/>
      </c>
      <c r="Y149" s="15" t="n"/>
      <c r="Z149" s="329" t="n">
        <v>36394.49</v>
      </c>
      <c r="AA149" s="112">
        <f>Z149/Z144-1</f>
        <v/>
      </c>
      <c r="AB149" s="15" t="n"/>
      <c r="AC149" s="329" t="n">
        <v>30796.15</v>
      </c>
      <c r="AD149" s="112">
        <f>AC149/AC144-1</f>
        <v/>
      </c>
      <c r="AE149" s="15" t="n"/>
      <c r="AF149" s="329" t="n">
        <v>4904.63</v>
      </c>
      <c r="AG149" s="112">
        <f>AF149/AF144-1</f>
        <v/>
      </c>
      <c r="AH149" s="15" t="n"/>
      <c r="AI149" s="329" t="n">
        <v>693.71</v>
      </c>
      <c r="AJ149" s="112">
        <f>AI149/AI144-1</f>
        <v/>
      </c>
      <c r="AK149" s="15" t="n"/>
      <c r="AL149" s="314" t="n">
        <v>82.42</v>
      </c>
      <c r="AM149" s="290">
        <f>AL149-AL137</f>
        <v/>
      </c>
      <c r="AN149" s="15" t="n"/>
      <c r="AO149" s="314" t="n">
        <v>82.60333333333334</v>
      </c>
      <c r="AP149" s="290">
        <f>AO149-AO137</f>
        <v/>
      </c>
      <c r="AQ149" s="15" t="n"/>
      <c r="AR149" s="314" t="n">
        <v>82.26000000000001</v>
      </c>
      <c r="AS149" s="290">
        <f>AR149-AR137</f>
        <v/>
      </c>
      <c r="AT149" s="15" t="n"/>
      <c r="AU149" s="314" t="n">
        <v>77.04666666666667</v>
      </c>
      <c r="AV149" s="290">
        <f>AU149-AU137</f>
        <v/>
      </c>
      <c r="AW149" s="15" t="n"/>
      <c r="AX149" s="329" t="n"/>
      <c r="AY149" s="15" t="n"/>
      <c r="AZ149" s="15" t="n"/>
      <c r="BA149" s="324" t="n"/>
      <c r="BB149" s="324" t="n"/>
      <c r="BC149" s="324" t="n"/>
      <c r="BD149" s="324" t="n"/>
      <c r="BE149" s="324" t="n"/>
      <c r="BF149" s="324" t="n"/>
      <c r="BG149" s="324" t="n"/>
      <c r="BH149" s="324" t="n"/>
      <c r="BI149" s="324" t="n"/>
      <c r="BJ149" s="324" t="n"/>
      <c r="BK149" s="288" t="n"/>
      <c r="BL149" s="324" t="n"/>
      <c r="BM149" s="324" t="n"/>
      <c r="BN149" s="324" t="n"/>
      <c r="BO149" s="324" t="n"/>
      <c r="BP149" s="324" t="n"/>
      <c r="BQ149" s="324" t="n"/>
      <c r="BR149" s="324" t="n"/>
      <c r="BS149" s="324" t="n"/>
      <c r="BT149" s="324" t="n"/>
      <c r="BU149" s="324" t="n"/>
      <c r="BV149" s="324" t="n"/>
      <c r="BW149" s="324" t="n"/>
      <c r="BX149" s="324" t="n"/>
      <c r="BY149" s="324" t="n"/>
      <c r="BZ149" s="324" t="n"/>
      <c r="CA149" s="324" t="n"/>
      <c r="CB149" s="324" t="n"/>
      <c r="CC149" s="324" t="n"/>
      <c r="CD149" s="324" t="n"/>
      <c r="CE149" s="324" t="n"/>
      <c r="CF149" s="324" t="n"/>
      <c r="CG149" s="324" t="n"/>
      <c r="CH149" s="324" t="n"/>
      <c r="CI149" s="324" t="n"/>
      <c r="CJ149" s="324" t="n"/>
      <c r="CK149" s="324" t="n"/>
      <c r="CL149" s="324" t="n"/>
      <c r="CM149" s="324" t="n"/>
      <c r="CN149" s="324" t="n"/>
      <c r="CW149" s="324" t="n"/>
      <c r="CX149" s="324" t="n"/>
      <c r="CY149" s="324" t="n"/>
      <c r="CZ149" s="324" t="n"/>
      <c r="DA149" s="324" t="n"/>
      <c r="DB149" s="324" t="n"/>
      <c r="DC149" s="324" t="n"/>
      <c r="DD149" s="324" t="n"/>
      <c r="DE149" s="325" t="n"/>
      <c r="DF149" s="325" t="n"/>
    </row>
    <row r="150" customFormat="1" s="62">
      <c r="A150" s="326" t="inlineStr">
        <is>
          <t>19Q3</t>
        </is>
      </c>
      <c r="B150" s="329" t="n">
        <v>91646.57999999999</v>
      </c>
      <c r="C150" s="112">
        <f>B150/B145-1</f>
        <v/>
      </c>
      <c r="D150" s="15" t="n"/>
      <c r="E150" s="329" t="n">
        <v>62635.10000000001</v>
      </c>
      <c r="F150" s="112">
        <f>E150/E145-1</f>
        <v/>
      </c>
      <c r="G150" s="15" t="n"/>
      <c r="H150" s="329" t="n">
        <v>27888.37</v>
      </c>
      <c r="I150" s="112">
        <f>H150/H145-1</f>
        <v/>
      </c>
      <c r="J150" s="15" t="n"/>
      <c r="K150" s="329" t="n">
        <v>1123.11</v>
      </c>
      <c r="L150" s="112">
        <f>K150/K145-1</f>
        <v/>
      </c>
      <c r="M150" s="15" t="n"/>
      <c r="N150" s="329" t="n">
        <v>76669.22</v>
      </c>
      <c r="O150" s="112">
        <f>N150/N145-1</f>
        <v/>
      </c>
      <c r="P150" s="15" t="n"/>
      <c r="Q150" s="329" t="n">
        <v>52514.23</v>
      </c>
      <c r="R150" s="112">
        <f>Q150/Q145-1</f>
        <v/>
      </c>
      <c r="S150" s="15" t="n"/>
      <c r="T150" s="329" t="n">
        <v>23307.79</v>
      </c>
      <c r="U150" s="112">
        <f>T150/T145-1</f>
        <v/>
      </c>
      <c r="V150" s="15" t="n"/>
      <c r="W150" s="329" t="n">
        <v>847.21</v>
      </c>
      <c r="X150" s="112">
        <f>W150/W145-1</f>
        <v/>
      </c>
      <c r="Y150" s="15" t="n"/>
      <c r="Z150" s="329" t="n">
        <v>40838.59</v>
      </c>
      <c r="AA150" s="112">
        <f>Z150/Z145-1</f>
        <v/>
      </c>
      <c r="AB150" s="15" t="n"/>
      <c r="AC150" s="329" t="n">
        <v>34694.66</v>
      </c>
      <c r="AD150" s="112">
        <f>AC150/AC145-1</f>
        <v/>
      </c>
      <c r="AE150" s="15" t="n"/>
      <c r="AF150" s="329" t="n">
        <v>5513.64</v>
      </c>
      <c r="AG150" s="112">
        <f>AF150/AF145-1</f>
        <v/>
      </c>
      <c r="AH150" s="15" t="n"/>
      <c r="AI150" s="329" t="n">
        <v>630.29</v>
      </c>
      <c r="AJ150" s="112">
        <f>AI150/AI145-1</f>
        <v/>
      </c>
      <c r="AK150" s="15" t="n"/>
      <c r="AL150" s="314" t="n">
        <v>83.60000000000001</v>
      </c>
      <c r="AM150" s="290">
        <f>AL150-AL138</f>
        <v/>
      </c>
      <c r="AN150" s="15" t="n"/>
      <c r="AO150" s="314" t="n">
        <v>83.8</v>
      </c>
      <c r="AP150" s="290">
        <f>AO150-AO138</f>
        <v/>
      </c>
      <c r="AQ150" s="15" t="n"/>
      <c r="AR150" s="314" t="n">
        <v>83.49333333333334</v>
      </c>
      <c r="AS150" s="290">
        <f>AR150-AR138</f>
        <v/>
      </c>
      <c r="AT150" s="15" t="n"/>
      <c r="AU150" s="314" t="n">
        <v>74.89666666666666</v>
      </c>
      <c r="AV150" s="290">
        <f>AU150-AU138</f>
        <v/>
      </c>
      <c r="AW150" s="15" t="n"/>
      <c r="AX150" s="329" t="n"/>
      <c r="AY150" s="15" t="n"/>
      <c r="AZ150" s="15" t="n"/>
      <c r="BA150" s="324" t="n"/>
      <c r="BB150" s="324" t="n"/>
      <c r="BC150" s="324" t="n"/>
      <c r="BD150" s="324" t="n"/>
      <c r="BE150" s="324" t="n"/>
      <c r="BF150" s="324" t="n"/>
      <c r="BG150" s="324" t="n"/>
      <c r="BH150" s="324" t="n"/>
      <c r="BI150" s="324" t="n"/>
      <c r="BJ150" s="324" t="n"/>
      <c r="BK150" s="288" t="n"/>
      <c r="BL150" s="324" t="n"/>
      <c r="BM150" s="324" t="n"/>
      <c r="BN150" s="324" t="n"/>
      <c r="BO150" s="324" t="n"/>
      <c r="BP150" s="324" t="n"/>
      <c r="BQ150" s="324" t="n"/>
      <c r="BR150" s="324" t="n"/>
      <c r="BS150" s="324" t="n"/>
      <c r="BT150" s="324" t="n"/>
      <c r="BU150" s="324" t="n"/>
      <c r="BV150" s="324" t="n"/>
      <c r="BW150" s="324" t="n"/>
      <c r="BX150" s="324" t="n"/>
      <c r="BY150" s="324" t="n"/>
      <c r="BZ150" s="324" t="n"/>
      <c r="CA150" s="324" t="n"/>
      <c r="CB150" s="324" t="n"/>
      <c r="CC150" s="324" t="n"/>
      <c r="CD150" s="324" t="n"/>
      <c r="CE150" s="324" t="n"/>
      <c r="CF150" s="324" t="n"/>
      <c r="CG150" s="324" t="n"/>
      <c r="CH150" s="324" t="n"/>
      <c r="CI150" s="324" t="n"/>
      <c r="CJ150" s="324" t="n"/>
      <c r="CK150" s="324" t="n"/>
      <c r="CL150" s="324" t="n"/>
      <c r="CM150" s="324" t="n"/>
      <c r="CN150" s="324" t="n"/>
      <c r="CW150" s="324" t="n"/>
      <c r="CX150" s="324" t="n"/>
      <c r="CY150" s="324" t="n"/>
      <c r="CZ150" s="324" t="n"/>
      <c r="DA150" s="324" t="n"/>
      <c r="DB150" s="324" t="n"/>
      <c r="DC150" s="324" t="n"/>
      <c r="DD150" s="324" t="n"/>
      <c r="DE150" s="325" t="n"/>
      <c r="DF150" s="325" t="n"/>
    </row>
    <row r="151" customFormat="1" s="62">
      <c r="A151" s="331" t="inlineStr">
        <is>
          <t>19Q4</t>
        </is>
      </c>
      <c r="B151" s="329" t="n">
        <v>86378.00999999999</v>
      </c>
      <c r="C151" s="33">
        <f>B151/B146-1</f>
        <v/>
      </c>
      <c r="D151" s="33" t="n"/>
      <c r="E151" s="329" t="n">
        <v>59373.42999999999</v>
      </c>
      <c r="F151" s="33">
        <f>E151/E146-1</f>
        <v/>
      </c>
      <c r="G151" s="33" t="n"/>
      <c r="H151" s="329" t="n">
        <v>26121.1</v>
      </c>
      <c r="I151" s="33">
        <f>H151/H146-1</f>
        <v/>
      </c>
      <c r="J151" s="33" t="n"/>
      <c r="K151" s="329" t="n">
        <v>883.49</v>
      </c>
      <c r="L151" s="33">
        <f>K151/K146-1</f>
        <v/>
      </c>
      <c r="M151" s="33" t="n"/>
      <c r="N151" s="329" t="n">
        <v>71012.89</v>
      </c>
      <c r="O151" s="33">
        <f>N151/N146-1</f>
        <v/>
      </c>
      <c r="P151" s="33" t="n"/>
      <c r="Q151" s="329" t="n">
        <v>49230.72</v>
      </c>
      <c r="R151" s="33">
        <f>Q151/Q146-1</f>
        <v/>
      </c>
      <c r="S151" s="33" t="n"/>
      <c r="T151" s="329" t="n">
        <v>21179.89</v>
      </c>
      <c r="U151" s="33">
        <f>T151/T146-1</f>
        <v/>
      </c>
      <c r="V151" s="33" t="n"/>
      <c r="W151" s="329" t="n">
        <v>602.28</v>
      </c>
      <c r="X151" s="33">
        <f>W151/W146-1</f>
        <v/>
      </c>
      <c r="Y151" s="33" t="n"/>
      <c r="Z151" s="329" t="n">
        <v>38012.43</v>
      </c>
      <c r="AA151" s="33">
        <f>Z151/Z146-1</f>
        <v/>
      </c>
      <c r="AB151" s="33" t="n"/>
      <c r="AC151" s="329" t="n">
        <v>32421.85</v>
      </c>
      <c r="AD151" s="33">
        <f>AC151/AC146-1</f>
        <v/>
      </c>
      <c r="AE151" s="33" t="n"/>
      <c r="AF151" s="329" t="n">
        <v>5104.64</v>
      </c>
      <c r="AG151" s="33">
        <f>AF151/AF146-1</f>
        <v/>
      </c>
      <c r="AH151" s="33" t="n"/>
      <c r="AI151" s="329" t="n">
        <v>485.95</v>
      </c>
      <c r="AJ151" s="33">
        <f>AI151/AI146-1</f>
        <v/>
      </c>
      <c r="AK151" s="33" t="n"/>
      <c r="AL151" s="314" t="n">
        <v>82.20666666666666</v>
      </c>
      <c r="AM151" s="332">
        <f>AL151-AL139</f>
        <v/>
      </c>
      <c r="AN151" s="34" t="n"/>
      <c r="AO151" s="314" t="n">
        <v>82.89333333333333</v>
      </c>
      <c r="AP151" s="332">
        <f>AO151-AO139</f>
        <v/>
      </c>
      <c r="AQ151" s="34" t="n"/>
      <c r="AR151" s="314" t="n">
        <v>81.05333333333334</v>
      </c>
      <c r="AS151" s="332">
        <f>AR151-AR139</f>
        <v/>
      </c>
      <c r="AT151" s="333" t="n"/>
      <c r="AU151" s="314" t="n">
        <v>68.23666666666666</v>
      </c>
      <c r="AV151" s="332">
        <f>AU151-AU139</f>
        <v/>
      </c>
      <c r="AW151" s="34" t="n"/>
      <c r="AX151" s="334" t="n"/>
      <c r="AY151" s="33" t="n"/>
      <c r="AZ151" s="324" t="n"/>
      <c r="BA151" s="324" t="n"/>
      <c r="BB151" s="324" t="n"/>
      <c r="BC151" s="324" t="n"/>
      <c r="BD151" s="324" t="n"/>
      <c r="BE151" s="324" t="n"/>
      <c r="BF151" s="324" t="n"/>
      <c r="BG151" s="324" t="n"/>
      <c r="BH151" s="324" t="n"/>
      <c r="BI151" s="324" t="n"/>
      <c r="BJ151" s="324" t="n"/>
      <c r="BK151" s="288" t="n"/>
      <c r="BL151" s="324" t="n"/>
      <c r="BM151" s="324" t="n"/>
      <c r="BN151" s="324" t="n"/>
      <c r="BO151" s="324" t="n"/>
      <c r="BP151" s="324" t="n"/>
      <c r="BQ151" s="324" t="n"/>
      <c r="BR151" s="324" t="n"/>
      <c r="BS151" s="324" t="n"/>
      <c r="BT151" s="324" t="n"/>
      <c r="BU151" s="324" t="n"/>
      <c r="BV151" s="324" t="n"/>
      <c r="BW151" s="324" t="n"/>
      <c r="BX151" s="324" t="n"/>
      <c r="BY151" s="324" t="n"/>
      <c r="BZ151" s="324" t="n"/>
      <c r="CA151" s="324" t="n"/>
      <c r="CB151" s="324" t="n"/>
      <c r="CC151" s="324" t="n"/>
      <c r="CD151" s="324" t="n"/>
      <c r="CE151" s="324" t="n"/>
      <c r="CF151" s="324" t="n"/>
      <c r="CG151" s="324" t="n"/>
      <c r="CH151" s="324" t="n"/>
      <c r="CI151" s="324" t="n"/>
      <c r="CJ151" s="324" t="n"/>
      <c r="CK151" s="324" t="n"/>
      <c r="CL151" s="324" t="n"/>
      <c r="CM151" s="324" t="n"/>
      <c r="CN151" s="324" t="n"/>
      <c r="CW151" s="324" t="n"/>
      <c r="CX151" s="324" t="n"/>
      <c r="CY151" s="324" t="n"/>
      <c r="CZ151" s="324" t="n"/>
      <c r="DA151" s="324" t="n"/>
      <c r="DB151" s="324" t="n"/>
      <c r="DC151" s="324" t="n"/>
      <c r="DD151" s="324" t="n"/>
      <c r="DE151" s="325" t="n"/>
      <c r="DF151" s="325" t="n"/>
    </row>
    <row r="152" customFormat="1" s="40">
      <c r="A152" s="335" t="n"/>
      <c r="B152" s="291" t="n"/>
      <c r="C152" s="37" t="n"/>
      <c r="D152" s="37" t="n"/>
      <c r="E152" s="291" t="n"/>
      <c r="F152" s="37" t="n"/>
      <c r="G152" s="37" t="n"/>
      <c r="H152" s="291" t="n"/>
      <c r="I152" s="37" t="n"/>
      <c r="J152" s="37" t="n"/>
      <c r="K152" s="291" t="n"/>
      <c r="L152" s="37" t="n"/>
      <c r="M152" s="37" t="n"/>
      <c r="N152" s="291" t="n"/>
      <c r="O152" s="37" t="n"/>
      <c r="P152" s="37" t="n"/>
      <c r="Q152" s="291" t="n"/>
      <c r="R152" s="37" t="n"/>
      <c r="S152" s="37" t="n"/>
      <c r="T152" s="291" t="n"/>
      <c r="U152" s="37" t="n"/>
      <c r="V152" s="37" t="n"/>
      <c r="W152" s="291" t="n"/>
      <c r="X152" s="37" t="n"/>
      <c r="Y152" s="37" t="n"/>
      <c r="Z152" s="291" t="n"/>
      <c r="AA152" s="39" t="n"/>
      <c r="AB152" s="39" t="n"/>
      <c r="AC152" s="291" t="n"/>
      <c r="AD152" s="39" t="n"/>
      <c r="AE152" s="39" t="n"/>
      <c r="AF152" s="291" t="n"/>
      <c r="AG152" s="39" t="n"/>
      <c r="AH152" s="39" t="n"/>
      <c r="AI152" s="291" t="n"/>
      <c r="AJ152" s="39" t="n"/>
      <c r="AK152" s="39" t="n"/>
      <c r="AL152" s="291" t="n"/>
      <c r="AM152" s="291" t="n"/>
      <c r="AN152" s="291" t="n"/>
      <c r="AO152" s="291" t="n"/>
      <c r="AP152" s="291" t="n"/>
      <c r="AQ152" s="291" t="n"/>
      <c r="AR152" s="291" t="n"/>
      <c r="AS152" s="291" t="n"/>
      <c r="AT152" s="291" t="n"/>
      <c r="AU152" s="291" t="n"/>
      <c r="AV152" s="291" t="n"/>
      <c r="AW152" s="291" t="n"/>
      <c r="AX152" s="53" t="n"/>
      <c r="AY152" s="291" t="n"/>
      <c r="AZ152" s="291" t="n"/>
      <c r="BA152" s="291" t="n"/>
      <c r="BB152" s="291" t="n"/>
      <c r="BC152" s="291" t="n"/>
      <c r="BD152" s="291" t="n"/>
      <c r="BE152" s="291" t="n"/>
      <c r="BF152" s="291" t="n"/>
      <c r="BG152" s="291" t="n"/>
      <c r="BH152" s="291" t="n"/>
      <c r="BI152" s="291" t="n"/>
      <c r="BJ152" s="291" t="n"/>
      <c r="BK152" s="288" t="n"/>
      <c r="BL152" s="291" t="n"/>
      <c r="BM152" s="291" t="n"/>
      <c r="BN152" s="291" t="n"/>
      <c r="BO152" s="291" t="n"/>
      <c r="BP152" s="291" t="n"/>
      <c r="BQ152" s="291" t="n"/>
      <c r="BR152" s="291" t="n"/>
      <c r="BS152" s="291" t="n"/>
      <c r="BT152" s="291" t="n"/>
      <c r="BU152" s="291" t="n"/>
      <c r="BV152" s="291" t="n"/>
      <c r="BW152" s="291" t="n"/>
      <c r="BX152" s="291" t="n"/>
      <c r="BY152" s="291" t="n"/>
      <c r="BZ152" s="291" t="n"/>
      <c r="CA152" s="291" t="n"/>
      <c r="CB152" s="291" t="n"/>
      <c r="CC152" s="291" t="n"/>
      <c r="CD152" s="291" t="n"/>
      <c r="CE152" s="291" t="n"/>
      <c r="CF152" s="291" t="n"/>
      <c r="CG152" s="291" t="n"/>
      <c r="CH152" s="291" t="n"/>
      <c r="CI152" s="291" t="n"/>
      <c r="CJ152" s="291" t="n"/>
      <c r="CK152" s="291" t="n"/>
      <c r="CL152" s="291" t="n"/>
      <c r="CM152" s="291" t="n"/>
      <c r="CN152" s="291" t="n"/>
      <c r="CW152" s="291" t="n"/>
      <c r="CX152" s="291" t="n"/>
      <c r="CY152" s="291" t="n"/>
      <c r="CZ152" s="291" t="n"/>
      <c r="DA152" s="291" t="n"/>
      <c r="DB152" s="291" t="n"/>
      <c r="DC152" s="291" t="n"/>
      <c r="DD152" s="291" t="n"/>
      <c r="DE152" s="311" t="n"/>
      <c r="DF152" s="311" t="n"/>
    </row>
    <row r="153" ht="13" customFormat="1" customHeight="1" s="40">
      <c r="A153" s="326" t="inlineStr">
        <is>
          <t>20Q1</t>
        </is>
      </c>
      <c r="B153" s="291" t="n">
        <v>47722.86</v>
      </c>
      <c r="C153" s="39">
        <f>B153/B148-1</f>
        <v/>
      </c>
      <c r="D153" s="39" t="n"/>
      <c r="E153" s="291" t="n">
        <v>33489.43</v>
      </c>
      <c r="F153" s="39">
        <f>E153/E148-1</f>
        <v/>
      </c>
      <c r="G153" s="39" t="n"/>
      <c r="H153" s="291" t="n">
        <v>13916.1</v>
      </c>
      <c r="I153" s="39">
        <f>H153/H148-1</f>
        <v/>
      </c>
      <c r="J153" s="39" t="n"/>
      <c r="K153" s="291" t="n">
        <v>317.31</v>
      </c>
      <c r="L153" s="39">
        <f>K153/K148-1</f>
        <v/>
      </c>
      <c r="M153" s="39" t="n"/>
      <c r="N153" s="291" t="n">
        <v>32420.33</v>
      </c>
      <c r="O153" s="39">
        <f>N153/N148-1</f>
        <v/>
      </c>
      <c r="P153" s="39" t="n"/>
      <c r="Q153" s="291" t="n">
        <v>22647.65</v>
      </c>
      <c r="R153" s="39">
        <f>Q153/Q148-1</f>
        <v/>
      </c>
      <c r="S153" s="39" t="n"/>
      <c r="T153" s="291" t="n">
        <v>9597.379999999999</v>
      </c>
      <c r="U153" s="39">
        <f>T153/T148-1</f>
        <v/>
      </c>
      <c r="V153" s="39" t="n"/>
      <c r="W153" s="291" t="n">
        <v>175.29</v>
      </c>
      <c r="X153" s="39">
        <f>W153/W148-1</f>
        <v/>
      </c>
      <c r="Y153" s="39" t="n"/>
      <c r="Z153" s="291" t="n">
        <v>16845.95</v>
      </c>
      <c r="AA153" s="39">
        <f>Z153/Z148-1</f>
        <v/>
      </c>
      <c r="AB153" s="39" t="n"/>
      <c r="AC153" s="291" t="n">
        <v>14512.04</v>
      </c>
      <c r="AD153" s="39">
        <f>AC153/AC148-1</f>
        <v/>
      </c>
      <c r="AE153" s="39" t="n"/>
      <c r="AF153" s="291" t="n">
        <v>2180.96</v>
      </c>
      <c r="AG153" s="39">
        <f>AF153/AF148-1</f>
        <v/>
      </c>
      <c r="AH153" s="39" t="n"/>
      <c r="AI153" s="291" t="n">
        <v>152.95</v>
      </c>
      <c r="AJ153" s="39">
        <f>AI153/AI148-1</f>
        <v/>
      </c>
      <c r="AK153" s="39" t="n"/>
      <c r="AL153" s="336" t="n">
        <v>60.65666666666667</v>
      </c>
      <c r="AM153" s="336">
        <f>AL153-AL141</f>
        <v/>
      </c>
      <c r="AN153" s="291" t="n"/>
      <c r="AO153" s="336" t="n">
        <v>61.15666666666667</v>
      </c>
      <c r="AP153" s="336">
        <f>AO153-AO141</f>
        <v/>
      </c>
      <c r="AQ153" s="291" t="n"/>
      <c r="AR153" s="336" t="n">
        <v>56.96</v>
      </c>
      <c r="AS153" s="336">
        <f>AR153-AR141</f>
        <v/>
      </c>
      <c r="AT153" s="291" t="n"/>
      <c r="AU153" s="336" t="n">
        <v>39.11000000000001</v>
      </c>
      <c r="AV153" s="336">
        <f>AU153-AU141</f>
        <v/>
      </c>
      <c r="AW153" s="291" t="n"/>
      <c r="AX153" s="291" t="n"/>
      <c r="AY153" s="37" t="n"/>
      <c r="AZ153" s="39" t="n"/>
      <c r="BA153" s="291" t="n"/>
      <c r="BB153" s="39" t="n"/>
      <c r="BC153" s="291" t="n"/>
      <c r="BD153" s="39" t="n"/>
      <c r="BE153" s="291" t="n"/>
      <c r="BF153" s="39" t="n"/>
      <c r="BG153" s="291" t="n"/>
      <c r="BH153" s="39" t="n"/>
      <c r="BI153" s="291" t="n"/>
      <c r="BJ153" s="39" t="n"/>
      <c r="BK153" s="291" t="n"/>
      <c r="BL153" s="39" t="n"/>
      <c r="BM153" s="291" t="n"/>
      <c r="BN153" s="39" t="n"/>
      <c r="BO153" s="291" t="n"/>
      <c r="BP153" s="291" t="n"/>
      <c r="BQ153" s="39" t="n"/>
      <c r="BR153" s="291" t="n"/>
      <c r="BS153" s="39" t="n"/>
      <c r="BT153" s="291" t="n"/>
      <c r="BU153" s="39" t="n"/>
      <c r="BV153" s="291" t="n"/>
      <c r="BW153" s="39" t="n"/>
      <c r="BX153" s="291" t="n"/>
      <c r="BY153" s="39" t="n"/>
      <c r="BZ153" s="291" t="n"/>
      <c r="CA153" s="39" t="n"/>
      <c r="CB153" s="291" t="n"/>
      <c r="CC153" s="39" t="n"/>
      <c r="CD153" s="291" t="n"/>
      <c r="CE153" s="39" t="n"/>
      <c r="CF153" s="291" t="n"/>
      <c r="CG153" s="53" t="n"/>
      <c r="CH153" s="291" t="n"/>
      <c r="CI153" s="53" t="n"/>
      <c r="CJ153" s="291" t="n"/>
      <c r="CK153" s="53" t="n"/>
      <c r="CL153" s="291" t="n"/>
      <c r="CM153" s="53" t="n"/>
      <c r="CN153" s="291" t="n"/>
      <c r="CW153" s="291" t="n"/>
      <c r="CX153" s="39" t="n"/>
      <c r="CY153" s="291" t="n"/>
      <c r="CZ153" s="39" t="n"/>
      <c r="DA153" s="291" t="n"/>
      <c r="DB153" s="39" t="n"/>
      <c r="DC153" s="291" t="n"/>
      <c r="DD153" s="39" t="n"/>
      <c r="DE153" s="311" t="n"/>
      <c r="DF153" s="311" t="n"/>
    </row>
    <row r="154" ht="13" customFormat="1" customHeight="1" s="40">
      <c r="A154" s="326" t="inlineStr">
        <is>
          <t>20Q2</t>
        </is>
      </c>
      <c r="B154" s="291" t="n">
        <v>38073.43</v>
      </c>
      <c r="C154" s="39">
        <f>B154/B149-1</f>
        <v/>
      </c>
      <c r="D154" s="39" t="n"/>
      <c r="E154" s="291" t="n">
        <v>36451.46</v>
      </c>
      <c r="F154" s="39">
        <f>E154/E149-1</f>
        <v/>
      </c>
      <c r="G154" s="39" t="n"/>
      <c r="H154" s="291" t="n">
        <v>1562.69</v>
      </c>
      <c r="I154" s="39">
        <f>H154/H149-1</f>
        <v/>
      </c>
      <c r="J154" s="39" t="n"/>
      <c r="K154" s="291" t="n">
        <v>59.27</v>
      </c>
      <c r="L154" s="39">
        <f>K154/K149-1</f>
        <v/>
      </c>
      <c r="M154" s="39" t="n"/>
      <c r="N154" s="291" t="n">
        <v>25438.5</v>
      </c>
      <c r="O154" s="39">
        <f>N154/N149-1</f>
        <v/>
      </c>
      <c r="P154" s="39" t="n"/>
      <c r="Q154" s="291" t="n">
        <v>24627.31</v>
      </c>
      <c r="R154" s="39">
        <f>Q154/Q149-1</f>
        <v/>
      </c>
      <c r="S154" s="39" t="n"/>
      <c r="T154" s="291" t="n">
        <v>802.29</v>
      </c>
      <c r="U154" s="39">
        <f>T154/T149-1</f>
        <v/>
      </c>
      <c r="V154" s="39" t="n"/>
      <c r="W154" s="291" t="n">
        <v>8.9</v>
      </c>
      <c r="X154" s="39">
        <f>W154/W149-1</f>
        <v/>
      </c>
      <c r="Y154" s="39" t="n"/>
      <c r="Z154" s="291" t="n">
        <v>16878.22</v>
      </c>
      <c r="AA154" s="39">
        <f>Z154/Z149-1</f>
        <v/>
      </c>
      <c r="AB154" s="39" t="n"/>
      <c r="AC154" s="291" t="n">
        <v>16749.43</v>
      </c>
      <c r="AD154" s="39">
        <f>AC154/AC149-1</f>
        <v/>
      </c>
      <c r="AE154" s="39" t="n"/>
      <c r="AF154" s="291" t="n">
        <v>120.3</v>
      </c>
      <c r="AG154" s="39">
        <f>AF154/AF149-1</f>
        <v/>
      </c>
      <c r="AH154" s="39" t="n"/>
      <c r="AI154" s="291" t="n">
        <v>8.5</v>
      </c>
      <c r="AJ154" s="39">
        <f>AI154/AI149-1</f>
        <v/>
      </c>
      <c r="AK154" s="39" t="n"/>
      <c r="AL154" s="336" t="n">
        <v>66.36999999999999</v>
      </c>
      <c r="AM154" s="336">
        <f>AL154-AL142</f>
        <v/>
      </c>
      <c r="AN154" s="291" t="n"/>
      <c r="AO154" s="336" t="n">
        <v>67.17333333333333</v>
      </c>
      <c r="AP154" s="336">
        <f>AO154-AO142</f>
        <v/>
      </c>
      <c r="AQ154" s="291" t="n"/>
      <c r="AR154" s="336" t="n">
        <v>51.15666666666667</v>
      </c>
      <c r="AS154" s="336">
        <f>AR154-AR142</f>
        <v/>
      </c>
      <c r="AT154" s="291" t="n"/>
      <c r="AU154" s="336" t="n">
        <v>13.66</v>
      </c>
      <c r="AV154" s="336">
        <f>AU154-AU142</f>
        <v/>
      </c>
      <c r="AW154" s="291" t="n"/>
      <c r="AX154" s="291" t="n"/>
      <c r="AY154" s="37" t="n"/>
      <c r="AZ154" s="39" t="n"/>
      <c r="BA154" s="291" t="n"/>
      <c r="BB154" s="39" t="n"/>
      <c r="BC154" s="291" t="n"/>
      <c r="BD154" s="39" t="n"/>
      <c r="BE154" s="291" t="n"/>
      <c r="BF154" s="39" t="n"/>
      <c r="BG154" s="291" t="n"/>
      <c r="BH154" s="39" t="n"/>
      <c r="BI154" s="291" t="n"/>
      <c r="BJ154" s="39" t="n"/>
      <c r="BK154" s="291" t="n"/>
      <c r="BL154" s="39" t="n"/>
      <c r="BM154" s="291" t="n"/>
      <c r="BN154" s="39" t="n"/>
      <c r="BO154" s="291" t="n"/>
      <c r="BP154" s="291" t="n"/>
      <c r="BQ154" s="39" t="n"/>
      <c r="BR154" s="291" t="n"/>
      <c r="BS154" s="39" t="n"/>
      <c r="BT154" s="291" t="n"/>
      <c r="BU154" s="39" t="n"/>
      <c r="BV154" s="291" t="n"/>
      <c r="BW154" s="39" t="n"/>
      <c r="BX154" s="291" t="n"/>
      <c r="BY154" s="39" t="n"/>
      <c r="BZ154" s="291" t="n"/>
      <c r="CA154" s="39" t="n"/>
      <c r="CB154" s="291" t="n"/>
      <c r="CC154" s="39" t="n"/>
      <c r="CD154" s="291" t="n"/>
      <c r="CE154" s="39" t="n"/>
      <c r="CF154" s="291" t="n"/>
      <c r="CG154" s="291" t="n"/>
      <c r="CH154" s="291" t="n"/>
      <c r="CI154" s="291" t="n"/>
      <c r="CJ154" s="291" t="n"/>
      <c r="CK154" s="291" t="n"/>
      <c r="CL154" s="291" t="n"/>
      <c r="CM154" s="291" t="n"/>
      <c r="CN154" s="291" t="n"/>
      <c r="CW154" s="291" t="n"/>
      <c r="CX154" s="39" t="n"/>
      <c r="CY154" s="291" t="n"/>
      <c r="CZ154" s="39" t="n"/>
      <c r="DA154" s="291" t="n"/>
      <c r="DB154" s="39" t="n"/>
      <c r="DC154" s="291" t="n"/>
      <c r="DD154" s="39" t="n"/>
      <c r="DE154" s="311" t="n"/>
      <c r="DF154" s="311" t="n"/>
    </row>
    <row r="155" ht="13" customFormat="1" customHeight="1" s="40">
      <c r="A155" s="326" t="inlineStr">
        <is>
          <t>20Q3</t>
        </is>
      </c>
      <c r="B155" s="291" t="n">
        <v>61130.55</v>
      </c>
      <c r="C155" s="39">
        <f>B155/B150-1</f>
        <v/>
      </c>
      <c r="D155" s="39" t="n"/>
      <c r="E155" s="291" t="n">
        <v>58762.12</v>
      </c>
      <c r="F155" s="39">
        <f>E155/E150-1</f>
        <v/>
      </c>
      <c r="G155" s="39" t="n"/>
      <c r="H155" s="291" t="n">
        <v>2315.91</v>
      </c>
      <c r="I155" s="39">
        <f>H155/H150-1</f>
        <v/>
      </c>
      <c r="J155" s="39" t="n"/>
      <c r="K155" s="291" t="n">
        <v>52.51000000000001</v>
      </c>
      <c r="L155" s="39">
        <f>K155/K150-1</f>
        <v/>
      </c>
      <c r="M155" s="39" t="n"/>
      <c r="N155" s="291" t="n">
        <v>45591.68</v>
      </c>
      <c r="O155" s="39">
        <f>N155/N150-1</f>
        <v/>
      </c>
      <c r="P155" s="39" t="n"/>
      <c r="Q155" s="291" t="n">
        <v>44204.52</v>
      </c>
      <c r="R155" s="39">
        <f>Q155/Q150-1</f>
        <v/>
      </c>
      <c r="S155" s="39" t="n"/>
      <c r="T155" s="291" t="n">
        <v>1367.43</v>
      </c>
      <c r="U155" s="39">
        <f>T155/T150-1</f>
        <v/>
      </c>
      <c r="V155" s="39" t="n"/>
      <c r="W155" s="291" t="n">
        <v>19.73</v>
      </c>
      <c r="X155" s="39">
        <f>W155/W150-1</f>
        <v/>
      </c>
      <c r="Y155" s="39" t="n"/>
      <c r="Z155" s="291" t="n">
        <v>30553.81</v>
      </c>
      <c r="AA155" s="39">
        <f>Z155/Z150-1</f>
        <v/>
      </c>
      <c r="AB155" s="39" t="n"/>
      <c r="AC155" s="291" t="n">
        <v>30319.81</v>
      </c>
      <c r="AD155" s="39">
        <f>AC155/AC150-1</f>
        <v/>
      </c>
      <c r="AE155" s="39" t="n"/>
      <c r="AF155" s="291" t="n">
        <v>215.16</v>
      </c>
      <c r="AG155" s="39">
        <f>AF155/AF150-1</f>
        <v/>
      </c>
      <c r="AH155" s="39" t="n"/>
      <c r="AI155" s="291" t="n">
        <v>18.87</v>
      </c>
      <c r="AJ155" s="39">
        <f>AI155/AI150-1</f>
        <v/>
      </c>
      <c r="AK155" s="39" t="n"/>
      <c r="AL155" s="336" t="n">
        <v>74.43666666666667</v>
      </c>
      <c r="AM155" s="336">
        <f>AL155-AL143</f>
        <v/>
      </c>
      <c r="AN155" s="291" t="n"/>
      <c r="AO155" s="336" t="n">
        <v>75.07333333333332</v>
      </c>
      <c r="AP155" s="336">
        <f>AO155-AO143</f>
        <v/>
      </c>
      <c r="AQ155" s="291" t="n"/>
      <c r="AR155" s="336" t="n">
        <v>59.27333333333333</v>
      </c>
      <c r="AS155" s="336">
        <f>AR155-AR143</f>
        <v/>
      </c>
      <c r="AT155" s="291" t="n"/>
      <c r="AU155" s="336" t="n">
        <v>40.18666666666667</v>
      </c>
      <c r="AV155" s="336">
        <f>AU155-AU143</f>
        <v/>
      </c>
      <c r="AW155" s="291" t="n"/>
      <c r="AX155" s="291" t="n"/>
      <c r="AY155" s="37" t="n"/>
      <c r="AZ155" s="39" t="n"/>
      <c r="BA155" s="291" t="n"/>
      <c r="BB155" s="39" t="n"/>
      <c r="BC155" s="291" t="n"/>
      <c r="BD155" s="39" t="n"/>
      <c r="BE155" s="291" t="n"/>
      <c r="BF155" s="39" t="n"/>
      <c r="BG155" s="291" t="n"/>
      <c r="BH155" s="39" t="n"/>
      <c r="BI155" s="291" t="n"/>
      <c r="BJ155" s="39" t="n"/>
      <c r="BK155" s="291" t="n"/>
      <c r="BL155" s="39" t="n"/>
      <c r="BM155" s="291" t="n"/>
      <c r="BN155" s="39" t="n"/>
      <c r="BO155" s="291" t="n"/>
      <c r="BP155" s="291" t="n"/>
      <c r="BQ155" s="39" t="n"/>
      <c r="BR155" s="291" t="n"/>
      <c r="BS155" s="39" t="n"/>
      <c r="BT155" s="291" t="n"/>
      <c r="BU155" s="39" t="n"/>
      <c r="BV155" s="291" t="n"/>
      <c r="BW155" s="39" t="n"/>
      <c r="BX155" s="291" t="n"/>
      <c r="BY155" s="39" t="n"/>
      <c r="BZ155" s="291" t="n"/>
      <c r="CA155" s="39" t="n"/>
      <c r="CB155" s="291" t="n"/>
      <c r="CC155" s="39" t="n"/>
      <c r="CD155" s="291" t="n"/>
      <c r="CE155" s="39" t="n"/>
      <c r="CF155" s="291" t="n"/>
      <c r="CG155" s="291" t="n"/>
      <c r="CH155" s="291" t="n"/>
      <c r="CI155" s="291" t="n"/>
      <c r="CJ155" s="291" t="n"/>
      <c r="CK155" s="291" t="n"/>
      <c r="CL155" s="291" t="n"/>
      <c r="CM155" s="291" t="n"/>
      <c r="CN155" s="291" t="n"/>
      <c r="CW155" s="291" t="n"/>
      <c r="CX155" s="39" t="n"/>
      <c r="CY155" s="291" t="n"/>
      <c r="CZ155" s="39" t="n"/>
      <c r="DA155" s="291" t="n"/>
      <c r="DB155" s="39" t="n"/>
      <c r="DC155" s="291" t="n"/>
      <c r="DD155" s="39" t="n"/>
      <c r="DE155" s="311" t="n"/>
      <c r="DF155" s="311" t="n"/>
    </row>
    <row r="156" ht="13" customFormat="1" customHeight="1" s="40">
      <c r="A156" s="326" t="inlineStr">
        <is>
          <t>20Q4</t>
        </is>
      </c>
      <c r="B156" s="291" t="n">
        <v>67867.37</v>
      </c>
      <c r="C156" s="39">
        <f>B156/B151-1</f>
        <v/>
      </c>
      <c r="D156" s="39" t="n"/>
      <c r="E156" s="291" t="n">
        <v>65252.69</v>
      </c>
      <c r="F156" s="39">
        <f>E156/E151-1</f>
        <v/>
      </c>
      <c r="G156" s="39" t="n"/>
      <c r="H156" s="291" t="n">
        <v>2493.11</v>
      </c>
      <c r="I156" s="39">
        <f>H156/H151-1</f>
        <v/>
      </c>
      <c r="J156" s="39" t="n"/>
      <c r="K156" s="291" t="n">
        <v>121.56</v>
      </c>
      <c r="L156" s="39">
        <f>K156/K151-1</f>
        <v/>
      </c>
      <c r="M156" s="39" t="n"/>
      <c r="N156" s="291" t="n">
        <v>49972.45</v>
      </c>
      <c r="O156" s="39">
        <f>N156/N151-1</f>
        <v/>
      </c>
      <c r="P156" s="39" t="n"/>
      <c r="Q156" s="291" t="n">
        <v>48659.45</v>
      </c>
      <c r="R156" s="39">
        <f>Q156/Q151-1</f>
        <v/>
      </c>
      <c r="S156" s="39" t="n"/>
      <c r="T156" s="291" t="n">
        <v>1278.22</v>
      </c>
      <c r="U156" s="39">
        <f>T156/T151-1</f>
        <v/>
      </c>
      <c r="V156" s="39" t="n"/>
      <c r="W156" s="291" t="n">
        <v>34.78</v>
      </c>
      <c r="X156" s="39">
        <f>W156/W151-1</f>
        <v/>
      </c>
      <c r="Y156" s="39" t="n"/>
      <c r="Z156" s="291" t="n">
        <v>32574.51</v>
      </c>
      <c r="AA156" s="39">
        <f>Z156/Z151-1</f>
        <v/>
      </c>
      <c r="AB156" s="39" t="n"/>
      <c r="AC156" s="291" t="n">
        <v>32322.86</v>
      </c>
      <c r="AD156" s="39">
        <f>AC156/AC151-1</f>
        <v/>
      </c>
      <c r="AE156" s="39" t="n"/>
      <c r="AF156" s="291" t="n">
        <v>218.74</v>
      </c>
      <c r="AG156" s="39">
        <f>AF156/AF151-1</f>
        <v/>
      </c>
      <c r="AH156" s="39" t="n"/>
      <c r="AI156" s="291" t="n">
        <v>32.91</v>
      </c>
      <c r="AJ156" s="39">
        <f>AI156/AI151-1</f>
        <v/>
      </c>
      <c r="AK156" s="39" t="n"/>
      <c r="AL156" s="336" t="n">
        <v>73.56</v>
      </c>
      <c r="AM156" s="336">
        <f>AL156-AL144</f>
        <v/>
      </c>
      <c r="AN156" s="291" t="n"/>
      <c r="AO156" s="336" t="n">
        <v>74.49666666666667</v>
      </c>
      <c r="AP156" s="336">
        <f>AO156-AO144</f>
        <v/>
      </c>
      <c r="AQ156" s="291" t="n"/>
      <c r="AR156" s="336" t="n">
        <v>51.22</v>
      </c>
      <c r="AS156" s="336">
        <f>AR156-AR144</f>
        <v/>
      </c>
      <c r="AT156" s="291" t="n"/>
      <c r="AU156" s="336" t="n">
        <v>28.68</v>
      </c>
      <c r="AV156" s="336">
        <f>AU156-AU144</f>
        <v/>
      </c>
      <c r="AW156" s="291" t="n"/>
      <c r="AX156" s="291" t="n"/>
      <c r="AY156" s="37" t="n"/>
      <c r="AZ156" s="39" t="n"/>
      <c r="BA156" s="291" t="n"/>
      <c r="BB156" s="39" t="n"/>
      <c r="BC156" s="291" t="n"/>
      <c r="BD156" s="39" t="n"/>
      <c r="BE156" s="291" t="n"/>
      <c r="BF156" s="39" t="n"/>
      <c r="BG156" s="291" t="n"/>
      <c r="BH156" s="39" t="n"/>
      <c r="BI156" s="291" t="n"/>
      <c r="BJ156" s="39" t="n"/>
      <c r="BK156" s="291" t="n"/>
      <c r="BL156" s="39" t="n"/>
      <c r="BM156" s="291" t="n"/>
      <c r="BN156" s="39" t="n"/>
      <c r="BO156" s="291" t="n"/>
      <c r="BP156" s="291" t="n"/>
      <c r="BQ156" s="39" t="n"/>
      <c r="BR156" s="291" t="n"/>
      <c r="BS156" s="39" t="n"/>
      <c r="BT156" s="291" t="n"/>
      <c r="BU156" s="39" t="n"/>
      <c r="BV156" s="291" t="n"/>
      <c r="BW156" s="39" t="n"/>
      <c r="BX156" s="291" t="n"/>
      <c r="BY156" s="39" t="n"/>
      <c r="BZ156" s="291" t="n"/>
      <c r="CA156" s="39" t="n"/>
      <c r="CB156" s="291" t="n"/>
      <c r="CC156" s="39" t="n"/>
      <c r="CD156" s="291" t="n"/>
      <c r="CE156" s="39" t="n"/>
      <c r="CF156" s="291" t="n"/>
      <c r="CG156" s="291" t="n"/>
      <c r="CH156" s="291" t="n"/>
      <c r="CI156" s="291" t="n"/>
      <c r="CJ156" s="291" t="n"/>
      <c r="CK156" s="291" t="n"/>
      <c r="CL156" s="291" t="n"/>
      <c r="CM156" s="291" t="n"/>
      <c r="CN156" s="291" t="n"/>
      <c r="CW156" s="291" t="n"/>
      <c r="CX156" s="39" t="n"/>
      <c r="CY156" s="291" t="n"/>
      <c r="CZ156" s="39" t="n"/>
      <c r="DA156" s="291" t="n"/>
      <c r="DB156" s="39" t="n"/>
      <c r="DC156" s="291" t="n"/>
      <c r="DD156" s="39" t="n"/>
      <c r="DE156" s="311" t="n"/>
      <c r="DF156" s="311" t="n"/>
    </row>
    <row r="157" ht="13" customFormat="1" customHeight="1" s="40">
      <c r="A157" s="326" t="n"/>
      <c r="B157" s="291" t="n"/>
      <c r="C157" s="37" t="n"/>
      <c r="D157" s="37" t="n"/>
      <c r="E157" s="291" t="n"/>
      <c r="F157" s="37" t="n"/>
      <c r="G157" s="37" t="n"/>
      <c r="H157" s="291" t="n"/>
      <c r="I157" s="37" t="n"/>
      <c r="J157" s="37" t="n"/>
      <c r="K157" s="291" t="n"/>
      <c r="L157" s="37" t="n"/>
      <c r="M157" s="37" t="n"/>
      <c r="N157" s="291" t="n"/>
      <c r="O157" s="37" t="n"/>
      <c r="P157" s="37" t="n"/>
      <c r="Q157" s="291" t="n"/>
      <c r="R157" s="37" t="n"/>
      <c r="S157" s="37" t="n"/>
      <c r="T157" s="291" t="n"/>
      <c r="U157" s="37" t="n"/>
      <c r="V157" s="37" t="n"/>
      <c r="W157" s="291" t="n"/>
      <c r="X157" s="37" t="n"/>
      <c r="Y157" s="37" t="n"/>
      <c r="Z157" s="291" t="n"/>
      <c r="AA157" s="39" t="n"/>
      <c r="AB157" s="39" t="n"/>
      <c r="AC157" s="291" t="n"/>
      <c r="AD157" s="39" t="n"/>
      <c r="AE157" s="39" t="n"/>
      <c r="AF157" s="291" t="n"/>
      <c r="AG157" s="39" t="n"/>
      <c r="AH157" s="39" t="n"/>
      <c r="AI157" s="291" t="n"/>
      <c r="AJ157" s="39" t="n"/>
      <c r="AK157" s="39" t="n"/>
      <c r="AL157" s="291" t="n"/>
      <c r="AM157" s="291" t="n"/>
      <c r="AN157" s="291" t="n"/>
      <c r="AO157" s="291" t="n"/>
      <c r="AP157" s="291" t="n"/>
      <c r="AQ157" s="291" t="n"/>
      <c r="AR157" s="291" t="n"/>
      <c r="AS157" s="291" t="n"/>
      <c r="AT157" s="291" t="n"/>
      <c r="AU157" s="291" t="n"/>
      <c r="AV157" s="291" t="n"/>
      <c r="AW157" s="291" t="n"/>
      <c r="AX157" s="53" t="n"/>
      <c r="AY157" s="291" t="n"/>
      <c r="AZ157" s="291" t="n"/>
      <c r="BA157" s="291" t="n"/>
      <c r="BB157" s="291" t="n"/>
      <c r="BC157" s="291" t="n"/>
      <c r="BD157" s="291" t="n"/>
      <c r="BE157" s="291" t="n"/>
      <c r="BF157" s="291" t="n"/>
      <c r="BG157" s="291" t="n"/>
      <c r="BH157" s="291" t="n"/>
      <c r="BI157" s="291" t="n"/>
      <c r="BJ157" s="291" t="n"/>
      <c r="BK157" s="291" t="n"/>
      <c r="BL157" s="291" t="n"/>
      <c r="BM157" s="291" t="n"/>
      <c r="BN157" s="291" t="n"/>
      <c r="BO157" s="291" t="n"/>
      <c r="BP157" s="291" t="n"/>
      <c r="BQ157" s="291" t="n"/>
      <c r="BR157" s="291" t="n"/>
      <c r="BS157" s="291" t="n"/>
      <c r="BT157" s="291" t="n"/>
      <c r="BU157" s="291" t="n"/>
      <c r="BV157" s="291" t="n"/>
      <c r="BW157" s="291" t="n"/>
      <c r="BX157" s="291" t="n"/>
      <c r="BY157" s="291" t="n"/>
      <c r="BZ157" s="291" t="n"/>
      <c r="CA157" s="291" t="n"/>
      <c r="CB157" s="291" t="n"/>
      <c r="CC157" s="291" t="n"/>
      <c r="CD157" s="291" t="n"/>
      <c r="CE157" s="291" t="n"/>
      <c r="CF157" s="291" t="n"/>
      <c r="CG157" s="291" t="n"/>
      <c r="CH157" s="291" t="n"/>
      <c r="CI157" s="291" t="n"/>
      <c r="CJ157" s="291" t="n"/>
      <c r="CK157" s="291" t="n"/>
      <c r="CL157" s="291" t="n"/>
      <c r="CM157" s="291" t="n"/>
      <c r="CN157" s="291" t="n"/>
      <c r="CW157" s="291" t="n"/>
      <c r="CX157" s="291" t="n"/>
      <c r="CY157" s="291" t="n"/>
      <c r="CZ157" s="291" t="n"/>
      <c r="DA157" s="291" t="n"/>
      <c r="DB157" s="291" t="n"/>
      <c r="DC157" s="291" t="n"/>
      <c r="DD157" s="291" t="n"/>
      <c r="DE157" s="311" t="n"/>
      <c r="DF157" s="311" t="n"/>
    </row>
    <row r="158" ht="13" customFormat="1" customHeight="1" s="40">
      <c r="A158" s="326" t="inlineStr">
        <is>
          <t>21Q1</t>
        </is>
      </c>
      <c r="B158" s="291" t="n">
        <v>49685.99</v>
      </c>
      <c r="C158" s="39">
        <f>B158/B153-1</f>
        <v/>
      </c>
      <c r="D158" s="39" t="n"/>
      <c r="E158" s="291" t="n">
        <v>47422.87</v>
      </c>
      <c r="F158" s="39">
        <f>E158/E153-1</f>
        <v/>
      </c>
      <c r="G158" s="39" t="n"/>
      <c r="H158" s="291" t="n">
        <v>2138.67</v>
      </c>
      <c r="I158" s="39">
        <f>H158/H153-1</f>
        <v/>
      </c>
      <c r="J158" s="39" t="n"/>
      <c r="K158" s="291" t="n">
        <v>124.45</v>
      </c>
      <c r="L158" s="39">
        <f>K158/K153-1</f>
        <v/>
      </c>
      <c r="M158" s="39" t="n"/>
      <c r="N158" s="291" t="n">
        <v>34415.47</v>
      </c>
      <c r="O158" s="39">
        <f>N158/N153-1</f>
        <v/>
      </c>
      <c r="P158" s="39" t="n"/>
      <c r="Q158" s="291" t="n">
        <v>33449.68</v>
      </c>
      <c r="R158" s="39">
        <f>Q158/Q153-1</f>
        <v/>
      </c>
      <c r="S158" s="39" t="n"/>
      <c r="T158" s="291" t="n">
        <v>926.21</v>
      </c>
      <c r="U158" s="39">
        <f>T158/T153-1</f>
        <v/>
      </c>
      <c r="V158" s="39" t="n"/>
      <c r="W158" s="291" t="n">
        <v>39.59</v>
      </c>
      <c r="X158" s="39">
        <f>W158/W153-1</f>
        <v/>
      </c>
      <c r="Y158" s="39" t="n"/>
      <c r="Z158" s="291" t="n">
        <v>22331.5</v>
      </c>
      <c r="AA158" s="39">
        <f>Z158/Z153-1</f>
        <v/>
      </c>
      <c r="AB158" s="39" t="n"/>
      <c r="AC158" s="291" t="n">
        <v>22131.07</v>
      </c>
      <c r="AD158" s="39">
        <f>AC158/AC153-1</f>
        <v/>
      </c>
      <c r="AE158" s="39" t="n"/>
      <c r="AF158" s="291" t="n">
        <v>162.31</v>
      </c>
      <c r="AG158" s="39">
        <f>AF158/AF153-1</f>
        <v/>
      </c>
      <c r="AH158" s="39" t="n"/>
      <c r="AI158" s="291" t="n">
        <v>38.11</v>
      </c>
      <c r="AJ158" s="39">
        <f>AI158/AI153-1</f>
        <v/>
      </c>
      <c r="AK158" s="39" t="n"/>
      <c r="AL158" s="336" t="n">
        <v>67.89333333333333</v>
      </c>
      <c r="AM158" s="336">
        <f>AL158-AL146</f>
        <v/>
      </c>
      <c r="AN158" s="291" t="n"/>
      <c r="AO158" s="336" t="n">
        <v>69.12666666666667</v>
      </c>
      <c r="AP158" s="336">
        <f>AO158-AO146</f>
        <v/>
      </c>
      <c r="AQ158" s="291" t="n"/>
      <c r="AR158" s="336" t="n">
        <v>43.10666666666666</v>
      </c>
      <c r="AS158" s="336">
        <f>AR158-AR146</f>
        <v/>
      </c>
      <c r="AT158" s="291" t="n"/>
      <c r="AU158" s="336" t="n">
        <v>31.54333333333333</v>
      </c>
      <c r="AV158" s="336">
        <f>AU158-AU146</f>
        <v/>
      </c>
      <c r="AW158" s="291" t="n"/>
      <c r="AX158" s="291" t="n"/>
      <c r="AY158" s="37" t="n"/>
      <c r="AZ158" s="39" t="n"/>
      <c r="BA158" s="291" t="n"/>
      <c r="BB158" s="39" t="n"/>
      <c r="BC158" s="291" t="n"/>
      <c r="BD158" s="39" t="n"/>
      <c r="BE158" s="291" t="n"/>
      <c r="BF158" s="39" t="n"/>
      <c r="BG158" s="291" t="n"/>
      <c r="BH158" s="39" t="n"/>
      <c r="BI158" s="291" t="n"/>
      <c r="BJ158" s="39" t="n"/>
      <c r="BK158" s="291" t="n"/>
      <c r="BL158" s="39" t="n"/>
      <c r="BM158" s="291" t="n"/>
      <c r="BN158" s="39" t="n"/>
      <c r="BO158" s="291" t="n"/>
      <c r="BP158" s="291" t="n"/>
      <c r="BQ158" s="39" t="n"/>
      <c r="BR158" s="291" t="n"/>
      <c r="BS158" s="39" t="n"/>
      <c r="BT158" s="291" t="n"/>
      <c r="BU158" s="39" t="n"/>
      <c r="BV158" s="291" t="n"/>
      <c r="BW158" s="39" t="n"/>
      <c r="BX158" s="291" t="n"/>
      <c r="BY158" s="39" t="n"/>
      <c r="BZ158" s="291" t="n"/>
      <c r="CA158" s="39" t="n"/>
      <c r="CB158" s="291" t="n"/>
      <c r="CC158" s="39" t="n"/>
      <c r="CD158" s="291" t="n"/>
      <c r="CE158" s="39" t="n"/>
      <c r="CF158" s="291" t="n"/>
      <c r="CG158" s="291" t="n"/>
      <c r="CH158" s="291" t="n"/>
      <c r="CI158" s="291" t="n"/>
      <c r="CJ158" s="291" t="n"/>
      <c r="CK158" s="291" t="n"/>
      <c r="CL158" s="291" t="n"/>
      <c r="CM158" s="291" t="n"/>
      <c r="CN158" s="291" t="n"/>
      <c r="CW158" s="291" t="n"/>
      <c r="CX158" s="39" t="n"/>
      <c r="CY158" s="291" t="n"/>
      <c r="CZ158" s="39" t="n"/>
      <c r="DA158" s="291" t="n"/>
      <c r="DB158" s="39" t="n"/>
      <c r="DC158" s="291" t="n"/>
      <c r="DD158" s="39" t="n"/>
      <c r="DE158" s="311" t="n"/>
      <c r="DF158" s="311" t="n"/>
    </row>
    <row r="159" ht="13" customFormat="1" customHeight="1" s="40">
      <c r="A159" s="326" t="inlineStr">
        <is>
          <t>21Q2</t>
        </is>
      </c>
      <c r="B159" s="291" t="n">
        <v>64621.14999999999</v>
      </c>
      <c r="C159" s="39">
        <f>B159/B154-1</f>
        <v/>
      </c>
      <c r="D159" s="39" t="n"/>
      <c r="E159" s="291" t="n">
        <v>62346.75</v>
      </c>
      <c r="F159" s="39">
        <f>E159/E154-1</f>
        <v/>
      </c>
      <c r="G159" s="39" t="n"/>
      <c r="H159" s="291" t="n">
        <v>2105.15</v>
      </c>
      <c r="I159" s="39">
        <f>H159/H154-1</f>
        <v/>
      </c>
      <c r="J159" s="39" t="n"/>
      <c r="K159" s="291" t="n">
        <v>169.25</v>
      </c>
      <c r="L159" s="39">
        <f>K159/K154-1</f>
        <v/>
      </c>
      <c r="M159" s="39" t="n"/>
      <c r="N159" s="291" t="n">
        <v>49803.79</v>
      </c>
      <c r="O159" s="39">
        <f>N159/N154-1</f>
        <v/>
      </c>
      <c r="P159" s="39" t="n"/>
      <c r="Q159" s="291" t="n">
        <v>48690.09</v>
      </c>
      <c r="R159" s="39">
        <f>Q159/Q154-1</f>
        <v/>
      </c>
      <c r="S159" s="39" t="n"/>
      <c r="T159" s="291" t="n">
        <v>1053.16</v>
      </c>
      <c r="U159" s="39">
        <f>T159/T154-1</f>
        <v/>
      </c>
      <c r="V159" s="39" t="n"/>
      <c r="W159" s="291" t="n">
        <v>60.54</v>
      </c>
      <c r="X159" s="39">
        <f>W159/W154-1</f>
        <v/>
      </c>
      <c r="Y159" s="39" t="n"/>
      <c r="Z159" s="291" t="n">
        <v>32393.73</v>
      </c>
      <c r="AA159" s="39">
        <f>Z159/Z154-1</f>
        <v/>
      </c>
      <c r="AB159" s="39" t="n"/>
      <c r="AC159" s="291" t="n">
        <v>32163.47</v>
      </c>
      <c r="AD159" s="39">
        <f>AC159/AC154-1</f>
        <v/>
      </c>
      <c r="AE159" s="39" t="n"/>
      <c r="AF159" s="291" t="n">
        <v>172.47</v>
      </c>
      <c r="AG159" s="39">
        <f>AF159/AF154-1</f>
        <v/>
      </c>
      <c r="AH159" s="39" t="n"/>
      <c r="AI159" s="291" t="n">
        <v>57.79000000000001</v>
      </c>
      <c r="AJ159" s="39">
        <f>AI159/AI154-1</f>
        <v/>
      </c>
      <c r="AK159" s="39" t="n"/>
      <c r="AL159" s="336" t="n">
        <v>76.94</v>
      </c>
      <c r="AM159" s="336">
        <f>AL159-AL147</f>
        <v/>
      </c>
      <c r="AN159" s="291" t="n"/>
      <c r="AO159" s="336" t="n">
        <v>77.97333333333334</v>
      </c>
      <c r="AP159" s="336">
        <f>AO159-AO147</f>
        <v/>
      </c>
      <c r="AQ159" s="291" t="n"/>
      <c r="AR159" s="336" t="n">
        <v>50.03666666666666</v>
      </c>
      <c r="AS159" s="336">
        <f>AR159-AR147</f>
        <v/>
      </c>
      <c r="AT159" s="291" t="n"/>
      <c r="AU159" s="336" t="n">
        <v>35.75666666666667</v>
      </c>
      <c r="AV159" s="336">
        <f>AU159-AU147</f>
        <v/>
      </c>
      <c r="AW159" s="291" t="n"/>
      <c r="AX159" s="291" t="n"/>
      <c r="AY159" s="37" t="n"/>
      <c r="AZ159" s="39" t="n"/>
      <c r="BA159" s="291" t="n"/>
      <c r="BB159" s="39" t="n"/>
      <c r="BC159" s="291" t="n"/>
      <c r="BD159" s="39" t="n"/>
      <c r="BE159" s="291" t="n"/>
      <c r="BF159" s="39" t="n"/>
      <c r="BG159" s="291" t="n"/>
      <c r="BH159" s="39" t="n"/>
      <c r="BI159" s="291" t="n"/>
      <c r="BJ159" s="39" t="n"/>
      <c r="BK159" s="291" t="n"/>
      <c r="BL159" s="39" t="n"/>
      <c r="BM159" s="291" t="n"/>
      <c r="BN159" s="39" t="n"/>
      <c r="BO159" s="291" t="n"/>
      <c r="BP159" s="291" t="n"/>
      <c r="BQ159" s="39" t="n"/>
      <c r="BR159" s="291" t="n"/>
      <c r="BS159" s="39" t="n"/>
      <c r="BT159" s="291" t="n"/>
      <c r="BU159" s="39" t="n"/>
      <c r="BV159" s="291" t="n"/>
      <c r="BW159" s="39" t="n"/>
      <c r="BX159" s="291" t="n"/>
      <c r="BY159" s="39" t="n"/>
      <c r="BZ159" s="291" t="n"/>
      <c r="CA159" s="39" t="n"/>
      <c r="CB159" s="291" t="n"/>
      <c r="CC159" s="39" t="n"/>
      <c r="CD159" s="291" t="n"/>
      <c r="CE159" s="39" t="n"/>
      <c r="CF159" s="291" t="n"/>
      <c r="CG159" s="291" t="n"/>
      <c r="CH159" s="291" t="n"/>
      <c r="CI159" s="291" t="n"/>
      <c r="CJ159" s="291" t="n"/>
      <c r="CK159" s="291" t="n"/>
      <c r="CL159" s="291" t="n"/>
      <c r="CM159" s="291" t="n"/>
      <c r="CN159" s="291" t="n"/>
      <c r="CW159" s="291" t="n"/>
      <c r="CX159" s="39" t="n"/>
      <c r="CY159" s="291" t="n"/>
      <c r="CZ159" s="39" t="n"/>
      <c r="DA159" s="291" t="n"/>
      <c r="DB159" s="39" t="n"/>
      <c r="DC159" s="291" t="n"/>
      <c r="DD159" s="39" t="n"/>
      <c r="DE159" s="311" t="n"/>
      <c r="DF159" s="311" t="n"/>
    </row>
    <row r="160" ht="13" customFormat="1" customHeight="1" s="40">
      <c r="A160" s="326" t="inlineStr">
        <is>
          <t>21Q3</t>
        </is>
      </c>
      <c r="B160" s="291" t="n">
        <v>53710.15000000001</v>
      </c>
      <c r="C160" s="39">
        <f>B160/B155-1</f>
        <v/>
      </c>
      <c r="D160" s="39" t="n"/>
      <c r="E160" s="291" t="n">
        <v>51681.73</v>
      </c>
      <c r="F160" s="39">
        <f>E160/E155-1</f>
        <v/>
      </c>
      <c r="G160" s="39" t="n"/>
      <c r="H160" s="291" t="n">
        <v>1935.89</v>
      </c>
      <c r="I160" s="39">
        <f>H160/H155-1</f>
        <v/>
      </c>
      <c r="J160" s="39" t="n"/>
      <c r="K160" s="291" t="n">
        <v>92.52000000000001</v>
      </c>
      <c r="L160" s="39">
        <f>K160/K155-1</f>
        <v/>
      </c>
      <c r="M160" s="39" t="n"/>
      <c r="N160" s="291" t="n">
        <v>37700.13</v>
      </c>
      <c r="O160" s="39">
        <f>N160/N155-1</f>
        <v/>
      </c>
      <c r="P160" s="39" t="n"/>
      <c r="Q160" s="291" t="n">
        <v>36557.52</v>
      </c>
      <c r="R160" s="39">
        <f>Q160/Q155-1</f>
        <v/>
      </c>
      <c r="S160" s="39" t="n"/>
      <c r="T160" s="291" t="n">
        <v>1111.58</v>
      </c>
      <c r="U160" s="39">
        <f>T160/T155-1</f>
        <v/>
      </c>
      <c r="V160" s="39" t="n"/>
      <c r="W160" s="291" t="n">
        <v>31.03</v>
      </c>
      <c r="X160" s="39">
        <f>W160/W155-1</f>
        <v/>
      </c>
      <c r="Y160" s="39" t="n"/>
      <c r="Z160" s="291" t="n">
        <v>23959.03</v>
      </c>
      <c r="AA160" s="39">
        <f>Z160/Z155-1</f>
        <v/>
      </c>
      <c r="AB160" s="39" t="n"/>
      <c r="AC160" s="291" t="n">
        <v>23764.2</v>
      </c>
      <c r="AD160" s="39">
        <f>AC160/AC155-1</f>
        <v/>
      </c>
      <c r="AE160" s="39" t="n"/>
      <c r="AF160" s="291" t="n">
        <v>164.3</v>
      </c>
      <c r="AG160" s="39">
        <f>AF160/AF155-1</f>
        <v/>
      </c>
      <c r="AH160" s="39" t="n"/>
      <c r="AI160" s="291" t="n">
        <v>30.54</v>
      </c>
      <c r="AJ160" s="39">
        <f>AI160/AI155-1</f>
        <v/>
      </c>
      <c r="AK160" s="39" t="n"/>
      <c r="AL160" s="336" t="n">
        <v>68.57666666666667</v>
      </c>
      <c r="AM160" s="336">
        <f>AL160-AL148</f>
        <v/>
      </c>
      <c r="AN160" s="291" t="n"/>
      <c r="AO160" s="336" t="n">
        <v>69</v>
      </c>
      <c r="AP160" s="336">
        <f>AO160-AO148</f>
        <v/>
      </c>
      <c r="AQ160" s="291" t="n"/>
      <c r="AR160" s="336" t="n">
        <v>57.54333333333333</v>
      </c>
      <c r="AS160" s="336">
        <f>AR160-AR148</f>
        <v/>
      </c>
      <c r="AT160" s="291" t="n"/>
      <c r="AU160" s="336" t="n">
        <v>32.47666666666667</v>
      </c>
      <c r="AV160" s="336">
        <f>AU160-AU148</f>
        <v/>
      </c>
      <c r="AW160" s="291" t="n"/>
      <c r="AX160" s="291" t="n"/>
      <c r="AY160" s="37" t="n"/>
      <c r="AZ160" s="39" t="n"/>
      <c r="BA160" s="291" t="n"/>
      <c r="BB160" s="39" t="n"/>
      <c r="BC160" s="291" t="n"/>
      <c r="BD160" s="39" t="n"/>
      <c r="BE160" s="291" t="n"/>
      <c r="BF160" s="39" t="n"/>
      <c r="BG160" s="291" t="n"/>
      <c r="BH160" s="39" t="n"/>
      <c r="BI160" s="291" t="n"/>
      <c r="BJ160" s="39" t="n"/>
      <c r="BK160" s="291" t="n"/>
      <c r="BL160" s="39" t="n"/>
      <c r="BM160" s="291" t="n"/>
      <c r="BN160" s="39" t="n"/>
      <c r="BO160" s="291" t="n"/>
      <c r="BP160" s="291" t="n"/>
      <c r="BQ160" s="39" t="n"/>
      <c r="BR160" s="291" t="n"/>
      <c r="BS160" s="39" t="n"/>
      <c r="BT160" s="291" t="n"/>
      <c r="BU160" s="39" t="n"/>
      <c r="BV160" s="291" t="n"/>
      <c r="BW160" s="39" t="n"/>
      <c r="BX160" s="291" t="n"/>
      <c r="BY160" s="39" t="n"/>
      <c r="BZ160" s="291" t="n"/>
      <c r="CA160" s="39" t="n"/>
      <c r="CB160" s="291" t="n"/>
      <c r="CC160" s="39" t="n"/>
      <c r="CD160" s="291" t="n"/>
      <c r="CE160" s="39" t="n"/>
      <c r="CF160" s="291" t="n"/>
      <c r="CG160" s="291" t="n"/>
      <c r="CH160" s="291" t="n"/>
      <c r="CI160" s="291" t="n"/>
      <c r="CJ160" s="291" t="n"/>
      <c r="CK160" s="291" t="n"/>
      <c r="CL160" s="291" t="n"/>
      <c r="CM160" s="291" t="n"/>
      <c r="CN160" s="291" t="n"/>
      <c r="CW160" s="291" t="n"/>
      <c r="CX160" s="39" t="n"/>
      <c r="CY160" s="291" t="n"/>
      <c r="CZ160" s="39" t="n"/>
      <c r="DA160" s="291" t="n"/>
      <c r="DB160" s="39" t="n"/>
      <c r="DC160" s="291" t="n"/>
      <c r="DD160" s="39" t="n"/>
      <c r="DE160" s="311" t="n"/>
      <c r="DF160" s="311" t="n"/>
    </row>
    <row r="161" ht="13" customFormat="1" customHeight="1" s="40">
      <c r="A161" s="326" t="inlineStr">
        <is>
          <t>21Q4</t>
        </is>
      </c>
      <c r="B161" s="291" t="n">
        <v>45915.61</v>
      </c>
      <c r="C161" s="39">
        <f>B161/B156-1</f>
        <v/>
      </c>
      <c r="D161" s="39" t="n"/>
      <c r="E161" s="291" t="n">
        <v>43995.62</v>
      </c>
      <c r="F161" s="39">
        <f>E161/E156-1</f>
        <v/>
      </c>
      <c r="G161" s="39" t="n"/>
      <c r="H161" s="291" t="n">
        <v>1843.86</v>
      </c>
      <c r="I161" s="39">
        <f>H161/H156-1</f>
        <v/>
      </c>
      <c r="J161" s="39" t="n"/>
      <c r="K161" s="291" t="n">
        <v>76.14</v>
      </c>
      <c r="L161" s="39">
        <f>K161/K156-1</f>
        <v/>
      </c>
      <c r="M161" s="39" t="n"/>
      <c r="N161" s="291" t="n">
        <v>30482.27</v>
      </c>
      <c r="O161" s="39">
        <f>N161/N156-1</f>
        <v/>
      </c>
      <c r="P161" s="39" t="n"/>
      <c r="Q161" s="291" t="n">
        <v>29522.67</v>
      </c>
      <c r="R161" s="39">
        <f>Q161/Q156-1</f>
        <v/>
      </c>
      <c r="S161" s="39" t="n"/>
      <c r="T161" s="291" t="n">
        <v>941.49</v>
      </c>
      <c r="U161" s="39">
        <f>T161/T156-1</f>
        <v/>
      </c>
      <c r="V161" s="39" t="n"/>
      <c r="W161" s="291" t="n">
        <v>18.1</v>
      </c>
      <c r="X161" s="39">
        <f>W161/W156-1</f>
        <v/>
      </c>
      <c r="Y161" s="39" t="n"/>
      <c r="Z161" s="291" t="n">
        <v>19819.59</v>
      </c>
      <c r="AA161" s="39">
        <f>Z161/Z156-1</f>
        <v/>
      </c>
      <c r="AB161" s="39" t="n"/>
      <c r="AC161" s="291" t="n">
        <v>19662.69</v>
      </c>
      <c r="AD161" s="39">
        <f>AC161/AC156-1</f>
        <v/>
      </c>
      <c r="AE161" s="39" t="n"/>
      <c r="AF161" s="291" t="n">
        <v>138.59</v>
      </c>
      <c r="AG161" s="39">
        <f>AF161/AF156-1</f>
        <v/>
      </c>
      <c r="AH161" s="39" t="n"/>
      <c r="AI161" s="291" t="n">
        <v>18.32</v>
      </c>
      <c r="AJ161" s="39">
        <f>AI161/AI156-1</f>
        <v/>
      </c>
      <c r="AK161" s="39" t="n"/>
      <c r="AL161" s="336" t="n">
        <v>65.90333333333332</v>
      </c>
      <c r="AM161" s="336">
        <f>AL161-AL149</f>
        <v/>
      </c>
      <c r="AN161" s="291" t="n"/>
      <c r="AO161" s="336" t="n">
        <v>66.60333333333334</v>
      </c>
      <c r="AP161" s="336">
        <f>AO161-AO149</f>
        <v/>
      </c>
      <c r="AQ161" s="291" t="n"/>
      <c r="AR161" s="336" t="n">
        <v>50.94</v>
      </c>
      <c r="AS161" s="336">
        <f>AR161-AR149</f>
        <v/>
      </c>
      <c r="AT161" s="291" t="n"/>
      <c r="AU161" s="336" t="n">
        <v>23.20666666666667</v>
      </c>
      <c r="AV161" s="336">
        <f>AU161-AU149</f>
        <v/>
      </c>
      <c r="AW161" s="291" t="n"/>
      <c r="AX161" s="291" t="n"/>
      <c r="AY161" s="37" t="n"/>
      <c r="AZ161" s="39" t="n"/>
      <c r="BA161" s="291" t="n"/>
      <c r="BB161" s="39" t="n"/>
      <c r="BC161" s="291" t="n"/>
      <c r="BD161" s="39" t="n"/>
      <c r="BE161" s="291" t="n"/>
      <c r="BF161" s="39" t="n"/>
      <c r="BG161" s="291" t="n"/>
      <c r="BH161" s="39" t="n"/>
      <c r="BI161" s="291" t="n"/>
      <c r="BJ161" s="39" t="n"/>
      <c r="BK161" s="291" t="n"/>
      <c r="BL161" s="39" t="n"/>
      <c r="BM161" s="291" t="n"/>
      <c r="BN161" s="39" t="n"/>
      <c r="BO161" s="291" t="n"/>
      <c r="BP161" s="291" t="n"/>
      <c r="BQ161" s="39" t="n"/>
      <c r="BR161" s="291" t="n"/>
      <c r="BS161" s="39" t="n"/>
      <c r="BT161" s="291" t="n"/>
      <c r="BU161" s="39" t="n"/>
      <c r="BV161" s="291" t="n"/>
      <c r="BW161" s="39" t="n"/>
      <c r="BX161" s="291" t="n"/>
      <c r="BY161" s="39" t="n"/>
      <c r="BZ161" s="291" t="n"/>
      <c r="CA161" s="39" t="n"/>
      <c r="CB161" s="291" t="n"/>
      <c r="CC161" s="39" t="n"/>
      <c r="CD161" s="291" t="n"/>
      <c r="CE161" s="39" t="n"/>
      <c r="CF161" s="291" t="n"/>
      <c r="CG161" s="291" t="n"/>
      <c r="CH161" s="291" t="n"/>
      <c r="CI161" s="291" t="n"/>
      <c r="CJ161" s="291" t="n"/>
      <c r="CK161" s="291" t="n"/>
      <c r="CL161" s="291" t="n"/>
      <c r="CM161" s="291" t="n"/>
      <c r="CN161" s="291" t="n"/>
      <c r="CW161" s="291" t="n"/>
      <c r="CX161" s="39" t="n"/>
      <c r="CY161" s="291" t="n"/>
      <c r="CZ161" s="39" t="n"/>
      <c r="DA161" s="291" t="n"/>
      <c r="DB161" s="39" t="n"/>
      <c r="DC161" s="291" t="n"/>
      <c r="DD161" s="39" t="n"/>
      <c r="DE161" s="311" t="n"/>
      <c r="DF161" s="311" t="n"/>
    </row>
    <row r="162" ht="13" customFormat="1" customHeight="1" s="40">
      <c r="A162" s="326" t="n"/>
      <c r="B162" s="291" t="n"/>
      <c r="C162" s="37" t="n"/>
      <c r="D162" s="37" t="n"/>
      <c r="E162" s="291" t="n"/>
      <c r="F162" s="37" t="n"/>
      <c r="G162" s="37" t="n"/>
      <c r="H162" s="291" t="n"/>
      <c r="I162" s="37" t="n"/>
      <c r="J162" s="37" t="n"/>
      <c r="K162" s="291" t="n"/>
      <c r="L162" s="37" t="n"/>
      <c r="M162" s="37" t="n"/>
      <c r="N162" s="291" t="n"/>
      <c r="O162" s="37" t="n"/>
      <c r="P162" s="37" t="n"/>
      <c r="Q162" s="291" t="n"/>
      <c r="R162" s="37" t="n"/>
      <c r="S162" s="37" t="n"/>
      <c r="T162" s="291" t="n"/>
      <c r="U162" s="37" t="n"/>
      <c r="V162" s="37" t="n"/>
      <c r="W162" s="291" t="n"/>
      <c r="X162" s="37" t="n"/>
      <c r="Y162" s="37" t="n"/>
      <c r="Z162" s="291" t="n"/>
      <c r="AA162" s="39" t="n"/>
      <c r="AB162" s="39" t="n"/>
      <c r="AC162" s="291" t="n"/>
      <c r="AD162" s="39" t="n"/>
      <c r="AE162" s="39" t="n"/>
      <c r="AF162" s="291" t="n"/>
      <c r="AG162" s="39" t="n"/>
      <c r="AH162" s="39" t="n"/>
      <c r="AI162" s="291" t="n"/>
      <c r="AJ162" s="39" t="n"/>
      <c r="AK162" s="39" t="n"/>
      <c r="AL162" s="291" t="n"/>
      <c r="AM162" s="291" t="n"/>
      <c r="AN162" s="291" t="n"/>
      <c r="AO162" s="291" t="n"/>
      <c r="AP162" s="291" t="n"/>
      <c r="AQ162" s="291" t="n"/>
      <c r="AR162" s="291" t="n"/>
      <c r="AS162" s="291" t="n"/>
      <c r="AT162" s="291" t="n"/>
      <c r="AU162" s="291" t="n"/>
      <c r="AV162" s="291" t="n"/>
      <c r="AW162" s="291" t="n"/>
      <c r="AX162" s="53" t="n"/>
      <c r="AY162" s="291" t="n"/>
      <c r="AZ162" s="291" t="n"/>
      <c r="BA162" s="291" t="n"/>
      <c r="BB162" s="291" t="n"/>
      <c r="BC162" s="291" t="n"/>
      <c r="BD162" s="291" t="n"/>
      <c r="BE162" s="291" t="n"/>
      <c r="BF162" s="291" t="n"/>
      <c r="BG162" s="291" t="n"/>
      <c r="BH162" s="291" t="n"/>
      <c r="BI162" s="291" t="n"/>
      <c r="BJ162" s="291" t="n"/>
      <c r="BK162" s="291" t="n"/>
      <c r="BL162" s="291" t="n"/>
      <c r="BM162" s="291" t="n"/>
      <c r="BN162" s="291" t="n"/>
      <c r="BO162" s="291" t="n"/>
      <c r="BP162" s="291" t="n"/>
      <c r="BQ162" s="291" t="n"/>
      <c r="BR162" s="291" t="n"/>
      <c r="BS162" s="291" t="n"/>
      <c r="BT162" s="291" t="n"/>
      <c r="BU162" s="291" t="n"/>
      <c r="BV162" s="291" t="n"/>
      <c r="BW162" s="291" t="n"/>
      <c r="BX162" s="291" t="n"/>
      <c r="BY162" s="291" t="n"/>
      <c r="BZ162" s="291" t="n"/>
      <c r="CA162" s="291" t="n"/>
      <c r="CB162" s="291" t="n"/>
      <c r="CC162" s="291" t="n"/>
      <c r="CD162" s="291" t="n"/>
      <c r="CE162" s="291" t="n"/>
      <c r="CF162" s="291" t="n"/>
      <c r="CG162" s="291" t="n"/>
      <c r="CH162" s="291" t="n"/>
      <c r="CI162" s="291" t="n"/>
      <c r="CJ162" s="291" t="n"/>
      <c r="CK162" s="291" t="n"/>
      <c r="CL162" s="291" t="n"/>
      <c r="CM162" s="291" t="n"/>
      <c r="CN162" s="291" t="n"/>
      <c r="CW162" s="291" t="n"/>
      <c r="CX162" s="291" t="n"/>
      <c r="CY162" s="291" t="n"/>
      <c r="CZ162" s="291" t="n"/>
      <c r="DA162" s="291" t="n"/>
      <c r="DB162" s="291" t="n"/>
      <c r="DC162" s="291" t="n"/>
      <c r="DD162" s="291" t="n"/>
      <c r="DE162" s="311" t="n"/>
      <c r="DF162" s="311" t="n"/>
    </row>
    <row r="163" ht="13" customFormat="1" customHeight="1" s="40">
      <c r="A163" s="326" t="inlineStr">
        <is>
          <t>22Q1</t>
        </is>
      </c>
      <c r="B163" s="291" t="n">
        <v>44736.24</v>
      </c>
      <c r="C163" s="39">
        <f>B163/B158-1</f>
        <v/>
      </c>
      <c r="D163" s="39" t="n"/>
      <c r="E163" s="291" t="n">
        <v>43183.13</v>
      </c>
      <c r="F163" s="39">
        <f>E163/E158-1</f>
        <v/>
      </c>
      <c r="G163" s="39" t="n"/>
      <c r="H163" s="291" t="n">
        <v>1470.62</v>
      </c>
      <c r="I163" s="39">
        <f>H163/H158-1</f>
        <v/>
      </c>
      <c r="J163" s="39" t="n"/>
      <c r="K163" s="291" t="n">
        <v>82.48999999999999</v>
      </c>
      <c r="L163" s="39">
        <f>K163/K158-1</f>
        <v/>
      </c>
      <c r="M163" s="39" t="n"/>
      <c r="N163" s="291" t="n">
        <v>29206.51</v>
      </c>
      <c r="O163" s="39">
        <f>N163/N158-1</f>
        <v/>
      </c>
      <c r="P163" s="39" t="n"/>
      <c r="Q163" s="291" t="n">
        <v>28382.91</v>
      </c>
      <c r="R163" s="39">
        <f>Q163/Q158-1</f>
        <v/>
      </c>
      <c r="S163" s="39" t="n"/>
      <c r="T163" s="291" t="n">
        <v>796.26</v>
      </c>
      <c r="U163" s="39">
        <f>T163/T158-1</f>
        <v/>
      </c>
      <c r="V163" s="39" t="n"/>
      <c r="W163" s="291" t="n">
        <v>27.34</v>
      </c>
      <c r="X163" s="39">
        <f>W163/W158-1</f>
        <v/>
      </c>
      <c r="Y163" s="39" t="n"/>
      <c r="Z163" s="291" t="n">
        <v>18103.78</v>
      </c>
      <c r="AA163" s="39">
        <f>Z163/Z158-1</f>
        <v/>
      </c>
      <c r="AB163" s="39" t="n"/>
      <c r="AC163" s="291" t="n">
        <v>17946</v>
      </c>
      <c r="AD163" s="39">
        <f>AC163/AC158-1</f>
        <v/>
      </c>
      <c r="AE163" s="39" t="n"/>
      <c r="AF163" s="291" t="n">
        <v>130.19</v>
      </c>
      <c r="AG163" s="39">
        <f>AF163/AF158-1</f>
        <v/>
      </c>
      <c r="AH163" s="39" t="n"/>
      <c r="AI163" s="291" t="n">
        <v>27.59</v>
      </c>
      <c r="AJ163" s="39">
        <f>AI163/AI158-1</f>
        <v/>
      </c>
      <c r="AK163" s="39" t="n"/>
      <c r="AL163" s="336" t="n">
        <v>65.12333333333333</v>
      </c>
      <c r="AM163" s="336">
        <f>AL163-AL151</f>
        <v/>
      </c>
      <c r="AN163" s="291" t="n"/>
      <c r="AO163" s="336" t="n">
        <v>65.55333333333333</v>
      </c>
      <c r="AP163" s="336">
        <f>AO163-AO151</f>
        <v/>
      </c>
      <c r="AQ163" s="291" t="n"/>
      <c r="AR163" s="336" t="n">
        <v>54.13666666666666</v>
      </c>
      <c r="AS163" s="336">
        <f>AR163-AR151</f>
        <v/>
      </c>
      <c r="AT163" s="291" t="n"/>
      <c r="AU163" s="336" t="n">
        <v>33.41333333333333</v>
      </c>
      <c r="AV163" s="336">
        <f>AU163-AU151</f>
        <v/>
      </c>
      <c r="AW163" s="291" t="n"/>
      <c r="AX163" s="291" t="n"/>
      <c r="AY163" s="37" t="n"/>
      <c r="AZ163" s="39" t="n"/>
      <c r="BA163" s="291" t="n"/>
      <c r="BB163" s="39" t="n"/>
      <c r="BC163" s="291" t="n"/>
      <c r="BD163" s="39" t="n"/>
      <c r="BE163" s="291" t="n"/>
      <c r="BF163" s="39" t="n"/>
      <c r="BG163" s="291" t="n"/>
      <c r="BH163" s="39" t="n"/>
      <c r="BI163" s="291" t="n"/>
      <c r="BJ163" s="39" t="n"/>
      <c r="BK163" s="291" t="n"/>
      <c r="BL163" s="39" t="n"/>
      <c r="BM163" s="291" t="n"/>
      <c r="BN163" s="39" t="n"/>
      <c r="BO163" s="291" t="n"/>
      <c r="BP163" s="291" t="n"/>
      <c r="BQ163" s="39" t="n"/>
      <c r="BR163" s="291" t="n"/>
      <c r="BS163" s="39" t="n"/>
      <c r="BT163" s="291" t="n"/>
      <c r="BU163" s="39" t="n"/>
      <c r="BV163" s="291" t="n"/>
      <c r="BW163" s="39" t="n"/>
      <c r="BX163" s="291" t="n"/>
      <c r="BY163" s="39" t="n"/>
      <c r="BZ163" s="291" t="n"/>
      <c r="CA163" s="39" t="n"/>
      <c r="CB163" s="291" t="n"/>
      <c r="CC163" s="39" t="n"/>
      <c r="CD163" s="291" t="n"/>
      <c r="CE163" s="39" t="n"/>
      <c r="CF163" s="291" t="n"/>
      <c r="CG163" s="291" t="n"/>
      <c r="CH163" s="291" t="n"/>
      <c r="CI163" s="291" t="n"/>
      <c r="CJ163" s="291" t="n"/>
      <c r="CK163" s="291" t="n"/>
      <c r="CL163" s="291" t="n"/>
      <c r="CM163" s="291" t="n"/>
      <c r="CN163" s="291" t="n"/>
      <c r="CW163" s="291" t="n"/>
      <c r="CX163" s="39" t="n"/>
      <c r="CY163" s="291" t="n"/>
      <c r="CZ163" s="39" t="n"/>
      <c r="DA163" s="291" t="n"/>
      <c r="DB163" s="39" t="n"/>
      <c r="DC163" s="291" t="n"/>
      <c r="DD163" s="39" t="n"/>
      <c r="DE163" s="311" t="n"/>
      <c r="DF163" s="311" t="n"/>
    </row>
    <row r="164" ht="13" customFormat="1" customHeight="1" s="40">
      <c r="A164" s="326" t="inlineStr">
        <is>
          <t>22Q2</t>
        </is>
      </c>
      <c r="B164" s="291" t="n">
        <v>30322.25</v>
      </c>
      <c r="C164" s="39">
        <f>B164/B159-1</f>
        <v/>
      </c>
      <c r="D164" s="39" t="n"/>
      <c r="E164" s="291" t="n">
        <v>28666</v>
      </c>
      <c r="F164" s="39">
        <f>E164/E159-1</f>
        <v/>
      </c>
      <c r="G164" s="39" t="n"/>
      <c r="H164" s="291" t="n">
        <v>1620.75</v>
      </c>
      <c r="I164" s="39">
        <f>H164/H159-1</f>
        <v/>
      </c>
      <c r="J164" s="39" t="n"/>
      <c r="K164" s="291" t="n">
        <v>35.51</v>
      </c>
      <c r="L164" s="39">
        <f>K164/K159-1</f>
        <v/>
      </c>
      <c r="M164" s="39" t="n"/>
      <c r="N164" s="291" t="n">
        <v>19109.28</v>
      </c>
      <c r="O164" s="39">
        <f>N164/N159-1</f>
        <v/>
      </c>
      <c r="P164" s="39" t="n"/>
      <c r="Q164" s="291" t="n">
        <v>18049.67</v>
      </c>
      <c r="R164" s="39">
        <f>Q164/Q159-1</f>
        <v/>
      </c>
      <c r="S164" s="39" t="n"/>
      <c r="T164" s="291" t="n">
        <v>1042.07</v>
      </c>
      <c r="U164" s="39">
        <f>T164/T159-1</f>
        <v/>
      </c>
      <c r="V164" s="39" t="n"/>
      <c r="W164" s="291" t="n">
        <v>17.53</v>
      </c>
      <c r="X164" s="39">
        <f>W164/W159-1</f>
        <v/>
      </c>
      <c r="Y164" s="39" t="n"/>
      <c r="Z164" s="291" t="n">
        <v>11622.22</v>
      </c>
      <c r="AA164" s="39">
        <f>Z164/Z159-1</f>
        <v/>
      </c>
      <c r="AB164" s="39" t="n"/>
      <c r="AC164" s="291" t="n">
        <v>11440.66</v>
      </c>
      <c r="AD164" s="39">
        <f>AC164/AC159-1</f>
        <v/>
      </c>
      <c r="AE164" s="39" t="n"/>
      <c r="AF164" s="291" t="n">
        <v>164.07</v>
      </c>
      <c r="AG164" s="39">
        <f>AF164/AF159-1</f>
        <v/>
      </c>
      <c r="AH164" s="39" t="n"/>
      <c r="AI164" s="291" t="n">
        <v>17.49</v>
      </c>
      <c r="AJ164" s="39">
        <f>AI164/AI159-1</f>
        <v/>
      </c>
      <c r="AK164" s="39" t="n"/>
      <c r="AL164" s="336" t="n">
        <v>61.67666666666667</v>
      </c>
      <c r="AM164" s="336">
        <f>AL164-AL152</f>
        <v/>
      </c>
      <c r="AN164" s="291" t="n"/>
      <c r="AO164" s="336" t="n">
        <v>61.44</v>
      </c>
      <c r="AP164" s="336">
        <f>AO164-AO152</f>
        <v/>
      </c>
      <c r="AQ164" s="291" t="n"/>
      <c r="AR164" s="336" t="n">
        <v>64.33666666666666</v>
      </c>
      <c r="AS164" s="336">
        <f>AR164-AR152</f>
        <v/>
      </c>
      <c r="AT164" s="291" t="n"/>
      <c r="AU164" s="336" t="n">
        <v>49.75666666666667</v>
      </c>
      <c r="AV164" s="336">
        <f>AU164-AU152</f>
        <v/>
      </c>
      <c r="AW164" s="291" t="n"/>
      <c r="AX164" s="291" t="n"/>
      <c r="AY164" s="37" t="n"/>
      <c r="AZ164" s="39" t="n"/>
      <c r="BA164" s="291" t="n"/>
      <c r="BB164" s="39" t="n"/>
      <c r="BC164" s="291" t="n"/>
      <c r="BD164" s="39" t="n"/>
      <c r="BE164" s="291" t="n"/>
      <c r="BF164" s="39" t="n"/>
      <c r="BG164" s="291" t="n"/>
      <c r="BH164" s="39" t="n"/>
      <c r="BI164" s="291" t="n"/>
      <c r="BJ164" s="39" t="n"/>
      <c r="BK164" s="291" t="n"/>
      <c r="BL164" s="39" t="n"/>
      <c r="BM164" s="291" t="n"/>
      <c r="BN164" s="39" t="n"/>
      <c r="BO164" s="291" t="n"/>
      <c r="BP164" s="291" t="n"/>
      <c r="BQ164" s="39" t="n"/>
      <c r="BR164" s="291" t="n"/>
      <c r="BS164" s="39" t="n"/>
      <c r="BT164" s="291" t="n"/>
      <c r="BU164" s="39" t="n"/>
      <c r="BV164" s="291" t="n"/>
      <c r="BW164" s="39" t="n"/>
      <c r="BX164" s="291" t="n"/>
      <c r="BY164" s="39" t="n"/>
      <c r="BZ164" s="291" t="n"/>
      <c r="CA164" s="39" t="n"/>
      <c r="CB164" s="291" t="n"/>
      <c r="CC164" s="39" t="n"/>
      <c r="CD164" s="291" t="n"/>
      <c r="CE164" s="39" t="n"/>
      <c r="CF164" s="291" t="n"/>
      <c r="CG164" s="291" t="n"/>
      <c r="CH164" s="291" t="n"/>
      <c r="CI164" s="291" t="n"/>
      <c r="CJ164" s="291" t="n"/>
      <c r="CK164" s="291" t="n"/>
      <c r="CL164" s="291" t="n"/>
      <c r="CM164" s="291" t="n"/>
      <c r="CN164" s="291" t="n"/>
      <c r="CW164" s="291" t="n"/>
      <c r="CX164" s="39" t="n"/>
      <c r="CY164" s="291" t="n"/>
      <c r="CZ164" s="39" t="n"/>
      <c r="DA164" s="291" t="n"/>
      <c r="DB164" s="39" t="n"/>
      <c r="DC164" s="291" t="n"/>
      <c r="DD164" s="39" t="n"/>
      <c r="DE164" s="311" t="n"/>
      <c r="DF164" s="311" t="n"/>
    </row>
    <row r="165" ht="13" customFormat="1" customHeight="1" s="40">
      <c r="A165" s="326" t="inlineStr">
        <is>
          <t>22Q3</t>
        </is>
      </c>
      <c r="B165" s="291" t="n">
        <v>50420.96999999999</v>
      </c>
      <c r="C165" s="39">
        <f>B165/B160-1</f>
        <v/>
      </c>
      <c r="D165" s="39" t="n"/>
      <c r="E165" s="291" t="n">
        <v>48287.71000000001</v>
      </c>
      <c r="F165" s="39">
        <f>E165/E160-1</f>
        <v/>
      </c>
      <c r="G165" s="39" t="n"/>
      <c r="H165" s="291" t="n">
        <v>2035.42</v>
      </c>
      <c r="I165" s="39">
        <f>H165/H160-1</f>
        <v/>
      </c>
      <c r="J165" s="39" t="n"/>
      <c r="K165" s="291" t="n">
        <v>97.84999999999999</v>
      </c>
      <c r="L165" s="39">
        <f>K165/K160-1</f>
        <v/>
      </c>
      <c r="M165" s="39" t="n"/>
      <c r="N165" s="291" t="n">
        <v>34880.66</v>
      </c>
      <c r="O165" s="39">
        <f>N165/N160-1</f>
        <v/>
      </c>
      <c r="P165" s="39" t="n"/>
      <c r="Q165" s="291" t="n">
        <v>33473.24</v>
      </c>
      <c r="R165" s="39">
        <f>Q165/Q160-1</f>
        <v/>
      </c>
      <c r="S165" s="39" t="n"/>
      <c r="T165" s="291" t="n">
        <v>1356.85</v>
      </c>
      <c r="U165" s="39">
        <f>T165/T160-1</f>
        <v/>
      </c>
      <c r="V165" s="39" t="n"/>
      <c r="W165" s="291" t="n">
        <v>50.58</v>
      </c>
      <c r="X165" s="39">
        <f>W165/W160-1</f>
        <v/>
      </c>
      <c r="Y165" s="39" t="n"/>
      <c r="Z165" s="291" t="n">
        <v>21635.56</v>
      </c>
      <c r="AA165" s="39">
        <f>Z165/Z160-1</f>
        <v/>
      </c>
      <c r="AB165" s="39" t="n"/>
      <c r="AC165" s="291" t="n">
        <v>21367.47</v>
      </c>
      <c r="AD165" s="39">
        <f>AC165/AC160-1</f>
        <v/>
      </c>
      <c r="AE165" s="39" t="n"/>
      <c r="AF165" s="291" t="n">
        <v>223.16</v>
      </c>
      <c r="AG165" s="39">
        <f>AF165/AF160-1</f>
        <v/>
      </c>
      <c r="AH165" s="39" t="n"/>
      <c r="AI165" s="291" t="n">
        <v>44.92999999999999</v>
      </c>
      <c r="AJ165" s="39">
        <f>AI165/AI160-1</f>
        <v/>
      </c>
      <c r="AK165" s="39" t="n"/>
      <c r="AL165" s="336" t="n">
        <v>69.05</v>
      </c>
      <c r="AM165" s="336">
        <f>AL165-AL153</f>
        <v/>
      </c>
      <c r="AN165" s="291" t="n"/>
      <c r="AO165" s="336" t="n">
        <v>69.19666666666667</v>
      </c>
      <c r="AP165" s="336">
        <f>AO165-AO153</f>
        <v/>
      </c>
      <c r="AQ165" s="291" t="n"/>
      <c r="AR165" s="336" t="n">
        <v>66.73333333333333</v>
      </c>
      <c r="AS165" s="336">
        <f>AR165-AR153</f>
        <v/>
      </c>
      <c r="AT165" s="291" t="n"/>
      <c r="AU165" s="336" t="n">
        <v>56.75666666666666</v>
      </c>
      <c r="AV165" s="336">
        <f>AU165-AU153</f>
        <v/>
      </c>
      <c r="AW165" s="291" t="n"/>
      <c r="AX165" s="291" t="n"/>
      <c r="AY165" s="37" t="n"/>
      <c r="AZ165" s="39" t="n"/>
      <c r="BA165" s="291" t="n"/>
      <c r="BB165" s="39" t="n"/>
      <c r="BC165" s="291" t="n"/>
      <c r="BD165" s="39" t="n"/>
      <c r="BE165" s="291" t="n"/>
      <c r="BF165" s="39" t="n"/>
      <c r="BG165" s="291" t="n"/>
      <c r="BH165" s="39" t="n"/>
      <c r="BI165" s="291" t="n"/>
      <c r="BJ165" s="39" t="n"/>
      <c r="BK165" s="291" t="n"/>
      <c r="BL165" s="39" t="n"/>
      <c r="BM165" s="291" t="n"/>
      <c r="BN165" s="39" t="n"/>
      <c r="BO165" s="291" t="n"/>
      <c r="BP165" s="291" t="n"/>
      <c r="BQ165" s="39" t="n"/>
      <c r="BR165" s="291" t="n"/>
      <c r="BS165" s="39" t="n"/>
      <c r="BT165" s="291" t="n"/>
      <c r="BU165" s="39" t="n"/>
      <c r="BV165" s="291" t="n"/>
      <c r="BW165" s="39" t="n"/>
      <c r="BX165" s="291" t="n"/>
      <c r="BY165" s="39" t="n"/>
      <c r="BZ165" s="291" t="n"/>
      <c r="CA165" s="39" t="n"/>
      <c r="CB165" s="291" t="n"/>
      <c r="CC165" s="39" t="n"/>
      <c r="CD165" s="291" t="n"/>
      <c r="CE165" s="39" t="n"/>
      <c r="CF165" s="291" t="n"/>
      <c r="CG165" s="291" t="n"/>
      <c r="CH165" s="291" t="n"/>
      <c r="CI165" s="291" t="n"/>
      <c r="CJ165" s="291" t="n"/>
      <c r="CK165" s="291" t="n"/>
      <c r="CL165" s="291" t="n"/>
      <c r="CM165" s="291" t="n"/>
      <c r="CN165" s="291" t="n"/>
      <c r="CW165" s="291" t="n"/>
      <c r="CX165" s="39" t="n"/>
      <c r="CY165" s="291" t="n"/>
      <c r="CZ165" s="39" t="n"/>
      <c r="DA165" s="291" t="n"/>
      <c r="DB165" s="39" t="n"/>
      <c r="DC165" s="291" t="n"/>
      <c r="DD165" s="39" t="n"/>
      <c r="DE165" s="311" t="n"/>
      <c r="DF165" s="311" t="n"/>
    </row>
    <row r="166" ht="13" customFormat="1" customHeight="1" s="40">
      <c r="A166" s="326" t="inlineStr">
        <is>
          <t>22Q4</t>
        </is>
      </c>
      <c r="B166" s="291" t="n">
        <v>28405.55</v>
      </c>
      <c r="C166" s="39">
        <f>B166/B161-1</f>
        <v/>
      </c>
      <c r="D166" s="39" t="n"/>
      <c r="E166" s="291" t="n">
        <v>25562.47</v>
      </c>
      <c r="F166" s="39">
        <f>E166/E161-1</f>
        <v/>
      </c>
      <c r="G166" s="39" t="n"/>
      <c r="H166" s="291" t="n">
        <v>2648.55</v>
      </c>
      <c r="I166" s="39">
        <f>H166/H161-1</f>
        <v/>
      </c>
      <c r="J166" s="39" t="n"/>
      <c r="K166" s="291" t="n">
        <v>194.53</v>
      </c>
      <c r="L166" s="39">
        <f>K166/K161-1</f>
        <v/>
      </c>
      <c r="M166" s="39" t="n"/>
      <c r="N166" s="291" t="n">
        <v>18870.2</v>
      </c>
      <c r="O166" s="39">
        <f>N166/N161-1</f>
        <v/>
      </c>
      <c r="P166" s="39" t="n"/>
      <c r="Q166" s="291" t="n">
        <v>17101.82</v>
      </c>
      <c r="R166" s="39">
        <f>Q166/Q161-1</f>
        <v/>
      </c>
      <c r="S166" s="39" t="n"/>
      <c r="T166" s="291" t="n">
        <v>1688.77</v>
      </c>
      <c r="U166" s="39">
        <f>T166/T161-1</f>
        <v/>
      </c>
      <c r="V166" s="39" t="n"/>
      <c r="W166" s="291" t="n">
        <v>79.61</v>
      </c>
      <c r="X166" s="39">
        <f>W166/W161-1</f>
        <v/>
      </c>
      <c r="Y166" s="39" t="n"/>
      <c r="Z166" s="291" t="n">
        <v>11269.03</v>
      </c>
      <c r="AA166" s="39">
        <f>Z166/Z161-1</f>
        <v/>
      </c>
      <c r="AB166" s="39" t="n"/>
      <c r="AC166" s="291" t="n">
        <v>10911.37</v>
      </c>
      <c r="AD166" s="39">
        <f>AC166/AC161-1</f>
        <v/>
      </c>
      <c r="AE166" s="39" t="n"/>
      <c r="AF166" s="291" t="n">
        <v>290.43</v>
      </c>
      <c r="AG166" s="39">
        <f>AF166/AF161-1</f>
        <v/>
      </c>
      <c r="AH166" s="39" t="n"/>
      <c r="AI166" s="291" t="n">
        <v>67.23</v>
      </c>
      <c r="AJ166" s="39">
        <f>AI166/AI161-1</f>
        <v/>
      </c>
      <c r="AK166" s="39" t="n"/>
      <c r="AL166" s="336" t="n">
        <v>66.36</v>
      </c>
      <c r="AM166" s="336">
        <f>AL166-AL154</f>
        <v/>
      </c>
      <c r="AN166" s="291" t="n"/>
      <c r="AO166" s="336" t="n">
        <v>66.86</v>
      </c>
      <c r="AP166" s="336">
        <f>AO166-AO154</f>
        <v/>
      </c>
      <c r="AQ166" s="291" t="n"/>
      <c r="AR166" s="336" t="n">
        <v>63.63666666666666</v>
      </c>
      <c r="AS166" s="336">
        <f>AR166-AR154</f>
        <v/>
      </c>
      <c r="AT166" s="291" t="n"/>
      <c r="AU166" s="336" t="n">
        <v>40.96</v>
      </c>
      <c r="AV166" s="336">
        <f>AU166-AU154</f>
        <v/>
      </c>
      <c r="AW166" s="291" t="n"/>
      <c r="AX166" s="291" t="n"/>
      <c r="AY166" s="37" t="n"/>
      <c r="AZ166" s="39" t="n"/>
      <c r="BA166" s="291" t="n"/>
      <c r="BB166" s="39" t="n"/>
      <c r="BC166" s="291" t="n"/>
      <c r="BD166" s="39" t="n"/>
      <c r="BE166" s="291" t="n"/>
      <c r="BF166" s="39" t="n"/>
      <c r="BG166" s="291" t="n"/>
      <c r="BH166" s="39" t="n"/>
      <c r="BI166" s="291" t="n"/>
      <c r="BJ166" s="39" t="n"/>
      <c r="BK166" s="291" t="n"/>
      <c r="BL166" s="39" t="n"/>
      <c r="BM166" s="291" t="n"/>
      <c r="BN166" s="39" t="n"/>
      <c r="BO166" s="291" t="n"/>
      <c r="BP166" s="291" t="n"/>
      <c r="BQ166" s="39" t="n"/>
      <c r="BR166" s="291" t="n"/>
      <c r="BS166" s="39" t="n"/>
      <c r="BT166" s="291" t="n"/>
      <c r="BU166" s="39" t="n"/>
      <c r="BV166" s="291" t="n"/>
      <c r="BW166" s="39" t="n"/>
      <c r="BX166" s="291" t="n"/>
      <c r="BY166" s="39" t="n"/>
      <c r="BZ166" s="291" t="n"/>
      <c r="CA166" s="39" t="n"/>
      <c r="CB166" s="291" t="n"/>
      <c r="CC166" s="39" t="n"/>
      <c r="CD166" s="291" t="n"/>
      <c r="CE166" s="39" t="n"/>
      <c r="CF166" s="291" t="n"/>
      <c r="CG166" s="291" t="n"/>
      <c r="CH166" s="291" t="n"/>
      <c r="CI166" s="291" t="n"/>
      <c r="CJ166" s="291" t="n"/>
      <c r="CK166" s="291" t="n"/>
      <c r="CL166" s="291" t="n"/>
      <c r="CM166" s="291" t="n"/>
      <c r="CN166" s="291" t="n"/>
      <c r="CW166" s="291" t="n"/>
      <c r="CX166" s="39" t="n"/>
      <c r="CY166" s="291" t="n"/>
      <c r="CZ166" s="39" t="n"/>
      <c r="DA166" s="291" t="n"/>
      <c r="DB166" s="39" t="n"/>
      <c r="DC166" s="291" t="n"/>
      <c r="DD166" s="39" t="n"/>
      <c r="DE166" s="311" t="n"/>
      <c r="DF166" s="311" t="n"/>
    </row>
    <row r="167" ht="13" customFormat="1" customHeight="1" s="40">
      <c r="A167" s="326" t="n"/>
      <c r="B167" s="291" t="n"/>
      <c r="C167" s="37" t="n"/>
      <c r="D167" s="37" t="n"/>
      <c r="E167" s="291" t="n"/>
      <c r="F167" s="37" t="n"/>
      <c r="G167" s="37" t="n"/>
      <c r="H167" s="291" t="n"/>
      <c r="I167" s="37" t="n"/>
      <c r="J167" s="37" t="n"/>
      <c r="K167" s="291" t="n"/>
      <c r="L167" s="37" t="n"/>
      <c r="M167" s="37" t="n"/>
      <c r="N167" s="291" t="n"/>
      <c r="O167" s="37" t="n"/>
      <c r="P167" s="37" t="n"/>
      <c r="Q167" s="291" t="n"/>
      <c r="R167" s="37" t="n"/>
      <c r="S167" s="37" t="n"/>
      <c r="T167" s="291" t="n"/>
      <c r="U167" s="37" t="n"/>
      <c r="V167" s="37" t="n"/>
      <c r="W167" s="291" t="n"/>
      <c r="X167" s="37" t="n"/>
      <c r="Y167" s="37" t="n"/>
      <c r="Z167" s="291" t="n"/>
      <c r="AA167" s="39" t="n"/>
      <c r="AB167" s="39" t="n"/>
      <c r="AC167" s="291" t="n"/>
      <c r="AD167" s="39" t="n"/>
      <c r="AE167" s="39" t="n"/>
      <c r="AF167" s="291" t="n"/>
      <c r="AG167" s="39" t="n"/>
      <c r="AH167" s="39" t="n"/>
      <c r="AI167" s="291" t="n"/>
      <c r="AJ167" s="39" t="n"/>
      <c r="AK167" s="39" t="n"/>
      <c r="AL167" s="291" t="n"/>
      <c r="AM167" s="291" t="n"/>
      <c r="AN167" s="291" t="n"/>
      <c r="AO167" s="291" t="n"/>
      <c r="AP167" s="291" t="n"/>
      <c r="AQ167" s="291" t="n"/>
      <c r="AR167" s="291" t="n"/>
      <c r="AS167" s="291" t="n"/>
      <c r="AT167" s="291" t="n"/>
      <c r="AU167" s="291" t="n"/>
      <c r="AV167" s="291" t="n"/>
      <c r="AW167" s="291" t="n"/>
      <c r="AX167" s="53" t="n"/>
      <c r="AY167" s="291" t="n"/>
      <c r="AZ167" s="291" t="n"/>
      <c r="BA167" s="291" t="n"/>
      <c r="BB167" s="291" t="n"/>
      <c r="BC167" s="291" t="n"/>
      <c r="BD167" s="291" t="n"/>
      <c r="BE167" s="291" t="n"/>
      <c r="BF167" s="291" t="n"/>
      <c r="BG167" s="291" t="n"/>
      <c r="BH167" s="291" t="n"/>
      <c r="BI167" s="291" t="n"/>
      <c r="BJ167" s="291" t="n"/>
      <c r="BK167" s="291" t="n"/>
      <c r="BL167" s="291" t="n"/>
      <c r="BM167" s="291" t="n"/>
      <c r="BN167" s="291" t="n"/>
      <c r="BO167" s="291" t="n"/>
      <c r="BP167" s="291" t="n"/>
      <c r="BQ167" s="291" t="n"/>
      <c r="BR167" s="291" t="n"/>
      <c r="BS167" s="291" t="n"/>
      <c r="BT167" s="291" t="n"/>
      <c r="BU167" s="291" t="n"/>
      <c r="BV167" s="291" t="n"/>
      <c r="BW167" s="291" t="n"/>
      <c r="BX167" s="291" t="n"/>
      <c r="BY167" s="291" t="n"/>
      <c r="BZ167" s="291" t="n"/>
      <c r="CA167" s="291" t="n"/>
      <c r="CB167" s="291" t="n"/>
      <c r="CC167" s="291" t="n"/>
      <c r="CD167" s="291" t="n"/>
      <c r="CE167" s="291" t="n"/>
      <c r="CF167" s="291" t="n"/>
      <c r="CG167" s="291" t="n"/>
      <c r="CH167" s="291" t="n"/>
      <c r="CI167" s="291" t="n"/>
      <c r="CJ167" s="291" t="n"/>
      <c r="CK167" s="291" t="n"/>
      <c r="CL167" s="291" t="n"/>
      <c r="CM167" s="291" t="n"/>
      <c r="CN167" s="291" t="n"/>
      <c r="CW167" s="291" t="n"/>
      <c r="CX167" s="291" t="n"/>
      <c r="CY167" s="291" t="n"/>
      <c r="CZ167" s="291" t="n"/>
      <c r="DA167" s="291" t="n"/>
      <c r="DB167" s="291" t="n"/>
      <c r="DC167" s="291" t="n"/>
      <c r="DD167" s="291" t="n"/>
      <c r="DE167" s="311" t="n"/>
      <c r="DF167" s="311" t="n"/>
    </row>
    <row r="168" ht="13" customFormat="1" customHeight="1" s="40">
      <c r="A168" s="326" t="inlineStr">
        <is>
          <t>23Q1</t>
        </is>
      </c>
      <c r="B168" s="291" t="n">
        <v>66949.10000000001</v>
      </c>
      <c r="C168" s="39">
        <f>B168/B163-1</f>
        <v/>
      </c>
      <c r="D168" s="39" t="n"/>
      <c r="E168" s="291" t="n">
        <v>61483.82999999999</v>
      </c>
      <c r="F168" s="39">
        <f>E168/E163-1</f>
        <v/>
      </c>
      <c r="G168" s="39" t="n"/>
      <c r="H168" s="291" t="n">
        <v>5068.38</v>
      </c>
      <c r="I168" s="39">
        <f>H168/H163-1</f>
        <v/>
      </c>
      <c r="J168" s="39" t="n"/>
      <c r="K168" s="291" t="n">
        <v>396.89</v>
      </c>
      <c r="L168" s="39">
        <f>K168/K163-1</f>
        <v/>
      </c>
      <c r="M168" s="39" t="n"/>
      <c r="N168" s="291" t="n">
        <v>49843.38</v>
      </c>
      <c r="O168" s="39">
        <f>N168/N163-1</f>
        <v/>
      </c>
      <c r="P168" s="39" t="n"/>
      <c r="Q168" s="291" t="n">
        <v>45844.03</v>
      </c>
      <c r="R168" s="39">
        <f>Q168/Q163-1</f>
        <v/>
      </c>
      <c r="S168" s="39" t="n"/>
      <c r="T168" s="291" t="n">
        <v>3720.64</v>
      </c>
      <c r="U168" s="39">
        <f>T168/T163-1</f>
        <v/>
      </c>
      <c r="V168" s="39" t="n"/>
      <c r="W168" s="291" t="n">
        <v>278.71</v>
      </c>
      <c r="X168" s="39">
        <f>W168/W163-1</f>
        <v/>
      </c>
      <c r="Y168" s="39" t="n"/>
      <c r="Z168" s="291" t="n">
        <v>29987.13</v>
      </c>
      <c r="AA168" s="39">
        <f>Z168/Z163-1</f>
        <v/>
      </c>
      <c r="AB168" s="39" t="n"/>
      <c r="AC168" s="291" t="n">
        <v>28956.23</v>
      </c>
      <c r="AD168" s="39">
        <f>AC168/AC163-1</f>
        <v/>
      </c>
      <c r="AE168" s="39" t="n"/>
      <c r="AF168" s="291" t="n">
        <v>787.3</v>
      </c>
      <c r="AG168" s="39">
        <f>AF168/AF163-1</f>
        <v/>
      </c>
      <c r="AH168" s="39" t="n"/>
      <c r="AI168" s="291" t="n">
        <v>243.6</v>
      </c>
      <c r="AJ168" s="39">
        <f>AI168/AI163-1</f>
        <v/>
      </c>
      <c r="AK168" s="39" t="n"/>
      <c r="AL168" s="336" t="n">
        <v>74.44333333333333</v>
      </c>
      <c r="AM168" s="336">
        <f>AL168-AL156</f>
        <v/>
      </c>
      <c r="AN168" s="291" t="n"/>
      <c r="AO168" s="336" t="n">
        <v>74.56999999999999</v>
      </c>
      <c r="AP168" s="336">
        <f>AO168-AO156</f>
        <v/>
      </c>
      <c r="AQ168" s="291" t="n"/>
      <c r="AR168" s="336" t="n">
        <v>73.15333333333334</v>
      </c>
      <c r="AS168" s="336">
        <f>AR168-AR156</f>
        <v/>
      </c>
      <c r="AT168" s="291" t="n"/>
      <c r="AU168" s="336" t="n">
        <v>69.25</v>
      </c>
      <c r="AV168" s="336">
        <f>AU168-AU156</f>
        <v/>
      </c>
      <c r="AW168" s="291" t="n"/>
      <c r="AX168" s="291" t="n"/>
      <c r="AY168" s="37" t="n"/>
      <c r="AZ168" s="39" t="n"/>
      <c r="BA168" s="291" t="n"/>
      <c r="BB168" s="39" t="n"/>
      <c r="BC168" s="291" t="n"/>
      <c r="BD168" s="39" t="n"/>
      <c r="BE168" s="291" t="n"/>
      <c r="BF168" s="39" t="n"/>
      <c r="BG168" s="291" t="n"/>
      <c r="BH168" s="39" t="n"/>
      <c r="BI168" s="291" t="n"/>
      <c r="BJ168" s="39" t="n"/>
      <c r="BK168" s="291" t="n"/>
      <c r="BL168" s="39" t="n"/>
      <c r="BM168" s="291" t="n"/>
      <c r="BN168" s="39" t="n"/>
      <c r="BO168" s="291" t="n"/>
      <c r="BP168" s="291" t="n"/>
      <c r="BQ168" s="39" t="n"/>
      <c r="BR168" s="291" t="n"/>
      <c r="BS168" s="39" t="n"/>
      <c r="BT168" s="291" t="n"/>
      <c r="BU168" s="39" t="n"/>
      <c r="BV168" s="291" t="n"/>
      <c r="BW168" s="39" t="n"/>
      <c r="BX168" s="291" t="n"/>
      <c r="BY168" s="39" t="n"/>
      <c r="BZ168" s="291" t="n"/>
      <c r="CA168" s="39" t="n"/>
      <c r="CB168" s="291" t="n"/>
      <c r="CC168" s="39" t="n"/>
      <c r="CD168" s="291" t="n"/>
      <c r="CE168" s="39" t="n"/>
      <c r="CF168" s="291" t="n"/>
      <c r="CG168" s="291" t="n"/>
      <c r="CH168" s="291" t="n"/>
      <c r="CI168" s="291" t="n"/>
      <c r="CJ168" s="291" t="n"/>
      <c r="CK168" s="291" t="n"/>
      <c r="CL168" s="291" t="n"/>
      <c r="CM168" s="291" t="n"/>
      <c r="CN168" s="291" t="n"/>
      <c r="CW168" s="291" t="n"/>
      <c r="CX168" s="39" t="n"/>
      <c r="CY168" s="291" t="n"/>
      <c r="CZ168" s="39" t="n"/>
      <c r="DA168" s="291" t="n"/>
      <c r="DB168" s="39" t="n"/>
      <c r="DC168" s="291" t="n"/>
      <c r="DD168" s="39" t="n"/>
      <c r="DE168" s="311" t="n"/>
      <c r="DF168" s="311" t="n"/>
    </row>
    <row r="169" ht="13" customFormat="1" customHeight="1" s="40">
      <c r="A169" s="326" t="inlineStr">
        <is>
          <t>23Q2</t>
        </is>
      </c>
      <c r="B169" s="291" t="n">
        <v>77094.83</v>
      </c>
      <c r="C169" s="39">
        <f>B169/B164-1</f>
        <v/>
      </c>
      <c r="D169" s="39" t="n"/>
      <c r="E169" s="291" t="n">
        <v>66259.45999999999</v>
      </c>
      <c r="F169" s="39">
        <f>E169/E164-1</f>
        <v/>
      </c>
      <c r="G169" s="39" t="n"/>
      <c r="H169" s="291" t="n">
        <v>10208.05</v>
      </c>
      <c r="I169" s="39">
        <f>H169/H164-1</f>
        <v/>
      </c>
      <c r="J169" s="39" t="n"/>
      <c r="K169" s="291" t="n">
        <v>627.3200000000001</v>
      </c>
      <c r="L169" s="39">
        <f>K169/K164-1</f>
        <v/>
      </c>
      <c r="M169" s="39" t="n"/>
      <c r="N169" s="291" t="n">
        <v>59274.58</v>
      </c>
      <c r="O169" s="39">
        <f>N169/N164-1</f>
        <v/>
      </c>
      <c r="P169" s="39" t="n"/>
      <c r="Q169" s="291" t="n">
        <v>50819.85</v>
      </c>
      <c r="R169" s="39">
        <f>Q169/Q164-1</f>
        <v/>
      </c>
      <c r="S169" s="39" t="n"/>
      <c r="T169" s="291" t="n">
        <v>7986.110000000001</v>
      </c>
      <c r="U169" s="39">
        <f>T169/T164-1</f>
        <v/>
      </c>
      <c r="V169" s="39" t="n"/>
      <c r="W169" s="291" t="n">
        <v>468.61</v>
      </c>
      <c r="X169" s="39">
        <f>W169/W164-1</f>
        <v/>
      </c>
      <c r="Y169" s="39" t="n"/>
      <c r="Z169" s="291" t="n">
        <v>35008.46</v>
      </c>
      <c r="AA169" s="39">
        <f>Z169/Z164-1</f>
        <v/>
      </c>
      <c r="AB169" s="39" t="n"/>
      <c r="AC169" s="291" t="n">
        <v>32621.38</v>
      </c>
      <c r="AD169" s="39">
        <f>AC169/AC164-1</f>
        <v/>
      </c>
      <c r="AE169" s="39" t="n"/>
      <c r="AF169" s="291" t="n">
        <v>1983.61</v>
      </c>
      <c r="AG169" s="39">
        <f>AF169/AF164-1</f>
        <v/>
      </c>
      <c r="AH169" s="39" t="n"/>
      <c r="AI169" s="291" t="n">
        <v>403.46</v>
      </c>
      <c r="AJ169" s="39">
        <f>AI169/AI164-1</f>
        <v/>
      </c>
      <c r="AK169" s="39" t="n"/>
      <c r="AL169" s="336" t="n">
        <v>76.88</v>
      </c>
      <c r="AM169" s="336">
        <f>AL169-AL157</f>
        <v/>
      </c>
      <c r="AN169" s="291" t="n"/>
      <c r="AO169" s="336" t="n">
        <v>76.72333333333334</v>
      </c>
      <c r="AP169" s="336">
        <f>AO169-AO157</f>
        <v/>
      </c>
      <c r="AQ169" s="291" t="n"/>
      <c r="AR169" s="336" t="n">
        <v>77.87</v>
      </c>
      <c r="AS169" s="336">
        <f>AR169-AR157</f>
        <v/>
      </c>
      <c r="AT169" s="291" t="n"/>
      <c r="AU169" s="336" t="n">
        <v>74.7</v>
      </c>
      <c r="AV169" s="336">
        <f>AU169-AU157</f>
        <v/>
      </c>
      <c r="AW169" s="291" t="n"/>
      <c r="AX169" s="291" t="n"/>
      <c r="AY169" s="37" t="n"/>
      <c r="AZ169" s="39" t="n"/>
      <c r="BA169" s="291" t="n"/>
      <c r="BB169" s="39" t="n"/>
      <c r="BC169" s="291" t="n"/>
      <c r="BD169" s="39" t="n"/>
      <c r="BE169" s="291" t="n"/>
      <c r="BF169" s="39" t="n"/>
      <c r="BG169" s="291" t="n"/>
      <c r="BH169" s="39" t="n"/>
      <c r="BI169" s="291" t="n"/>
      <c r="BJ169" s="39" t="n"/>
      <c r="BK169" s="291" t="n"/>
      <c r="BL169" s="39" t="n"/>
      <c r="BM169" s="291" t="n"/>
      <c r="BN169" s="39" t="n"/>
      <c r="BO169" s="291" t="n"/>
      <c r="BP169" s="291" t="n"/>
      <c r="BQ169" s="39" t="n"/>
      <c r="BR169" s="291" t="n"/>
      <c r="BS169" s="39" t="n"/>
      <c r="BT169" s="291" t="n"/>
      <c r="BU169" s="39" t="n"/>
      <c r="BV169" s="291" t="n"/>
      <c r="BW169" s="39" t="n"/>
      <c r="BX169" s="291" t="n"/>
      <c r="BY169" s="39" t="n"/>
      <c r="BZ169" s="291" t="n"/>
      <c r="CA169" s="39" t="n"/>
      <c r="CB169" s="291" t="n"/>
      <c r="CC169" s="39" t="n"/>
      <c r="CD169" s="291" t="n"/>
      <c r="CE169" s="39" t="n"/>
      <c r="CF169" s="291" t="n"/>
      <c r="CG169" s="291" t="n"/>
      <c r="CH169" s="291" t="n"/>
      <c r="CI169" s="291" t="n"/>
      <c r="CJ169" s="291" t="n"/>
      <c r="CK169" s="291" t="n"/>
      <c r="CL169" s="291" t="n"/>
      <c r="CM169" s="291" t="n"/>
      <c r="CN169" s="291" t="n"/>
      <c r="CW169" s="291" t="n"/>
      <c r="CX169" s="39" t="n"/>
      <c r="CY169" s="291" t="n"/>
      <c r="CZ169" s="39" t="n"/>
      <c r="DA169" s="291" t="n"/>
      <c r="DB169" s="39" t="n"/>
      <c r="DC169" s="291" t="n"/>
      <c r="DD169" s="39" t="n"/>
      <c r="DE169" s="311" t="n"/>
      <c r="DF169" s="311" t="n"/>
    </row>
    <row r="170" ht="13" customFormat="1" customHeight="1" s="40">
      <c r="A170" s="326" t="inlineStr">
        <is>
          <t>23Q3</t>
        </is>
      </c>
      <c r="B170" s="291" t="n">
        <v>89158.69</v>
      </c>
      <c r="C170" s="39">
        <f>B170/B165-1</f>
        <v/>
      </c>
      <c r="D170" s="39" t="n"/>
      <c r="E170" s="291" t="n">
        <v>73602.37</v>
      </c>
      <c r="F170" s="39">
        <f>E170/E165-1</f>
        <v/>
      </c>
      <c r="G170" s="39" t="n"/>
      <c r="H170" s="291" t="n">
        <v>14888.87</v>
      </c>
      <c r="I170" s="39">
        <f>H170/H165-1</f>
        <v/>
      </c>
      <c r="J170" s="39" t="n"/>
      <c r="K170" s="291" t="n">
        <v>667.45</v>
      </c>
      <c r="L170" s="39">
        <f>K170/K165-1</f>
        <v/>
      </c>
      <c r="M170" s="39" t="n"/>
      <c r="N170" s="291" t="n">
        <v>71523.09999999999</v>
      </c>
      <c r="O170" s="39">
        <f>N170/N165-1</f>
        <v/>
      </c>
      <c r="P170" s="39" t="n"/>
      <c r="Q170" s="291" t="n">
        <v>58542.06</v>
      </c>
      <c r="R170" s="39">
        <f>Q170/Q165-1</f>
        <v/>
      </c>
      <c r="S170" s="39" t="n"/>
      <c r="T170" s="291" t="n">
        <v>12446.49</v>
      </c>
      <c r="U170" s="39">
        <f>T170/T165-1</f>
        <v/>
      </c>
      <c r="V170" s="39" t="n"/>
      <c r="W170" s="291" t="n">
        <v>534.5600000000001</v>
      </c>
      <c r="X170" s="39">
        <f>W170/W165-1</f>
        <v/>
      </c>
      <c r="Y170" s="39" t="n"/>
      <c r="Z170" s="291" t="n">
        <v>40215.4</v>
      </c>
      <c r="AA170" s="39">
        <f>Z170/Z165-1</f>
        <v/>
      </c>
      <c r="AB170" s="39" t="n"/>
      <c r="AC170" s="291" t="n">
        <v>36612.02</v>
      </c>
      <c r="AD170" s="39">
        <f>AC170/AC165-1</f>
        <v/>
      </c>
      <c r="AE170" s="39" t="n"/>
      <c r="AF170" s="291" t="n">
        <v>3150.95</v>
      </c>
      <c r="AG170" s="39">
        <f>AF170/AF165-1</f>
        <v/>
      </c>
      <c r="AH170" s="39" t="n"/>
      <c r="AI170" s="291" t="n">
        <v>452.42</v>
      </c>
      <c r="AJ170" s="39">
        <f>AI170/AI165-1</f>
        <v/>
      </c>
      <c r="AK170" s="39" t="n"/>
      <c r="AL170" s="336" t="n">
        <v>80.17333333333333</v>
      </c>
      <c r="AM170" s="336">
        <f>AL170-AL158</f>
        <v/>
      </c>
      <c r="AN170" s="291" t="n"/>
      <c r="AO170" s="336" t="n">
        <v>79.47666666666667</v>
      </c>
      <c r="AP170" s="336">
        <f>AO170-AO158</f>
        <v/>
      </c>
      <c r="AQ170" s="291" t="n"/>
      <c r="AR170" s="336" t="n">
        <v>83.60000000000001</v>
      </c>
      <c r="AS170" s="336">
        <f>AR170-AR158</f>
        <v/>
      </c>
      <c r="AT170" s="291" t="n"/>
      <c r="AU170" s="336" t="n">
        <v>80.02333333333333</v>
      </c>
      <c r="AV170" s="336">
        <f>AU170-AU158</f>
        <v/>
      </c>
      <c r="AW170" s="291" t="n"/>
      <c r="AX170" s="291" t="n"/>
      <c r="AY170" s="37" t="n"/>
      <c r="AZ170" s="39" t="n"/>
      <c r="BA170" s="291" t="n"/>
      <c r="BB170" s="39" t="n"/>
      <c r="BC170" s="291" t="n"/>
      <c r="BD170" s="39" t="n"/>
      <c r="BE170" s="291" t="n"/>
      <c r="BF170" s="39" t="n"/>
      <c r="BG170" s="291" t="n"/>
      <c r="BH170" s="39" t="n"/>
      <c r="BI170" s="291" t="n"/>
      <c r="BJ170" s="39" t="n"/>
      <c r="BK170" s="291" t="n"/>
      <c r="BL170" s="39" t="n"/>
      <c r="BM170" s="291" t="n"/>
      <c r="BN170" s="39" t="n"/>
      <c r="BO170" s="291" t="n"/>
      <c r="BP170" s="291" t="n"/>
      <c r="BQ170" s="39" t="n"/>
      <c r="BR170" s="291" t="n"/>
      <c r="BS170" s="39" t="n"/>
      <c r="BT170" s="291" t="n"/>
      <c r="BU170" s="39" t="n"/>
      <c r="BV170" s="291" t="n"/>
      <c r="BW170" s="39" t="n"/>
      <c r="BX170" s="291" t="n"/>
      <c r="BY170" s="39" t="n"/>
      <c r="BZ170" s="291" t="n"/>
      <c r="CA170" s="39" t="n"/>
      <c r="CB170" s="291" t="n"/>
      <c r="CC170" s="39" t="n"/>
      <c r="CD170" s="291" t="n"/>
      <c r="CE170" s="39" t="n"/>
      <c r="CF170" s="291" t="n"/>
      <c r="CG170" s="291" t="n"/>
      <c r="CH170" s="291" t="n"/>
      <c r="CI170" s="291" t="n"/>
      <c r="CJ170" s="291" t="n"/>
      <c r="CK170" s="291" t="n"/>
      <c r="CL170" s="291" t="n"/>
      <c r="CM170" s="291" t="n"/>
      <c r="CN170" s="291" t="n"/>
      <c r="CW170" s="291" t="n"/>
      <c r="CX170" s="39" t="n"/>
      <c r="CY170" s="291" t="n"/>
      <c r="CZ170" s="39" t="n"/>
      <c r="DA170" s="291" t="n"/>
      <c r="DB170" s="39" t="n"/>
      <c r="DC170" s="291" t="n"/>
      <c r="DD170" s="39" t="n"/>
      <c r="DE170" s="311" t="n"/>
      <c r="DF170" s="311" t="n"/>
    </row>
    <row r="171" ht="13" customFormat="1" customHeight="1" s="40">
      <c r="A171" s="326" t="inlineStr">
        <is>
          <t>23Q4</t>
        </is>
      </c>
      <c r="B171" s="291" t="n">
        <v>83018.96000000001</v>
      </c>
      <c r="C171" s="39">
        <f>B171/B166-1</f>
        <v/>
      </c>
      <c r="D171" s="39" t="n"/>
      <c r="E171" s="291" t="n">
        <v>65191.94</v>
      </c>
      <c r="F171" s="39">
        <f>E171/E166-1</f>
        <v/>
      </c>
      <c r="G171" s="39" t="n"/>
      <c r="H171" s="291" t="n">
        <v>17081.68</v>
      </c>
      <c r="I171" s="39">
        <f>H171/H166-1</f>
        <v/>
      </c>
      <c r="J171" s="39" t="n"/>
      <c r="K171" s="291" t="n">
        <v>745.36</v>
      </c>
      <c r="L171" s="39">
        <f>K171/K166-1</f>
        <v/>
      </c>
      <c r="M171" s="39" t="n"/>
      <c r="N171" s="291" t="n">
        <v>66288.37</v>
      </c>
      <c r="O171" s="39">
        <f>N171/N166-1</f>
        <v/>
      </c>
      <c r="P171" s="39" t="n"/>
      <c r="Q171" s="291" t="n">
        <v>52605.02</v>
      </c>
      <c r="R171" s="39">
        <f>Q171/Q166-1</f>
        <v/>
      </c>
      <c r="S171" s="39" t="n"/>
      <c r="T171" s="291" t="n">
        <v>13158.8</v>
      </c>
      <c r="U171" s="39">
        <f>T171/T166-1</f>
        <v/>
      </c>
      <c r="V171" s="39" t="n"/>
      <c r="W171" s="291" t="n">
        <v>524.55</v>
      </c>
      <c r="X171" s="39">
        <f>W171/W166-1</f>
        <v/>
      </c>
      <c r="Y171" s="39" t="n"/>
      <c r="Z171" s="291" t="n">
        <v>36971.32999999999</v>
      </c>
      <c r="AA171" s="39">
        <f>Z171/Z166-1</f>
        <v/>
      </c>
      <c r="AB171" s="39" t="n"/>
      <c r="AC171" s="291" t="n">
        <v>33365.73</v>
      </c>
      <c r="AD171" s="39">
        <f>AC171/AC166-1</f>
        <v/>
      </c>
      <c r="AE171" s="39" t="n"/>
      <c r="AF171" s="291" t="n">
        <v>3169.64</v>
      </c>
      <c r="AG171" s="39">
        <f>AF171/AF166-1</f>
        <v/>
      </c>
      <c r="AH171" s="39" t="n"/>
      <c r="AI171" s="291" t="n">
        <v>435.96</v>
      </c>
      <c r="AJ171" s="39">
        <f>AI171/AI166-1</f>
        <v/>
      </c>
      <c r="AK171" s="39" t="n"/>
      <c r="AL171" s="336" t="n">
        <v>79.82000000000001</v>
      </c>
      <c r="AM171" s="336">
        <f>AL171-AL159</f>
        <v/>
      </c>
      <c r="AN171" s="291" t="n"/>
      <c r="AO171" s="336" t="n">
        <v>80.64999999999999</v>
      </c>
      <c r="AP171" s="336">
        <f>AO171-AO159</f>
        <v/>
      </c>
      <c r="AQ171" s="291" t="n"/>
      <c r="AR171" s="336" t="n">
        <v>77.01666666666667</v>
      </c>
      <c r="AS171" s="336">
        <f>AR171-AR159</f>
        <v/>
      </c>
      <c r="AT171" s="291" t="n"/>
      <c r="AU171" s="336" t="n">
        <v>70.33666666666666</v>
      </c>
      <c r="AV171" s="336">
        <f>AU171-AU159</f>
        <v/>
      </c>
      <c r="AW171" s="291" t="n"/>
      <c r="AX171" s="291" t="n"/>
      <c r="AY171" s="37" t="n"/>
      <c r="AZ171" s="39" t="n"/>
      <c r="BA171" s="291" t="n"/>
      <c r="BB171" s="39" t="n"/>
      <c r="BC171" s="291" t="n"/>
      <c r="BD171" s="39" t="n"/>
      <c r="BE171" s="291" t="n"/>
      <c r="BF171" s="39" t="n"/>
      <c r="BG171" s="291" t="n"/>
      <c r="BH171" s="39" t="n"/>
      <c r="BI171" s="291" t="n"/>
      <c r="BJ171" s="39" t="n"/>
      <c r="BK171" s="291" t="n"/>
      <c r="BL171" s="39" t="n"/>
      <c r="BM171" s="291" t="n"/>
      <c r="BN171" s="39" t="n"/>
      <c r="BO171" s="291" t="n"/>
      <c r="BP171" s="291" t="n"/>
      <c r="BQ171" s="39" t="n"/>
      <c r="BR171" s="291" t="n"/>
      <c r="BS171" s="39" t="n"/>
      <c r="BT171" s="291" t="n"/>
      <c r="BU171" s="39" t="n"/>
      <c r="BV171" s="291" t="n"/>
      <c r="BW171" s="39" t="n"/>
      <c r="BX171" s="291" t="n"/>
      <c r="BY171" s="39" t="n"/>
      <c r="BZ171" s="291" t="n"/>
      <c r="CA171" s="39" t="n"/>
      <c r="CB171" s="291" t="n"/>
      <c r="CC171" s="39" t="n"/>
      <c r="CD171" s="291" t="n"/>
      <c r="CE171" s="39" t="n"/>
      <c r="CF171" s="291" t="n"/>
      <c r="CG171" s="291" t="n"/>
      <c r="CH171" s="291" t="n"/>
      <c r="CI171" s="291" t="n"/>
      <c r="CJ171" s="291" t="n"/>
      <c r="CK171" s="291" t="n"/>
      <c r="CL171" s="291" t="n"/>
      <c r="CM171" s="291" t="n"/>
      <c r="CN171" s="291" t="n"/>
      <c r="CW171" s="291" t="n"/>
      <c r="CX171" s="39" t="n"/>
      <c r="CY171" s="291" t="n"/>
      <c r="CZ171" s="39" t="n"/>
      <c r="DA171" s="291" t="n"/>
      <c r="DB171" s="39" t="n"/>
      <c r="DC171" s="291" t="n"/>
      <c r="DD171" s="39" t="n"/>
      <c r="DE171" s="311" t="n"/>
      <c r="DF171" s="311" t="n"/>
    </row>
    <row r="172" customFormat="1" s="40">
      <c r="C172" s="41" t="n"/>
      <c r="D172" s="41" t="n"/>
      <c r="F172" s="41" t="n"/>
      <c r="G172" s="41" t="n"/>
      <c r="I172" s="41" t="n"/>
      <c r="J172" s="41" t="n"/>
      <c r="L172" s="41" t="n"/>
      <c r="M172" s="41" t="n"/>
      <c r="O172" s="41" t="n"/>
      <c r="P172" s="41" t="n"/>
      <c r="R172" s="41" t="n"/>
      <c r="S172" s="41" t="n"/>
      <c r="U172" s="41" t="n"/>
      <c r="V172" s="41" t="n"/>
      <c r="X172" s="41" t="n"/>
      <c r="Y172" s="41" t="n"/>
      <c r="AA172" s="41" t="n"/>
      <c r="AB172" s="41" t="n"/>
      <c r="AD172" s="41" t="n"/>
      <c r="AE172" s="41" t="n"/>
      <c r="AG172" s="41" t="n"/>
      <c r="AH172" s="41" t="n"/>
      <c r="AJ172" s="41" t="n"/>
      <c r="AK172" s="41" t="n"/>
      <c r="AX172" s="53" t="n"/>
      <c r="AY172" s="291" t="n"/>
      <c r="AZ172" s="291" t="n"/>
      <c r="BA172" s="291" t="n"/>
      <c r="BB172" s="291" t="n"/>
      <c r="BC172" s="291" t="n"/>
      <c r="BD172" s="291" t="n"/>
      <c r="BE172" s="291" t="n"/>
      <c r="BF172" s="291" t="n"/>
      <c r="BG172" s="291" t="n"/>
      <c r="BH172" s="291" t="n"/>
      <c r="BI172" s="291" t="n"/>
      <c r="BJ172" s="291" t="n"/>
      <c r="BK172" s="291" t="n"/>
      <c r="BL172" s="291" t="n"/>
      <c r="BM172" s="291" t="n"/>
      <c r="BN172" s="291" t="n"/>
      <c r="BO172" s="291" t="n"/>
      <c r="BP172" s="291" t="n"/>
      <c r="BQ172" s="291" t="n"/>
      <c r="BR172" s="291" t="n"/>
      <c r="BS172" s="291" t="n"/>
      <c r="BT172" s="291" t="n"/>
      <c r="BU172" s="291" t="n"/>
      <c r="BV172" s="291" t="n"/>
      <c r="BW172" s="291" t="n"/>
      <c r="BX172" s="291" t="n"/>
      <c r="BY172" s="291" t="n"/>
      <c r="BZ172" s="291" t="n"/>
      <c r="CA172" s="291" t="n"/>
      <c r="CB172" s="291" t="n"/>
      <c r="CC172" s="291" t="n"/>
      <c r="CD172" s="291" t="n"/>
      <c r="CE172" s="291" t="n"/>
      <c r="CF172" s="291" t="n"/>
      <c r="CG172" s="291" t="n"/>
      <c r="CH172" s="291" t="n"/>
      <c r="CI172" s="291" t="n"/>
      <c r="CJ172" s="291" t="n"/>
      <c r="CK172" s="291" t="n"/>
      <c r="CL172" s="291" t="n"/>
      <c r="CM172" s="291" t="n"/>
      <c r="CN172" s="291" t="n"/>
      <c r="CW172" s="291" t="n"/>
      <c r="CX172" s="291" t="n"/>
      <c r="CY172" s="291" t="n"/>
      <c r="CZ172" s="291" t="n"/>
      <c r="DA172" s="291" t="n"/>
      <c r="DB172" s="291" t="n"/>
      <c r="DC172" s="291" t="n"/>
      <c r="DD172" s="291" t="n"/>
      <c r="DE172" s="311" t="n"/>
      <c r="DF172" s="311" t="n"/>
    </row>
    <row r="173" ht="13" customFormat="1" customHeight="1" s="40">
      <c r="A173" s="326" t="inlineStr">
        <is>
          <t>24Q1</t>
        </is>
      </c>
      <c r="B173" s="291" t="n">
        <v>89540.50999999999</v>
      </c>
      <c r="C173" s="39">
        <f>B173/B168-1</f>
        <v/>
      </c>
      <c r="D173" s="39" t="n"/>
      <c r="E173" s="291" t="n">
        <v>69191.63</v>
      </c>
      <c r="F173" s="39">
        <f>E173/E168-1</f>
        <v/>
      </c>
      <c r="G173" s="39" t="n"/>
      <c r="H173" s="291" t="n">
        <v>19623.99</v>
      </c>
      <c r="I173" s="39">
        <f>H173/H168-1</f>
        <v/>
      </c>
      <c r="J173" s="39" t="n"/>
      <c r="K173" s="291" t="n">
        <v>724.89</v>
      </c>
      <c r="L173" s="39">
        <f>K173/K168-1</f>
        <v/>
      </c>
      <c r="M173" s="39" t="n"/>
      <c r="N173" s="291" t="n">
        <v>74323.75999999999</v>
      </c>
      <c r="O173" s="39">
        <f>N173/N168-1</f>
        <v/>
      </c>
      <c r="P173" s="39" t="n"/>
      <c r="Q173" s="291" t="n">
        <v>57778.98</v>
      </c>
      <c r="R173" s="39">
        <f>Q173/Q168-1</f>
        <v/>
      </c>
      <c r="S173" s="39" t="n"/>
      <c r="T173" s="291" t="n">
        <v>15988.9</v>
      </c>
      <c r="U173" s="39">
        <f>T173/T168-1</f>
        <v/>
      </c>
      <c r="V173" s="39" t="n"/>
      <c r="W173" s="291" t="n">
        <v>555.8699999999999</v>
      </c>
      <c r="X173" s="39">
        <f>W173/W168-1</f>
        <v/>
      </c>
      <c r="Y173" s="39" t="n"/>
      <c r="Z173" s="291" t="n">
        <v>40480.5</v>
      </c>
      <c r="AA173" s="39">
        <f>Z173/Z168-1</f>
        <v/>
      </c>
      <c r="AB173" s="39" t="n"/>
      <c r="AC173" s="291" t="n">
        <v>36137.42000000001</v>
      </c>
      <c r="AD173" s="39">
        <f>AC173/AC168-1</f>
        <v/>
      </c>
      <c r="AE173" s="39" t="n"/>
      <c r="AF173" s="291" t="n">
        <v>3878.14</v>
      </c>
      <c r="AG173" s="39">
        <f>AF173/AF168-1</f>
        <v/>
      </c>
      <c r="AH173" s="39" t="n"/>
      <c r="AI173" s="291" t="n">
        <v>464.95</v>
      </c>
      <c r="AJ173" s="39">
        <f>AI173/AI168-1</f>
        <v/>
      </c>
      <c r="AK173" s="39" t="n"/>
      <c r="AL173" s="336" t="n">
        <v>82.98</v>
      </c>
      <c r="AM173" s="336">
        <f>AL173-AL161</f>
        <v/>
      </c>
      <c r="AN173" s="291" t="n"/>
      <c r="AO173" s="336" t="n">
        <v>83.46333333333332</v>
      </c>
      <c r="AP173" s="336">
        <f>AO173-AO161</f>
        <v/>
      </c>
      <c r="AQ173" s="291" t="n"/>
      <c r="AR173" s="336" t="n">
        <v>81.55666666666667</v>
      </c>
      <c r="AS173" s="336">
        <f>AR173-AR161</f>
        <v/>
      </c>
      <c r="AT173" s="291" t="n"/>
      <c r="AU173" s="336" t="n">
        <v>76.68666666666667</v>
      </c>
      <c r="AV173" s="336">
        <f>AU173-AU161</f>
        <v/>
      </c>
      <c r="AW173" s="291" t="n"/>
      <c r="AX173" s="291" t="n"/>
      <c r="AY173" s="37" t="n"/>
      <c r="AZ173" s="39" t="n"/>
      <c r="BA173" s="291" t="n"/>
      <c r="BB173" s="39" t="n"/>
      <c r="BC173" s="291" t="n"/>
      <c r="BD173" s="39" t="n"/>
      <c r="BE173" s="291" t="n"/>
      <c r="BF173" s="39" t="n"/>
      <c r="BG173" s="291" t="n"/>
      <c r="BH173" s="39" t="n"/>
      <c r="BI173" s="291" t="n"/>
      <c r="BJ173" s="39" t="n"/>
      <c r="BK173" s="291" t="n"/>
      <c r="BL173" s="39" t="n"/>
      <c r="BM173" s="291" t="n"/>
      <c r="BN173" s="39" t="n"/>
      <c r="BO173" s="291" t="n"/>
      <c r="BP173" s="291" t="n"/>
      <c r="BQ173" s="39" t="n"/>
      <c r="BR173" s="291" t="n"/>
      <c r="BS173" s="39" t="n"/>
      <c r="BT173" s="291" t="n"/>
      <c r="BU173" s="39" t="n"/>
      <c r="BV173" s="291" t="n"/>
      <c r="BW173" s="39" t="n"/>
      <c r="BX173" s="291" t="n"/>
      <c r="BY173" s="39" t="n"/>
      <c r="BZ173" s="291" t="n"/>
      <c r="CA173" s="39" t="n"/>
      <c r="CB173" s="291" t="n"/>
      <c r="CC173" s="39" t="n"/>
      <c r="CD173" s="291" t="n"/>
      <c r="CE173" s="39" t="n"/>
      <c r="CF173" s="291" t="n"/>
      <c r="CG173" s="39" t="n"/>
      <c r="CH173" s="291" t="n"/>
      <c r="CI173" s="39" t="n"/>
      <c r="CJ173" s="291" t="n"/>
      <c r="CK173" s="39" t="n"/>
      <c r="CL173" s="291" t="n"/>
      <c r="CM173" s="39" t="n"/>
      <c r="CN173" s="291" t="n"/>
      <c r="CW173" s="291" t="n"/>
      <c r="CX173" s="39" t="n"/>
      <c r="CY173" s="291" t="n"/>
      <c r="CZ173" s="39" t="n"/>
      <c r="DA173" s="291" t="n"/>
      <c r="DB173" s="39" t="n"/>
      <c r="DC173" s="291" t="n"/>
      <c r="DD173" s="39" t="n"/>
      <c r="DE173" s="291" t="n"/>
      <c r="DF173" s="337" t="n"/>
    </row>
    <row r="174" ht="13" customFormat="1" customHeight="1" s="40">
      <c r="A174" s="326" t="inlineStr">
        <is>
          <t>24Q2</t>
        </is>
      </c>
      <c r="B174" s="291" t="n">
        <v>85742.2</v>
      </c>
      <c r="C174" s="39">
        <f>B174/B169-1</f>
        <v/>
      </c>
      <c r="D174" s="39" t="n"/>
      <c r="E174" s="291" t="n">
        <v>64626.14</v>
      </c>
      <c r="F174" s="39">
        <f>E174/E169-1</f>
        <v/>
      </c>
      <c r="G174" s="39" t="n"/>
      <c r="H174" s="291" t="n">
        <v>20251.63</v>
      </c>
      <c r="I174" s="39">
        <f>H174/H169-1</f>
        <v/>
      </c>
      <c r="J174" s="39" t="n"/>
      <c r="K174" s="291" t="n">
        <v>864.4300000000001</v>
      </c>
      <c r="L174" s="39">
        <f>K174/K169-1</f>
        <v/>
      </c>
      <c r="M174" s="39" t="n"/>
      <c r="N174" s="291" t="n">
        <v>71312.39999999999</v>
      </c>
      <c r="O174" s="39">
        <f>N174/N169-1</f>
        <v/>
      </c>
      <c r="P174" s="39" t="n"/>
      <c r="Q174" s="291" t="n">
        <v>54061.68</v>
      </c>
      <c r="R174" s="39">
        <f>Q174/Q169-1</f>
        <v/>
      </c>
      <c r="S174" s="39" t="n"/>
      <c r="T174" s="291" t="n">
        <v>16581.72</v>
      </c>
      <c r="U174" s="39">
        <f>T174/T169-1</f>
        <v/>
      </c>
      <c r="V174" s="39" t="n"/>
      <c r="W174" s="291" t="n">
        <v>669.02</v>
      </c>
      <c r="X174" s="39">
        <f>W174/W169-1</f>
        <v/>
      </c>
      <c r="Y174" s="39" t="n"/>
      <c r="Z174" s="291" t="n">
        <v>38955.44</v>
      </c>
      <c r="AA174" s="39">
        <f>Z174/Z169-1</f>
        <v/>
      </c>
      <c r="AB174" s="39" t="n"/>
      <c r="AC174" s="291" t="n">
        <v>34303.79</v>
      </c>
      <c r="AD174" s="39">
        <f>AC174/AC169-1</f>
        <v/>
      </c>
      <c r="AE174" s="39" t="n"/>
      <c r="AF174" s="291" t="n">
        <v>4145.03</v>
      </c>
      <c r="AG174" s="39">
        <f>AF174/AF169-1</f>
        <v/>
      </c>
      <c r="AH174" s="39" t="n"/>
      <c r="AI174" s="291" t="n">
        <v>506.61</v>
      </c>
      <c r="AJ174" s="39">
        <f>AI174/AI169-1</f>
        <v/>
      </c>
      <c r="AK174" s="39" t="n"/>
      <c r="AL174" s="336" t="n">
        <v>83.16666666666667</v>
      </c>
      <c r="AM174" s="336">
        <f>AL174-AL162</f>
        <v/>
      </c>
      <c r="AN174" s="291" t="n"/>
      <c r="AO174" s="336" t="n">
        <v>83.64</v>
      </c>
      <c r="AP174" s="336">
        <f>AO174-AO162</f>
        <v/>
      </c>
      <c r="AQ174" s="291" t="n"/>
      <c r="AR174" s="336" t="n">
        <v>81.89999999999999</v>
      </c>
      <c r="AS174" s="336">
        <f>AR174-AR162</f>
        <v/>
      </c>
      <c r="AT174" s="291" t="n"/>
      <c r="AU174" s="336" t="n">
        <v>77.41333333333334</v>
      </c>
      <c r="AV174" s="336">
        <f>AU174-AU162</f>
        <v/>
      </c>
      <c r="AW174" s="291" t="n"/>
      <c r="AX174" s="291" t="n"/>
      <c r="AY174" s="37" t="n"/>
      <c r="AZ174" s="39" t="n"/>
      <c r="BA174" s="291" t="n"/>
      <c r="BB174" s="39" t="n"/>
      <c r="BC174" s="291" t="n"/>
      <c r="BD174" s="39" t="n"/>
      <c r="BE174" s="291" t="n"/>
      <c r="BF174" s="39" t="n"/>
      <c r="BG174" s="291" t="n"/>
      <c r="BH174" s="39" t="n"/>
      <c r="BI174" s="291" t="n"/>
      <c r="BJ174" s="39" t="n"/>
      <c r="BK174" s="291" t="n"/>
      <c r="BL174" s="39" t="n"/>
      <c r="BM174" s="291" t="n"/>
      <c r="BN174" s="39" t="n"/>
      <c r="BO174" s="291" t="n"/>
      <c r="BP174" s="291" t="n"/>
      <c r="BQ174" s="39" t="n"/>
      <c r="BR174" s="291" t="n"/>
      <c r="BS174" s="39" t="n"/>
      <c r="BT174" s="291" t="n"/>
      <c r="BU174" s="39" t="n"/>
      <c r="BV174" s="291" t="n"/>
      <c r="BW174" s="39" t="n"/>
      <c r="BX174" s="291" t="n"/>
      <c r="BY174" s="39" t="n"/>
      <c r="BZ174" s="291" t="n"/>
      <c r="CA174" s="39" t="n"/>
      <c r="CB174" s="291" t="n"/>
      <c r="CC174" s="39" t="n"/>
      <c r="CD174" s="291" t="n"/>
      <c r="CE174" s="39" t="n"/>
      <c r="CF174" s="291" t="n"/>
      <c r="CG174" s="39" t="n"/>
      <c r="CH174" s="291" t="n"/>
      <c r="CI174" s="39" t="n"/>
      <c r="CJ174" s="291" t="n"/>
      <c r="CK174" s="39" t="n"/>
      <c r="CL174" s="291" t="n"/>
      <c r="CM174" s="39" t="n"/>
      <c r="CN174" s="291" t="n"/>
      <c r="CW174" s="291" t="n"/>
      <c r="CX174" s="39" t="n"/>
      <c r="CY174" s="291" t="n"/>
      <c r="CZ174" s="39" t="n"/>
      <c r="DA174" s="291" t="n"/>
      <c r="DB174" s="39" t="n"/>
      <c r="DC174" s="291" t="n"/>
      <c r="DD174" s="39" t="n"/>
      <c r="DE174" s="291" t="n"/>
      <c r="DF174" s="337" t="n"/>
    </row>
    <row r="175" ht="13" customFormat="1" customHeight="1" s="40">
      <c r="A175" s="326" t="inlineStr">
        <is>
          <t>24Q3</t>
        </is>
      </c>
      <c r="B175" s="291" t="n">
        <v>99299.95</v>
      </c>
      <c r="C175" s="39">
        <f>B175/B170-1</f>
        <v/>
      </c>
      <c r="D175" s="39" t="n"/>
      <c r="E175" s="291" t="n">
        <v>74679.76999999999</v>
      </c>
      <c r="F175" s="39">
        <f>E175/E170-1</f>
        <v/>
      </c>
      <c r="G175" s="39" t="n"/>
      <c r="H175" s="291" t="n">
        <v>23717.03</v>
      </c>
      <c r="I175" s="39">
        <f>H175/H170-1</f>
        <v/>
      </c>
      <c r="J175" s="39" t="n"/>
      <c r="K175" s="291" t="n">
        <v>903.17</v>
      </c>
      <c r="L175" s="39">
        <f>K175/K170-1</f>
        <v/>
      </c>
      <c r="M175" s="39" t="n"/>
      <c r="N175" s="291" t="n">
        <v>84895.21000000001</v>
      </c>
      <c r="O175" s="39">
        <f>N175/N170-1</f>
        <v/>
      </c>
      <c r="P175" s="39" t="n"/>
      <c r="Q175" s="291" t="n">
        <v>64007.03</v>
      </c>
      <c r="R175" s="39">
        <f>Q175/Q170-1</f>
        <v/>
      </c>
      <c r="S175" s="39" t="n"/>
      <c r="T175" s="291" t="n">
        <v>20168.37</v>
      </c>
      <c r="U175" s="39">
        <f>T175/T170-1</f>
        <v/>
      </c>
      <c r="V175" s="39" t="n"/>
      <c r="W175" s="291" t="n">
        <v>719.8199999999999</v>
      </c>
      <c r="X175" s="39">
        <f>W175/W170-1</f>
        <v/>
      </c>
      <c r="Y175" s="39" t="n"/>
      <c r="Z175" s="291" t="n">
        <v>44962.23</v>
      </c>
      <c r="AA175" s="39">
        <f>Z175/Z170-1</f>
        <v/>
      </c>
      <c r="AB175" s="39" t="n"/>
      <c r="AC175" s="291" t="n">
        <v>39573.16</v>
      </c>
      <c r="AD175" s="39">
        <f>AC175/AC170-1</f>
        <v/>
      </c>
      <c r="AE175" s="39" t="n"/>
      <c r="AF175" s="291" t="n">
        <v>4878.09</v>
      </c>
      <c r="AG175" s="39">
        <f>AF175/AF170-1</f>
        <v/>
      </c>
      <c r="AH175" s="39" t="n"/>
      <c r="AI175" s="291" t="n">
        <v>510.98</v>
      </c>
      <c r="AJ175" s="39">
        <f>AI175/AI170-1</f>
        <v/>
      </c>
      <c r="AK175" s="39" t="n"/>
      <c r="AL175" s="336" t="n">
        <v>85.49000000000001</v>
      </c>
      <c r="AM175" s="336">
        <f>AL175-AL163</f>
        <v/>
      </c>
      <c r="AN175" s="291" t="n"/>
      <c r="AO175" s="336" t="n">
        <v>85.70999999999999</v>
      </c>
      <c r="AP175" s="336">
        <f>AO175-AO163</f>
        <v/>
      </c>
      <c r="AQ175" s="291" t="n"/>
      <c r="AR175" s="336" t="n">
        <v>85.03333333333333</v>
      </c>
      <c r="AS175" s="336">
        <f>AR175-AR163</f>
        <v/>
      </c>
      <c r="AT175" s="291" t="n"/>
      <c r="AU175" s="336" t="n">
        <v>79.66333333333334</v>
      </c>
      <c r="AV175" s="336">
        <f>AU175-AU163</f>
        <v/>
      </c>
      <c r="AW175" s="291" t="n"/>
      <c r="AX175" s="291" t="n"/>
      <c r="AY175" s="37" t="n"/>
      <c r="AZ175" s="39" t="n"/>
      <c r="BA175" s="291" t="n"/>
      <c r="BB175" s="39" t="n"/>
      <c r="BC175" s="291" t="n"/>
      <c r="BD175" s="39" t="n"/>
      <c r="BE175" s="291" t="n"/>
      <c r="BF175" s="39" t="n"/>
      <c r="BG175" s="291" t="n"/>
      <c r="BH175" s="39" t="n"/>
      <c r="BI175" s="291" t="n"/>
      <c r="BJ175" s="39" t="n"/>
      <c r="BK175" s="291" t="n"/>
      <c r="BL175" s="39" t="n"/>
      <c r="BM175" s="291" t="n"/>
      <c r="BN175" s="39" t="n"/>
      <c r="BO175" s="291" t="n"/>
      <c r="BP175" s="291" t="n"/>
      <c r="BQ175" s="39" t="n"/>
      <c r="BR175" s="291" t="n"/>
      <c r="BS175" s="39" t="n"/>
      <c r="BT175" s="291" t="n"/>
      <c r="BU175" s="39" t="n"/>
      <c r="BV175" s="291" t="n"/>
      <c r="BW175" s="39" t="n"/>
      <c r="BX175" s="291" t="n"/>
      <c r="BY175" s="39" t="n"/>
      <c r="BZ175" s="291" t="n"/>
      <c r="CA175" s="39" t="n"/>
      <c r="CB175" s="291" t="n"/>
      <c r="CC175" s="39" t="n"/>
      <c r="CD175" s="291" t="n"/>
      <c r="CE175" s="39" t="n"/>
      <c r="CF175" s="291" t="n"/>
      <c r="CG175" s="39" t="n"/>
      <c r="CH175" s="291" t="n"/>
      <c r="CI175" s="39" t="n"/>
      <c r="CJ175" s="291" t="n"/>
      <c r="CK175" s="39" t="n"/>
      <c r="CL175" s="291" t="n"/>
      <c r="CM175" s="39" t="n"/>
      <c r="CN175" s="291" t="n"/>
      <c r="CW175" s="291" t="n"/>
      <c r="CX175" s="39" t="n"/>
      <c r="CY175" s="291" t="n"/>
      <c r="CZ175" s="39" t="n"/>
      <c r="DA175" s="291" t="n"/>
      <c r="DB175" s="39" t="n"/>
      <c r="DC175" s="291" t="n"/>
      <c r="DD175" s="39" t="n"/>
      <c r="DE175" s="291" t="n"/>
      <c r="DF175" s="337" t="n"/>
    </row>
    <row r="176" ht="13" customFormat="1" customHeight="1" s="40">
      <c r="A176" s="326" t="inlineStr">
        <is>
          <t>24Q4</t>
        </is>
      </c>
      <c r="B176" s="291" t="n">
        <v>88341.63</v>
      </c>
      <c r="C176" s="39">
        <f>B176/B171-1</f>
        <v/>
      </c>
      <c r="D176" s="39" t="n"/>
      <c r="E176" s="291" t="n">
        <v>64680.09</v>
      </c>
      <c r="F176" s="39">
        <f>E176/E171-1</f>
        <v/>
      </c>
      <c r="G176" s="39" t="n"/>
      <c r="H176" s="291" t="n">
        <v>22890.35</v>
      </c>
      <c r="I176" s="39">
        <f>H176/H171-1</f>
        <v/>
      </c>
      <c r="J176" s="39" t="n"/>
      <c r="K176" s="291" t="n">
        <v>771.1800000000001</v>
      </c>
      <c r="L176" s="39">
        <f>K176/K171-1</f>
        <v/>
      </c>
      <c r="M176" s="39" t="n"/>
      <c r="N176" s="291" t="n">
        <v>75443.48000000001</v>
      </c>
      <c r="O176" s="39">
        <f>N176/N171-1</f>
        <v/>
      </c>
      <c r="P176" s="39" t="n"/>
      <c r="Q176" s="291" t="n">
        <v>55421.52</v>
      </c>
      <c r="R176" s="39">
        <f>Q176/Q171-1</f>
        <v/>
      </c>
      <c r="S176" s="39" t="n"/>
      <c r="T176" s="291" t="n">
        <v>19422.52</v>
      </c>
      <c r="U176" s="39">
        <f>T176/T171-1</f>
        <v/>
      </c>
      <c r="V176" s="39" t="n"/>
      <c r="W176" s="291" t="n">
        <v>599.45</v>
      </c>
      <c r="X176" s="39">
        <f>W176/W171-1</f>
        <v/>
      </c>
      <c r="Y176" s="39" t="n"/>
      <c r="Z176" s="291" t="n">
        <v>40339.59</v>
      </c>
      <c r="AA176" s="39">
        <f>Z176/Z171-1</f>
        <v/>
      </c>
      <c r="AB176" s="39" t="n"/>
      <c r="AC176" s="291" t="n">
        <v>35151.21</v>
      </c>
      <c r="AD176" s="39">
        <f>AC176/AC171-1</f>
        <v/>
      </c>
      <c r="AE176" s="39" t="n"/>
      <c r="AF176" s="291" t="n">
        <v>4755.18</v>
      </c>
      <c r="AG176" s="39">
        <f>AF176/AF171-1</f>
        <v/>
      </c>
      <c r="AH176" s="39" t="n"/>
      <c r="AI176" s="291" t="n">
        <v>433.2</v>
      </c>
      <c r="AJ176" s="39">
        <f>AI176/AI171-1</f>
        <v/>
      </c>
      <c r="AK176" s="39" t="n"/>
      <c r="AL176" s="336" t="n">
        <v>85.36</v>
      </c>
      <c r="AM176" s="336">
        <f>AL176-AL164</f>
        <v/>
      </c>
      <c r="AN176" s="291" t="n"/>
      <c r="AO176" s="336" t="n">
        <v>85.61333333333334</v>
      </c>
      <c r="AP176" s="336">
        <f>AO176-AO164</f>
        <v/>
      </c>
      <c r="AQ176" s="291" t="n"/>
      <c r="AR176" s="336" t="n">
        <v>84.84666666666666</v>
      </c>
      <c r="AS176" s="336">
        <f>AR176-AR164</f>
        <v/>
      </c>
      <c r="AT176" s="291" t="n"/>
      <c r="AU176" s="336" t="n">
        <v>77.7</v>
      </c>
      <c r="AV176" s="336">
        <f>AU176-AU164</f>
        <v/>
      </c>
      <c r="AW176" s="291" t="n"/>
      <c r="AX176" s="291" t="n"/>
      <c r="AY176" s="37" t="n"/>
      <c r="AZ176" s="39" t="n"/>
      <c r="BA176" s="291" t="n"/>
      <c r="BB176" s="39" t="n"/>
      <c r="BC176" s="291" t="n"/>
      <c r="BD176" s="39" t="n"/>
      <c r="BE176" s="291" t="n"/>
      <c r="BF176" s="39" t="n"/>
      <c r="BG176" s="291" t="n"/>
      <c r="BH176" s="39" t="n"/>
      <c r="BI176" s="291" t="n"/>
      <c r="BJ176" s="39" t="n"/>
      <c r="BK176" s="291" t="n"/>
      <c r="BL176" s="39" t="n"/>
      <c r="BM176" s="291" t="n"/>
      <c r="BN176" s="39" t="n"/>
      <c r="BO176" s="291" t="n"/>
      <c r="BP176" s="291" t="n"/>
      <c r="BQ176" s="39" t="n"/>
      <c r="BR176" s="291" t="n"/>
      <c r="BS176" s="39" t="n"/>
      <c r="BT176" s="291" t="n"/>
      <c r="BU176" s="39" t="n"/>
      <c r="BV176" s="291" t="n"/>
      <c r="BW176" s="39" t="n"/>
      <c r="BX176" s="291" t="n"/>
      <c r="BY176" s="39" t="n"/>
      <c r="BZ176" s="291" t="n"/>
      <c r="CA176" s="39" t="n"/>
      <c r="CB176" s="291" t="n"/>
      <c r="CC176" s="39" t="n"/>
      <c r="CD176" s="291" t="n"/>
      <c r="CE176" s="39" t="n"/>
      <c r="CF176" s="291" t="n"/>
      <c r="CG176" s="39" t="n"/>
      <c r="CH176" s="291" t="n"/>
      <c r="CI176" s="39" t="n"/>
      <c r="CJ176" s="291" t="n"/>
      <c r="CK176" s="39" t="n"/>
      <c r="CL176" s="291" t="n"/>
      <c r="CM176" s="39" t="n"/>
      <c r="CN176" s="291" t="n"/>
      <c r="CW176" s="291" t="n"/>
      <c r="CX176" s="39" t="n"/>
      <c r="CY176" s="291" t="n"/>
      <c r="CZ176" s="39" t="n"/>
      <c r="DA176" s="291" t="n"/>
      <c r="DB176" s="39" t="n"/>
      <c r="DC176" s="291" t="n"/>
      <c r="DD176" s="39" t="n"/>
      <c r="DE176" s="291" t="n"/>
      <c r="DF176" s="337" t="n"/>
    </row>
    <row r="177" customFormat="1" s="40">
      <c r="C177" s="41" t="n"/>
      <c r="D177" s="41" t="n"/>
      <c r="F177" s="41" t="n"/>
      <c r="G177" s="41" t="n"/>
      <c r="I177" s="41" t="n"/>
      <c r="J177" s="41" t="n"/>
      <c r="L177" s="41" t="n"/>
      <c r="M177" s="41" t="n"/>
      <c r="O177" s="41" t="n"/>
      <c r="P177" s="41" t="n"/>
      <c r="R177" s="41" t="n"/>
      <c r="S177" s="41" t="n"/>
      <c r="U177" s="41" t="n"/>
      <c r="V177" s="41" t="n"/>
      <c r="X177" s="41" t="n"/>
      <c r="Y177" s="41" t="n"/>
      <c r="AA177" s="41" t="n"/>
      <c r="AB177" s="41" t="n"/>
      <c r="AD177" s="41" t="n"/>
      <c r="AE177" s="41" t="n"/>
      <c r="AG177" s="41" t="n"/>
      <c r="AH177" s="41" t="n"/>
      <c r="AJ177" s="41" t="n"/>
      <c r="AK177" s="41" t="n"/>
      <c r="AP177" s="291" t="n"/>
      <c r="AQ177" s="291" t="n"/>
      <c r="AS177" s="291" t="n"/>
      <c r="AT177" s="291" t="n"/>
      <c r="AV177" s="291" t="n"/>
      <c r="AW177" s="291" t="n"/>
      <c r="AX177" s="53" t="n"/>
      <c r="AY177" s="291" t="n"/>
      <c r="AZ177" s="39" t="n"/>
      <c r="BA177" s="291" t="n"/>
      <c r="BB177" s="39" t="n"/>
      <c r="BC177" s="291" t="n"/>
      <c r="BD177" s="39" t="n"/>
      <c r="BE177" s="291" t="n"/>
      <c r="BF177" s="39" t="n"/>
      <c r="BG177" s="291" t="n"/>
      <c r="BH177" s="39" t="n"/>
      <c r="BI177" s="291" t="n"/>
      <c r="BJ177" s="39" t="n"/>
      <c r="BK177" s="291" t="n"/>
      <c r="BL177" s="39" t="n"/>
      <c r="BM177" s="291" t="n"/>
      <c r="BN177" s="39" t="n"/>
      <c r="BO177" s="291" t="n"/>
      <c r="BP177" s="291" t="n"/>
      <c r="BQ177" s="39" t="n"/>
      <c r="BR177" s="291" t="n"/>
      <c r="BS177" s="39" t="n"/>
      <c r="BT177" s="291" t="n"/>
      <c r="BU177" s="39" t="n"/>
      <c r="BV177" s="291" t="n"/>
      <c r="BW177" s="39" t="n"/>
      <c r="BX177" s="291" t="n"/>
      <c r="BY177" s="39" t="n"/>
      <c r="BZ177" s="291" t="n"/>
      <c r="CA177" s="39" t="n"/>
      <c r="CB177" s="291" t="n"/>
      <c r="CC177" s="39" t="n"/>
      <c r="CD177" s="291" t="n"/>
      <c r="CE177" s="39" t="n"/>
      <c r="CF177" s="291" t="n"/>
      <c r="CG177" s="39" t="n"/>
      <c r="CH177" s="291" t="n"/>
      <c r="CI177" s="39" t="n"/>
      <c r="CJ177" s="291" t="n"/>
      <c r="CK177" s="39" t="n"/>
      <c r="CL177" s="291" t="n"/>
      <c r="CM177" s="39" t="n"/>
      <c r="CN177" s="291" t="n"/>
      <c r="CW177" s="291" t="n"/>
      <c r="CX177" s="39" t="n"/>
      <c r="CY177" s="291" t="n"/>
      <c r="CZ177" s="39" t="n"/>
      <c r="DA177" s="291" t="n"/>
      <c r="DB177" s="39" t="n"/>
      <c r="DC177" s="291" t="n"/>
      <c r="DD177" s="39" t="n"/>
      <c r="DE177" s="291" t="n"/>
      <c r="DF177" s="337" t="n"/>
    </row>
    <row r="178" ht="13" customFormat="1" customHeight="1" s="40">
      <c r="A178" s="326" t="inlineStr">
        <is>
          <t>25Q1</t>
        </is>
      </c>
      <c r="B178" s="291" t="n">
        <v>93918.82999999999</v>
      </c>
      <c r="C178" s="39">
        <f>B178/B173-1</f>
        <v/>
      </c>
      <c r="D178" s="39" t="n"/>
      <c r="E178" s="291" t="n">
        <v>68420.64</v>
      </c>
      <c r="F178" s="39">
        <f>E178/E173-1</f>
        <v/>
      </c>
      <c r="G178" s="39" t="n"/>
      <c r="H178" s="291" t="n">
        <v>24735.42</v>
      </c>
      <c r="I178" s="39">
        <f>H178/H173-1</f>
        <v/>
      </c>
      <c r="J178" s="39" t="n"/>
      <c r="K178" s="291" t="n">
        <v>762.77</v>
      </c>
      <c r="L178" s="39">
        <f>K178/K173-1</f>
        <v/>
      </c>
      <c r="M178" s="39" t="n"/>
      <c r="N178" s="291" t="n">
        <v>80200.94</v>
      </c>
      <c r="O178" s="39">
        <f>N178/N173-1</f>
        <v/>
      </c>
      <c r="P178" s="39" t="n"/>
      <c r="Q178" s="291" t="n">
        <v>58906.82</v>
      </c>
      <c r="R178" s="39">
        <f>Q178/Q173-1</f>
        <v/>
      </c>
      <c r="S178" s="39" t="n"/>
      <c r="T178" s="291" t="n">
        <v>20715.21</v>
      </c>
      <c r="U178" s="39">
        <f>T178/T173-1</f>
        <v/>
      </c>
      <c r="V178" s="39" t="n"/>
      <c r="W178" s="291" t="n">
        <v>578.9100000000001</v>
      </c>
      <c r="X178" s="39">
        <f>W178/W173-1</f>
        <v/>
      </c>
      <c r="Y178" s="39" t="n"/>
      <c r="Z178" s="291" t="n">
        <v>41948.89</v>
      </c>
      <c r="AA178" s="39">
        <f>Z178/Z173-1</f>
        <v/>
      </c>
      <c r="AB178" s="39" t="n"/>
      <c r="AC178" s="291" t="n">
        <v>36561.53</v>
      </c>
      <c r="AD178" s="39">
        <f>AC178/AC173-1</f>
        <v/>
      </c>
      <c r="AE178" s="39" t="n"/>
      <c r="AF178" s="291" t="n">
        <v>4961.68</v>
      </c>
      <c r="AG178" s="39">
        <f>AF178/AF173-1</f>
        <v/>
      </c>
      <c r="AH178" s="39" t="n"/>
      <c r="AI178" s="291" t="n">
        <v>425.6800000000001</v>
      </c>
      <c r="AJ178" s="39">
        <f>AI178/AI173-1</f>
        <v/>
      </c>
      <c r="AK178" s="39" t="n"/>
      <c r="AL178" s="336" t="n">
        <v>85.41333333333334</v>
      </c>
      <c r="AM178" s="179">
        <f>AL178-AL166</f>
        <v/>
      </c>
      <c r="AN178" s="179" t="n"/>
      <c r="AO178" s="336" t="n">
        <v>86.12333333333333</v>
      </c>
      <c r="AP178" s="336">
        <f>AO178-AO166</f>
        <v/>
      </c>
      <c r="AQ178" s="179" t="n"/>
      <c r="AR178" s="336" t="n">
        <v>83.70666666666666</v>
      </c>
      <c r="AS178" s="336">
        <f>AR178-AR166</f>
        <v/>
      </c>
      <c r="AT178" s="179" t="n"/>
      <c r="AU178" s="336" t="n">
        <v>75.84666666666668</v>
      </c>
      <c r="AV178" s="336">
        <f>AU178-AU166</f>
        <v/>
      </c>
      <c r="AW178" s="179" t="n"/>
      <c r="AX178" s="291" t="n"/>
      <c r="AY178" s="37" t="n"/>
      <c r="AZ178" s="39" t="n"/>
      <c r="BA178" s="291" t="n"/>
      <c r="BB178" s="39" t="n"/>
      <c r="BC178" s="291" t="n"/>
      <c r="BD178" s="39" t="n"/>
      <c r="BE178" s="291" t="n"/>
      <c r="BF178" s="39" t="n"/>
      <c r="BG178" s="291" t="n"/>
      <c r="BH178" s="39" t="n"/>
      <c r="BI178" s="291" t="n"/>
      <c r="BJ178" s="39" t="n"/>
      <c r="BK178" s="291" t="n"/>
      <c r="BL178" s="39" t="n"/>
      <c r="BM178" s="291" t="n"/>
      <c r="BN178" s="39" t="n"/>
      <c r="BO178" s="291" t="n"/>
      <c r="BP178" s="291" t="n"/>
      <c r="BQ178" s="39" t="n"/>
      <c r="BR178" s="291" t="n"/>
      <c r="BS178" s="39" t="n"/>
      <c r="BT178" s="291" t="n"/>
      <c r="BU178" s="39" t="n"/>
      <c r="BV178" s="291" t="n"/>
      <c r="BW178" s="39" t="n"/>
      <c r="BX178" s="291" t="n"/>
      <c r="BY178" s="39" t="n"/>
      <c r="BZ178" s="291" t="n"/>
      <c r="CA178" s="39" t="n"/>
      <c r="CB178" s="291" t="n"/>
      <c r="CC178" s="39" t="n"/>
      <c r="CD178" s="291" t="n"/>
      <c r="CE178" s="39" t="n"/>
      <c r="CF178" s="291" t="n"/>
      <c r="CG178" s="39" t="n"/>
      <c r="CH178" s="291" t="n"/>
      <c r="CI178" s="39" t="n"/>
      <c r="CJ178" s="291" t="n"/>
      <c r="CK178" s="39" t="n"/>
      <c r="CL178" s="291" t="n"/>
      <c r="CM178" s="39" t="n"/>
      <c r="CN178" s="291" t="n"/>
      <c r="CW178" s="291" t="n"/>
      <c r="CX178" s="39" t="n"/>
      <c r="CY178" s="291" t="n"/>
      <c r="CZ178" s="39" t="n"/>
      <c r="DA178" s="291" t="n"/>
      <c r="DB178" s="39" t="n"/>
      <c r="DC178" s="291" t="n"/>
      <c r="DD178" s="39" t="n"/>
      <c r="DE178" s="291" t="n"/>
      <c r="DF178" s="337" t="n"/>
    </row>
    <row r="179" ht="13" customFormat="1" customHeight="1" s="40">
      <c r="A179" s="326" t="n"/>
      <c r="B179" s="291" t="n"/>
      <c r="C179" s="39" t="n"/>
      <c r="D179" s="39" t="n"/>
      <c r="E179" s="291" t="n"/>
      <c r="F179" s="39" t="n"/>
      <c r="G179" s="39" t="n"/>
      <c r="H179" s="291" t="n"/>
      <c r="I179" s="39" t="n"/>
      <c r="J179" s="39" t="n"/>
      <c r="K179" s="291" t="n"/>
      <c r="L179" s="39" t="n"/>
      <c r="M179" s="39" t="n"/>
      <c r="N179" s="291" t="n"/>
      <c r="O179" s="39" t="n"/>
      <c r="P179" s="39" t="n"/>
      <c r="Q179" s="291" t="n"/>
      <c r="R179" s="39" t="n"/>
      <c r="S179" s="39" t="n"/>
      <c r="T179" s="291" t="n"/>
      <c r="U179" s="39" t="n"/>
      <c r="V179" s="39" t="n"/>
      <c r="W179" s="291" t="n"/>
      <c r="X179" s="39" t="n"/>
      <c r="Y179" s="39" t="n"/>
      <c r="Z179" s="291" t="n"/>
      <c r="AA179" s="39" t="n"/>
      <c r="AB179" s="39" t="n"/>
      <c r="AC179" s="291" t="n"/>
      <c r="AD179" s="39" t="n"/>
      <c r="AE179" s="39" t="n"/>
      <c r="AF179" s="291" t="n"/>
      <c r="AG179" s="39" t="n"/>
      <c r="AH179" s="39" t="n"/>
      <c r="AI179" s="291" t="n"/>
      <c r="AJ179" s="39" t="n"/>
      <c r="AK179" s="39" t="n"/>
      <c r="AL179" s="291" t="n"/>
      <c r="AM179" s="338" t="n"/>
      <c r="AN179" s="179" t="n"/>
      <c r="AO179" s="291" t="n"/>
      <c r="AP179" s="291" t="n"/>
      <c r="AQ179" s="179" t="n"/>
      <c r="AR179" s="291" t="n"/>
      <c r="AS179" s="291" t="n"/>
      <c r="AT179" s="179" t="n"/>
      <c r="AU179" s="291" t="n"/>
      <c r="AV179" s="291" t="n"/>
      <c r="AW179" s="179" t="n"/>
      <c r="AX179" s="53" t="n"/>
      <c r="BN179" s="39" t="n"/>
      <c r="BO179" s="291" t="n"/>
      <c r="BP179" s="291" t="n"/>
      <c r="BQ179" s="39" t="n"/>
      <c r="BR179" s="291" t="n"/>
      <c r="BS179" s="39" t="n"/>
      <c r="BT179" s="291" t="n"/>
      <c r="BU179" s="39" t="n"/>
      <c r="BV179" s="291" t="n"/>
      <c r="BW179" s="39" t="n"/>
      <c r="BX179" s="291" t="n"/>
      <c r="BY179" s="39" t="n"/>
      <c r="BZ179" s="291" t="n"/>
      <c r="CA179" s="39" t="n"/>
      <c r="CB179" s="291" t="n"/>
      <c r="CC179" s="39" t="n"/>
      <c r="CD179" s="291" t="n"/>
      <c r="CE179" s="39" t="n"/>
      <c r="CF179" s="291" t="n"/>
      <c r="CG179" s="39" t="n"/>
      <c r="CH179" s="291" t="n"/>
      <c r="CI179" s="39" t="n"/>
      <c r="CJ179" s="291" t="n"/>
      <c r="CK179" s="39" t="n"/>
      <c r="CL179" s="291" t="n"/>
      <c r="CM179" s="39" t="n"/>
      <c r="CN179" s="291" t="n"/>
      <c r="CW179" s="291" t="n"/>
      <c r="CX179" s="39" t="n"/>
      <c r="CY179" s="291" t="n"/>
      <c r="CZ179" s="39" t="n"/>
      <c r="DA179" s="291" t="n"/>
      <c r="DB179" s="39" t="n"/>
      <c r="DC179" s="291" t="n"/>
      <c r="DD179" s="39" t="n"/>
      <c r="DE179" s="291" t="n"/>
      <c r="DF179" s="337" t="n"/>
    </row>
    <row r="180" ht="13" customFormat="1" customHeight="1" s="40">
      <c r="A180" s="328">
        <f>"YTD"</f>
        <v/>
      </c>
      <c r="B180" s="291" t="n"/>
      <c r="C180" s="39" t="n"/>
      <c r="D180" s="39" t="n"/>
      <c r="E180" s="291" t="n"/>
      <c r="F180" s="39" t="n"/>
      <c r="G180" s="39" t="n"/>
      <c r="H180" s="291" t="n"/>
      <c r="I180" s="39" t="n"/>
      <c r="J180" s="39" t="n"/>
      <c r="K180" s="291" t="n"/>
      <c r="L180" s="39" t="n"/>
      <c r="M180" s="39" t="n"/>
      <c r="N180" s="291" t="n"/>
      <c r="O180" s="39" t="n"/>
      <c r="P180" s="39" t="n"/>
      <c r="Q180" s="291" t="n"/>
      <c r="R180" s="39" t="n"/>
      <c r="S180" s="39" t="n"/>
      <c r="T180" s="291" t="n"/>
      <c r="U180" s="39" t="n"/>
      <c r="V180" s="39" t="n"/>
      <c r="W180" s="291" t="n"/>
      <c r="X180" s="39" t="n"/>
      <c r="Y180" s="39" t="n"/>
      <c r="Z180" s="291" t="n"/>
      <c r="AA180" s="39" t="n"/>
      <c r="AB180" s="39" t="n"/>
      <c r="AC180" s="291" t="n"/>
      <c r="AD180" s="39" t="n"/>
      <c r="AE180" s="39" t="n"/>
      <c r="AF180" s="291" t="n"/>
      <c r="AG180" s="39" t="n"/>
      <c r="AH180" s="39" t="n"/>
      <c r="AI180" s="291" t="n"/>
      <c r="AJ180" s="39" t="n"/>
      <c r="AK180" s="39" t="n"/>
      <c r="AL180" s="291" t="n"/>
      <c r="AM180" s="179">
        <f>AL180-AL168</f>
        <v/>
      </c>
      <c r="AN180" s="179" t="n"/>
      <c r="AO180" s="291" t="n"/>
      <c r="AP180" s="336">
        <f>AO180-AO168</f>
        <v/>
      </c>
      <c r="AQ180" s="179" t="n"/>
      <c r="AR180" s="291" t="n"/>
      <c r="AS180" s="336">
        <f>AR180-AR168</f>
        <v/>
      </c>
      <c r="AT180" s="179" t="n"/>
      <c r="AU180" s="291" t="n"/>
      <c r="AV180" s="336">
        <f>AU180-AU168</f>
        <v/>
      </c>
      <c r="AW180" s="179" t="n"/>
      <c r="AX180" s="53" t="n"/>
      <c r="AY180" s="291" t="n"/>
      <c r="AZ180" s="39" t="n"/>
      <c r="BA180" s="291" t="n"/>
      <c r="BB180" s="39" t="n"/>
      <c r="BC180" s="291" t="n"/>
      <c r="BD180" s="39" t="n"/>
      <c r="BE180" s="291" t="n"/>
      <c r="BF180" s="39" t="n"/>
      <c r="BG180" s="291" t="n"/>
      <c r="BH180" s="39" t="n"/>
      <c r="BI180" s="291" t="n"/>
      <c r="BJ180" s="39" t="n"/>
      <c r="BK180" s="291" t="n"/>
      <c r="BL180" s="39" t="n"/>
      <c r="BM180" s="291" t="n"/>
      <c r="BN180" s="39" t="n"/>
      <c r="BO180" s="291" t="n"/>
      <c r="BP180" s="291" t="n"/>
      <c r="BQ180" s="39" t="n"/>
      <c r="BR180" s="291" t="n"/>
      <c r="BS180" s="39" t="n"/>
      <c r="BT180" s="291" t="n"/>
      <c r="BU180" s="39" t="n"/>
      <c r="BV180" s="291" t="n"/>
      <c r="BW180" s="39" t="n"/>
      <c r="BX180" s="291" t="n"/>
      <c r="BY180" s="39" t="n"/>
      <c r="BZ180" s="291" t="n"/>
      <c r="CA180" s="39" t="n"/>
      <c r="CB180" s="291" t="n"/>
      <c r="CC180" s="39" t="n"/>
      <c r="CD180" s="291" t="n"/>
      <c r="CE180" s="39" t="n"/>
      <c r="CF180" s="291" t="n"/>
      <c r="CG180" s="39" t="n"/>
      <c r="CH180" s="291" t="n"/>
      <c r="CI180" s="39" t="n"/>
      <c r="CJ180" s="291" t="n"/>
      <c r="CK180" s="39" t="n"/>
      <c r="CL180" s="291" t="n"/>
      <c r="CM180" s="39" t="n"/>
      <c r="CN180" s="291" t="n"/>
      <c r="CW180" s="291" t="n"/>
      <c r="CX180" s="39" t="n"/>
      <c r="CY180" s="291" t="n"/>
      <c r="CZ180" s="39" t="n"/>
      <c r="DA180" s="291" t="n"/>
      <c r="DB180" s="39" t="n"/>
      <c r="DC180" s="291" t="n"/>
      <c r="DD180" s="39" t="n"/>
      <c r="DE180" s="291" t="n"/>
      <c r="DF180" s="337" t="n"/>
    </row>
    <row r="181" ht="13" customFormat="1" customHeight="1" s="119">
      <c r="A181" s="339">
        <f>5</f>
        <v/>
      </c>
      <c r="B181" s="317" t="n"/>
      <c r="C181" s="39" t="n"/>
      <c r="D181" s="39" t="n"/>
      <c r="E181" s="317" t="n"/>
      <c r="F181" s="39" t="n"/>
      <c r="G181" s="39" t="n"/>
      <c r="H181" s="317" t="n"/>
      <c r="I181" s="39" t="n"/>
      <c r="J181" s="39" t="n"/>
      <c r="K181" s="317" t="n"/>
      <c r="L181" s="39" t="n"/>
      <c r="M181" s="39" t="n"/>
      <c r="N181" s="317" t="n"/>
      <c r="O181" s="39" t="n"/>
      <c r="P181" s="39" t="n"/>
      <c r="Q181" s="317" t="n"/>
      <c r="R181" s="39" t="n"/>
      <c r="S181" s="39" t="n"/>
      <c r="T181" s="317" t="n"/>
      <c r="U181" s="39" t="n"/>
      <c r="V181" s="39" t="n"/>
      <c r="W181" s="317" t="n"/>
      <c r="X181" s="39" t="n"/>
      <c r="Y181" s="39" t="n"/>
      <c r="Z181" s="317" t="n"/>
      <c r="AA181" s="39" t="n"/>
      <c r="AB181" s="39" t="n"/>
      <c r="AC181" s="317" t="n"/>
      <c r="AD181" s="39" t="n"/>
      <c r="AE181" s="39" t="n"/>
      <c r="AF181" s="317" t="n"/>
      <c r="AG181" s="39" t="n"/>
      <c r="AH181" s="39" t="n"/>
      <c r="AI181" s="317" t="n"/>
      <c r="AJ181" s="39" t="n"/>
      <c r="AK181" s="39" t="n"/>
      <c r="AL181" s="317" t="n"/>
      <c r="AM181" s="179">
        <f>AL181-AL169</f>
        <v/>
      </c>
      <c r="AN181" s="179" t="n"/>
      <c r="AO181" s="317" t="n"/>
      <c r="AP181" s="182">
        <f>AO181-AO169</f>
        <v/>
      </c>
      <c r="AQ181" s="179" t="n"/>
      <c r="AR181" s="317" t="n"/>
      <c r="AS181" s="182">
        <f>AR181-AR169</f>
        <v/>
      </c>
      <c r="AT181" s="179" t="n"/>
      <c r="AU181" s="317" t="n"/>
      <c r="AV181" s="182">
        <f>AU181-AU169</f>
        <v/>
      </c>
      <c r="AW181" s="179" t="n"/>
      <c r="AX181" s="183" t="n"/>
      <c r="AY181" s="340" t="n"/>
      <c r="AZ181" s="93" t="n"/>
      <c r="BA181" s="340" t="n"/>
      <c r="BB181" s="93" t="n"/>
      <c r="BC181" s="340" t="n"/>
      <c r="BD181" s="93" t="n"/>
      <c r="BE181" s="340" t="n"/>
      <c r="BF181" s="93" t="n"/>
      <c r="BG181" s="340" t="n"/>
      <c r="BH181" s="93" t="n"/>
      <c r="BI181" s="340" t="n"/>
      <c r="BJ181" s="93" t="n"/>
      <c r="BK181" s="340" t="n"/>
      <c r="BL181" s="93" t="n"/>
      <c r="BM181" s="340" t="n"/>
      <c r="BN181" s="340" t="n"/>
      <c r="BO181" s="340" t="n"/>
      <c r="BP181" s="340" t="n"/>
      <c r="BQ181" s="340" t="n"/>
      <c r="BR181" s="340" t="n"/>
      <c r="BS181" s="340" t="n"/>
      <c r="BT181" s="340" t="n"/>
      <c r="BU181" s="340" t="n"/>
      <c r="BV181" s="340" t="n"/>
      <c r="BW181" s="340" t="n"/>
      <c r="BX181" s="340" t="n"/>
      <c r="BY181" s="340" t="n"/>
      <c r="BZ181" s="340" t="n"/>
      <c r="CA181" s="340" t="n"/>
      <c r="CB181" s="340" t="n"/>
      <c r="CC181" s="340" t="n"/>
      <c r="CD181" s="340" t="n"/>
      <c r="CE181" s="340" t="n"/>
      <c r="CF181" s="340" t="n"/>
      <c r="CG181" s="340" t="n"/>
      <c r="CH181" s="340" t="n"/>
      <c r="CI181" s="340" t="n"/>
      <c r="CJ181" s="340" t="n"/>
      <c r="CK181" s="340" t="n"/>
      <c r="CL181" s="340" t="n"/>
      <c r="CM181" s="340" t="n"/>
      <c r="CN181" s="340" t="n"/>
      <c r="CO181" s="340" t="n"/>
      <c r="CP181" s="340" t="n"/>
      <c r="CQ181" s="340" t="n"/>
      <c r="CR181" s="340" t="n"/>
      <c r="CS181" s="340" t="n"/>
      <c r="CT181" s="340" t="n"/>
      <c r="CU181" s="340" t="n"/>
      <c r="CV181" s="340" t="n"/>
      <c r="CW181" s="340" t="n"/>
      <c r="CX181" s="340" t="n"/>
      <c r="CY181" s="340" t="n"/>
      <c r="CZ181" s="340" t="n"/>
      <c r="DA181" s="340" t="n"/>
      <c r="DB181" s="340" t="n"/>
      <c r="DC181" s="340" t="n"/>
      <c r="DD181" s="340" t="n"/>
      <c r="DE181" s="341" t="n"/>
      <c r="DF181" s="341" t="n"/>
    </row>
    <row r="182" ht="13" customFormat="1" customHeight="1" s="119">
      <c r="A182" s="342" t="inlineStr">
        <is>
          <t>月份</t>
        </is>
      </c>
      <c r="B182" s="317" t="n"/>
      <c r="C182" s="39" t="n"/>
      <c r="D182" s="39" t="n"/>
      <c r="E182" s="317" t="n"/>
      <c r="F182" s="39" t="n"/>
      <c r="G182" s="39" t="n"/>
      <c r="H182" s="317" t="n"/>
      <c r="I182" s="39" t="n"/>
      <c r="J182" s="39" t="n"/>
      <c r="K182" s="317" t="n"/>
      <c r="L182" s="39" t="n"/>
      <c r="M182" s="39" t="n"/>
      <c r="N182" s="317" t="n"/>
      <c r="O182" s="39" t="n"/>
      <c r="P182" s="39" t="n"/>
      <c r="Q182" s="317" t="n"/>
      <c r="R182" s="39" t="n"/>
      <c r="S182" s="39" t="n"/>
      <c r="T182" s="317" t="n"/>
      <c r="U182" s="39" t="n"/>
      <c r="V182" s="39" t="n"/>
      <c r="W182" s="317" t="n"/>
      <c r="X182" s="39" t="n"/>
      <c r="Y182" s="39" t="n"/>
      <c r="Z182" s="317" t="n"/>
      <c r="AA182" s="39" t="n"/>
      <c r="AB182" s="39" t="n"/>
      <c r="AC182" s="317" t="n"/>
      <c r="AD182" s="39" t="n"/>
      <c r="AE182" s="39" t="n"/>
      <c r="AF182" s="317" t="n"/>
      <c r="AG182" s="39" t="n"/>
      <c r="AH182" s="39" t="n"/>
      <c r="AI182" s="317" t="n"/>
      <c r="AJ182" s="39" t="n"/>
      <c r="AK182" s="39" t="n"/>
      <c r="AL182" s="317" t="n"/>
      <c r="AM182" s="179">
        <f>AL182-AL170</f>
        <v/>
      </c>
      <c r="AN182" s="39" t="n"/>
      <c r="AO182" s="317" t="n"/>
      <c r="AP182" s="182">
        <f>AO182-AO170</f>
        <v/>
      </c>
      <c r="AQ182" s="39" t="n"/>
      <c r="AR182" s="317" t="n"/>
      <c r="AS182" s="182">
        <f>AR182-AR170</f>
        <v/>
      </c>
      <c r="AT182" s="39" t="n"/>
      <c r="AU182" s="317" t="n"/>
      <c r="AV182" s="182">
        <f>AU182-AU170</f>
        <v/>
      </c>
      <c r="AW182" s="39" t="n"/>
      <c r="AX182" s="183" t="n"/>
      <c r="AY182" s="340" t="n"/>
      <c r="AZ182" s="93" t="n"/>
      <c r="BA182" s="340" t="n"/>
      <c r="BB182" s="93" t="n"/>
      <c r="BC182" s="340" t="n"/>
      <c r="BD182" s="93" t="n"/>
      <c r="BE182" s="340" t="n"/>
      <c r="BF182" s="93" t="n"/>
      <c r="BG182" s="340" t="n"/>
      <c r="BH182" s="93" t="n"/>
      <c r="BI182" s="340" t="n"/>
      <c r="BJ182" s="93" t="n"/>
      <c r="BK182" s="340" t="n"/>
      <c r="BL182" s="93" t="n"/>
      <c r="BM182" s="340" t="n"/>
      <c r="BN182" s="340" t="n"/>
      <c r="BO182" s="340" t="n"/>
      <c r="BP182" s="340" t="n"/>
      <c r="BQ182" s="340" t="n"/>
      <c r="BR182" s="340" t="n"/>
      <c r="BS182" s="340" t="n"/>
      <c r="BT182" s="340" t="n"/>
      <c r="BU182" s="340" t="n"/>
      <c r="BV182" s="340" t="n"/>
      <c r="BW182" s="340" t="n"/>
      <c r="BX182" s="340" t="n"/>
      <c r="BY182" s="340" t="n"/>
      <c r="BZ182" s="340" t="n"/>
      <c r="CA182" s="340" t="n"/>
      <c r="CB182" s="340" t="n"/>
      <c r="CC182" s="340" t="n"/>
      <c r="CD182" s="340" t="n"/>
      <c r="CE182" s="340" t="n"/>
      <c r="CF182" s="340" t="n"/>
      <c r="CG182" s="340" t="n"/>
      <c r="CH182" s="340" t="n"/>
      <c r="CI182" s="340" t="n"/>
      <c r="CJ182" s="340" t="n"/>
      <c r="CK182" s="340" t="n"/>
      <c r="CL182" s="340" t="n"/>
      <c r="CM182" s="340" t="n"/>
      <c r="CN182" s="340" t="n"/>
      <c r="CO182" s="340" t="n"/>
      <c r="CP182" s="340" t="n"/>
      <c r="CQ182" s="340" t="n"/>
      <c r="CR182" s="340" t="n"/>
      <c r="CS182" s="340" t="n"/>
      <c r="CT182" s="340" t="n"/>
      <c r="CU182" s="340" t="n"/>
      <c r="CV182" s="340" t="n"/>
      <c r="CW182" s="340" t="n"/>
      <c r="CX182" s="340" t="n"/>
      <c r="CY182" s="340" t="n"/>
      <c r="CZ182" s="340" t="n"/>
      <c r="DA182" s="340" t="n"/>
      <c r="DB182" s="340" t="n"/>
      <c r="DC182" s="340" t="n"/>
      <c r="DD182" s="340" t="n"/>
      <c r="DE182" s="341" t="n"/>
      <c r="DF182" s="341" t="n"/>
    </row>
    <row r="183" ht="13" customFormat="1" customHeight="1" s="119">
      <c r="A183" s="342" t="inlineStr">
        <is>
          <t>2018年</t>
        </is>
      </c>
      <c r="B183" s="317">
        <f>SUM(B52:INDEX(B:B, 52+$A181-1))</f>
        <v/>
      </c>
      <c r="C183" s="142" t="inlineStr"/>
      <c r="D183" s="142" t="n"/>
      <c r="E183" s="317">
        <f>SUM(E52:INDEX(E:E, 52+$A181-1))</f>
        <v/>
      </c>
      <c r="F183" s="142" t="inlineStr"/>
      <c r="G183" s="142" t="n"/>
      <c r="H183" s="317">
        <f>SUM(H52:INDEX(H:H, 52+$A181-1))</f>
        <v/>
      </c>
      <c r="I183" s="142" t="inlineStr"/>
      <c r="J183" s="142" t="n"/>
      <c r="K183" s="317">
        <f>SUM(K52:INDEX(K:K, 52+$A181-1))</f>
        <v/>
      </c>
      <c r="L183" s="142" t="inlineStr"/>
      <c r="M183" s="142" t="n"/>
      <c r="N183" s="317">
        <f>SUM(N52:INDEX(N:N, 52+$A181-1))</f>
        <v/>
      </c>
      <c r="O183" s="142" t="inlineStr"/>
      <c r="P183" s="142" t="n"/>
      <c r="Q183" s="317">
        <f>SUM(Q52:INDEX(Q:Q, 52+$A181-1))</f>
        <v/>
      </c>
      <c r="R183" s="142" t="inlineStr"/>
      <c r="S183" s="142" t="n"/>
      <c r="T183" s="317">
        <f>SUM(T52:INDEX(T:T, 52+$A181-1))</f>
        <v/>
      </c>
      <c r="U183" s="142" t="inlineStr"/>
      <c r="V183" s="142" t="n"/>
      <c r="W183" s="317">
        <f>SUM(W52:INDEX(W:W, 52+$A181-1))</f>
        <v/>
      </c>
      <c r="X183" s="142" t="inlineStr"/>
      <c r="Y183" s="142" t="n"/>
      <c r="Z183" s="317">
        <f>SUM(Z52:INDEX(Z:Z, 52+$A181-1))</f>
        <v/>
      </c>
      <c r="AA183" s="142" t="inlineStr"/>
      <c r="AB183" s="142" t="n"/>
      <c r="AC183" s="317">
        <f>SUM(AC52:INDEX(AC:AC, 52+$A181-1))</f>
        <v/>
      </c>
      <c r="AD183" s="142" t="inlineStr"/>
      <c r="AE183" s="142" t="n"/>
      <c r="AF183" s="317">
        <f>SUM(AF52:INDEX(AF:AF, 52+$A181-1))</f>
        <v/>
      </c>
      <c r="AG183" s="142" t="inlineStr"/>
      <c r="AH183" s="142" t="n"/>
      <c r="AI183" s="317">
        <f>SUM(AI52:INDEX(AI:AI, 52+$A181-1))</f>
        <v/>
      </c>
      <c r="AJ183" s="142" t="inlineStr"/>
      <c r="AK183" s="142" t="n"/>
      <c r="AL183" s="182">
        <f>AVERAGE(AL52:INDEX(AL:AL, 52+$A181-1))</f>
        <v/>
      </c>
      <c r="AM183" s="317" t="n"/>
      <c r="AN183" s="182" t="n"/>
      <c r="AO183" s="182">
        <f>AVERAGE(AO52:INDEX(AO:AO, 52+$A181-1))</f>
        <v/>
      </c>
      <c r="AP183" s="317" t="n"/>
      <c r="AQ183" s="182" t="n"/>
      <c r="AR183" s="182">
        <f>AVERAGE(AR52:INDEX(AR:AR, 52+$A181-1))</f>
        <v/>
      </c>
      <c r="AS183" s="317" t="n"/>
      <c r="AT183" s="182" t="n"/>
      <c r="AU183" s="182">
        <f>AVERAGE(AU52:INDEX(AU:AU, 52+$A181-1))</f>
        <v/>
      </c>
      <c r="AV183" s="317" t="n"/>
      <c r="AW183" s="182" t="n"/>
      <c r="AX183" s="183" t="n"/>
      <c r="AY183" s="340" t="n"/>
      <c r="AZ183" s="93" t="n"/>
      <c r="BA183" s="340" t="n"/>
      <c r="BB183" s="93" t="n"/>
      <c r="BC183" s="340" t="n"/>
      <c r="BD183" s="93" t="n"/>
      <c r="BE183" s="340" t="n"/>
      <c r="BF183" s="93" t="n"/>
      <c r="BG183" s="340" t="n"/>
      <c r="BH183" s="93" t="n"/>
      <c r="BI183" s="340" t="n"/>
      <c r="BJ183" s="93" t="n"/>
      <c r="BK183" s="340" t="n"/>
      <c r="BL183" s="93" t="n"/>
      <c r="BM183" s="340" t="n"/>
      <c r="BN183" s="340" t="n"/>
      <c r="BO183" s="340" t="n"/>
      <c r="BP183" s="340" t="n"/>
      <c r="BQ183" s="340" t="n"/>
      <c r="BR183" s="340" t="n"/>
      <c r="BS183" s="340" t="n"/>
      <c r="BT183" s="340" t="n"/>
      <c r="BU183" s="340" t="n"/>
      <c r="BV183" s="340" t="n"/>
      <c r="BW183" s="340" t="n"/>
      <c r="BX183" s="340" t="n"/>
      <c r="BY183" s="340" t="n"/>
      <c r="BZ183" s="340" t="n"/>
      <c r="CA183" s="340" t="n"/>
      <c r="CB183" s="340" t="n"/>
      <c r="CC183" s="340" t="n"/>
      <c r="CD183" s="340" t="n"/>
      <c r="CE183" s="340" t="n"/>
      <c r="CF183" s="340" t="n"/>
      <c r="CG183" s="340" t="n"/>
      <c r="CH183" s="340" t="n"/>
      <c r="CI183" s="340" t="n"/>
      <c r="CJ183" s="340" t="n"/>
      <c r="CK183" s="340" t="n"/>
      <c r="CL183" s="340" t="n"/>
      <c r="CM183" s="340" t="n"/>
      <c r="CN183" s="340" t="n"/>
      <c r="CO183" s="340" t="n"/>
      <c r="CP183" s="340" t="n"/>
      <c r="CQ183" s="340" t="n"/>
      <c r="CR183" s="340" t="n"/>
      <c r="CS183" s="340" t="n"/>
      <c r="CT183" s="340" t="n"/>
      <c r="CU183" s="340" t="n"/>
      <c r="CV183" s="340" t="n"/>
      <c r="CW183" s="340" t="n"/>
      <c r="CX183" s="340" t="n"/>
      <c r="CY183" s="340" t="n"/>
      <c r="CZ183" s="340" t="n"/>
      <c r="DA183" s="340" t="n"/>
      <c r="DB183" s="340" t="n"/>
      <c r="DC183" s="340" t="n"/>
      <c r="DD183" s="340" t="n"/>
      <c r="DE183" s="341" t="n"/>
      <c r="DF183" s="341" t="n"/>
    </row>
    <row r="184" ht="13" customFormat="1" customHeight="1" s="119">
      <c r="A184" s="342" t="n"/>
      <c r="B184" s="317" t="n"/>
      <c r="C184" s="142" t="n"/>
      <c r="D184" s="142" t="n"/>
      <c r="E184" s="317" t="n"/>
      <c r="F184" s="142" t="n"/>
      <c r="G184" s="142" t="n"/>
      <c r="H184" s="317" t="n"/>
      <c r="I184" s="142" t="n"/>
      <c r="J184" s="142" t="n"/>
      <c r="K184" s="317" t="n"/>
      <c r="L184" s="142" t="n"/>
      <c r="M184" s="142" t="n"/>
      <c r="N184" s="317" t="n"/>
      <c r="O184" s="142" t="n"/>
      <c r="P184" s="142" t="n"/>
      <c r="Q184" s="317" t="n"/>
      <c r="R184" s="142" t="n"/>
      <c r="S184" s="142" t="n"/>
      <c r="T184" s="317" t="n"/>
      <c r="U184" s="142" t="n"/>
      <c r="V184" s="142" t="n"/>
      <c r="W184" s="317" t="n"/>
      <c r="X184" s="142" t="n"/>
      <c r="Y184" s="142" t="n"/>
      <c r="Z184" s="317" t="n"/>
      <c r="AA184" s="142" t="n"/>
      <c r="AB184" s="142" t="n"/>
      <c r="AC184" s="317" t="n"/>
      <c r="AD184" s="142" t="n"/>
      <c r="AE184" s="142" t="n"/>
      <c r="AF184" s="317" t="n"/>
      <c r="AG184" s="142" t="n"/>
      <c r="AH184" s="142" t="n"/>
      <c r="AI184" s="317" t="n"/>
      <c r="AJ184" s="142" t="n"/>
      <c r="AK184" s="142" t="n"/>
      <c r="AL184" s="317" t="n"/>
      <c r="AM184" s="317" t="n"/>
      <c r="AN184" s="182" t="n"/>
      <c r="AO184" s="317" t="n"/>
      <c r="AP184" s="317" t="n"/>
      <c r="AQ184" s="182" t="n"/>
      <c r="AR184" s="317" t="n"/>
      <c r="AS184" s="317" t="n"/>
      <c r="AT184" s="182" t="n"/>
      <c r="AU184" s="317" t="n"/>
      <c r="AV184" s="317" t="n"/>
      <c r="AW184" s="182" t="n"/>
      <c r="AX184" s="183" t="n"/>
      <c r="AY184" s="340" t="n"/>
      <c r="AZ184" s="93" t="n"/>
      <c r="BA184" s="340" t="n"/>
      <c r="BB184" s="93" t="n"/>
      <c r="BC184" s="340" t="n"/>
      <c r="BD184" s="93" t="n"/>
      <c r="BE184" s="340" t="n"/>
      <c r="BF184" s="93" t="n"/>
      <c r="BG184" s="340" t="n"/>
      <c r="BH184" s="93" t="n"/>
      <c r="BI184" s="340" t="n"/>
      <c r="BJ184" s="93" t="n"/>
      <c r="BK184" s="340" t="n"/>
      <c r="BL184" s="93" t="n"/>
      <c r="BM184" s="340" t="n"/>
      <c r="BN184" s="340" t="n"/>
      <c r="BO184" s="340" t="n"/>
      <c r="BP184" s="340" t="n"/>
      <c r="BQ184" s="340" t="n"/>
      <c r="BR184" s="340" t="n"/>
      <c r="BS184" s="340" t="n"/>
      <c r="BT184" s="340" t="n"/>
      <c r="BU184" s="340" t="n"/>
      <c r="BV184" s="340" t="n"/>
      <c r="BW184" s="340" t="n"/>
      <c r="BX184" s="340" t="n"/>
      <c r="BY184" s="340" t="n"/>
      <c r="BZ184" s="340" t="n"/>
      <c r="CA184" s="340" t="n"/>
      <c r="CB184" s="340" t="n"/>
      <c r="CC184" s="340" t="n"/>
      <c r="CD184" s="340" t="n"/>
      <c r="CE184" s="340" t="n"/>
      <c r="CF184" s="340" t="n"/>
      <c r="CG184" s="340" t="n"/>
      <c r="CH184" s="340" t="n"/>
      <c r="CI184" s="340" t="n"/>
      <c r="CJ184" s="340" t="n"/>
      <c r="CK184" s="340" t="n"/>
      <c r="CL184" s="340" t="n"/>
      <c r="CM184" s="340" t="n"/>
      <c r="CN184" s="340" t="n"/>
      <c r="CO184" s="340" t="n"/>
      <c r="CP184" s="340" t="n"/>
      <c r="CQ184" s="340" t="n"/>
      <c r="CR184" s="340" t="n"/>
      <c r="CS184" s="340" t="n"/>
      <c r="CT184" s="340" t="n"/>
      <c r="CU184" s="340" t="n"/>
      <c r="CV184" s="340" t="n"/>
      <c r="CW184" s="340" t="n"/>
      <c r="CX184" s="340" t="n"/>
      <c r="CY184" s="340" t="n"/>
      <c r="CZ184" s="340" t="n"/>
      <c r="DA184" s="340" t="n"/>
      <c r="DB184" s="340" t="n"/>
      <c r="DC184" s="340" t="n"/>
      <c r="DD184" s="340" t="n"/>
      <c r="DE184" s="341" t="n"/>
      <c r="DF184" s="341" t="n"/>
    </row>
    <row r="185" ht="13" customFormat="1" customHeight="1" s="119">
      <c r="A185" s="342" t="inlineStr">
        <is>
          <t>2019年</t>
        </is>
      </c>
      <c r="B185" s="317">
        <f>SUM(B64:INDEX(B:B, 64+$A181-1))</f>
        <v/>
      </c>
      <c r="C185" s="142">
        <f>B185/B183-1</f>
        <v/>
      </c>
      <c r="D185" s="142" t="n"/>
      <c r="E185" s="317">
        <f>SUM(E64:INDEX(E:E, 64+$A181-1))</f>
        <v/>
      </c>
      <c r="F185" s="142">
        <f>E185/E183-1</f>
        <v/>
      </c>
      <c r="G185" s="142" t="n"/>
      <c r="H185" s="317">
        <f>SUM(H64:INDEX(H:H, 64+$A181-1))</f>
        <v/>
      </c>
      <c r="I185" s="142">
        <f>H185/H183-1</f>
        <v/>
      </c>
      <c r="J185" s="142" t="n"/>
      <c r="K185" s="317">
        <f>SUM(K64:INDEX(K:K, 64+$A181-1))</f>
        <v/>
      </c>
      <c r="L185" s="142">
        <f>K185/K183-1</f>
        <v/>
      </c>
      <c r="M185" s="142" t="n"/>
      <c r="N185" s="317">
        <f>SUM(N64:INDEX(N:N, 64+$A181-1))</f>
        <v/>
      </c>
      <c r="O185" s="142">
        <f>N185/N183-1</f>
        <v/>
      </c>
      <c r="P185" s="142" t="n"/>
      <c r="Q185" s="317">
        <f>SUM(Q64:INDEX(Q:Q, 64+$A181-1))</f>
        <v/>
      </c>
      <c r="R185" s="142">
        <f>Q185/Q183-1</f>
        <v/>
      </c>
      <c r="S185" s="142" t="n"/>
      <c r="T185" s="317">
        <f>SUM(T64:INDEX(T:T, 64+$A181-1))</f>
        <v/>
      </c>
      <c r="U185" s="142">
        <f>T185/T183-1</f>
        <v/>
      </c>
      <c r="V185" s="142" t="n"/>
      <c r="W185" s="317">
        <f>SUM(W64:INDEX(W:W, 64+$A181-1))</f>
        <v/>
      </c>
      <c r="X185" s="142">
        <f>W185/W183-1</f>
        <v/>
      </c>
      <c r="Y185" s="142" t="n"/>
      <c r="Z185" s="317">
        <f>SUM(Z64:INDEX(Z:Z, 64+$A181-1))</f>
        <v/>
      </c>
      <c r="AA185" s="142">
        <f>Z185/Z183-1</f>
        <v/>
      </c>
      <c r="AB185" s="142" t="n"/>
      <c r="AC185" s="317">
        <f>SUM(AC64:INDEX(AC:AC, 64+$A181-1))</f>
        <v/>
      </c>
      <c r="AD185" s="142">
        <f>AC185/AC183-1</f>
        <v/>
      </c>
      <c r="AE185" s="142" t="n"/>
      <c r="AF185" s="317">
        <f>SUM(AF64:INDEX(AF:AF, 64+$A181-1))</f>
        <v/>
      </c>
      <c r="AG185" s="142">
        <f>AF185/AF183-1</f>
        <v/>
      </c>
      <c r="AH185" s="142" t="n"/>
      <c r="AI185" s="317">
        <f>SUM(AI64:INDEX(AI:AI, 64+$A181-1))</f>
        <v/>
      </c>
      <c r="AJ185" s="142">
        <f>AI185/AI183-1</f>
        <v/>
      </c>
      <c r="AK185" s="142" t="n"/>
      <c r="AL185" s="182">
        <f>AVERAGE(AL64:INDEX(AL:AL, 64+$A181-1))</f>
        <v/>
      </c>
      <c r="AM185" s="182">
        <f>AL185-AL183</f>
        <v/>
      </c>
      <c r="AN185" s="182" t="n"/>
      <c r="AO185" s="182">
        <f>AVERAGE(AO64:INDEX(AO:AO, 64+$A181-1))</f>
        <v/>
      </c>
      <c r="AP185" s="182">
        <f>AO185-AO183</f>
        <v/>
      </c>
      <c r="AQ185" s="182" t="n"/>
      <c r="AR185" s="182">
        <f>AVERAGE(AR64:INDEX(AR:AR, 64+$A181-1))</f>
        <v/>
      </c>
      <c r="AS185" s="182">
        <f>AR185-AR183</f>
        <v/>
      </c>
      <c r="AT185" s="182" t="n"/>
      <c r="AU185" s="182">
        <f>AVERAGE(AU64:INDEX(AU:AU, 64+$A181-1))</f>
        <v/>
      </c>
      <c r="AV185" s="182">
        <f>AU185-AU183</f>
        <v/>
      </c>
      <c r="AW185" s="182" t="n"/>
      <c r="AX185" s="183" t="n"/>
      <c r="AY185" s="196" t="n"/>
      <c r="AZ185" s="93" t="n"/>
      <c r="BA185" s="340" t="n"/>
      <c r="BB185" s="93" t="n"/>
      <c r="BC185" s="340" t="n"/>
      <c r="BD185" s="93" t="n"/>
      <c r="BE185" s="340" t="n"/>
      <c r="BF185" s="93" t="n"/>
      <c r="BG185" s="340" t="n"/>
      <c r="BH185" s="93" t="n"/>
      <c r="BI185" s="340" t="n"/>
      <c r="BJ185" s="93" t="n"/>
      <c r="BK185" s="340" t="n"/>
      <c r="BL185" s="93" t="n"/>
      <c r="BM185" s="340" t="n"/>
      <c r="BN185" s="340" t="n"/>
      <c r="BO185" s="340" t="n"/>
      <c r="BP185" s="340" t="n"/>
      <c r="BQ185" s="340" t="n"/>
      <c r="BR185" s="340" t="n"/>
      <c r="BS185" s="340" t="n"/>
      <c r="BT185" s="340" t="n"/>
      <c r="BU185" s="340" t="n"/>
      <c r="BV185" s="340" t="n"/>
      <c r="BW185" s="340" t="n"/>
      <c r="BX185" s="340" t="n"/>
      <c r="BY185" s="340" t="n"/>
      <c r="BZ185" s="340" t="n"/>
      <c r="CA185" s="340" t="n"/>
      <c r="CB185" s="340" t="n"/>
      <c r="CC185" s="340" t="n"/>
      <c r="CD185" s="340" t="n"/>
      <c r="CE185" s="340" t="n"/>
      <c r="CF185" s="340" t="n"/>
      <c r="CG185" s="340" t="n"/>
      <c r="CH185" s="340" t="n"/>
      <c r="CI185" s="340" t="n"/>
      <c r="CJ185" s="340" t="n"/>
      <c r="CK185" s="340" t="n"/>
      <c r="CL185" s="340" t="n"/>
      <c r="CM185" s="340" t="n"/>
      <c r="CN185" s="340" t="n"/>
      <c r="CO185" s="340" t="n"/>
      <c r="CP185" s="340" t="n"/>
      <c r="CQ185" s="340" t="n"/>
      <c r="CR185" s="340" t="n"/>
      <c r="CS185" s="340" t="n"/>
      <c r="CT185" s="340" t="n"/>
      <c r="CU185" s="340" t="n"/>
      <c r="CV185" s="340" t="n"/>
      <c r="CW185" s="340" t="n"/>
      <c r="CX185" s="340" t="n"/>
      <c r="CY185" s="340" t="n"/>
      <c r="CZ185" s="340" t="n"/>
      <c r="DA185" s="340" t="n"/>
      <c r="DB185" s="340" t="n"/>
      <c r="DC185" s="340" t="n"/>
      <c r="DD185" s="340" t="n"/>
      <c r="DE185" s="341" t="n"/>
      <c r="DF185" s="341" t="n"/>
    </row>
    <row r="186" ht="13" customFormat="1" customHeight="1" s="119">
      <c r="A186" s="342" t="n"/>
      <c r="B186" s="317" t="n"/>
      <c r="C186" s="142" t="n"/>
      <c r="D186" s="142" t="n"/>
      <c r="E186" s="317" t="n"/>
      <c r="F186" s="142" t="n"/>
      <c r="G186" s="142" t="n"/>
      <c r="H186" s="317" t="n"/>
      <c r="I186" s="142" t="n"/>
      <c r="J186" s="142" t="n"/>
      <c r="K186" s="317" t="n"/>
      <c r="L186" s="142" t="n"/>
      <c r="M186" s="142" t="n"/>
      <c r="N186" s="317" t="n"/>
      <c r="O186" s="142" t="n"/>
      <c r="P186" s="142" t="n"/>
      <c r="Q186" s="317" t="n"/>
      <c r="R186" s="142" t="n"/>
      <c r="S186" s="142" t="n"/>
      <c r="T186" s="317" t="n"/>
      <c r="U186" s="142" t="n"/>
      <c r="V186" s="142" t="n"/>
      <c r="W186" s="317" t="n"/>
      <c r="X186" s="142" t="n"/>
      <c r="Y186" s="142" t="n"/>
      <c r="Z186" s="317" t="n"/>
      <c r="AA186" s="142" t="n"/>
      <c r="AB186" s="142" t="n"/>
      <c r="AC186" s="317" t="n"/>
      <c r="AD186" s="142" t="n"/>
      <c r="AE186" s="142" t="n"/>
      <c r="AF186" s="317" t="n"/>
      <c r="AG186" s="142" t="n"/>
      <c r="AH186" s="142" t="n"/>
      <c r="AI186" s="317" t="n"/>
      <c r="AJ186" s="142" t="n"/>
      <c r="AK186" s="142" t="n"/>
      <c r="AL186" s="317" t="n"/>
      <c r="AM186" s="317" t="n"/>
      <c r="AN186" s="182" t="n"/>
      <c r="AO186" s="317" t="n"/>
      <c r="AP186" s="317" t="n"/>
      <c r="AQ186" s="182" t="n"/>
      <c r="AR186" s="317" t="n"/>
      <c r="AS186" s="317" t="n"/>
      <c r="AT186" s="182" t="n"/>
      <c r="AU186" s="317" t="n"/>
      <c r="AV186" s="317" t="n"/>
      <c r="AW186" s="182" t="n"/>
      <c r="AX186" s="183" t="n"/>
      <c r="AY186" s="340" t="n"/>
      <c r="AZ186" s="93" t="n"/>
      <c r="BA186" s="340" t="n"/>
      <c r="BB186" s="93" t="n"/>
      <c r="BC186" s="340" t="n"/>
      <c r="BD186" s="93" t="n"/>
      <c r="BE186" s="340" t="n"/>
      <c r="BF186" s="93" t="n"/>
      <c r="BG186" s="340" t="n"/>
      <c r="BH186" s="93" t="n"/>
      <c r="BI186" s="340" t="n"/>
      <c r="BJ186" s="93" t="n"/>
      <c r="BK186" s="340" t="n"/>
      <c r="BL186" s="93" t="n"/>
      <c r="BM186" s="340" t="n"/>
      <c r="BN186" s="340" t="n"/>
      <c r="BO186" s="340" t="n"/>
      <c r="BP186" s="340" t="n"/>
      <c r="BQ186" s="340" t="n"/>
      <c r="BR186" s="340" t="n"/>
      <c r="BS186" s="340" t="n"/>
      <c r="BT186" s="340" t="n"/>
      <c r="BU186" s="340" t="n"/>
      <c r="BV186" s="340" t="n"/>
      <c r="BW186" s="340" t="n"/>
      <c r="BX186" s="340" t="n"/>
      <c r="BY186" s="340" t="n"/>
      <c r="BZ186" s="340" t="n"/>
      <c r="CA186" s="340" t="n"/>
      <c r="CB186" s="340" t="n"/>
      <c r="CC186" s="340" t="n"/>
      <c r="CD186" s="340" t="n"/>
      <c r="CE186" s="340" t="n"/>
      <c r="CF186" s="340" t="n"/>
      <c r="CG186" s="340" t="n"/>
      <c r="CH186" s="340" t="n"/>
      <c r="CI186" s="340" t="n"/>
      <c r="CJ186" s="340" t="n"/>
      <c r="CK186" s="340" t="n"/>
      <c r="CL186" s="340" t="n"/>
      <c r="CM186" s="340" t="n"/>
      <c r="CN186" s="340" t="n"/>
      <c r="CO186" s="340" t="n"/>
      <c r="CP186" s="340" t="n"/>
      <c r="CQ186" s="340" t="n"/>
      <c r="CR186" s="340" t="n"/>
      <c r="CS186" s="340" t="n"/>
      <c r="CT186" s="340" t="n"/>
      <c r="CU186" s="340" t="n"/>
      <c r="CV186" s="340" t="n"/>
      <c r="CW186" s="340" t="n"/>
      <c r="CX186" s="340" t="n"/>
      <c r="CY186" s="340" t="n"/>
      <c r="CZ186" s="340" t="n"/>
      <c r="DA186" s="340" t="n"/>
      <c r="DB186" s="340" t="n"/>
      <c r="DC186" s="340" t="n"/>
      <c r="DD186" s="340" t="n"/>
      <c r="DE186" s="341" t="n"/>
      <c r="DF186" s="341" t="n"/>
    </row>
    <row r="187" ht="13" customFormat="1" customHeight="1" s="119">
      <c r="A187" s="342" t="inlineStr">
        <is>
          <t>2020年</t>
        </is>
      </c>
      <c r="B187" s="317">
        <f>SUM(B76:INDEX(B:B, 76+$A181-1))</f>
        <v/>
      </c>
      <c r="C187" s="142">
        <f>B187/B185-1</f>
        <v/>
      </c>
      <c r="D187" s="142" t="n"/>
      <c r="E187" s="317">
        <f>SUM(E76:INDEX(E:E, 76+$A181-1))</f>
        <v/>
      </c>
      <c r="F187" s="142">
        <f>E187/E185-1</f>
        <v/>
      </c>
      <c r="G187" s="142" t="n"/>
      <c r="H187" s="317">
        <f>SUM(H76:INDEX(H:H, 76+$A181-1))</f>
        <v/>
      </c>
      <c r="I187" s="142">
        <f>H187/H185-1</f>
        <v/>
      </c>
      <c r="J187" s="142" t="n"/>
      <c r="K187" s="317">
        <f>SUM(K76:INDEX(K:K, 76+$A181-1))</f>
        <v/>
      </c>
      <c r="L187" s="142">
        <f>K187/K185-1</f>
        <v/>
      </c>
      <c r="M187" s="142" t="n"/>
      <c r="N187" s="317">
        <f>SUM(N76:INDEX(N:N, 76+$A181-1))</f>
        <v/>
      </c>
      <c r="O187" s="142">
        <f>N187/N185-1</f>
        <v/>
      </c>
      <c r="P187" s="142" t="n"/>
      <c r="Q187" s="317">
        <f>SUM(Q76:INDEX(Q:Q, 76+$A181-1))</f>
        <v/>
      </c>
      <c r="R187" s="142">
        <f>Q187/Q185-1</f>
        <v/>
      </c>
      <c r="S187" s="142" t="n"/>
      <c r="T187" s="317">
        <f>SUM(T76:INDEX(T:T, 76+$A181-1))</f>
        <v/>
      </c>
      <c r="U187" s="142">
        <f>T187/T185-1</f>
        <v/>
      </c>
      <c r="V187" s="142" t="n"/>
      <c r="W187" s="317">
        <f>SUM(W76:INDEX(W:W, 76+$A181-1))</f>
        <v/>
      </c>
      <c r="X187" s="142">
        <f>W187/W185-1</f>
        <v/>
      </c>
      <c r="Y187" s="142" t="n"/>
      <c r="Z187" s="317">
        <f>SUM(Z76:INDEX(Z:Z, 76+$A181-1))</f>
        <v/>
      </c>
      <c r="AA187" s="142">
        <f>Z187/Z185-1</f>
        <v/>
      </c>
      <c r="AB187" s="142" t="n"/>
      <c r="AC187" s="317">
        <f>SUM(AC76:INDEX(AC:AC, 76+$A181-1))</f>
        <v/>
      </c>
      <c r="AD187" s="142">
        <f>AC187/AC185-1</f>
        <v/>
      </c>
      <c r="AE187" s="142" t="n"/>
      <c r="AF187" s="317">
        <f>SUM(AF76:INDEX(AF:AF, 76+$A181-1))</f>
        <v/>
      </c>
      <c r="AG187" s="142">
        <f>AF187/AF185-1</f>
        <v/>
      </c>
      <c r="AH187" s="142" t="n"/>
      <c r="AI187" s="317">
        <f>SUM(AI76:INDEX(AI:AI, 76+$A181-1))</f>
        <v/>
      </c>
      <c r="AJ187" s="142">
        <f>AI187/AI185-1</f>
        <v/>
      </c>
      <c r="AK187" s="142" t="n"/>
      <c r="AL187" s="182">
        <f>AVERAGE(AL76:INDEX(AL:AL, 76+$A181-1))</f>
        <v/>
      </c>
      <c r="AM187" s="182">
        <f>AL187-AL185</f>
        <v/>
      </c>
      <c r="AN187" s="182" t="n"/>
      <c r="AO187" s="182">
        <f>AVERAGE(AO76:INDEX(AO:AO, 76+$A181-1))</f>
        <v/>
      </c>
      <c r="AP187" s="182">
        <f>AO187-AO185</f>
        <v/>
      </c>
      <c r="AQ187" s="182" t="n"/>
      <c r="AR187" s="182">
        <f>AVERAGE(AR76:INDEX(AR:AR, 76+$A181-1))</f>
        <v/>
      </c>
      <c r="AS187" s="182">
        <f>AR187-AR185</f>
        <v/>
      </c>
      <c r="AT187" s="182" t="n"/>
      <c r="AU187" s="182">
        <f>AVERAGE(AU76:INDEX(AU:AU, 76+$A181-1))</f>
        <v/>
      </c>
      <c r="AV187" s="182">
        <f>AU187-AU185</f>
        <v/>
      </c>
      <c r="AW187" s="182" t="n"/>
      <c r="AX187" s="183" t="n"/>
      <c r="AY187" s="196" t="n"/>
      <c r="AZ187" s="93" t="n"/>
      <c r="BA187" s="340" t="n"/>
      <c r="BB187" s="93" t="n"/>
      <c r="BC187" s="340" t="n"/>
      <c r="BD187" s="93" t="n"/>
      <c r="BE187" s="340" t="n"/>
      <c r="BF187" s="93" t="n"/>
      <c r="BG187" s="340" t="n"/>
      <c r="BH187" s="93" t="n"/>
      <c r="BI187" s="340" t="n"/>
      <c r="BJ187" s="93" t="n"/>
      <c r="BK187" s="340" t="n"/>
      <c r="BL187" s="93" t="n"/>
      <c r="BM187" s="340" t="n"/>
      <c r="BN187" s="340" t="n"/>
      <c r="BO187" s="340" t="n"/>
      <c r="BP187" s="340" t="n"/>
      <c r="BQ187" s="340" t="n"/>
      <c r="BR187" s="340" t="n"/>
      <c r="BS187" s="340" t="n"/>
      <c r="BT187" s="340" t="n"/>
      <c r="BU187" s="340" t="n"/>
      <c r="BV187" s="340" t="n"/>
      <c r="BW187" s="340" t="n"/>
      <c r="BX187" s="340" t="n"/>
      <c r="BY187" s="340" t="n"/>
      <c r="BZ187" s="340" t="n"/>
      <c r="CA187" s="340" t="n"/>
      <c r="CB187" s="340" t="n"/>
      <c r="CC187" s="340" t="n"/>
      <c r="CD187" s="340" t="n"/>
      <c r="CE187" s="340" t="n"/>
      <c r="CF187" s="340" t="n"/>
      <c r="CG187" s="340" t="n"/>
      <c r="CH187" s="340" t="n"/>
      <c r="CI187" s="340" t="n"/>
      <c r="CJ187" s="340" t="n"/>
      <c r="CK187" s="340" t="n"/>
      <c r="CL187" s="340" t="n"/>
      <c r="CM187" s="340" t="n"/>
      <c r="CN187" s="340" t="n"/>
      <c r="CO187" s="340" t="n"/>
      <c r="CP187" s="340" t="n"/>
      <c r="CQ187" s="340" t="n"/>
      <c r="CR187" s="340" t="n"/>
      <c r="CS187" s="340" t="n"/>
      <c r="CT187" s="340" t="n"/>
      <c r="CU187" s="340" t="n"/>
      <c r="CV187" s="340" t="n"/>
      <c r="CW187" s="340" t="n"/>
      <c r="CX187" s="340" t="n"/>
      <c r="CY187" s="340" t="n"/>
      <c r="CZ187" s="340" t="n"/>
      <c r="DA187" s="340" t="n"/>
      <c r="DB187" s="340" t="n"/>
      <c r="DC187" s="340" t="n"/>
      <c r="DD187" s="340" t="n"/>
      <c r="DE187" s="341" t="n"/>
      <c r="DF187" s="341" t="n"/>
    </row>
    <row r="188" ht="13" customFormat="1" customHeight="1" s="119">
      <c r="A188" s="342" t="n"/>
      <c r="B188" s="317" t="n"/>
      <c r="C188" s="142" t="n"/>
      <c r="D188" s="142" t="n"/>
      <c r="E188" s="317" t="n"/>
      <c r="F188" s="142" t="n"/>
      <c r="G188" s="142" t="n"/>
      <c r="H188" s="317" t="n"/>
      <c r="I188" s="142" t="n"/>
      <c r="J188" s="142" t="n"/>
      <c r="K188" s="317" t="n"/>
      <c r="L188" s="142" t="n"/>
      <c r="M188" s="142" t="n"/>
      <c r="N188" s="317" t="n"/>
      <c r="O188" s="142" t="n"/>
      <c r="P188" s="142" t="n"/>
      <c r="Q188" s="317" t="n"/>
      <c r="R188" s="142" t="n"/>
      <c r="S188" s="142" t="n"/>
      <c r="T188" s="317" t="n"/>
      <c r="U188" s="142" t="n"/>
      <c r="V188" s="142" t="n"/>
      <c r="W188" s="317" t="n"/>
      <c r="X188" s="142" t="n"/>
      <c r="Y188" s="142" t="n"/>
      <c r="Z188" s="317" t="n"/>
      <c r="AA188" s="142" t="n"/>
      <c r="AB188" s="142" t="n"/>
      <c r="AC188" s="317" t="n"/>
      <c r="AD188" s="142" t="n"/>
      <c r="AE188" s="142" t="n"/>
      <c r="AF188" s="317" t="n"/>
      <c r="AG188" s="142" t="n"/>
      <c r="AH188" s="142" t="n"/>
      <c r="AI188" s="317" t="n"/>
      <c r="AJ188" s="142" t="n"/>
      <c r="AK188" s="142" t="n"/>
      <c r="AL188" s="317" t="n"/>
      <c r="AM188" s="317" t="n"/>
      <c r="AN188" s="182" t="n"/>
      <c r="AO188" s="317" t="n"/>
      <c r="AP188" s="317" t="n"/>
      <c r="AQ188" s="182" t="n"/>
      <c r="AR188" s="317" t="n"/>
      <c r="AS188" s="317" t="n"/>
      <c r="AT188" s="182" t="n"/>
      <c r="AU188" s="317" t="n"/>
      <c r="AV188" s="317" t="n"/>
      <c r="AW188" s="182" t="n"/>
      <c r="AX188" s="183" t="n"/>
      <c r="AY188" s="340" t="n"/>
      <c r="AZ188" s="93" t="n"/>
      <c r="BA188" s="340" t="n"/>
      <c r="BB188" s="93" t="n"/>
      <c r="BC188" s="340" t="n"/>
      <c r="BD188" s="93" t="n"/>
      <c r="BE188" s="340" t="n"/>
      <c r="BF188" s="93" t="n"/>
      <c r="BG188" s="340" t="n"/>
      <c r="BH188" s="93" t="n"/>
      <c r="BI188" s="340" t="n"/>
      <c r="BJ188" s="93" t="n"/>
      <c r="BK188" s="340" t="n"/>
      <c r="BL188" s="93" t="n"/>
      <c r="BM188" s="340" t="n"/>
      <c r="BN188" s="340" t="n"/>
      <c r="BO188" s="340" t="n"/>
      <c r="BP188" s="340" t="n"/>
      <c r="BQ188" s="340" t="n"/>
      <c r="BR188" s="340" t="n"/>
      <c r="BS188" s="340" t="n"/>
      <c r="BT188" s="340" t="n"/>
      <c r="BU188" s="340" t="n"/>
      <c r="BV188" s="340" t="n"/>
      <c r="BW188" s="340" t="n"/>
      <c r="BX188" s="340" t="n"/>
      <c r="BY188" s="340" t="n"/>
      <c r="BZ188" s="340" t="n"/>
      <c r="CA188" s="340" t="n"/>
      <c r="CB188" s="340" t="n"/>
      <c r="CC188" s="340" t="n"/>
      <c r="CD188" s="340" t="n"/>
      <c r="CE188" s="340" t="n"/>
      <c r="CF188" s="340" t="n"/>
      <c r="CG188" s="340" t="n"/>
      <c r="CH188" s="340" t="n"/>
      <c r="CI188" s="340" t="n"/>
      <c r="CJ188" s="340" t="n"/>
      <c r="CK188" s="340" t="n"/>
      <c r="CL188" s="340" t="n"/>
      <c r="CM188" s="340" t="n"/>
      <c r="CN188" s="340" t="n"/>
      <c r="CO188" s="340" t="n"/>
      <c r="CP188" s="340" t="n"/>
      <c r="CQ188" s="340" t="n"/>
      <c r="CR188" s="340" t="n"/>
      <c r="CS188" s="340" t="n"/>
      <c r="CT188" s="340" t="n"/>
      <c r="CU188" s="340" t="n"/>
      <c r="CV188" s="340" t="n"/>
      <c r="CW188" s="340" t="n"/>
      <c r="CX188" s="340" t="n"/>
      <c r="CY188" s="340" t="n"/>
      <c r="CZ188" s="340" t="n"/>
      <c r="DA188" s="340" t="n"/>
      <c r="DB188" s="340" t="n"/>
      <c r="DC188" s="340" t="n"/>
      <c r="DD188" s="340" t="n"/>
      <c r="DE188" s="341" t="n"/>
      <c r="DF188" s="341" t="n"/>
    </row>
    <row r="189" ht="13" customFormat="1" customHeight="1" s="119">
      <c r="A189" s="342" t="inlineStr">
        <is>
          <t>2021年</t>
        </is>
      </c>
      <c r="B189" s="317">
        <f>SUM(B88:INDEX(B:B, 88+$A181-1))</f>
        <v/>
      </c>
      <c r="C189" s="142">
        <f>B189/B187-1</f>
        <v/>
      </c>
      <c r="D189" s="142" t="n"/>
      <c r="E189" s="317">
        <f>SUM(E88:INDEX(E:E, 88+$A181-1))</f>
        <v/>
      </c>
      <c r="F189" s="142">
        <f>E189/E187-1</f>
        <v/>
      </c>
      <c r="G189" s="142" t="n"/>
      <c r="H189" s="317">
        <f>SUM(H88:INDEX(H:H, 88+$A181-1))</f>
        <v/>
      </c>
      <c r="I189" s="142">
        <f>H189/H187-1</f>
        <v/>
      </c>
      <c r="J189" s="142" t="n"/>
      <c r="K189" s="317">
        <f>SUM(K88:INDEX(K:K, 88+$A181-1))</f>
        <v/>
      </c>
      <c r="L189" s="142">
        <f>K189/K187-1</f>
        <v/>
      </c>
      <c r="M189" s="142" t="n"/>
      <c r="N189" s="317">
        <f>SUM(N88:INDEX(N:N, 88+$A181-1))</f>
        <v/>
      </c>
      <c r="O189" s="142">
        <f>N189/N187-1</f>
        <v/>
      </c>
      <c r="P189" s="142" t="n"/>
      <c r="Q189" s="317">
        <f>SUM(Q88:INDEX(Q:Q, 88+$A181-1))</f>
        <v/>
      </c>
      <c r="R189" s="142">
        <f>Q189/Q187-1</f>
        <v/>
      </c>
      <c r="S189" s="142" t="n"/>
      <c r="T189" s="317">
        <f>SUM(T88:INDEX(T:T, 88+$A181-1))</f>
        <v/>
      </c>
      <c r="U189" s="142">
        <f>T189/T187-1</f>
        <v/>
      </c>
      <c r="V189" s="142" t="n"/>
      <c r="W189" s="317">
        <f>SUM(W88:INDEX(W:W, 88+$A181-1))</f>
        <v/>
      </c>
      <c r="X189" s="142">
        <f>W189/W187-1</f>
        <v/>
      </c>
      <c r="Y189" s="142" t="n"/>
      <c r="Z189" s="317">
        <f>SUM(Z88:INDEX(Z:Z, 88+$A181-1))</f>
        <v/>
      </c>
      <c r="AA189" s="142">
        <f>Z189/Z187-1</f>
        <v/>
      </c>
      <c r="AB189" s="142" t="n"/>
      <c r="AC189" s="317">
        <f>SUM(AC88:INDEX(AC:AC, 88+$A181-1))</f>
        <v/>
      </c>
      <c r="AD189" s="142">
        <f>AC189/AC187-1</f>
        <v/>
      </c>
      <c r="AE189" s="142" t="n"/>
      <c r="AF189" s="317">
        <f>SUM(AF88:INDEX(AF:AF, 88+$A181-1))</f>
        <v/>
      </c>
      <c r="AG189" s="142">
        <f>AF189/AF187-1</f>
        <v/>
      </c>
      <c r="AH189" s="142" t="n"/>
      <c r="AI189" s="317">
        <f>SUM(AI88:INDEX(AI:AI, 88+$A181-1))</f>
        <v/>
      </c>
      <c r="AJ189" s="142">
        <f>AI189/AI187-1</f>
        <v/>
      </c>
      <c r="AK189" s="142" t="n"/>
      <c r="AL189" s="182">
        <f>AVERAGE(AL88:INDEX(AL:AL, 88+$A181-1))</f>
        <v/>
      </c>
      <c r="AM189" s="182">
        <f>AL189-AL187</f>
        <v/>
      </c>
      <c r="AN189" s="182" t="n"/>
      <c r="AO189" s="182">
        <f>AVERAGE(AO88:INDEX(AO:AO, 88+$A181-1))</f>
        <v/>
      </c>
      <c r="AP189" s="182">
        <f>AO189-AO187</f>
        <v/>
      </c>
      <c r="AQ189" s="182" t="n"/>
      <c r="AR189" s="182">
        <f>AVERAGE(AR88:INDEX(AR:AR, 88+$A181-1))</f>
        <v/>
      </c>
      <c r="AS189" s="182">
        <f>AR189-AR187</f>
        <v/>
      </c>
      <c r="AT189" s="182" t="n"/>
      <c r="AU189" s="182">
        <f>AVERAGE(AU88:INDEX(AU:AU, 88+$A181-1))</f>
        <v/>
      </c>
      <c r="AV189" s="182">
        <f>AU189-AU187</f>
        <v/>
      </c>
      <c r="AW189" s="182" t="n"/>
      <c r="AX189" s="183" t="n"/>
      <c r="AY189" s="196" t="n"/>
      <c r="AZ189" s="93" t="n"/>
      <c r="BA189" s="340" t="n"/>
      <c r="BB189" s="93" t="n"/>
      <c r="BC189" s="340" t="n"/>
      <c r="BD189" s="93" t="n"/>
      <c r="BE189" s="340" t="n"/>
      <c r="BF189" s="93" t="n"/>
      <c r="BG189" s="340" t="n"/>
      <c r="BH189" s="93" t="n"/>
      <c r="BI189" s="340" t="n"/>
      <c r="BJ189" s="93" t="n"/>
      <c r="BK189" s="340" t="n"/>
      <c r="BL189" s="93" t="n"/>
      <c r="BM189" s="340" t="n"/>
      <c r="BN189" s="340" t="n"/>
      <c r="BO189" s="340" t="n"/>
      <c r="BP189" s="340" t="n"/>
      <c r="BQ189" s="340" t="n"/>
      <c r="BR189" s="340" t="n"/>
      <c r="BS189" s="340" t="n"/>
      <c r="BT189" s="340" t="n"/>
      <c r="BU189" s="340" t="n"/>
      <c r="BV189" s="340" t="n"/>
      <c r="BW189" s="340" t="n"/>
      <c r="BX189" s="340" t="n"/>
      <c r="BY189" s="340" t="n"/>
      <c r="BZ189" s="340" t="n"/>
      <c r="CA189" s="340" t="n"/>
      <c r="CB189" s="340" t="n"/>
      <c r="CC189" s="340" t="n"/>
      <c r="CD189" s="340" t="n"/>
      <c r="CE189" s="340" t="n"/>
      <c r="CF189" s="340" t="n"/>
      <c r="CG189" s="340" t="n"/>
      <c r="CH189" s="340" t="n"/>
      <c r="CI189" s="340" t="n"/>
      <c r="CJ189" s="340" t="n"/>
      <c r="CK189" s="340" t="n"/>
      <c r="CL189" s="340" t="n"/>
      <c r="CM189" s="340" t="n"/>
      <c r="CN189" s="340" t="n"/>
      <c r="CO189" s="340" t="n"/>
      <c r="CP189" s="340" t="n"/>
      <c r="CQ189" s="340" t="n"/>
      <c r="CR189" s="340" t="n"/>
      <c r="CS189" s="340" t="n"/>
      <c r="CT189" s="340" t="n"/>
      <c r="CU189" s="340" t="n"/>
      <c r="CV189" s="340" t="n"/>
      <c r="CW189" s="340" t="n"/>
      <c r="CX189" s="340" t="n"/>
      <c r="CY189" s="340" t="n"/>
      <c r="CZ189" s="340" t="n"/>
      <c r="DA189" s="340" t="n"/>
      <c r="DB189" s="340" t="n"/>
      <c r="DC189" s="340" t="n"/>
      <c r="DD189" s="340" t="n"/>
      <c r="DE189" s="341" t="n"/>
      <c r="DF189" s="341" t="n"/>
    </row>
    <row r="190" ht="13" customFormat="1" customHeight="1" s="119">
      <c r="A190" s="342" t="n"/>
      <c r="B190" s="317" t="n"/>
      <c r="C190" s="142" t="n"/>
      <c r="D190" s="142" t="n"/>
      <c r="E190" s="317" t="n"/>
      <c r="F190" s="142" t="n"/>
      <c r="G190" s="142" t="n"/>
      <c r="H190" s="317" t="n"/>
      <c r="I190" s="142" t="n"/>
      <c r="J190" s="142" t="n"/>
      <c r="K190" s="317" t="n"/>
      <c r="L190" s="142" t="n"/>
      <c r="M190" s="142" t="n"/>
      <c r="N190" s="317" t="n"/>
      <c r="O190" s="142" t="n"/>
      <c r="P190" s="142" t="n"/>
      <c r="Q190" s="317" t="n"/>
      <c r="R190" s="142" t="n"/>
      <c r="S190" s="142" t="n"/>
      <c r="T190" s="317" t="n"/>
      <c r="U190" s="142" t="n"/>
      <c r="V190" s="142" t="n"/>
      <c r="W190" s="317" t="n"/>
      <c r="X190" s="142" t="n"/>
      <c r="Y190" s="142" t="n"/>
      <c r="Z190" s="317" t="n"/>
      <c r="AA190" s="142" t="n"/>
      <c r="AB190" s="142" t="n"/>
      <c r="AC190" s="317" t="n"/>
      <c r="AD190" s="142" t="n"/>
      <c r="AE190" s="142" t="n"/>
      <c r="AF190" s="317" t="n"/>
      <c r="AG190" s="142" t="n"/>
      <c r="AH190" s="142" t="n"/>
      <c r="AI190" s="317" t="n"/>
      <c r="AJ190" s="142" t="n"/>
      <c r="AK190" s="142" t="n"/>
      <c r="AL190" s="317" t="n"/>
      <c r="AM190" s="317" t="n"/>
      <c r="AN190" s="182" t="n"/>
      <c r="AO190" s="317" t="n"/>
      <c r="AP190" s="317" t="n"/>
      <c r="AQ190" s="182" t="n"/>
      <c r="AR190" s="317" t="n"/>
      <c r="AS190" s="317" t="n"/>
      <c r="AT190" s="182" t="n"/>
      <c r="AU190" s="317" t="n"/>
      <c r="AV190" s="317" t="n"/>
      <c r="AW190" s="182" t="n"/>
      <c r="AX190" s="183" t="n"/>
      <c r="AY190" s="340" t="n"/>
      <c r="AZ190" s="93" t="n"/>
      <c r="BA190" s="340" t="n"/>
      <c r="BB190" s="93" t="n"/>
      <c r="BC190" s="340" t="n"/>
      <c r="BD190" s="93" t="n"/>
      <c r="BE190" s="340" t="n"/>
      <c r="BF190" s="93" t="n"/>
      <c r="BG190" s="340" t="n"/>
      <c r="BH190" s="93" t="n"/>
      <c r="BI190" s="340" t="n"/>
      <c r="BJ190" s="93" t="n"/>
      <c r="BK190" s="340" t="n"/>
      <c r="BL190" s="93" t="n"/>
      <c r="BM190" s="340" t="n"/>
      <c r="BN190" s="340" t="n"/>
      <c r="BO190" s="340" t="n"/>
      <c r="BP190" s="340" t="n"/>
      <c r="BQ190" s="340" t="n"/>
      <c r="BR190" s="340" t="n"/>
      <c r="BS190" s="340" t="n"/>
      <c r="BT190" s="340" t="n"/>
      <c r="BU190" s="340" t="n"/>
      <c r="BV190" s="340" t="n"/>
      <c r="BW190" s="340" t="n"/>
      <c r="BX190" s="340" t="n"/>
      <c r="BY190" s="340" t="n"/>
      <c r="BZ190" s="340" t="n"/>
      <c r="CA190" s="340" t="n"/>
      <c r="CB190" s="340" t="n"/>
      <c r="CC190" s="340" t="n"/>
      <c r="CD190" s="340" t="n"/>
      <c r="CE190" s="340" t="n"/>
      <c r="CF190" s="340" t="n"/>
      <c r="CG190" s="340" t="n"/>
      <c r="CH190" s="340" t="n"/>
      <c r="CI190" s="340" t="n"/>
      <c r="CJ190" s="340" t="n"/>
      <c r="CK190" s="340" t="n"/>
      <c r="CL190" s="340" t="n"/>
      <c r="CM190" s="340" t="n"/>
      <c r="CN190" s="340" t="n"/>
      <c r="CO190" s="340" t="n"/>
      <c r="CP190" s="340" t="n"/>
      <c r="CQ190" s="340" t="n"/>
      <c r="CR190" s="340" t="n"/>
      <c r="CS190" s="340" t="n"/>
      <c r="CT190" s="340" t="n"/>
      <c r="CU190" s="340" t="n"/>
      <c r="CV190" s="340" t="n"/>
      <c r="CW190" s="340" t="n"/>
      <c r="CX190" s="340" t="n"/>
      <c r="CY190" s="340" t="n"/>
      <c r="CZ190" s="340" t="n"/>
      <c r="DA190" s="340" t="n"/>
      <c r="DB190" s="340" t="n"/>
      <c r="DC190" s="340" t="n"/>
      <c r="DD190" s="340" t="n"/>
      <c r="DE190" s="341" t="n"/>
      <c r="DF190" s="341" t="n"/>
    </row>
    <row r="191" ht="13" customFormat="1" customHeight="1" s="119">
      <c r="A191" s="342" t="inlineStr">
        <is>
          <t>2022年</t>
        </is>
      </c>
      <c r="B191" s="317">
        <f>SUM(B100:INDEX(B:B, 100+$A181-1))</f>
        <v/>
      </c>
      <c r="C191" s="142">
        <f>B191/B189-1</f>
        <v/>
      </c>
      <c r="D191" s="142" t="n"/>
      <c r="E191" s="317">
        <f>SUM(E100:INDEX(E:E, 100+$A181-1))</f>
        <v/>
      </c>
      <c r="F191" s="142">
        <f>E191/E189-1</f>
        <v/>
      </c>
      <c r="G191" s="142" t="n"/>
      <c r="H191" s="317">
        <f>SUM(H100:INDEX(H:H, 100+$A181-1))</f>
        <v/>
      </c>
      <c r="I191" s="142">
        <f>H191/H189-1</f>
        <v/>
      </c>
      <c r="J191" s="142" t="n"/>
      <c r="K191" s="317">
        <f>SUM(K100:INDEX(K:K, 100+$A181-1))</f>
        <v/>
      </c>
      <c r="L191" s="142">
        <f>K191/K189-1</f>
        <v/>
      </c>
      <c r="M191" s="142" t="n"/>
      <c r="N191" s="317">
        <f>SUM(N100:INDEX(N:N, 100+$A181-1))</f>
        <v/>
      </c>
      <c r="O191" s="142">
        <f>N191/N189-1</f>
        <v/>
      </c>
      <c r="P191" s="142" t="n"/>
      <c r="Q191" s="317">
        <f>SUM(Q100:INDEX(Q:Q, 100+$A181-1))</f>
        <v/>
      </c>
      <c r="R191" s="142">
        <f>Q191/Q189-1</f>
        <v/>
      </c>
      <c r="S191" s="142" t="n"/>
      <c r="T191" s="317">
        <f>SUM(T100:INDEX(T:T, 100+$A181-1))</f>
        <v/>
      </c>
      <c r="U191" s="142">
        <f>T191/T189-1</f>
        <v/>
      </c>
      <c r="V191" s="142" t="n"/>
      <c r="W191" s="317">
        <f>SUM(W100:INDEX(W:W, 100+$A181-1))</f>
        <v/>
      </c>
      <c r="X191" s="142">
        <f>W191/W189-1</f>
        <v/>
      </c>
      <c r="Y191" s="142" t="n"/>
      <c r="Z191" s="317">
        <f>SUM(Z100:INDEX(Z:Z, 100+$A181-1))</f>
        <v/>
      </c>
      <c r="AA191" s="142">
        <f>Z191/Z189-1</f>
        <v/>
      </c>
      <c r="AB191" s="142" t="n"/>
      <c r="AC191" s="317">
        <f>SUM(AC100:INDEX(AC:AC, 100+$A181-1))</f>
        <v/>
      </c>
      <c r="AD191" s="142">
        <f>AC191/AC189-1</f>
        <v/>
      </c>
      <c r="AE191" s="142" t="n"/>
      <c r="AF191" s="317">
        <f>SUM(AF100:INDEX(AF:AF, 100+$A181-1))</f>
        <v/>
      </c>
      <c r="AG191" s="142">
        <f>AF191/AF189-1</f>
        <v/>
      </c>
      <c r="AH191" s="142" t="n"/>
      <c r="AI191" s="317">
        <f>SUM(AI100:INDEX(AI:AI, 100+$A181-1))</f>
        <v/>
      </c>
      <c r="AJ191" s="142">
        <f>AI191/AI189-1</f>
        <v/>
      </c>
      <c r="AK191" s="142" t="n"/>
      <c r="AL191" s="182">
        <f>AVERAGE(AL100:INDEX(AL:AL, 100+$A181-1))</f>
        <v/>
      </c>
      <c r="AM191" s="182">
        <f>AL191-AL189</f>
        <v/>
      </c>
      <c r="AN191" s="182" t="n"/>
      <c r="AO191" s="182">
        <f>AVERAGE(AO100:INDEX(AO:AO, 100+$A181-1))</f>
        <v/>
      </c>
      <c r="AP191" s="182">
        <f>AO191-AO189</f>
        <v/>
      </c>
      <c r="AQ191" s="182" t="n"/>
      <c r="AR191" s="182">
        <f>AVERAGE(AR100:INDEX(AR:AR, 100+$A181-1))</f>
        <v/>
      </c>
      <c r="AS191" s="182">
        <f>AR191-AR189</f>
        <v/>
      </c>
      <c r="AT191" s="182" t="n"/>
      <c r="AU191" s="182">
        <f>AVERAGE(AU100:INDEX(AU:AU, 100+$A181-1))</f>
        <v/>
      </c>
      <c r="AV191" s="182">
        <f>AU191-AU189</f>
        <v/>
      </c>
      <c r="AW191" s="182" t="n"/>
      <c r="AX191" s="183" t="n"/>
      <c r="AY191" s="196" t="n"/>
      <c r="AZ191" s="93" t="n"/>
      <c r="BA191" s="340" t="n"/>
      <c r="BB191" s="93" t="n"/>
      <c r="BC191" s="340" t="n"/>
      <c r="BD191" s="93" t="n"/>
      <c r="BE191" s="340" t="n"/>
      <c r="BF191" s="93" t="n"/>
      <c r="BG191" s="340" t="n"/>
      <c r="BH191" s="93" t="n"/>
      <c r="BI191" s="340" t="n"/>
      <c r="BJ191" s="93" t="n"/>
      <c r="BK191" s="340" t="n"/>
      <c r="BL191" s="93" t="n"/>
      <c r="BM191" s="340" t="n"/>
      <c r="BN191" s="340" t="n"/>
      <c r="BO191" s="340" t="n"/>
      <c r="BP191" s="340" t="n"/>
      <c r="BQ191" s="340" t="n"/>
      <c r="BR191" s="340" t="n"/>
      <c r="BS191" s="340" t="n"/>
      <c r="BT191" s="340" t="n"/>
      <c r="BU191" s="340" t="n"/>
      <c r="BV191" s="340" t="n"/>
      <c r="BW191" s="340" t="n"/>
      <c r="BX191" s="340" t="n"/>
      <c r="BY191" s="340" t="n"/>
      <c r="BZ191" s="340" t="n"/>
      <c r="CA191" s="340" t="n"/>
      <c r="CB191" s="340" t="n"/>
      <c r="CC191" s="340" t="n"/>
      <c r="CD191" s="340" t="n"/>
      <c r="CE191" s="340" t="n"/>
      <c r="CF191" s="340" t="n"/>
      <c r="CG191" s="340" t="n"/>
      <c r="CH191" s="340" t="n"/>
      <c r="CI191" s="340" t="n"/>
      <c r="CJ191" s="340" t="n"/>
      <c r="CK191" s="340" t="n"/>
      <c r="CL191" s="340" t="n"/>
      <c r="CM191" s="340" t="n"/>
      <c r="CN191" s="340" t="n"/>
      <c r="CO191" s="340" t="n"/>
      <c r="CP191" s="340" t="n"/>
      <c r="CQ191" s="340" t="n"/>
      <c r="CR191" s="340" t="n"/>
      <c r="CS191" s="340" t="n"/>
      <c r="CT191" s="340" t="n"/>
      <c r="CU191" s="340" t="n"/>
      <c r="CV191" s="340" t="n"/>
      <c r="CW191" s="340" t="n"/>
      <c r="CX191" s="340" t="n"/>
      <c r="CY191" s="340" t="n"/>
      <c r="CZ191" s="340" t="n"/>
      <c r="DA191" s="340" t="n"/>
      <c r="DB191" s="340" t="n"/>
      <c r="DC191" s="340" t="n"/>
      <c r="DD191" s="340" t="n"/>
      <c r="DE191" s="341" t="n"/>
      <c r="DF191" s="341" t="n"/>
    </row>
    <row r="192" ht="13" customFormat="1" customHeight="1" s="119">
      <c r="A192" s="342" t="n"/>
      <c r="B192" s="317" t="n"/>
      <c r="C192" s="142" t="n"/>
      <c r="D192" s="142" t="n"/>
      <c r="E192" s="317" t="n"/>
      <c r="F192" s="142" t="n"/>
      <c r="G192" s="142" t="n"/>
      <c r="H192" s="317" t="n"/>
      <c r="I192" s="142" t="n"/>
      <c r="J192" s="142" t="n"/>
      <c r="K192" s="317" t="n"/>
      <c r="L192" s="142" t="n"/>
      <c r="M192" s="142" t="n"/>
      <c r="N192" s="317" t="n"/>
      <c r="O192" s="142" t="n"/>
      <c r="P192" s="142" t="n"/>
      <c r="Q192" s="317" t="n"/>
      <c r="R192" s="142" t="n"/>
      <c r="S192" s="142" t="n"/>
      <c r="T192" s="317" t="n"/>
      <c r="U192" s="142" t="n"/>
      <c r="V192" s="142" t="n"/>
      <c r="W192" s="317" t="n"/>
      <c r="X192" s="142" t="n"/>
      <c r="Y192" s="142" t="n"/>
      <c r="Z192" s="317" t="n"/>
      <c r="AA192" s="142" t="n"/>
      <c r="AB192" s="142" t="n"/>
      <c r="AC192" s="317" t="n"/>
      <c r="AD192" s="142" t="n"/>
      <c r="AE192" s="142" t="n"/>
      <c r="AF192" s="317" t="n"/>
      <c r="AG192" s="142" t="n"/>
      <c r="AH192" s="142" t="n"/>
      <c r="AI192" s="317" t="n"/>
      <c r="AJ192" s="142" t="n"/>
      <c r="AK192" s="142" t="n"/>
      <c r="AL192" s="317" t="n"/>
      <c r="AM192" s="317" t="n"/>
      <c r="AN192" s="182" t="n"/>
      <c r="AO192" s="317" t="n"/>
      <c r="AP192" s="317" t="n"/>
      <c r="AQ192" s="182" t="n"/>
      <c r="AR192" s="317" t="n"/>
      <c r="AS192" s="317" t="n"/>
      <c r="AT192" s="182" t="n"/>
      <c r="AU192" s="317" t="n"/>
      <c r="AV192" s="317" t="n"/>
      <c r="AW192" s="182" t="n"/>
      <c r="AX192" s="183" t="n"/>
      <c r="AY192" s="340" t="n"/>
      <c r="AZ192" s="93" t="n"/>
      <c r="BA192" s="340" t="n"/>
      <c r="BB192" s="93" t="n"/>
      <c r="BC192" s="340" t="n"/>
      <c r="BD192" s="93" t="n"/>
      <c r="BE192" s="340" t="n"/>
      <c r="BF192" s="93" t="n"/>
      <c r="BG192" s="340" t="n"/>
      <c r="BH192" s="93" t="n"/>
      <c r="BI192" s="340" t="n"/>
      <c r="BJ192" s="93" t="n"/>
      <c r="BK192" s="340" t="n"/>
      <c r="BL192" s="93" t="n"/>
      <c r="BM192" s="340" t="n"/>
      <c r="BN192" s="340" t="n"/>
      <c r="BO192" s="340" t="n"/>
      <c r="BP192" s="340" t="n"/>
      <c r="BQ192" s="340" t="n"/>
      <c r="BR192" s="340" t="n"/>
      <c r="BS192" s="340" t="n"/>
      <c r="BT192" s="340" t="n"/>
      <c r="BU192" s="340" t="n"/>
      <c r="BV192" s="340" t="n"/>
      <c r="BW192" s="340" t="n"/>
      <c r="BX192" s="340" t="n"/>
      <c r="BY192" s="340" t="n"/>
      <c r="BZ192" s="340" t="n"/>
      <c r="CA192" s="340" t="n"/>
      <c r="CB192" s="340" t="n"/>
      <c r="CC192" s="340" t="n"/>
      <c r="CD192" s="340" t="n"/>
      <c r="CE192" s="340" t="n"/>
      <c r="CF192" s="340" t="n"/>
      <c r="CG192" s="340" t="n"/>
      <c r="CH192" s="340" t="n"/>
      <c r="CI192" s="340" t="n"/>
      <c r="CJ192" s="340" t="n"/>
      <c r="CK192" s="340" t="n"/>
      <c r="CL192" s="340" t="n"/>
      <c r="CM192" s="340" t="n"/>
      <c r="CN192" s="340" t="n"/>
      <c r="CO192" s="340" t="n"/>
      <c r="CP192" s="340" t="n"/>
      <c r="CQ192" s="340" t="n"/>
      <c r="CR192" s="340" t="n"/>
      <c r="CS192" s="340" t="n"/>
      <c r="CT192" s="340" t="n"/>
      <c r="CU192" s="340" t="n"/>
      <c r="CV192" s="340" t="n"/>
      <c r="CW192" s="340" t="n"/>
      <c r="CX192" s="340" t="n"/>
      <c r="CY192" s="340" t="n"/>
      <c r="CZ192" s="340" t="n"/>
      <c r="DA192" s="340" t="n"/>
      <c r="DB192" s="340" t="n"/>
      <c r="DC192" s="340" t="n"/>
      <c r="DD192" s="340" t="n"/>
      <c r="DE192" s="341" t="n"/>
      <c r="DF192" s="341" t="n"/>
    </row>
    <row r="193" ht="13" customFormat="1" customHeight="1" s="119">
      <c r="A193" s="342" t="inlineStr">
        <is>
          <t>2023年</t>
        </is>
      </c>
      <c r="B193" s="317">
        <f>SUM(B112:INDEX(B:B, 112+$A181-1))</f>
        <v/>
      </c>
      <c r="C193" s="142">
        <f>B193/B191-1</f>
        <v/>
      </c>
      <c r="D193" s="142">
        <f>B193/B185-1</f>
        <v/>
      </c>
      <c r="E193" s="317">
        <f>SUM(E112:INDEX(E:E, 112+$A181-1))</f>
        <v/>
      </c>
      <c r="F193" s="142">
        <f>E193/E191-1</f>
        <v/>
      </c>
      <c r="G193" s="142">
        <f>E193/E185-1</f>
        <v/>
      </c>
      <c r="H193" s="317">
        <f>SUM(H112:INDEX(H:H, 112+$A181-1))</f>
        <v/>
      </c>
      <c r="I193" s="142">
        <f>H193/H191-1</f>
        <v/>
      </c>
      <c r="J193" s="142">
        <f>H193/H185-1</f>
        <v/>
      </c>
      <c r="K193" s="317">
        <f>SUM(K112:INDEX(K:K, 112+$A181-1))</f>
        <v/>
      </c>
      <c r="L193" s="142">
        <f>K193/K191-1</f>
        <v/>
      </c>
      <c r="M193" s="142">
        <f>K193/K185-1</f>
        <v/>
      </c>
      <c r="N193" s="317">
        <f>SUM(N112:INDEX(N:N, 112+$A181-1))</f>
        <v/>
      </c>
      <c r="O193" s="142">
        <f>N193/N191-1</f>
        <v/>
      </c>
      <c r="P193" s="142">
        <f>N193/N185-1</f>
        <v/>
      </c>
      <c r="Q193" s="317">
        <f>SUM(Q112:INDEX(Q:Q, 112+$A181-1))</f>
        <v/>
      </c>
      <c r="R193" s="142">
        <f>Q193/Q191-1</f>
        <v/>
      </c>
      <c r="S193" s="142">
        <f>Q193/Q185-1</f>
        <v/>
      </c>
      <c r="T193" s="317">
        <f>SUM(T112:INDEX(T:T, 112+$A181-1))</f>
        <v/>
      </c>
      <c r="U193" s="142">
        <f>T193/T191-1</f>
        <v/>
      </c>
      <c r="V193" s="142">
        <f>T193/T185-1</f>
        <v/>
      </c>
      <c r="W193" s="317">
        <f>SUM(W112:INDEX(W:W, 112+$A181-1))</f>
        <v/>
      </c>
      <c r="X193" s="142">
        <f>W193/W191-1</f>
        <v/>
      </c>
      <c r="Y193" s="142">
        <f>W193/W185-1</f>
        <v/>
      </c>
      <c r="Z193" s="317">
        <f>SUM(Z112:INDEX(Z:Z, 112+$A181-1))</f>
        <v/>
      </c>
      <c r="AA193" s="142">
        <f>Z193/Z191-1</f>
        <v/>
      </c>
      <c r="AB193" s="142">
        <f>Z193/Z185-1</f>
        <v/>
      </c>
      <c r="AC193" s="317">
        <f>SUM(AC112:INDEX(AC:AC, 112+$A181-1))</f>
        <v/>
      </c>
      <c r="AD193" s="142">
        <f>AC193/AC191-1</f>
        <v/>
      </c>
      <c r="AE193" s="142">
        <f>AC193/AC185-1</f>
        <v/>
      </c>
      <c r="AF193" s="317">
        <f>SUM(AF112:INDEX(AF:AF, 112+$A181-1))</f>
        <v/>
      </c>
      <c r="AG193" s="142">
        <f>AF193/AF191-1</f>
        <v/>
      </c>
      <c r="AH193" s="142">
        <f>AF193/AF185-1</f>
        <v/>
      </c>
      <c r="AI193" s="317">
        <f>SUM(AI112:INDEX(AI:AI, 112+$A181-1))</f>
        <v/>
      </c>
      <c r="AJ193" s="142">
        <f>AI193/AI191-1</f>
        <v/>
      </c>
      <c r="AK193" s="142">
        <f>AI193/AI185-1</f>
        <v/>
      </c>
      <c r="AL193" s="182">
        <f>AVERAGE(AL112:INDEX(AL:AL, 112+$A181-1))</f>
        <v/>
      </c>
      <c r="AM193" s="182">
        <f>AL193-AL191</f>
        <v/>
      </c>
      <c r="AN193" s="182">
        <f>AL193-AL185</f>
        <v/>
      </c>
      <c r="AO193" s="182">
        <f>AVERAGE(AO112:INDEX(AO:AO, 112+$A181-1))</f>
        <v/>
      </c>
      <c r="AP193" s="182">
        <f>AO193-AO191</f>
        <v/>
      </c>
      <c r="AQ193" s="182">
        <f>AO193-AO185</f>
        <v/>
      </c>
      <c r="AR193" s="182">
        <f>AVERAGE(AR112:INDEX(AR:AR, 112+$A181-1))</f>
        <v/>
      </c>
      <c r="AS193" s="182">
        <f>AR193-AR191</f>
        <v/>
      </c>
      <c r="AT193" s="182">
        <f>AR193-AR185</f>
        <v/>
      </c>
      <c r="AU193" s="182">
        <f>AVERAGE(AU112:INDEX(AU:AU, 112+$A181-1))</f>
        <v/>
      </c>
      <c r="AV193" s="182">
        <f>AU193-AU191</f>
        <v/>
      </c>
      <c r="AW193" s="182">
        <f>AU193-AU185</f>
        <v/>
      </c>
      <c r="AX193" s="183" t="n"/>
      <c r="AY193" s="196" t="n"/>
      <c r="AZ193" s="93" t="n"/>
      <c r="BA193" s="340" t="n"/>
      <c r="BB193" s="93" t="n"/>
      <c r="BC193" s="340" t="n"/>
      <c r="BD193" s="93" t="n"/>
      <c r="BE193" s="340" t="n"/>
      <c r="BF193" s="93" t="n"/>
      <c r="BG193" s="340" t="n"/>
      <c r="BH193" s="93" t="n"/>
      <c r="BI193" s="340" t="n"/>
      <c r="BJ193" s="93" t="n"/>
      <c r="BK193" s="340" t="n"/>
      <c r="BL193" s="93" t="n"/>
      <c r="BM193" s="340" t="n"/>
      <c r="BN193" s="340" t="n"/>
      <c r="BO193" s="340" t="n"/>
      <c r="BP193" s="340" t="n"/>
      <c r="BQ193" s="340" t="n"/>
      <c r="BR193" s="340" t="n"/>
      <c r="BS193" s="340" t="n"/>
      <c r="BT193" s="340" t="n"/>
      <c r="BU193" s="340" t="n"/>
      <c r="BV193" s="340" t="n"/>
      <c r="BW193" s="340" t="n"/>
      <c r="BX193" s="340" t="n"/>
      <c r="BY193" s="340" t="n"/>
      <c r="BZ193" s="340" t="n"/>
      <c r="CA193" s="340" t="n"/>
      <c r="CB193" s="340" t="n"/>
      <c r="CC193" s="340" t="n"/>
      <c r="CD193" s="340" t="n"/>
      <c r="CE193" s="340" t="n"/>
      <c r="CF193" s="340" t="n"/>
      <c r="CG193" s="340" t="n"/>
      <c r="CH193" s="340" t="n"/>
      <c r="CI193" s="340" t="n"/>
      <c r="CJ193" s="340" t="n"/>
      <c r="CK193" s="340" t="n"/>
      <c r="CL193" s="340" t="n"/>
      <c r="CM193" s="340" t="n"/>
      <c r="CN193" s="340" t="n"/>
      <c r="CO193" s="340" t="n"/>
      <c r="CP193" s="340" t="n"/>
      <c r="CQ193" s="340" t="n"/>
      <c r="CR193" s="340" t="n"/>
      <c r="CS193" s="340" t="n"/>
      <c r="CT193" s="340" t="n"/>
      <c r="CU193" s="340" t="n"/>
      <c r="CV193" s="340" t="n"/>
      <c r="CW193" s="340" t="n"/>
      <c r="CX193" s="340" t="n"/>
      <c r="CY193" s="340" t="n"/>
      <c r="CZ193" s="340" t="n"/>
      <c r="DA193" s="340" t="n"/>
      <c r="DB193" s="340" t="n"/>
      <c r="DC193" s="340" t="n"/>
      <c r="DD193" s="340" t="n"/>
      <c r="DE193" s="341" t="n"/>
      <c r="DF193" s="341" t="n"/>
    </row>
    <row r="194" ht="13" customFormat="1" customHeight="1" s="119">
      <c r="A194" s="342" t="n"/>
      <c r="B194" s="317" t="n"/>
      <c r="C194" s="142" t="n"/>
      <c r="D194" s="142" t="n"/>
      <c r="E194" s="317" t="n"/>
      <c r="F194" s="142" t="n"/>
      <c r="G194" s="142" t="n"/>
      <c r="H194" s="317" t="n"/>
      <c r="I194" s="142" t="n"/>
      <c r="J194" s="142" t="n"/>
      <c r="K194" s="317" t="n"/>
      <c r="L194" s="142" t="n"/>
      <c r="M194" s="142" t="n"/>
      <c r="N194" s="317" t="n"/>
      <c r="O194" s="142" t="n"/>
      <c r="P194" s="142" t="n"/>
      <c r="Q194" s="317" t="n"/>
      <c r="R194" s="142" t="n"/>
      <c r="S194" s="142" t="n"/>
      <c r="T194" s="317" t="n"/>
      <c r="U194" s="142" t="n"/>
      <c r="V194" s="142" t="n"/>
      <c r="W194" s="317" t="n"/>
      <c r="X194" s="142" t="n"/>
      <c r="Y194" s="142" t="n"/>
      <c r="Z194" s="317" t="n"/>
      <c r="AA194" s="142" t="n"/>
      <c r="AB194" s="142" t="n"/>
      <c r="AC194" s="317" t="n"/>
      <c r="AD194" s="142" t="n"/>
      <c r="AE194" s="142" t="n"/>
      <c r="AF194" s="317" t="n"/>
      <c r="AG194" s="142" t="n"/>
      <c r="AH194" s="142" t="n"/>
      <c r="AI194" s="317" t="n"/>
      <c r="AJ194" s="142" t="n"/>
      <c r="AK194" s="142" t="n"/>
      <c r="AL194" s="317" t="n"/>
      <c r="AM194" s="317" t="n"/>
      <c r="AN194" s="317" t="n"/>
      <c r="AO194" s="317" t="n"/>
      <c r="AP194" s="317" t="n"/>
      <c r="AQ194" s="317" t="n"/>
      <c r="AR194" s="317" t="n"/>
      <c r="AS194" s="317" t="n"/>
      <c r="AT194" s="317" t="n"/>
      <c r="AU194" s="317" t="n"/>
      <c r="AV194" s="317" t="n"/>
      <c r="AW194" s="317" t="n"/>
      <c r="AX194" s="183" t="n"/>
      <c r="AY194" s="340" t="n"/>
      <c r="AZ194" s="93" t="n"/>
      <c r="BA194" s="340" t="n"/>
      <c r="BB194" s="93" t="n"/>
      <c r="BC194" s="340" t="n"/>
      <c r="BD194" s="93" t="n"/>
      <c r="BE194" s="340" t="n"/>
      <c r="BF194" s="93" t="n"/>
      <c r="BG194" s="340" t="n"/>
      <c r="BH194" s="93" t="n"/>
      <c r="BI194" s="340" t="n"/>
      <c r="BJ194" s="93" t="n"/>
      <c r="BK194" s="340" t="n"/>
      <c r="BL194" s="93" t="n"/>
      <c r="BM194" s="340" t="n"/>
      <c r="BN194" s="340" t="n"/>
      <c r="BO194" s="340" t="n"/>
      <c r="BP194" s="340" t="n"/>
      <c r="BQ194" s="340" t="n"/>
      <c r="BR194" s="340" t="n"/>
      <c r="BS194" s="340" t="n"/>
      <c r="BT194" s="340" t="n"/>
      <c r="BU194" s="340" t="n"/>
      <c r="BV194" s="340" t="n"/>
      <c r="BW194" s="340" t="n"/>
      <c r="BX194" s="340" t="n"/>
      <c r="BY194" s="340" t="n"/>
      <c r="BZ194" s="340" t="n"/>
      <c r="CA194" s="340" t="n"/>
      <c r="CB194" s="340" t="n"/>
      <c r="CC194" s="340" t="n"/>
      <c r="CD194" s="340" t="n"/>
      <c r="CE194" s="340" t="n"/>
      <c r="CF194" s="340" t="n"/>
      <c r="CG194" s="340" t="n"/>
      <c r="CH194" s="340" t="n"/>
      <c r="CI194" s="340" t="n"/>
      <c r="CJ194" s="340" t="n"/>
      <c r="CK194" s="340" t="n"/>
      <c r="CL194" s="340" t="n"/>
      <c r="CM194" s="340" t="n"/>
      <c r="CN194" s="340" t="n"/>
      <c r="CO194" s="340" t="n"/>
      <c r="CP194" s="340" t="n"/>
      <c r="CQ194" s="340" t="n"/>
      <c r="CR194" s="340" t="n"/>
      <c r="CS194" s="340" t="n"/>
      <c r="CT194" s="340" t="n"/>
      <c r="CU194" s="340" t="n"/>
      <c r="CV194" s="340" t="n"/>
      <c r="CW194" s="340" t="n"/>
      <c r="CX194" s="340" t="n"/>
      <c r="CY194" s="340" t="n"/>
      <c r="CZ194" s="340" t="n"/>
      <c r="DA194" s="340" t="n"/>
      <c r="DB194" s="340" t="n"/>
      <c r="DC194" s="340" t="n"/>
      <c r="DD194" s="340" t="n"/>
      <c r="DE194" s="341" t="n"/>
      <c r="DF194" s="341" t="n"/>
    </row>
    <row r="195" ht="13" customFormat="1" customHeight="1" s="40">
      <c r="A195" s="335" t="inlineStr">
        <is>
          <t>2024年</t>
        </is>
      </c>
      <c r="B195" s="291">
        <f>SUM(B124:INDEX(B:B, 124+$A181-1))</f>
        <v/>
      </c>
      <c r="C195" s="37">
        <f>B195/B193-1</f>
        <v/>
      </c>
      <c r="D195" s="37">
        <f>B195/B185-1</f>
        <v/>
      </c>
      <c r="E195" s="291">
        <f>SUM(E124:INDEX(E:E, 124+$A181-1))</f>
        <v/>
      </c>
      <c r="F195" s="37">
        <f>E195/E193-1</f>
        <v/>
      </c>
      <c r="G195" s="37">
        <f>E195/E185-1</f>
        <v/>
      </c>
      <c r="H195" s="291">
        <f>SUM(H124:INDEX(H:H, 124+$A181-1))</f>
        <v/>
      </c>
      <c r="I195" s="37">
        <f>H195/H193-1</f>
        <v/>
      </c>
      <c r="J195" s="37">
        <f>H195/H185-1</f>
        <v/>
      </c>
      <c r="K195" s="291">
        <f>SUM(K124:INDEX(K:K, 124+$A181-1))</f>
        <v/>
      </c>
      <c r="L195" s="37">
        <f>K195/K193-1</f>
        <v/>
      </c>
      <c r="M195" s="37">
        <f>K195/K185-1</f>
        <v/>
      </c>
      <c r="N195" s="291">
        <f>SUM(N124:INDEX(N:N, 124+$A181-1))</f>
        <v/>
      </c>
      <c r="O195" s="37">
        <f>N195/N193-1</f>
        <v/>
      </c>
      <c r="P195" s="37">
        <f>N195/N185-1</f>
        <v/>
      </c>
      <c r="Q195" s="291">
        <f>SUM(Q124:INDEX(Q:Q, 124+$A181-1))</f>
        <v/>
      </c>
      <c r="R195" s="37">
        <f>Q195/Q193-1</f>
        <v/>
      </c>
      <c r="S195" s="37">
        <f>Q195/Q185-1</f>
        <v/>
      </c>
      <c r="T195" s="291">
        <f>SUM(T124:INDEX(T:T, 124+$A181-1))</f>
        <v/>
      </c>
      <c r="U195" s="37">
        <f>T195/T193-1</f>
        <v/>
      </c>
      <c r="V195" s="37">
        <f>T195/T185-1</f>
        <v/>
      </c>
      <c r="W195" s="291">
        <f>SUM(W124:INDEX(W:W, 124+$A181-1))</f>
        <v/>
      </c>
      <c r="X195" s="37">
        <f>W195/W193-1</f>
        <v/>
      </c>
      <c r="Y195" s="37">
        <f>W195/W185-1</f>
        <v/>
      </c>
      <c r="Z195" s="291">
        <f>SUM(Z124:INDEX(Z:Z, 124+$A181-1))</f>
        <v/>
      </c>
      <c r="AA195" s="37">
        <f>Z195/Z193-1</f>
        <v/>
      </c>
      <c r="AB195" s="37">
        <f>Z195/Z185-1</f>
        <v/>
      </c>
      <c r="AC195" s="291">
        <f>SUM(AC124:INDEX(AC:AC, 124+$A181-1))</f>
        <v/>
      </c>
      <c r="AD195" s="37">
        <f>AC195/AC193-1</f>
        <v/>
      </c>
      <c r="AE195" s="37">
        <f>AC195/AC185-1</f>
        <v/>
      </c>
      <c r="AF195" s="291">
        <f>SUM(AF124:INDEX(AF:AF, 124+$A181-1))</f>
        <v/>
      </c>
      <c r="AG195" s="37">
        <f>AF195/AF193-1</f>
        <v/>
      </c>
      <c r="AH195" s="37">
        <f>AF195/AF185-1</f>
        <v/>
      </c>
      <c r="AI195" s="291">
        <f>SUM(AI124:INDEX(AI:AI, 124+$A181-1))</f>
        <v/>
      </c>
      <c r="AJ195" s="37">
        <f>AI195/AI193-1</f>
        <v/>
      </c>
      <c r="AK195" s="37">
        <f>AI195/AI185-1</f>
        <v/>
      </c>
      <c r="AL195" s="336">
        <f>AVERAGE(AL124:INDEX(AL:AL, 124+$A181-1))</f>
        <v/>
      </c>
      <c r="AM195" s="336">
        <f>AL195-AL193</f>
        <v/>
      </c>
      <c r="AN195" s="336">
        <f>AL195-AL185</f>
        <v/>
      </c>
      <c r="AO195" s="336">
        <f>AVERAGE(AO124:INDEX(AO:AO, 124+$A181-1))</f>
        <v/>
      </c>
      <c r="AP195" s="336">
        <f>AO195-AO193</f>
        <v/>
      </c>
      <c r="AQ195" s="336">
        <f>AO195-AO185</f>
        <v/>
      </c>
      <c r="AR195" s="336">
        <f>AVERAGE(AR124:INDEX(AR:AR, 124+$A181-1))</f>
        <v/>
      </c>
      <c r="AS195" s="336">
        <f>AR195-AR193</f>
        <v/>
      </c>
      <c r="AT195" s="336">
        <f>AR195-AR185</f>
        <v/>
      </c>
      <c r="AU195" s="336">
        <f>AVERAGE(AU124:INDEX(AU:AU, 124+$A181-1))</f>
        <v/>
      </c>
      <c r="AV195" s="336">
        <f>AU195-AU193</f>
        <v/>
      </c>
      <c r="AW195" s="336">
        <f>AU195-AU185</f>
        <v/>
      </c>
      <c r="AX195" s="53" t="n"/>
      <c r="AY195" s="37" t="n"/>
      <c r="AZ195" s="37" t="n"/>
      <c r="BA195" s="291" t="n"/>
      <c r="BB195" s="291" t="n"/>
      <c r="BC195" s="291" t="n"/>
      <c r="BD195" s="291" t="n"/>
      <c r="BE195" s="291" t="n"/>
      <c r="BF195" s="291" t="n"/>
      <c r="BG195" s="291" t="n"/>
      <c r="BH195" s="291" t="n"/>
      <c r="BI195" s="291" t="n"/>
      <c r="BJ195" s="291" t="n"/>
      <c r="BK195" s="291" t="n"/>
      <c r="BL195" s="291" t="n"/>
      <c r="BM195" s="291" t="n"/>
      <c r="BN195" s="291" t="n"/>
      <c r="BO195" s="291" t="n"/>
      <c r="BP195" s="291" t="n"/>
      <c r="BQ195" s="291" t="n"/>
      <c r="BR195" s="291" t="n"/>
      <c r="BS195" s="291" t="n"/>
      <c r="BT195" s="291" t="n"/>
      <c r="BU195" s="291" t="n"/>
      <c r="BV195" s="291" t="n"/>
      <c r="BW195" s="291" t="n"/>
      <c r="BX195" s="291" t="n"/>
      <c r="BY195" s="291" t="n"/>
      <c r="BZ195" s="291" t="n"/>
      <c r="CA195" s="291" t="n"/>
      <c r="CB195" s="291" t="n"/>
      <c r="CC195" s="291" t="n"/>
      <c r="CD195" s="291" t="n"/>
      <c r="CE195" s="291" t="n"/>
      <c r="CF195" s="291" t="n"/>
      <c r="CG195" s="291" t="n"/>
      <c r="CH195" s="291" t="n"/>
      <c r="CI195" s="291" t="n"/>
      <c r="CJ195" s="291" t="n"/>
      <c r="CK195" s="291" t="n"/>
      <c r="CL195" s="291" t="n"/>
      <c r="CM195" s="291" t="n"/>
      <c r="CN195" s="291" t="n"/>
      <c r="CO195" s="291" t="n"/>
      <c r="CP195" s="343" t="n"/>
      <c r="CQ195" s="291" t="n"/>
      <c r="CR195" s="343" t="n"/>
      <c r="CS195" s="291" t="n"/>
      <c r="CT195" s="343" t="n"/>
      <c r="CU195" s="291" t="n"/>
      <c r="CV195" s="343" t="n"/>
      <c r="CW195" s="291" t="n"/>
      <c r="CX195" s="291" t="n"/>
      <c r="CY195" s="291" t="n"/>
      <c r="CZ195" s="291" t="n"/>
      <c r="DA195" s="291" t="n"/>
      <c r="DB195" s="291" t="n"/>
      <c r="DC195" s="291" t="n"/>
      <c r="DD195" s="291" t="n"/>
      <c r="DE195" s="311" t="n"/>
      <c r="DF195" s="311" t="n"/>
    </row>
    <row r="196" ht="13" customFormat="1" customHeight="1" s="40">
      <c r="B196" s="291" t="n"/>
      <c r="C196" s="37" t="n"/>
      <c r="D196" s="37" t="n"/>
      <c r="E196" s="291" t="n"/>
      <c r="F196" s="37" t="n"/>
      <c r="G196" s="37" t="n"/>
      <c r="H196" s="291" t="n"/>
      <c r="I196" s="37" t="n"/>
      <c r="J196" s="37" t="n"/>
      <c r="K196" s="291" t="n"/>
      <c r="L196" s="37" t="n"/>
      <c r="M196" s="37" t="n"/>
      <c r="N196" s="291" t="n"/>
      <c r="O196" s="37" t="n"/>
      <c r="P196" s="37" t="n"/>
      <c r="Q196" s="291" t="n"/>
      <c r="R196" s="37" t="n"/>
      <c r="S196" s="37" t="n"/>
      <c r="T196" s="291" t="n"/>
      <c r="U196" s="37" t="n"/>
      <c r="V196" s="37" t="n"/>
      <c r="W196" s="291" t="n"/>
      <c r="X196" s="37" t="n"/>
      <c r="Y196" s="37" t="n"/>
      <c r="Z196" s="291" t="n"/>
      <c r="AA196" s="37" t="n"/>
      <c r="AB196" s="37" t="n"/>
      <c r="AC196" s="291" t="n"/>
      <c r="AD196" s="37" t="n"/>
      <c r="AE196" s="37" t="n"/>
      <c r="AF196" s="291" t="n"/>
      <c r="AG196" s="37" t="n"/>
      <c r="AH196" s="37" t="n"/>
      <c r="AI196" s="291" t="n"/>
      <c r="AJ196" s="37" t="n"/>
      <c r="AK196" s="37" t="n"/>
      <c r="AL196" s="291" t="n"/>
      <c r="AM196" s="291" t="n"/>
      <c r="AN196" s="291" t="n"/>
      <c r="AO196" s="291" t="n"/>
      <c r="AP196" s="291" t="n"/>
      <c r="AQ196" s="291" t="n"/>
      <c r="AR196" s="291" t="n"/>
      <c r="AS196" s="291" t="n"/>
      <c r="AT196" s="291" t="n"/>
      <c r="AU196" s="291" t="n"/>
      <c r="AV196" s="291" t="n"/>
      <c r="AW196" s="291" t="n"/>
      <c r="AX196" s="53" t="n"/>
      <c r="AY196" s="291" t="n"/>
      <c r="AZ196" s="291" t="n"/>
      <c r="BA196" s="291" t="n"/>
      <c r="BB196" s="291" t="n"/>
      <c r="BC196" s="291" t="n"/>
      <c r="BD196" s="291" t="n"/>
      <c r="BE196" s="291" t="n"/>
      <c r="BF196" s="291" t="n"/>
      <c r="BG196" s="291" t="n"/>
      <c r="BH196" s="291" t="n"/>
      <c r="BI196" s="291" t="n"/>
      <c r="BJ196" s="291" t="n"/>
      <c r="BK196" s="291" t="n"/>
      <c r="BL196" s="291" t="n"/>
      <c r="BM196" s="291" t="n"/>
      <c r="BN196" s="291" t="n"/>
      <c r="BO196" s="291" t="n"/>
      <c r="BP196" s="291" t="n"/>
      <c r="BQ196" s="291" t="n"/>
      <c r="BR196" s="291" t="n"/>
      <c r="BS196" s="291" t="n"/>
      <c r="BT196" s="291" t="n"/>
      <c r="BU196" s="291" t="n"/>
      <c r="BV196" s="291" t="n"/>
      <c r="BW196" s="291" t="n"/>
      <c r="BX196" s="291" t="n"/>
      <c r="BY196" s="291" t="n"/>
      <c r="BZ196" s="291" t="n"/>
      <c r="CA196" s="291" t="n"/>
      <c r="CB196" s="291" t="n"/>
      <c r="CC196" s="291" t="n"/>
      <c r="CD196" s="291" t="n"/>
      <c r="CE196" s="291" t="n"/>
      <c r="CF196" s="291" t="n"/>
      <c r="CG196" s="291" t="n"/>
      <c r="CH196" s="291" t="n"/>
      <c r="CI196" s="291" t="n"/>
      <c r="CJ196" s="291" t="n"/>
      <c r="CK196" s="291" t="n"/>
      <c r="CL196" s="291" t="n"/>
      <c r="CM196" s="291" t="n"/>
      <c r="CN196" s="291" t="n"/>
      <c r="CO196" s="291" t="n"/>
      <c r="CP196" s="343" t="n"/>
      <c r="CQ196" s="291" t="n"/>
      <c r="CR196" s="343" t="n"/>
      <c r="CS196" s="291" t="n"/>
      <c r="CT196" s="343" t="n"/>
      <c r="CU196" s="291" t="n"/>
      <c r="CV196" s="343" t="n"/>
      <c r="CW196" s="291" t="n"/>
      <c r="CX196" s="291" t="n"/>
      <c r="CY196" s="291" t="n"/>
      <c r="CZ196" s="291" t="n"/>
      <c r="DA196" s="291" t="n"/>
      <c r="DB196" s="291" t="n"/>
      <c r="DC196" s="291" t="n"/>
      <c r="DD196" s="291" t="n"/>
      <c r="DE196" s="311" t="n"/>
      <c r="DF196" s="311" t="n"/>
    </row>
    <row r="197" ht="13" customFormat="1" customHeight="1" s="40">
      <c r="A197" s="344" t="inlineStr">
        <is>
          <t>2025年</t>
        </is>
      </c>
      <c r="B197" s="291">
        <f>SUM(B136:INDEX(B:B, 136+$A181-1))</f>
        <v/>
      </c>
      <c r="C197" s="37">
        <f>B197/B195-1</f>
        <v/>
      </c>
      <c r="D197" s="37">
        <f>B197/B185-1</f>
        <v/>
      </c>
      <c r="E197" s="291">
        <f>SUM(E136:INDEX(E:E, 136+$A181-1))</f>
        <v/>
      </c>
      <c r="F197" s="37">
        <f>E197/E195-1</f>
        <v/>
      </c>
      <c r="G197" s="37">
        <f>E197/E185-1</f>
        <v/>
      </c>
      <c r="H197" s="291">
        <f>SUM(H136:INDEX(H:H, 136+$A181-1))</f>
        <v/>
      </c>
      <c r="I197" s="37">
        <f>H197/H195-1</f>
        <v/>
      </c>
      <c r="J197" s="37">
        <f>H197/H185-1</f>
        <v/>
      </c>
      <c r="K197" s="291">
        <f>SUM(K136:INDEX(K:K, 136+$A181-1))</f>
        <v/>
      </c>
      <c r="L197" s="37">
        <f>K197/K195-1</f>
        <v/>
      </c>
      <c r="M197" s="37">
        <f>K197/K185-1</f>
        <v/>
      </c>
      <c r="N197" s="291">
        <f>SUM(N136:INDEX(N:N, 136+$A181-1))</f>
        <v/>
      </c>
      <c r="O197" s="37">
        <f>N197/N195-1</f>
        <v/>
      </c>
      <c r="P197" s="37">
        <f>N197/N185-1</f>
        <v/>
      </c>
      <c r="Q197" s="291">
        <f>SUM(Q136:INDEX(Q:Q, 136+$A181-1))</f>
        <v/>
      </c>
      <c r="R197" s="37">
        <f>Q197/Q195-1</f>
        <v/>
      </c>
      <c r="S197" s="37">
        <f>Q197/Q185-1</f>
        <v/>
      </c>
      <c r="T197" s="291">
        <f>SUM(T136:INDEX(T:T, 136+$A181-1))</f>
        <v/>
      </c>
      <c r="U197" s="37">
        <f>T197/T195-1</f>
        <v/>
      </c>
      <c r="V197" s="37">
        <f>T197/T185-1</f>
        <v/>
      </c>
      <c r="W197" s="291">
        <f>SUM(W136:INDEX(W:W, 136+$A181-1))</f>
        <v/>
      </c>
      <c r="X197" s="37">
        <f>W197/W195-1</f>
        <v/>
      </c>
      <c r="Y197" s="37">
        <f>W197/W185-1</f>
        <v/>
      </c>
      <c r="Z197" s="291">
        <f>SUM(Z136:INDEX(Z:Z, 136+$A181-1))</f>
        <v/>
      </c>
      <c r="AA197" s="37">
        <f>Z197/Z195-1</f>
        <v/>
      </c>
      <c r="AB197" s="37">
        <f>Z197/Z185-1</f>
        <v/>
      </c>
      <c r="AC197" s="291">
        <f>SUM(AC136:INDEX(AC:AC, 136+$A181-1))</f>
        <v/>
      </c>
      <c r="AD197" s="37">
        <f>AC197/AC195-1</f>
        <v/>
      </c>
      <c r="AE197" s="37">
        <f>AC197/AC185-1</f>
        <v/>
      </c>
      <c r="AF197" s="291">
        <f>SUM(AF136:INDEX(AF:AF, 136+$A181-1))</f>
        <v/>
      </c>
      <c r="AG197" s="37">
        <f>AF197/AF195-1</f>
        <v/>
      </c>
      <c r="AH197" s="37">
        <f>AF197/AF185-1</f>
        <v/>
      </c>
      <c r="AI197" s="291">
        <f>SUM(AI136:INDEX(AI:AI, 136+$A181-1))</f>
        <v/>
      </c>
      <c r="AJ197" s="37">
        <f>AI197/AI195-1</f>
        <v/>
      </c>
      <c r="AK197" s="37">
        <f>AI197/AI185-1</f>
        <v/>
      </c>
      <c r="AL197" s="336">
        <f>AVERAGE(AL136:INDEX(AL:AL, 136+$A181-1))</f>
        <v/>
      </c>
      <c r="AM197" s="336">
        <f>AL197-AL195</f>
        <v/>
      </c>
      <c r="AN197" s="336">
        <f>AL197-AL185</f>
        <v/>
      </c>
      <c r="AO197" s="336">
        <f>AVERAGE(AO136:INDEX(AO:AO, 136+$A181-1))</f>
        <v/>
      </c>
      <c r="AP197" s="336">
        <f>AO197-AO195</f>
        <v/>
      </c>
      <c r="AQ197" s="336">
        <f>AO197-AO185</f>
        <v/>
      </c>
      <c r="AR197" s="336">
        <f>AVERAGE(AR136:INDEX(AR:AR, 136+$A181-1))</f>
        <v/>
      </c>
      <c r="AS197" s="336">
        <f>AR197-AR195</f>
        <v/>
      </c>
      <c r="AT197" s="336">
        <f>AR197-AR185</f>
        <v/>
      </c>
      <c r="AU197" s="336">
        <f>AVERAGE(AU136:INDEX(AU:AU, 136+$A181-1))</f>
        <v/>
      </c>
      <c r="AV197" s="336">
        <f>AU197-AU195</f>
        <v/>
      </c>
      <c r="AW197" s="336">
        <f>AU197-AU185</f>
        <v/>
      </c>
      <c r="AX197" s="53" t="n"/>
      <c r="AY197" s="37" t="n"/>
      <c r="AZ197" s="37" t="n"/>
      <c r="BA197" s="291" t="n"/>
      <c r="BB197" s="291" t="n"/>
      <c r="BC197" s="291" t="n"/>
      <c r="BD197" s="291" t="n"/>
      <c r="BE197" s="291" t="n"/>
      <c r="BF197" s="291" t="n"/>
      <c r="BG197" s="291" t="n"/>
      <c r="BH197" s="291" t="n"/>
      <c r="BI197" s="291" t="n"/>
      <c r="BJ197" s="291" t="n"/>
      <c r="BK197" s="291" t="n"/>
      <c r="BL197" s="291" t="n"/>
      <c r="BM197" s="291" t="n"/>
      <c r="BN197" s="291" t="n"/>
      <c r="BO197" s="291" t="n"/>
      <c r="BP197" s="291" t="n"/>
      <c r="BQ197" s="291" t="n"/>
      <c r="BR197" s="291" t="n"/>
      <c r="BS197" s="291" t="n"/>
      <c r="BT197" s="291" t="n"/>
      <c r="BU197" s="291" t="n"/>
      <c r="BV197" s="291" t="n"/>
      <c r="BW197" s="291" t="n"/>
      <c r="BX197" s="291" t="n"/>
      <c r="BY197" s="291" t="n"/>
      <c r="BZ197" s="291" t="n"/>
      <c r="CA197" s="291" t="n"/>
      <c r="CB197" s="291" t="n"/>
      <c r="CC197" s="291" t="n"/>
      <c r="CD197" s="291" t="n"/>
      <c r="CE197" s="291" t="n"/>
      <c r="CF197" s="291" t="n"/>
      <c r="CG197" s="291" t="n"/>
      <c r="CH197" s="291" t="n"/>
      <c r="CI197" s="291" t="n"/>
      <c r="CJ197" s="291" t="n"/>
      <c r="CK197" s="291" t="n"/>
      <c r="CL197" s="291" t="n"/>
      <c r="CM197" s="291" t="n"/>
      <c r="CN197" s="291" t="n"/>
      <c r="CO197" s="291" t="n"/>
      <c r="CP197" s="343" t="n"/>
      <c r="CQ197" s="291" t="n"/>
      <c r="CR197" s="343" t="n"/>
      <c r="CS197" s="291" t="n"/>
      <c r="CT197" s="343" t="n"/>
      <c r="CU197" s="291" t="n"/>
      <c r="CV197" s="343" t="n"/>
      <c r="CW197" s="291" t="n"/>
      <c r="CX197" s="291" t="n"/>
      <c r="CY197" s="291" t="n"/>
      <c r="CZ197" s="291" t="n"/>
      <c r="DA197" s="291" t="n"/>
      <c r="DB197" s="291" t="n"/>
      <c r="DC197" s="291" t="n"/>
      <c r="DD197" s="291" t="n"/>
      <c r="DE197" s="311" t="n"/>
      <c r="DF197" s="311" t="n"/>
    </row>
    <row r="198" ht="13" customFormat="1" customHeight="1" s="40">
      <c r="A198" s="345" t="n"/>
      <c r="B198" s="291" t="n"/>
      <c r="C198" s="97" t="n"/>
      <c r="D198" s="97" t="n"/>
      <c r="E198" s="291" t="n"/>
      <c r="F198" s="97" t="n"/>
      <c r="G198" s="97" t="n"/>
      <c r="H198" s="291" t="n"/>
      <c r="I198" s="97" t="n"/>
      <c r="J198" s="97" t="n"/>
      <c r="K198" s="291" t="n"/>
      <c r="L198" s="97" t="n"/>
      <c r="M198" s="97" t="n"/>
      <c r="N198" s="291" t="n"/>
      <c r="O198" s="97" t="n"/>
      <c r="P198" s="97" t="n"/>
      <c r="Q198" s="291" t="n"/>
      <c r="R198" s="97" t="n"/>
      <c r="S198" s="97" t="n"/>
      <c r="T198" s="291" t="n"/>
      <c r="U198" s="97" t="n"/>
      <c r="V198" s="97" t="n"/>
      <c r="W198" s="291" t="n"/>
      <c r="X198" s="97" t="n"/>
      <c r="Y198" s="97" t="n"/>
      <c r="Z198" s="291" t="n"/>
      <c r="AA198" s="97" t="n"/>
      <c r="AB198" s="97" t="n"/>
      <c r="AC198" s="291" t="n"/>
      <c r="AD198" s="97" t="n"/>
      <c r="AE198" s="97" t="n"/>
      <c r="AF198" s="291" t="n"/>
      <c r="AG198" s="97" t="n"/>
      <c r="AH198" s="97" t="n"/>
      <c r="AI198" s="291" t="n"/>
      <c r="AJ198" s="97" t="n"/>
      <c r="AK198" s="97" t="n"/>
      <c r="AL198" s="291" t="n"/>
      <c r="AM198" s="186" t="n"/>
      <c r="AN198" s="97" t="n"/>
      <c r="AO198" s="291" t="n"/>
      <c r="AP198" s="186" t="n"/>
      <c r="AQ198" s="97" t="n"/>
      <c r="AR198" s="291" t="n"/>
      <c r="AS198" s="186" t="n"/>
      <c r="AT198" s="97" t="n"/>
      <c r="AU198" s="291" t="n"/>
      <c r="AV198" s="186" t="n"/>
      <c r="AW198" s="97" t="n"/>
      <c r="AX198" s="53" t="n"/>
      <c r="AY198" s="291" t="n"/>
      <c r="AZ198" s="97" t="n"/>
      <c r="BA198" s="291" t="n"/>
      <c r="BB198" s="97" t="n"/>
      <c r="BC198" s="291" t="n"/>
      <c r="BD198" s="97" t="n"/>
      <c r="BE198" s="291" t="n"/>
      <c r="BF198" s="97" t="n"/>
      <c r="BG198" s="291" t="n"/>
      <c r="BH198" s="97" t="n"/>
      <c r="BI198" s="291" t="n"/>
      <c r="BJ198" s="97" t="n"/>
      <c r="BK198" s="291" t="n"/>
      <c r="BL198" s="97" t="n"/>
      <c r="BM198" s="291" t="n"/>
      <c r="BN198" s="97" t="n"/>
      <c r="BO198" s="291" t="n"/>
      <c r="BP198" s="291" t="n"/>
      <c r="BQ198" s="97" t="n"/>
      <c r="BR198" s="291" t="n"/>
      <c r="BS198" s="97" t="n"/>
      <c r="BT198" s="291" t="n"/>
      <c r="BU198" s="97" t="n"/>
      <c r="BV198" s="291" t="n"/>
      <c r="BW198" s="97" t="n"/>
      <c r="BX198" s="291" t="n"/>
      <c r="BY198" s="97" t="n"/>
      <c r="BZ198" s="291" t="n"/>
      <c r="CA198" s="97" t="n"/>
      <c r="CB198" s="291" t="n"/>
      <c r="CC198" s="97" t="n"/>
      <c r="CD198" s="291" t="n"/>
      <c r="CE198" s="97" t="n"/>
      <c r="CF198" s="291" t="n"/>
      <c r="CG198" s="97" t="n"/>
      <c r="CH198" s="291" t="n"/>
      <c r="CI198" s="97" t="n"/>
      <c r="CJ198" s="291" t="n"/>
      <c r="CK198" s="97" t="n"/>
      <c r="CL198" s="291" t="n"/>
      <c r="CM198" s="97" t="n"/>
      <c r="CN198" s="291" t="n"/>
      <c r="CO198" s="97" t="n"/>
      <c r="CP198" s="291" t="n"/>
      <c r="CQ198" s="97" t="n"/>
      <c r="CR198" s="291" t="n"/>
      <c r="CS198" s="97" t="n"/>
      <c r="CT198" s="291" t="n"/>
      <c r="CU198" s="97" t="n"/>
      <c r="CV198" s="346" t="n"/>
      <c r="CW198" s="291" t="n"/>
      <c r="CX198" s="97" t="n"/>
      <c r="CY198" s="291" t="n"/>
      <c r="CZ198" s="97" t="n"/>
      <c r="DA198" s="291" t="n"/>
      <c r="DB198" s="97" t="n"/>
      <c r="DC198" s="291" t="n"/>
      <c r="DD198" s="97" t="n"/>
      <c r="DE198" s="311" t="n"/>
      <c r="DF198" s="311" t="n"/>
    </row>
    <row r="199" ht="13" customFormat="1" customHeight="1" s="40">
      <c r="A199" s="52" t="n"/>
      <c r="B199" s="291" t="n"/>
      <c r="C199" s="39" t="n"/>
      <c r="D199" s="39" t="n"/>
      <c r="E199" s="291" t="n"/>
      <c r="F199" s="39" t="n"/>
      <c r="G199" s="39" t="n"/>
      <c r="H199" s="291" t="n"/>
      <c r="I199" s="39" t="n"/>
      <c r="J199" s="39" t="n"/>
      <c r="K199" s="291" t="n"/>
      <c r="L199" s="39" t="n"/>
      <c r="M199" s="39" t="n"/>
      <c r="N199" s="291" t="n"/>
      <c r="O199" s="39" t="n"/>
      <c r="P199" s="39" t="n"/>
      <c r="Q199" s="291" t="n"/>
      <c r="R199" s="39" t="n"/>
      <c r="S199" s="39" t="n"/>
      <c r="T199" s="291" t="n"/>
      <c r="U199" s="39" t="n"/>
      <c r="V199" s="39" t="n"/>
      <c r="W199" s="291" t="n"/>
      <c r="X199" s="39" t="n"/>
      <c r="Y199" s="39" t="n"/>
      <c r="Z199" s="291" t="n"/>
      <c r="AA199" s="39" t="n"/>
      <c r="AB199" s="39" t="n"/>
      <c r="AC199" s="291" t="n"/>
      <c r="AD199" s="39" t="n"/>
      <c r="AE199" s="39" t="n"/>
      <c r="AF199" s="291" t="n"/>
      <c r="AG199" s="39" t="n"/>
      <c r="AH199" s="39" t="n"/>
      <c r="AI199" s="291" t="n"/>
      <c r="AJ199" s="39" t="n"/>
      <c r="AK199" s="39" t="n"/>
      <c r="AL199" s="291" t="n"/>
      <c r="AM199" s="53" t="n"/>
      <c r="AN199" s="291" t="n"/>
      <c r="AO199" s="291" t="n"/>
      <c r="AP199" s="53" t="n"/>
      <c r="AQ199" s="291" t="n"/>
      <c r="AR199" s="291" t="n"/>
      <c r="AS199" s="53" t="n"/>
      <c r="AT199" s="291" t="n"/>
      <c r="AU199" s="291" t="n"/>
      <c r="AV199" s="53" t="n"/>
      <c r="AW199" s="291" t="n"/>
      <c r="AX199" s="53" t="n"/>
      <c r="AY199" s="291" t="n"/>
      <c r="AZ199" s="39" t="n"/>
      <c r="BA199" s="291" t="n"/>
      <c r="BB199" s="39" t="n"/>
      <c r="BC199" s="291" t="n"/>
      <c r="BD199" s="39" t="n"/>
      <c r="BE199" s="291" t="n"/>
      <c r="BF199" s="39" t="n"/>
      <c r="BG199" s="291" t="n"/>
      <c r="BH199" s="39" t="n"/>
      <c r="BI199" s="291" t="n"/>
      <c r="BJ199" s="39" t="n"/>
      <c r="BK199" s="291" t="n"/>
      <c r="BL199" s="39" t="n"/>
      <c r="BM199" s="291" t="n"/>
      <c r="BN199" s="39" t="n"/>
      <c r="BO199" s="291" t="n"/>
      <c r="BP199" s="291" t="n"/>
      <c r="BQ199" s="39" t="n"/>
      <c r="BR199" s="291" t="n"/>
      <c r="BS199" s="39" t="n"/>
      <c r="BT199" s="291" t="n"/>
      <c r="BU199" s="39" t="n"/>
      <c r="BV199" s="291" t="n"/>
      <c r="BW199" s="39" t="n"/>
      <c r="BX199" s="291" t="n"/>
      <c r="BY199" s="39" t="n"/>
      <c r="BZ199" s="291" t="n"/>
      <c r="CA199" s="39" t="n"/>
      <c r="CB199" s="291" t="n"/>
      <c r="CC199" s="39" t="n"/>
      <c r="CD199" s="291" t="n"/>
      <c r="CE199" s="39" t="n"/>
      <c r="CF199" s="291" t="n"/>
      <c r="CG199" s="291" t="n"/>
      <c r="CH199" s="291" t="n"/>
      <c r="CI199" s="291" t="n"/>
      <c r="CJ199" s="291" t="n"/>
      <c r="CK199" s="291" t="n"/>
      <c r="CL199" s="291" t="n"/>
      <c r="CM199" s="291" t="n"/>
      <c r="CN199" s="291" t="n"/>
      <c r="CO199" s="291" t="n"/>
      <c r="CP199" s="291" t="n"/>
      <c r="CQ199" s="291" t="n"/>
      <c r="CR199" s="291" t="n"/>
      <c r="CS199" s="291" t="n"/>
      <c r="CT199" s="291" t="n"/>
      <c r="CU199" s="291" t="n"/>
      <c r="CV199" s="343" t="n"/>
      <c r="CW199" s="291" t="n"/>
      <c r="CX199" s="39" t="n"/>
      <c r="CY199" s="291" t="n"/>
      <c r="CZ199" s="39" t="n"/>
      <c r="DA199" s="291" t="n"/>
      <c r="DB199" s="39" t="n"/>
      <c r="DC199" s="291" t="n"/>
      <c r="DD199" s="39" t="n"/>
      <c r="DE199" s="311" t="n"/>
      <c r="DF199" s="311" t="n"/>
    </row>
    <row r="200" ht="13" customFormat="1" customHeight="1" s="40">
      <c r="A200" s="347" t="inlineStr">
        <is>
          <t>全年</t>
        </is>
      </c>
      <c r="B200" s="291" t="n"/>
      <c r="C200" s="39" t="n"/>
      <c r="D200" s="39" t="n"/>
      <c r="E200" s="291" t="n"/>
      <c r="F200" s="39" t="n"/>
      <c r="G200" s="39" t="n"/>
      <c r="H200" s="291" t="n"/>
      <c r="I200" s="39" t="n"/>
      <c r="J200" s="39" t="n"/>
      <c r="K200" s="291" t="n"/>
      <c r="L200" s="39" t="n"/>
      <c r="M200" s="39" t="n"/>
      <c r="N200" s="291" t="n"/>
      <c r="O200" s="39" t="n"/>
      <c r="P200" s="39" t="n"/>
      <c r="Q200" s="291" t="n"/>
      <c r="R200" s="39" t="n"/>
      <c r="S200" s="39" t="n"/>
      <c r="T200" s="291" t="n"/>
      <c r="U200" s="39" t="n"/>
      <c r="V200" s="39" t="n"/>
      <c r="W200" s="291" t="n"/>
      <c r="X200" s="39" t="n"/>
      <c r="Y200" s="39" t="n"/>
      <c r="Z200" s="291" t="n"/>
      <c r="AA200" s="39" t="n"/>
      <c r="AB200" s="39" t="n"/>
      <c r="AC200" s="291" t="n"/>
      <c r="AD200" s="39" t="n"/>
      <c r="AE200" s="39" t="n"/>
      <c r="AF200" s="291" t="n"/>
      <c r="AG200" s="39" t="n"/>
      <c r="AH200" s="39" t="n"/>
      <c r="AI200" s="291" t="n"/>
      <c r="AJ200" s="39" t="n"/>
      <c r="AK200" s="39" t="n"/>
      <c r="AL200" s="291" t="n"/>
      <c r="AM200" s="179">
        <f>AL200-AL198</f>
        <v/>
      </c>
      <c r="AN200" s="39" t="n"/>
      <c r="AO200" s="291" t="n"/>
      <c r="AP200" s="179">
        <f>AO200-AO198</f>
        <v/>
      </c>
      <c r="AQ200" s="39" t="n"/>
      <c r="AR200" s="291" t="n"/>
      <c r="AS200" s="179">
        <f>AR200-AR198</f>
        <v/>
      </c>
      <c r="AT200" s="39" t="n"/>
      <c r="AU200" s="291" t="n"/>
      <c r="AV200" s="179">
        <f>AU200-AU198</f>
        <v/>
      </c>
      <c r="AW200" s="39" t="n"/>
      <c r="AX200" s="53" t="n"/>
      <c r="AY200" s="291" t="n"/>
      <c r="AZ200" s="39" t="n"/>
      <c r="BA200" s="291" t="n"/>
      <c r="BB200" s="39" t="n"/>
      <c r="BC200" s="291" t="n"/>
      <c r="BD200" s="39" t="n"/>
      <c r="BE200" s="291" t="n"/>
      <c r="BF200" s="39" t="n"/>
      <c r="BG200" s="291" t="n"/>
      <c r="BH200" s="39" t="n"/>
      <c r="BI200" s="291" t="n"/>
      <c r="BJ200" s="39" t="n"/>
      <c r="BK200" s="291" t="n"/>
      <c r="BL200" s="39" t="n"/>
      <c r="BM200" s="291" t="n"/>
      <c r="BN200" s="39" t="n"/>
      <c r="BO200" s="291" t="n"/>
      <c r="BP200" s="291" t="n"/>
      <c r="BQ200" s="39" t="n"/>
      <c r="BR200" s="291" t="n"/>
      <c r="BS200" s="39" t="n"/>
      <c r="BT200" s="291" t="n"/>
      <c r="BU200" s="39" t="n"/>
      <c r="BV200" s="291" t="n"/>
      <c r="BW200" s="39" t="n"/>
      <c r="BX200" s="291" t="n"/>
      <c r="BY200" s="39" t="n"/>
      <c r="BZ200" s="291" t="n"/>
      <c r="CA200" s="39" t="n"/>
      <c r="CB200" s="291" t="n"/>
      <c r="CC200" s="39" t="n"/>
      <c r="CD200" s="291" t="n"/>
      <c r="CE200" s="39" t="n"/>
      <c r="CF200" s="291" t="n"/>
      <c r="CG200" s="39" t="n"/>
      <c r="CH200" s="291" t="n"/>
      <c r="CI200" s="39" t="n"/>
      <c r="CJ200" s="291" t="n"/>
      <c r="CK200" s="39" t="n"/>
      <c r="CL200" s="291" t="n"/>
      <c r="CM200" s="39" t="n"/>
      <c r="CN200" s="291" t="n"/>
      <c r="CO200" s="39" t="n"/>
      <c r="CP200" s="291" t="n"/>
      <c r="CQ200" s="39" t="n"/>
      <c r="CR200" s="291" t="n"/>
      <c r="CS200" s="39" t="n"/>
      <c r="CT200" s="291" t="n"/>
      <c r="CU200" s="39" t="n"/>
      <c r="CV200" s="343" t="n"/>
      <c r="CW200" s="291" t="n"/>
      <c r="CX200" s="39" t="n"/>
      <c r="CY200" s="291" t="n"/>
      <c r="CZ200" s="39" t="n"/>
      <c r="DA200" s="291" t="n"/>
      <c r="DB200" s="39" t="n"/>
      <c r="DC200" s="291" t="n"/>
      <c r="DD200" s="39" t="n"/>
      <c r="DE200" s="311" t="n"/>
      <c r="DF200" s="311" t="n"/>
    </row>
    <row r="201" ht="13" customFormat="1" customHeight="1" s="40">
      <c r="A201" s="52" t="inlineStr">
        <is>
          <t>2014年</t>
        </is>
      </c>
      <c r="B201" s="291" t="n">
        <v>209883.61</v>
      </c>
      <c r="C201" s="39" t="n"/>
      <c r="D201" s="39" t="n"/>
      <c r="E201" s="291" t="n">
        <v>160499.72</v>
      </c>
      <c r="F201" s="39" t="n"/>
      <c r="G201" s="39" t="n"/>
      <c r="H201" s="291" t="n">
        <v>44995.55</v>
      </c>
      <c r="I201" s="39" t="n"/>
      <c r="J201" s="39" t="n"/>
      <c r="K201" s="291" t="n">
        <v>4388.35</v>
      </c>
      <c r="L201" s="39" t="n"/>
      <c r="M201" s="39" t="n"/>
      <c r="N201" s="291" t="n">
        <v>166624.04</v>
      </c>
      <c r="O201" s="39" t="n"/>
      <c r="P201" s="39" t="n"/>
      <c r="Q201" s="291" t="n">
        <v>127672.13</v>
      </c>
      <c r="R201" s="39" t="n"/>
      <c r="S201" s="39" t="n"/>
      <c r="T201" s="291" t="n">
        <v>35731.44</v>
      </c>
      <c r="U201" s="39" t="n"/>
      <c r="V201" s="39" t="n"/>
      <c r="W201" s="291" t="n">
        <v>3220.469999999999</v>
      </c>
      <c r="X201" s="39" t="n"/>
      <c r="Y201" s="39" t="n"/>
      <c r="Z201" s="291" t="n">
        <v>100913.99</v>
      </c>
      <c r="AA201" s="39" t="n"/>
      <c r="AB201" s="39" t="n"/>
      <c r="AC201" s="291" t="n">
        <v>89355.91</v>
      </c>
      <c r="AD201" s="39" t="n"/>
      <c r="AE201" s="39" t="n"/>
      <c r="AF201" s="291" t="n">
        <v>9170.289999999999</v>
      </c>
      <c r="AG201" s="39" t="n"/>
      <c r="AH201" s="39" t="n"/>
      <c r="AI201" s="291" t="n">
        <v>2387.79</v>
      </c>
      <c r="AJ201" s="39" t="n"/>
      <c r="AK201" s="39" t="n"/>
      <c r="AL201" s="336" t="n">
        <v>79.36749999999999</v>
      </c>
      <c r="AM201" s="179">
        <f>AL201-AL199</f>
        <v/>
      </c>
      <c r="AN201" s="39" t="n"/>
      <c r="AO201" s="336" t="n">
        <v>79.56416666666667</v>
      </c>
      <c r="AP201" s="179">
        <f>AO201-AO199</f>
        <v/>
      </c>
      <c r="AQ201" s="39" t="n"/>
      <c r="AR201" s="336" t="n">
        <v>79.24083333333333</v>
      </c>
      <c r="AS201" s="179">
        <f>AR201-AR199</f>
        <v/>
      </c>
      <c r="AT201" s="39" t="n"/>
      <c r="AU201" s="336" t="n">
        <v>73.37833333333333</v>
      </c>
      <c r="AV201" s="179">
        <f>AU201-AU199</f>
        <v/>
      </c>
      <c r="AW201" s="39" t="n"/>
      <c r="AX201" s="53" t="n"/>
      <c r="AY201" s="37" t="n"/>
      <c r="AZ201" s="39" t="n"/>
      <c r="BA201" s="291" t="n"/>
      <c r="BB201" s="39" t="n"/>
      <c r="BC201" s="291" t="n"/>
      <c r="BD201" s="39" t="n"/>
      <c r="BE201" s="291" t="n"/>
      <c r="BF201" s="39" t="n"/>
      <c r="BG201" s="291" t="n"/>
      <c r="BH201" s="39" t="n"/>
      <c r="BI201" s="291" t="n"/>
      <c r="BJ201" s="39" t="n"/>
      <c r="BK201" s="291" t="n"/>
      <c r="BL201" s="39" t="n"/>
      <c r="BM201" s="291" t="n"/>
      <c r="BN201" s="39" t="n"/>
      <c r="BO201" s="291" t="n"/>
      <c r="BP201" s="291" t="n"/>
      <c r="BQ201" s="39" t="n"/>
      <c r="BR201" s="291" t="n"/>
      <c r="BS201" s="39" t="n"/>
      <c r="BT201" s="291" t="n"/>
      <c r="BU201" s="39" t="n"/>
      <c r="BV201" s="291" t="n"/>
      <c r="BW201" s="39" t="n"/>
      <c r="BX201" s="291" t="n"/>
      <c r="BY201" s="39" t="n"/>
      <c r="BZ201" s="291" t="n"/>
      <c r="CA201" s="39" t="n"/>
      <c r="CB201" s="291" t="n"/>
      <c r="CC201" s="39" t="n"/>
      <c r="CD201" s="291" t="n"/>
      <c r="CE201" s="39" t="n"/>
      <c r="CF201" s="291" t="n"/>
      <c r="CG201" s="39" t="n"/>
      <c r="CH201" s="291" t="n"/>
      <c r="CI201" s="39" t="n"/>
      <c r="CJ201" s="291" t="n"/>
      <c r="CK201" s="39" t="n"/>
      <c r="CL201" s="291" t="n"/>
      <c r="CM201" s="39" t="n"/>
      <c r="CN201" s="291" t="n"/>
      <c r="CO201" s="39" t="n"/>
      <c r="CP201" s="291" t="n"/>
      <c r="CQ201" s="39" t="n"/>
      <c r="CR201" s="291" t="n"/>
      <c r="CS201" s="39" t="n"/>
      <c r="CT201" s="291" t="n"/>
      <c r="CU201" s="39" t="n"/>
      <c r="CV201" s="343" t="n"/>
      <c r="CW201" s="291" t="n"/>
      <c r="CX201" s="39" t="n"/>
      <c r="CY201" s="291" t="n"/>
      <c r="CZ201" s="39" t="n"/>
      <c r="DA201" s="291" t="n"/>
      <c r="DB201" s="39" t="n"/>
      <c r="DC201" s="291" t="n"/>
      <c r="DD201" s="39" t="n"/>
      <c r="DE201" s="311" t="n"/>
      <c r="DF201" s="311" t="n"/>
    </row>
    <row r="202" ht="13" customFormat="1" customHeight="1" s="40">
      <c r="A202" s="345" t="inlineStr">
        <is>
          <t>2015年</t>
        </is>
      </c>
      <c r="B202" s="291" t="n">
        <v>235677.62</v>
      </c>
      <c r="C202" s="39" t="n"/>
      <c r="D202" s="39" t="n"/>
      <c r="E202" s="291" t="n">
        <v>172109.8</v>
      </c>
      <c r="F202" s="39" t="n"/>
      <c r="G202" s="39" t="n"/>
      <c r="H202" s="291" t="n">
        <v>58810.64000000001</v>
      </c>
      <c r="I202" s="39" t="n"/>
      <c r="J202" s="39" t="n"/>
      <c r="K202" s="291" t="n">
        <v>4757.2</v>
      </c>
      <c r="L202" s="39" t="n"/>
      <c r="M202" s="39" t="n"/>
      <c r="N202" s="291" t="n">
        <v>189592.04</v>
      </c>
      <c r="O202" s="39" t="n"/>
      <c r="P202" s="39" t="n"/>
      <c r="Q202" s="291" t="n">
        <v>138734.63</v>
      </c>
      <c r="R202" s="39" t="n"/>
      <c r="S202" s="39" t="n"/>
      <c r="T202" s="291" t="n">
        <v>47334.22</v>
      </c>
      <c r="U202" s="39" t="n"/>
      <c r="V202" s="39" t="n"/>
      <c r="W202" s="291" t="n">
        <v>3523.199999999999</v>
      </c>
      <c r="X202" s="39" t="n"/>
      <c r="Y202" s="39" t="n"/>
      <c r="Z202" s="291" t="n">
        <v>109417.59</v>
      </c>
      <c r="AA202" s="39" t="n"/>
      <c r="AB202" s="39" t="n"/>
      <c r="AC202" s="291" t="n">
        <v>95122.35000000002</v>
      </c>
      <c r="AD202" s="39" t="n"/>
      <c r="AE202" s="39" t="n"/>
      <c r="AF202" s="291" t="n">
        <v>11723.31</v>
      </c>
      <c r="AG202" s="39" t="n"/>
      <c r="AH202" s="39" t="n"/>
      <c r="AI202" s="291" t="n">
        <v>2571.969999999999</v>
      </c>
      <c r="AJ202" s="39" t="n"/>
      <c r="AK202" s="39" t="n"/>
      <c r="AL202" s="336" t="n">
        <v>80.41166666666668</v>
      </c>
      <c r="AM202" s="179">
        <f>AL202-AL200</f>
        <v/>
      </c>
      <c r="AN202" s="39" t="n"/>
      <c r="AO202" s="336" t="n">
        <v>80.55583333333333</v>
      </c>
      <c r="AP202" s="179">
        <f>AO202-AO200</f>
        <v/>
      </c>
      <c r="AQ202" s="39" t="n"/>
      <c r="AR202" s="336" t="n">
        <v>80.53333333333333</v>
      </c>
      <c r="AS202" s="179">
        <f>AR202-AR200</f>
        <v/>
      </c>
      <c r="AT202" s="39" t="n"/>
      <c r="AU202" s="336" t="n">
        <v>74.01333333333334</v>
      </c>
      <c r="AV202" s="179">
        <f>AU202-AU200</f>
        <v/>
      </c>
      <c r="AW202" s="39" t="n"/>
      <c r="AX202" s="53" t="n"/>
      <c r="AY202" s="37" t="n"/>
      <c r="AZ202" s="39" t="n"/>
      <c r="BA202" s="291" t="n"/>
      <c r="BB202" s="39" t="n"/>
      <c r="BC202" s="291" t="n"/>
      <c r="BD202" s="39" t="n"/>
      <c r="BE202" s="291" t="n"/>
      <c r="BF202" s="39" t="n"/>
      <c r="BG202" s="291" t="n"/>
      <c r="BH202" s="39" t="n"/>
      <c r="BI202" s="291" t="n"/>
      <c r="BJ202" s="39" t="n"/>
      <c r="BK202" s="291" t="n"/>
      <c r="BL202" s="39" t="n"/>
      <c r="BM202" s="291" t="n"/>
      <c r="BN202" s="39" t="n"/>
      <c r="BO202" s="291" t="n"/>
      <c r="BP202" s="291" t="n"/>
      <c r="BQ202" s="39" t="n"/>
      <c r="BR202" s="291" t="n"/>
      <c r="BS202" s="39" t="n"/>
      <c r="BT202" s="291" t="n"/>
      <c r="BU202" s="39" t="n"/>
      <c r="BV202" s="291" t="n"/>
      <c r="BW202" s="39" t="n"/>
      <c r="BX202" s="291" t="n"/>
      <c r="BY202" s="39" t="n"/>
      <c r="BZ202" s="291" t="n"/>
      <c r="CA202" s="39" t="n"/>
      <c r="CB202" s="291" t="n"/>
      <c r="CC202" s="39" t="n"/>
      <c r="CD202" s="291" t="n"/>
      <c r="CE202" s="39" t="n"/>
      <c r="CF202" s="291" t="n"/>
      <c r="CG202" s="39" t="n"/>
      <c r="CH202" s="291" t="n"/>
      <c r="CI202" s="39" t="n"/>
      <c r="CJ202" s="291" t="n"/>
      <c r="CK202" s="39" t="n"/>
      <c r="CL202" s="291" t="n"/>
      <c r="CM202" s="39" t="n"/>
      <c r="CN202" s="291" t="n"/>
      <c r="CO202" s="39" t="n"/>
      <c r="CP202" s="291" t="n"/>
      <c r="CQ202" s="39" t="n"/>
      <c r="CR202" s="291" t="n"/>
      <c r="CS202" s="39" t="n"/>
      <c r="CT202" s="291" t="n"/>
      <c r="CU202" s="39" t="n"/>
      <c r="CV202" s="343" t="n"/>
      <c r="CW202" s="291" t="n"/>
      <c r="CX202" s="39" t="n"/>
      <c r="CY202" s="291" t="n"/>
      <c r="CZ202" s="39" t="n"/>
      <c r="DA202" s="291" t="n"/>
      <c r="DB202" s="39" t="n"/>
      <c r="DC202" s="291" t="n"/>
      <c r="DD202" s="39" t="n"/>
      <c r="DE202" s="311" t="n"/>
      <c r="DF202" s="311" t="n"/>
    </row>
    <row r="203" ht="13" customFormat="1" customHeight="1" s="40">
      <c r="A203" s="52" t="inlineStr">
        <is>
          <t>2016年</t>
        </is>
      </c>
      <c r="B203" s="291" t="n">
        <v>256000.66</v>
      </c>
      <c r="C203" s="39" t="n"/>
      <c r="D203" s="39" t="n"/>
      <c r="E203" s="291" t="n">
        <v>179641.22</v>
      </c>
      <c r="F203" s="39" t="n"/>
      <c r="G203" s="39" t="n"/>
      <c r="H203" s="291" t="n">
        <v>72165.42999999999</v>
      </c>
      <c r="I203" s="39" t="n"/>
      <c r="J203" s="39" t="n"/>
      <c r="K203" s="291" t="n">
        <v>4194.01</v>
      </c>
      <c r="L203" s="39" t="n"/>
      <c r="M203" s="39" t="n"/>
      <c r="N203" s="291" t="n">
        <v>206106.8</v>
      </c>
      <c r="O203" s="39" t="n"/>
      <c r="P203" s="39" t="n"/>
      <c r="Q203" s="291" t="n">
        <v>144964.38</v>
      </c>
      <c r="R203" s="39" t="n"/>
      <c r="S203" s="39" t="n"/>
      <c r="T203" s="291" t="n">
        <v>58051.78999999999</v>
      </c>
      <c r="U203" s="39" t="n"/>
      <c r="V203" s="39" t="n"/>
      <c r="W203" s="291" t="n">
        <v>3084.66</v>
      </c>
      <c r="X203" s="39" t="n"/>
      <c r="Y203" s="39" t="n"/>
      <c r="Z203" s="291" t="n">
        <v>114616.41</v>
      </c>
      <c r="AA203" s="39" t="n"/>
      <c r="AB203" s="39" t="n"/>
      <c r="AC203" s="291" t="n">
        <v>98446.73999999999</v>
      </c>
      <c r="AD203" s="39" t="n"/>
      <c r="AE203" s="39" t="n"/>
      <c r="AF203" s="291" t="n">
        <v>13828.73</v>
      </c>
      <c r="AG203" s="39" t="n"/>
      <c r="AH203" s="39" t="n"/>
      <c r="AI203" s="291" t="n">
        <v>2340.94</v>
      </c>
      <c r="AJ203" s="39" t="n"/>
      <c r="AK203" s="39" t="n"/>
      <c r="AL203" s="336" t="n">
        <v>80.47750000000001</v>
      </c>
      <c r="AM203" s="179">
        <f>AL203-AL201</f>
        <v/>
      </c>
      <c r="AN203" s="39" t="n"/>
      <c r="AO203" s="336" t="n">
        <v>80.655</v>
      </c>
      <c r="AP203" s="179">
        <f>AO203-AO201</f>
        <v/>
      </c>
      <c r="AQ203" s="39" t="n"/>
      <c r="AR203" s="336" t="n">
        <v>80.43440833333334</v>
      </c>
      <c r="AS203" s="179">
        <f>AR203-AR201</f>
        <v/>
      </c>
      <c r="AT203" s="39" t="n"/>
      <c r="AU203" s="336" t="n">
        <v>73.32000000000001</v>
      </c>
      <c r="AV203" s="179">
        <f>AU203-AU201</f>
        <v/>
      </c>
      <c r="AW203" s="39" t="n"/>
      <c r="AX203" s="53" t="n"/>
      <c r="AY203" s="37" t="n"/>
      <c r="AZ203" s="39" t="n"/>
      <c r="BA203" s="291" t="n"/>
      <c r="BB203" s="39" t="n"/>
      <c r="BC203" s="291" t="n"/>
      <c r="BD203" s="39" t="n"/>
      <c r="BE203" s="291" t="n"/>
      <c r="BF203" s="39" t="n"/>
      <c r="BG203" s="291" t="n"/>
      <c r="BH203" s="39" t="n"/>
      <c r="BI203" s="291" t="n"/>
      <c r="BJ203" s="39" t="n"/>
      <c r="BK203" s="291" t="n"/>
      <c r="BL203" s="39" t="n"/>
      <c r="BM203" s="291" t="n"/>
      <c r="BN203" s="39" t="n"/>
      <c r="BO203" s="291" t="n"/>
      <c r="BP203" s="291" t="n"/>
      <c r="BQ203" s="39" t="n"/>
      <c r="BR203" s="291" t="n"/>
      <c r="BS203" s="39" t="n"/>
      <c r="BT203" s="291" t="n"/>
      <c r="BU203" s="39" t="n"/>
      <c r="BV203" s="291" t="n"/>
      <c r="BW203" s="39" t="n"/>
      <c r="BX203" s="291" t="n"/>
      <c r="BY203" s="39" t="n"/>
      <c r="BZ203" s="291" t="n"/>
      <c r="CA203" s="39" t="n"/>
      <c r="CB203" s="291" t="n"/>
      <c r="CC203" s="39" t="n"/>
      <c r="CD203" s="291" t="n"/>
      <c r="CE203" s="39" t="n"/>
      <c r="CF203" s="291" t="n"/>
      <c r="CG203" s="39" t="n"/>
      <c r="CH203" s="291" t="n"/>
      <c r="CI203" s="39" t="n"/>
      <c r="CJ203" s="291" t="n"/>
      <c r="CK203" s="39" t="n"/>
      <c r="CL203" s="291" t="n"/>
      <c r="CM203" s="39" t="n"/>
      <c r="CN203" s="291" t="n"/>
      <c r="CO203" s="39" t="n"/>
      <c r="CP203" s="291" t="n"/>
      <c r="CQ203" s="39" t="n"/>
      <c r="CR203" s="291" t="n"/>
      <c r="CS203" s="39" t="n"/>
      <c r="CT203" s="291" t="n"/>
      <c r="CU203" s="39" t="n"/>
      <c r="CV203" s="343" t="n"/>
      <c r="CW203" s="291" t="n"/>
      <c r="CX203" s="39" t="n"/>
      <c r="CY203" s="291" t="n"/>
      <c r="CZ203" s="39" t="n"/>
      <c r="DA203" s="291" t="n"/>
      <c r="DB203" s="39" t="n"/>
      <c r="DC203" s="291" t="n"/>
      <c r="DD203" s="39" t="n"/>
      <c r="DE203" s="311" t="n"/>
      <c r="DF203" s="311" t="n"/>
    </row>
    <row r="204" ht="13" customFormat="1" customHeight="1" s="40">
      <c r="A204" s="345" t="inlineStr">
        <is>
          <t>2017年</t>
        </is>
      </c>
      <c r="B204" s="291" t="n">
        <v>280640.74</v>
      </c>
      <c r="C204" s="39" t="n"/>
      <c r="D204" s="39" t="n"/>
      <c r="E204" s="291" t="n">
        <v>194354.37</v>
      </c>
      <c r="F204" s="39" t="n"/>
      <c r="G204" s="39" t="n"/>
      <c r="H204" s="291" t="n">
        <v>82442.8</v>
      </c>
      <c r="I204" s="39" t="n"/>
      <c r="J204" s="39" t="n"/>
      <c r="K204" s="291" t="n">
        <v>3843.59</v>
      </c>
      <c r="L204" s="39" t="n"/>
      <c r="M204" s="39" t="n"/>
      <c r="N204" s="291" t="n">
        <v>230687.25</v>
      </c>
      <c r="O204" s="39" t="n"/>
      <c r="P204" s="39" t="n"/>
      <c r="Q204" s="291" t="n">
        <v>160424.22</v>
      </c>
      <c r="R204" s="39" t="n"/>
      <c r="S204" s="39" t="n"/>
      <c r="T204" s="291" t="n">
        <v>67328.47</v>
      </c>
      <c r="U204" s="39" t="n"/>
      <c r="V204" s="39" t="n"/>
      <c r="W204" s="291" t="n">
        <v>2934.58</v>
      </c>
      <c r="X204" s="39" t="n"/>
      <c r="Y204" s="39" t="n"/>
      <c r="Z204" s="291" t="n">
        <v>126294.74</v>
      </c>
      <c r="AA204" s="39" t="n"/>
      <c r="AB204" s="39" t="n"/>
      <c r="AC204" s="291" t="n">
        <v>108613.63</v>
      </c>
      <c r="AD204" s="39" t="n"/>
      <c r="AE204" s="39" t="n"/>
      <c r="AF204" s="291" t="n">
        <v>15351.34</v>
      </c>
      <c r="AG204" s="39" t="n"/>
      <c r="AH204" s="39" t="n"/>
      <c r="AI204" s="291" t="n">
        <v>2329.76</v>
      </c>
      <c r="AJ204" s="39" t="n"/>
      <c r="AK204" s="39" t="n"/>
      <c r="AL204" s="336" t="n">
        <v>82.20583333333333</v>
      </c>
      <c r="AM204" s="179">
        <f>AL204-AL202</f>
        <v/>
      </c>
      <c r="AN204" s="39" t="n"/>
      <c r="AO204" s="336" t="n">
        <v>82.55166666666666</v>
      </c>
      <c r="AP204" s="179">
        <f>AO204-AO202</f>
        <v/>
      </c>
      <c r="AQ204" s="39" t="n"/>
      <c r="AR204" s="336" t="n">
        <v>81.65916666666666</v>
      </c>
      <c r="AS204" s="179">
        <f>AR204-AR202</f>
        <v/>
      </c>
      <c r="AT204" s="39" t="n"/>
      <c r="AU204" s="336" t="n">
        <v>76.33333333333333</v>
      </c>
      <c r="AV204" s="179">
        <f>AU204-AU202</f>
        <v/>
      </c>
      <c r="AW204" s="39" t="n"/>
      <c r="AX204" s="53" t="n"/>
      <c r="AY204" s="37" t="n"/>
      <c r="AZ204" s="39" t="n"/>
      <c r="BA204" s="291" t="n"/>
      <c r="BB204" s="39" t="n"/>
      <c r="BC204" s="291" t="n"/>
      <c r="BD204" s="39" t="n"/>
      <c r="BE204" s="291" t="n"/>
      <c r="BF204" s="39" t="n"/>
      <c r="BG204" s="291" t="n"/>
      <c r="BH204" s="39" t="n"/>
      <c r="BI204" s="291" t="n"/>
      <c r="BJ204" s="39" t="n"/>
      <c r="BK204" s="291" t="n"/>
      <c r="BL204" s="39" t="n"/>
      <c r="BM204" s="291" t="n"/>
      <c r="BN204" s="39" t="n"/>
      <c r="BO204" s="291" t="n"/>
      <c r="BP204" s="291" t="n"/>
      <c r="BQ204" s="39" t="n"/>
      <c r="BR204" s="291" t="n"/>
      <c r="BS204" s="39" t="n"/>
      <c r="BT204" s="291" t="n"/>
      <c r="BU204" s="39" t="n"/>
      <c r="BV204" s="291" t="n"/>
      <c r="BW204" s="39" t="n"/>
      <c r="BX204" s="291" t="n"/>
      <c r="BY204" s="39" t="n"/>
      <c r="BZ204" s="291" t="n"/>
      <c r="CA204" s="39" t="n"/>
      <c r="CB204" s="291" t="n"/>
      <c r="CC204" s="39" t="n"/>
      <c r="CD204" s="291" t="n"/>
      <c r="CE204" s="39" t="n"/>
      <c r="CF204" s="291" t="n"/>
      <c r="CG204" s="39" t="n"/>
      <c r="CH204" s="291" t="n"/>
      <c r="CI204" s="39" t="n"/>
      <c r="CJ204" s="291" t="n"/>
      <c r="CK204" s="39" t="n"/>
      <c r="CL204" s="291" t="n"/>
      <c r="CM204" s="39" t="n"/>
      <c r="CN204" s="291" t="n"/>
      <c r="CO204" s="39" t="n"/>
      <c r="CP204" s="291" t="n"/>
      <c r="CQ204" s="39" t="n"/>
      <c r="CR204" s="291" t="n"/>
      <c r="CS204" s="39" t="n"/>
      <c r="CT204" s="291" t="n"/>
      <c r="CU204" s="39" t="n"/>
      <c r="CV204" s="343" t="n"/>
      <c r="CW204" s="291" t="n"/>
      <c r="CX204" s="39" t="n"/>
      <c r="CY204" s="291" t="n"/>
      <c r="CZ204" s="39" t="n"/>
      <c r="DA204" s="291" t="n"/>
      <c r="DB204" s="39" t="n"/>
      <c r="DC204" s="291" t="n"/>
      <c r="DD204" s="39" t="n"/>
      <c r="DE204" s="311" t="n"/>
      <c r="DF204" s="311" t="n"/>
    </row>
    <row r="205" ht="13" customFormat="1" customHeight="1" s="40">
      <c r="A205" s="345" t="inlineStr">
        <is>
          <t>2018年</t>
        </is>
      </c>
      <c r="B205" s="291" t="n">
        <v>314294.67</v>
      </c>
      <c r="C205" s="343">
        <f>B205/B204-1</f>
        <v/>
      </c>
      <c r="D205" s="39" t="n"/>
      <c r="E205" s="291" t="n">
        <v>216123.87</v>
      </c>
      <c r="F205" s="343">
        <f>E205/E204-1</f>
        <v/>
      </c>
      <c r="G205" s="39" t="n"/>
      <c r="H205" s="291" t="n">
        <v>93803.26999999999</v>
      </c>
      <c r="I205" s="343">
        <f>H205/H204-1</f>
        <v/>
      </c>
      <c r="J205" s="39" t="n"/>
      <c r="K205" s="291" t="n">
        <v>4367.56</v>
      </c>
      <c r="L205" s="343">
        <f>K205/K204-1</f>
        <v/>
      </c>
      <c r="M205" s="39" t="n"/>
      <c r="N205" s="291" t="n">
        <v>259066.13</v>
      </c>
      <c r="O205" s="343">
        <f>N205/N204-1</f>
        <v/>
      </c>
      <c r="P205" s="39" t="n"/>
      <c r="Q205" s="291" t="n">
        <v>178933.83</v>
      </c>
      <c r="R205" s="343">
        <f>Q205/Q204-1</f>
        <v/>
      </c>
      <c r="S205" s="39" t="n"/>
      <c r="T205" s="291" t="n">
        <v>76839.19</v>
      </c>
      <c r="U205" s="343">
        <f>T205/T204-1</f>
        <v/>
      </c>
      <c r="V205" s="39" t="n"/>
      <c r="W205" s="291" t="n">
        <v>3293.129999999999</v>
      </c>
      <c r="X205" s="343">
        <f>W205/W204-1</f>
        <v/>
      </c>
      <c r="Y205" s="39" t="n"/>
      <c r="Z205" s="291" t="n">
        <v>139881.63</v>
      </c>
      <c r="AA205" s="343">
        <f>Z205/Z204-1</f>
        <v/>
      </c>
      <c r="AB205" s="39" t="n"/>
      <c r="AC205" s="291" t="n">
        <v>119491.83</v>
      </c>
      <c r="AD205" s="343">
        <f>AC205/AC204-1</f>
        <v/>
      </c>
      <c r="AE205" s="39" t="n"/>
      <c r="AF205" s="291" t="n">
        <v>17862.75</v>
      </c>
      <c r="AG205" s="343">
        <f>AF205/AF204-1</f>
        <v/>
      </c>
      <c r="AH205" s="39" t="n"/>
      <c r="AI205" s="291" t="n">
        <v>2527.06</v>
      </c>
      <c r="AJ205" s="343">
        <f>AI205/AI204-1</f>
        <v/>
      </c>
      <c r="AK205" s="39" t="n"/>
      <c r="AL205" s="336" t="n">
        <v>82.40916666666666</v>
      </c>
      <c r="AM205" s="343" t="n">
        <v>-0.002467363056294247</v>
      </c>
      <c r="AN205" s="39" t="n"/>
      <c r="AO205" s="336" t="n">
        <v>82.76000000000001</v>
      </c>
      <c r="AP205" s="343" t="n">
        <v>-0.002517319155792008</v>
      </c>
      <c r="AQ205" s="39" t="n"/>
      <c r="AR205" s="336" t="n">
        <v>81.92166666666667</v>
      </c>
      <c r="AS205" s="343" t="n">
        <v>-0.00320428051187116</v>
      </c>
      <c r="AT205" s="39" t="n"/>
      <c r="AU205" s="336" t="n">
        <v>75.34083333333334</v>
      </c>
      <c r="AV205" s="343" t="n">
        <v>0.01317346724330526</v>
      </c>
      <c r="AW205" s="39" t="n"/>
      <c r="AX205" s="53" t="n"/>
      <c r="AY205" s="348" t="n"/>
      <c r="AZ205" s="39" t="n"/>
      <c r="BA205" s="291" t="n"/>
      <c r="BB205" s="39" t="n"/>
      <c r="BC205" s="291" t="n"/>
      <c r="BD205" s="39" t="n"/>
      <c r="BE205" s="291" t="n"/>
      <c r="BF205" s="39" t="n"/>
      <c r="BG205" s="291" t="n"/>
      <c r="BH205" s="39" t="n"/>
      <c r="BI205" s="291" t="n"/>
      <c r="BJ205" s="39" t="n"/>
      <c r="BK205" s="291" t="n"/>
      <c r="BL205" s="39" t="n"/>
      <c r="BM205" s="291" t="n"/>
      <c r="BN205" s="39" t="n"/>
      <c r="BO205" s="291" t="n"/>
      <c r="BP205" s="291" t="n"/>
      <c r="BQ205" s="39" t="n"/>
      <c r="BR205" s="291" t="n"/>
      <c r="BS205" s="39" t="n"/>
      <c r="BT205" s="291" t="n"/>
      <c r="BU205" s="39" t="n"/>
      <c r="BV205" s="291" t="n"/>
      <c r="BW205" s="39" t="n"/>
      <c r="BX205" s="291" t="n"/>
      <c r="BY205" s="39" t="n"/>
      <c r="BZ205" s="291" t="n"/>
      <c r="CA205" s="39" t="n"/>
      <c r="CB205" s="291" t="n"/>
      <c r="CC205" s="39" t="n"/>
      <c r="CD205" s="291" t="n"/>
      <c r="CE205" s="39" t="n"/>
      <c r="CF205" s="291" t="n"/>
      <c r="CG205" s="39" t="n"/>
      <c r="CH205" s="291" t="n"/>
      <c r="CI205" s="39" t="n"/>
      <c r="CJ205" s="291" t="n"/>
      <c r="CK205" s="39" t="n"/>
      <c r="CL205" s="291" t="n"/>
      <c r="CM205" s="39" t="n"/>
      <c r="CN205" s="291" t="n"/>
      <c r="CO205" s="39" t="n"/>
      <c r="CP205" s="291" t="n"/>
      <c r="CQ205" s="39" t="n"/>
      <c r="CR205" s="291" t="n"/>
      <c r="CS205" s="39" t="n"/>
      <c r="CT205" s="291" t="n"/>
      <c r="CU205" s="39" t="n"/>
      <c r="CV205" s="343" t="n"/>
      <c r="CW205" s="291" t="n"/>
      <c r="CX205" s="39" t="n"/>
      <c r="CY205" s="291" t="n"/>
      <c r="CZ205" s="39" t="n"/>
      <c r="DA205" s="291" t="n"/>
      <c r="DB205" s="39" t="n"/>
      <c r="DC205" s="291" t="n"/>
      <c r="DD205" s="39" t="n"/>
      <c r="DE205" s="311" t="n"/>
      <c r="DF205" s="311" t="n"/>
    </row>
    <row r="206" customFormat="1" s="40">
      <c r="A206" s="345" t="inlineStr">
        <is>
          <t>2019年</t>
        </is>
      </c>
      <c r="B206" s="291" t="n">
        <v>344041.9400000001</v>
      </c>
      <c r="C206" s="343">
        <f>B206/B205-1</f>
        <v/>
      </c>
      <c r="D206" s="39" t="n"/>
      <c r="E206" s="291" t="n">
        <v>235193.88</v>
      </c>
      <c r="F206" s="343">
        <f>E206/E205-1</f>
        <v/>
      </c>
      <c r="G206" s="39" t="n"/>
      <c r="H206" s="291" t="n">
        <v>104478.67</v>
      </c>
      <c r="I206" s="343">
        <f>H206/H205-1</f>
        <v/>
      </c>
      <c r="J206" s="39" t="n"/>
      <c r="K206" s="291" t="n">
        <v>4369.38</v>
      </c>
      <c r="L206" s="343">
        <f>K206/K205-1</f>
        <v/>
      </c>
      <c r="M206" s="39" t="n"/>
      <c r="N206" s="291" t="n">
        <v>284892.5600000001</v>
      </c>
      <c r="O206" s="343">
        <f>N206/N205-1</f>
        <v/>
      </c>
      <c r="P206" s="39" t="n"/>
      <c r="Q206" s="291" t="n">
        <v>195213.11</v>
      </c>
      <c r="R206" s="343">
        <f>Q206/Q205-1</f>
        <v/>
      </c>
      <c r="S206" s="39" t="n"/>
      <c r="T206" s="291" t="n">
        <v>86419.56000000001</v>
      </c>
      <c r="U206" s="343">
        <f>T206/T205-1</f>
        <v/>
      </c>
      <c r="V206" s="39" t="n"/>
      <c r="W206" s="291" t="n">
        <v>3259.920000000001</v>
      </c>
      <c r="X206" s="343">
        <f>W206/W205-1</f>
        <v/>
      </c>
      <c r="Y206" s="39" t="n"/>
      <c r="Z206" s="291" t="n">
        <v>151623.58</v>
      </c>
      <c r="AA206" s="343">
        <f>Z206/Z205-1</f>
        <v/>
      </c>
      <c r="AB206" s="39" t="n"/>
      <c r="AC206" s="291" t="n">
        <v>128698.64</v>
      </c>
      <c r="AD206" s="343">
        <f>AC206/AC205-1</f>
        <v/>
      </c>
      <c r="AE206" s="39" t="n"/>
      <c r="AF206" s="291" t="n">
        <v>20444.07</v>
      </c>
      <c r="AG206" s="343">
        <f>AF206/AF205-1</f>
        <v/>
      </c>
      <c r="AH206" s="39" t="n"/>
      <c r="AI206" s="291" t="n">
        <v>2480.87</v>
      </c>
      <c r="AJ206" s="343">
        <f>AI206/AI205-1</f>
        <v/>
      </c>
      <c r="AK206" s="39" t="n"/>
      <c r="AL206" s="336" t="n">
        <v>82.78833333333334</v>
      </c>
      <c r="AM206" s="179">
        <f>AL206-AL204</f>
        <v/>
      </c>
      <c r="AN206" s="39" t="n"/>
      <c r="AO206" s="336" t="n">
        <v>82.97583333333334</v>
      </c>
      <c r="AP206" s="179">
        <f>AO206-AO204</f>
        <v/>
      </c>
      <c r="AQ206" s="39" t="n"/>
      <c r="AR206" s="336" t="n">
        <v>82.68416666666667</v>
      </c>
      <c r="AS206" s="179">
        <f>AR206-AR204</f>
        <v/>
      </c>
      <c r="AT206" s="39" t="n"/>
      <c r="AU206" s="336" t="n">
        <v>74.10166666666667</v>
      </c>
      <c r="AV206" s="179">
        <f>AU206-AU204</f>
        <v/>
      </c>
      <c r="AW206" s="39" t="n"/>
      <c r="AX206" s="53" t="n"/>
      <c r="AY206" s="348" t="n"/>
      <c r="AZ206" s="39" t="n"/>
      <c r="BA206" s="291" t="n"/>
      <c r="BB206" s="39" t="n"/>
      <c r="BC206" s="291" t="n"/>
      <c r="BD206" s="39" t="n"/>
      <c r="BE206" s="291" t="n"/>
      <c r="BF206" s="39" t="n"/>
      <c r="BG206" s="291" t="n"/>
      <c r="BH206" s="39" t="n"/>
      <c r="BI206" s="291" t="n"/>
      <c r="BJ206" s="39" t="n"/>
      <c r="BK206" s="291" t="n"/>
      <c r="BL206" s="39" t="n"/>
      <c r="BM206" s="291" t="n"/>
      <c r="BN206" s="39" t="n"/>
      <c r="BO206" s="291" t="n"/>
      <c r="BP206" s="349" t="n"/>
      <c r="BQ206" s="39" t="n"/>
      <c r="BR206" s="291" t="n"/>
      <c r="BS206" s="39" t="n"/>
      <c r="BT206" s="291" t="n"/>
      <c r="BU206" s="39" t="n"/>
      <c r="BV206" s="291" t="n"/>
      <c r="BW206" s="39" t="n"/>
      <c r="BX206" s="291" t="n"/>
      <c r="BY206" s="39" t="n"/>
      <c r="BZ206" s="291" t="n"/>
      <c r="CA206" s="39" t="n"/>
      <c r="CB206" s="291" t="n"/>
      <c r="CC206" s="39" t="n"/>
      <c r="CD206" s="291" t="n"/>
      <c r="CE206" s="39" t="n"/>
      <c r="CF206" s="291" t="n"/>
      <c r="CG206" s="39" t="n"/>
      <c r="CH206" s="291" t="n"/>
      <c r="CI206" s="39" t="n"/>
      <c r="CJ206" s="291" t="n"/>
      <c r="CK206" s="39" t="n"/>
      <c r="CL206" s="291" t="n"/>
      <c r="CM206" s="39" t="n"/>
      <c r="CN206" s="291" t="n"/>
      <c r="CO206" s="39" t="n"/>
      <c r="CP206" s="291" t="n"/>
      <c r="CQ206" s="39" t="n"/>
      <c r="CR206" s="291" t="n"/>
      <c r="CS206" s="39" t="n"/>
      <c r="CT206" s="291" t="n"/>
      <c r="CU206" s="39" t="n"/>
      <c r="CV206" s="39" t="n"/>
      <c r="CW206" s="350" t="n"/>
      <c r="CX206" s="39" t="n"/>
      <c r="CY206" s="350" t="n"/>
      <c r="CZ206" s="39" t="n"/>
      <c r="DA206" s="350" t="n"/>
      <c r="DB206" s="39" t="n"/>
      <c r="DC206" s="1" t="n"/>
      <c r="DD206" s="39" t="n"/>
      <c r="DE206" s="270" t="n"/>
      <c r="DF206" s="270" t="n"/>
    </row>
    <row r="207" customFormat="1" s="40">
      <c r="A207" s="345" t="inlineStr">
        <is>
          <t>2020年</t>
        </is>
      </c>
      <c r="B207" s="291" t="n">
        <v>214794.21</v>
      </c>
      <c r="C207" s="343">
        <f>B207/B206-1</f>
        <v/>
      </c>
      <c r="D207" s="39" t="n"/>
      <c r="E207" s="291" t="n">
        <v>193955.7</v>
      </c>
      <c r="F207" s="343">
        <f>E207/E206-1</f>
        <v/>
      </c>
      <c r="G207" s="39" t="n"/>
      <c r="H207" s="291" t="n">
        <v>20287.80999999999</v>
      </c>
      <c r="I207" s="343">
        <f>H207/H206-1</f>
        <v/>
      </c>
      <c r="J207" s="39" t="n"/>
      <c r="K207" s="291" t="n">
        <v>550.65</v>
      </c>
      <c r="L207" s="343">
        <f>K207/K206-1</f>
        <v/>
      </c>
      <c r="M207" s="39" t="n"/>
      <c r="N207" s="291" t="n">
        <v>153422.96</v>
      </c>
      <c r="O207" s="343">
        <f>N207/N206-1</f>
        <v/>
      </c>
      <c r="P207" s="39" t="n"/>
      <c r="Q207" s="291" t="n">
        <v>140138.93</v>
      </c>
      <c r="R207" s="343">
        <f>Q207/Q206-1</f>
        <v/>
      </c>
      <c r="S207" s="39" t="n"/>
      <c r="T207" s="291" t="n">
        <v>13045.32</v>
      </c>
      <c r="U207" s="343">
        <f>T207/T206-1</f>
        <v/>
      </c>
      <c r="V207" s="39" t="n"/>
      <c r="W207" s="291" t="n">
        <v>238.7</v>
      </c>
      <c r="X207" s="343">
        <f>W207/W206-1</f>
        <v/>
      </c>
      <c r="Y207" s="39" t="n"/>
      <c r="Z207" s="291" t="n">
        <v>96852.49000000002</v>
      </c>
      <c r="AA207" s="343">
        <f>Z207/Z206-1</f>
        <v/>
      </c>
      <c r="AB207" s="39" t="n"/>
      <c r="AC207" s="291" t="n">
        <v>93904.13999999998</v>
      </c>
      <c r="AD207" s="343">
        <f>AC207/AC206-1</f>
        <v/>
      </c>
      <c r="AE207" s="39" t="n"/>
      <c r="AF207" s="291" t="n">
        <v>2735.160000000001</v>
      </c>
      <c r="AG207" s="343">
        <f>AF207/AF206-1</f>
        <v/>
      </c>
      <c r="AH207" s="39" t="n"/>
      <c r="AI207" s="291" t="n">
        <v>213.23</v>
      </c>
      <c r="AJ207" s="343">
        <f>AI207/AI206-1</f>
        <v/>
      </c>
      <c r="AK207" s="39" t="n"/>
      <c r="AL207" s="336" t="n">
        <v>68.75583333333333</v>
      </c>
      <c r="AM207" s="179">
        <f>AL207-AL205</f>
        <v/>
      </c>
      <c r="AN207" s="39" t="n"/>
      <c r="AO207" s="336" t="n">
        <v>69.47500000000001</v>
      </c>
      <c r="AP207" s="179">
        <f>AO207-AO205</f>
        <v/>
      </c>
      <c r="AQ207" s="39" t="n"/>
      <c r="AR207" s="336" t="n">
        <v>54.6525</v>
      </c>
      <c r="AS207" s="179">
        <f>AR207-AR205</f>
        <v/>
      </c>
      <c r="AT207" s="39" t="n"/>
      <c r="AU207" s="336" t="n">
        <v>30.40916666666667</v>
      </c>
      <c r="AV207" s="179">
        <f>AU207-AU205</f>
        <v/>
      </c>
      <c r="AW207" s="39" t="n"/>
      <c r="AX207" s="53" t="n"/>
      <c r="AY207" s="348" t="n"/>
      <c r="AZ207" s="39" t="n"/>
      <c r="BA207" s="291" t="n"/>
      <c r="BB207" s="39" t="n"/>
      <c r="BC207" s="291" t="n"/>
      <c r="BD207" s="39" t="n"/>
      <c r="BE207" s="291" t="n"/>
      <c r="BF207" s="39" t="n"/>
      <c r="BG207" s="291" t="n"/>
      <c r="BH207" s="39" t="n"/>
      <c r="BI207" s="291" t="n"/>
      <c r="BJ207" s="39" t="n"/>
      <c r="BK207" s="291" t="n"/>
      <c r="BL207" s="39" t="n"/>
      <c r="BM207" s="291" t="n"/>
      <c r="BN207" s="39" t="n"/>
      <c r="BO207" s="291" t="n"/>
      <c r="BP207" s="349" t="n"/>
      <c r="BQ207" s="39" t="n"/>
      <c r="BR207" s="291" t="n"/>
      <c r="BS207" s="39" t="n"/>
      <c r="BT207" s="291" t="n"/>
      <c r="BU207" s="39" t="n"/>
      <c r="BV207" s="291" t="n"/>
      <c r="BW207" s="39" t="n"/>
      <c r="BX207" s="291" t="n"/>
      <c r="BY207" s="39" t="n"/>
      <c r="BZ207" s="291" t="n"/>
      <c r="CA207" s="39" t="n"/>
      <c r="CB207" s="291" t="n"/>
      <c r="CC207" s="39" t="n"/>
      <c r="CD207" s="291" t="n"/>
      <c r="CE207" s="39" t="n"/>
      <c r="CF207" s="291" t="n"/>
      <c r="CG207" s="39" t="n"/>
      <c r="CH207" s="291" t="n"/>
      <c r="CI207" s="39" t="n"/>
      <c r="CJ207" s="291" t="n"/>
      <c r="CK207" s="39" t="n"/>
      <c r="CL207" s="291" t="n"/>
      <c r="CM207" s="39" t="n"/>
      <c r="CN207" s="291" t="n"/>
      <c r="CO207" s="39" t="n"/>
      <c r="CP207" s="291" t="n"/>
      <c r="CQ207" s="39" t="n"/>
      <c r="CR207" s="291" t="n"/>
      <c r="CS207" s="39" t="n"/>
      <c r="CT207" s="291" t="n"/>
      <c r="CU207" s="39" t="n"/>
      <c r="CV207" s="39" t="n"/>
      <c r="CW207" s="350" t="n"/>
      <c r="CX207" s="39" t="n"/>
      <c r="CY207" s="350" t="n"/>
      <c r="CZ207" s="39" t="n"/>
      <c r="DA207" s="350" t="n"/>
      <c r="DB207" s="39" t="n"/>
      <c r="DC207" s="1" t="n"/>
      <c r="DD207" s="39" t="n"/>
      <c r="DE207" s="270" t="n"/>
      <c r="DF207" s="270" t="n"/>
    </row>
    <row r="208" customFormat="1" s="116">
      <c r="A208" s="351" t="inlineStr">
        <is>
          <t>2021年</t>
        </is>
      </c>
      <c r="B208" s="317" t="n">
        <v>213932.9</v>
      </c>
      <c r="C208" s="343">
        <f>B208/B207-1</f>
        <v/>
      </c>
      <c r="D208" s="39" t="n"/>
      <c r="E208" s="317" t="n">
        <v>205446.97</v>
      </c>
      <c r="F208" s="343">
        <f>E208/E207-1</f>
        <v/>
      </c>
      <c r="G208" s="39" t="n"/>
      <c r="H208" s="317" t="n">
        <v>8023.570000000001</v>
      </c>
      <c r="I208" s="343">
        <f>H208/H207-1</f>
        <v/>
      </c>
      <c r="J208" s="39" t="n"/>
      <c r="K208" s="317" t="n">
        <v>462.36</v>
      </c>
      <c r="L208" s="343">
        <f>K208/K207-1</f>
        <v/>
      </c>
      <c r="M208" s="39" t="n"/>
      <c r="N208" s="317" t="n">
        <v>152401.66</v>
      </c>
      <c r="O208" s="343">
        <f>N208/N207-1</f>
        <v/>
      </c>
      <c r="P208" s="39" t="n"/>
      <c r="Q208" s="317" t="n">
        <v>148219.96</v>
      </c>
      <c r="R208" s="343">
        <f>Q208/Q207-1</f>
        <v/>
      </c>
      <c r="S208" s="39" t="n"/>
      <c r="T208" s="317" t="n">
        <v>4032.44</v>
      </c>
      <c r="U208" s="343">
        <f>T208/T207-1</f>
        <v/>
      </c>
      <c r="V208" s="39" t="n"/>
      <c r="W208" s="317" t="n">
        <v>149.26</v>
      </c>
      <c r="X208" s="343">
        <f>W208/W207-1</f>
        <v/>
      </c>
      <c r="Y208" s="39" t="n"/>
      <c r="Z208" s="317" t="n">
        <v>98503.85000000001</v>
      </c>
      <c r="AA208" s="343">
        <f>Z208/Z207-1</f>
        <v/>
      </c>
      <c r="AB208" s="39" t="n"/>
      <c r="AC208" s="317" t="n">
        <v>97721.43000000002</v>
      </c>
      <c r="AD208" s="343">
        <f>AC208/AC207-1</f>
        <v/>
      </c>
      <c r="AE208" s="39" t="n"/>
      <c r="AF208" s="317" t="n">
        <v>637.6700000000001</v>
      </c>
      <c r="AG208" s="343">
        <f>AF208/AF207-1</f>
        <v/>
      </c>
      <c r="AH208" s="39" t="n"/>
      <c r="AI208" s="317" t="n">
        <v>144.76</v>
      </c>
      <c r="AJ208" s="343">
        <f>AI208/AI207-1</f>
        <v/>
      </c>
      <c r="AK208" s="39" t="n"/>
      <c r="AL208" s="182" t="n">
        <v>69.82833333333333</v>
      </c>
      <c r="AM208" s="179">
        <f>AL208-AL206</f>
        <v/>
      </c>
      <c r="AN208" s="352" t="n"/>
      <c r="AO208" s="182" t="n">
        <v>70.67583333333333</v>
      </c>
      <c r="AP208" s="179">
        <f>AO208-AO206</f>
        <v/>
      </c>
      <c r="AQ208" s="352" t="n"/>
      <c r="AR208" s="182" t="n">
        <v>50.40666666666667</v>
      </c>
      <c r="AS208" s="179">
        <f>AR208-AR206</f>
        <v/>
      </c>
      <c r="AT208" s="352" t="n"/>
      <c r="AU208" s="182" t="n">
        <v>30.74583333333333</v>
      </c>
      <c r="AV208" s="179">
        <f>AU208-AU206</f>
        <v/>
      </c>
      <c r="AW208" s="352" t="n"/>
      <c r="AX208" s="268" t="n"/>
      <c r="AY208" s="353" t="n"/>
      <c r="AZ208" s="39" t="n"/>
      <c r="BA208" s="317" t="n"/>
      <c r="BB208" s="39" t="n"/>
      <c r="BC208" s="317" t="n"/>
      <c r="BD208" s="39" t="n"/>
      <c r="BE208" s="317" t="n"/>
      <c r="BF208" s="39" t="n"/>
      <c r="BG208" s="317" t="n"/>
      <c r="BH208" s="39" t="n"/>
      <c r="BI208" s="317" t="n"/>
      <c r="BJ208" s="39" t="n"/>
      <c r="BK208" s="317" t="n"/>
      <c r="BL208" s="39" t="n"/>
      <c r="BM208" s="317" t="n"/>
      <c r="BN208" s="39" t="n"/>
      <c r="BO208" s="317" t="n"/>
      <c r="BP208" s="354" t="n"/>
      <c r="BQ208" s="39" t="n"/>
      <c r="BR208" s="317" t="n"/>
      <c r="BS208" s="39" t="n"/>
      <c r="BT208" s="317" t="n"/>
      <c r="BU208" s="39" t="n"/>
      <c r="BV208" s="317" t="n"/>
      <c r="BW208" s="39" t="n"/>
      <c r="BX208" s="317" t="n"/>
      <c r="BY208" s="39" t="n"/>
      <c r="BZ208" s="317" t="n"/>
      <c r="CA208" s="39" t="n"/>
      <c r="CB208" s="317" t="n"/>
      <c r="CC208" s="39" t="n"/>
      <c r="CD208" s="317" t="n"/>
      <c r="CE208" s="39" t="n"/>
      <c r="CF208" s="317" t="n"/>
      <c r="CG208" s="39" t="n"/>
      <c r="CH208" s="317" t="n"/>
      <c r="CI208" s="39" t="n"/>
      <c r="CJ208" s="317" t="n"/>
      <c r="CK208" s="39" t="n"/>
      <c r="CL208" s="317" t="n"/>
      <c r="CM208" s="39" t="n"/>
      <c r="CN208" s="317" t="n"/>
      <c r="CO208" s="39" t="n"/>
      <c r="CP208" s="317" t="n"/>
      <c r="CQ208" s="39" t="n"/>
      <c r="CR208" s="317" t="n"/>
      <c r="CS208" s="39" t="n"/>
      <c r="CT208" s="317" t="n"/>
      <c r="CU208" s="39" t="n"/>
      <c r="CV208" s="39" t="n"/>
      <c r="CW208" s="355" t="n"/>
      <c r="CX208" s="39" t="n"/>
      <c r="CY208" s="355" t="n"/>
      <c r="CZ208" s="39" t="n"/>
      <c r="DA208" s="355" t="n"/>
      <c r="DB208" s="39" t="n"/>
      <c r="DC208" s="117" t="n"/>
      <c r="DD208" s="39" t="n"/>
      <c r="DE208" s="356" t="n"/>
      <c r="DF208" s="356" t="n"/>
    </row>
    <row r="209" customFormat="1" s="116">
      <c r="A209" s="351" t="inlineStr">
        <is>
          <t>2022年</t>
        </is>
      </c>
      <c r="B209" s="317" t="n">
        <v>153885.01</v>
      </c>
      <c r="C209" s="343">
        <f>B209/B208-1</f>
        <v/>
      </c>
      <c r="D209" s="39" t="n"/>
      <c r="E209" s="317" t="n">
        <v>145699.31</v>
      </c>
      <c r="F209" s="343">
        <f>E209/E208-1</f>
        <v/>
      </c>
      <c r="G209" s="39" t="n"/>
      <c r="H209" s="317" t="n">
        <v>7775.339999999999</v>
      </c>
      <c r="I209" s="343">
        <f>H209/H208-1</f>
        <v/>
      </c>
      <c r="J209" s="39" t="n"/>
      <c r="K209" s="317" t="n">
        <v>410.38</v>
      </c>
      <c r="L209" s="343">
        <f>K209/K208-1</f>
        <v/>
      </c>
      <c r="M209" s="39" t="n"/>
      <c r="N209" s="317" t="n">
        <v>102066.65</v>
      </c>
      <c r="O209" s="343">
        <f>N209/N208-1</f>
        <v/>
      </c>
      <c r="P209" s="39" t="n"/>
      <c r="Q209" s="317" t="n">
        <v>97007.64000000001</v>
      </c>
      <c r="R209" s="343">
        <f>Q209/Q208-1</f>
        <v/>
      </c>
      <c r="S209" s="39" t="n"/>
      <c r="T209" s="317" t="n">
        <v>4883.95</v>
      </c>
      <c r="U209" s="343">
        <f>T209/T208-1</f>
        <v/>
      </c>
      <c r="V209" s="39" t="n"/>
      <c r="W209" s="317" t="n">
        <v>175.06</v>
      </c>
      <c r="X209" s="343">
        <f>W209/W208-1</f>
        <v/>
      </c>
      <c r="Y209" s="39" t="n"/>
      <c r="Z209" s="317" t="n">
        <v>62630.59</v>
      </c>
      <c r="AA209" s="343">
        <f>Z209/Z208-1</f>
        <v/>
      </c>
      <c r="AB209" s="39" t="n"/>
      <c r="AC209" s="317" t="n">
        <v>61665.5</v>
      </c>
      <c r="AD209" s="343">
        <f>AC209/AC208-1</f>
        <v/>
      </c>
      <c r="AE209" s="39" t="n"/>
      <c r="AF209" s="317" t="n">
        <v>807.85</v>
      </c>
      <c r="AG209" s="343">
        <f>AF209/AF208-1</f>
        <v/>
      </c>
      <c r="AH209" s="39" t="n"/>
      <c r="AI209" s="317" t="n">
        <v>157.24</v>
      </c>
      <c r="AJ209" s="343">
        <f>AI209/AI208-1</f>
        <v/>
      </c>
      <c r="AK209" s="39" t="n"/>
      <c r="AL209" s="182" t="n">
        <v>65.55249999999999</v>
      </c>
      <c r="AM209" s="179">
        <f>AL209-AL207</f>
        <v/>
      </c>
      <c r="AN209" s="352" t="n"/>
      <c r="AO209" s="182" t="n">
        <v>65.7625</v>
      </c>
      <c r="AP209" s="179">
        <f>AO209-AO207</f>
        <v/>
      </c>
      <c r="AQ209" s="352" t="n"/>
      <c r="AR209" s="182" t="n">
        <v>62.21083333333333</v>
      </c>
      <c r="AS209" s="179">
        <f>AR209-AR207</f>
        <v/>
      </c>
      <c r="AT209" s="352" t="n"/>
      <c r="AU209" s="182" t="n">
        <v>45.22166666666666</v>
      </c>
      <c r="AV209" s="179">
        <f>AU209-AU207</f>
        <v/>
      </c>
      <c r="AW209" s="352" t="n"/>
      <c r="AX209" s="268" t="n"/>
      <c r="AY209" s="353" t="n"/>
      <c r="AZ209" s="39" t="n"/>
      <c r="BA209" s="317" t="n"/>
      <c r="BB209" s="39" t="n"/>
      <c r="BC209" s="317" t="n"/>
      <c r="BD209" s="39" t="n"/>
      <c r="BE209" s="317" t="n"/>
      <c r="BF209" s="39" t="n"/>
      <c r="BG209" s="317" t="n"/>
      <c r="BH209" s="39" t="n"/>
      <c r="BI209" s="317" t="n"/>
      <c r="BJ209" s="39" t="n"/>
      <c r="BK209" s="317" t="n"/>
      <c r="BL209" s="39" t="n"/>
      <c r="BM209" s="317" t="n"/>
      <c r="BN209" s="39" t="n"/>
      <c r="BO209" s="317" t="n"/>
      <c r="BP209" s="354" t="n"/>
      <c r="BQ209" s="39" t="n"/>
      <c r="BR209" s="317" t="n"/>
      <c r="BS209" s="39" t="n"/>
      <c r="BT209" s="317" t="n"/>
      <c r="BU209" s="39" t="n"/>
      <c r="BV209" s="317" t="n"/>
      <c r="BW209" s="39" t="n"/>
      <c r="BX209" s="317" t="n"/>
      <c r="BY209" s="39" t="n"/>
      <c r="BZ209" s="317" t="n"/>
      <c r="CA209" s="39" t="n"/>
      <c r="CB209" s="317" t="n"/>
      <c r="CC209" s="39" t="n"/>
      <c r="CD209" s="317" t="n"/>
      <c r="CE209" s="39" t="n"/>
      <c r="CF209" s="317" t="n"/>
      <c r="CG209" s="39" t="n"/>
      <c r="CH209" s="317" t="n"/>
      <c r="CI209" s="39" t="n"/>
      <c r="CJ209" s="317" t="n"/>
      <c r="CK209" s="39" t="n"/>
      <c r="CL209" s="317" t="n"/>
      <c r="CM209" s="39" t="n"/>
      <c r="CN209" s="317" t="n"/>
      <c r="CO209" s="39" t="n"/>
      <c r="CP209" s="317" t="n"/>
      <c r="CQ209" s="39" t="n"/>
      <c r="CR209" s="317" t="n"/>
      <c r="CS209" s="39" t="n"/>
      <c r="CT209" s="317" t="n"/>
      <c r="CU209" s="39" t="n"/>
      <c r="CV209" s="39" t="n"/>
      <c r="CW209" s="355" t="n"/>
      <c r="CX209" s="39" t="n"/>
      <c r="CY209" s="355" t="n"/>
      <c r="CZ209" s="39" t="n"/>
      <c r="DA209" s="355" t="n"/>
      <c r="DB209" s="39" t="n"/>
      <c r="DC209" s="117" t="n"/>
      <c r="DD209" s="39" t="n"/>
      <c r="DE209" s="356" t="n"/>
      <c r="DF209" s="356" t="n"/>
    </row>
    <row r="210" customFormat="1" s="116">
      <c r="A210" s="351" t="inlineStr">
        <is>
          <t>2023年</t>
        </is>
      </c>
      <c r="B210" s="317" t="n">
        <v>316221.58</v>
      </c>
      <c r="C210" s="343">
        <f>B210/B209-1</f>
        <v/>
      </c>
      <c r="D210" s="343">
        <f>B210/B206-1</f>
        <v/>
      </c>
      <c r="E210" s="317" t="n">
        <v>266537.6</v>
      </c>
      <c r="F210" s="343">
        <f>E210/E209-1</f>
        <v/>
      </c>
      <c r="G210" s="343">
        <f>E210/E206-1</f>
        <v/>
      </c>
      <c r="H210" s="317" t="n">
        <v>47246.98</v>
      </c>
      <c r="I210" s="343">
        <f>H210/H209-1</f>
        <v/>
      </c>
      <c r="J210" s="343">
        <f>H210/H206-1</f>
        <v/>
      </c>
      <c r="K210" s="317" t="n">
        <v>2437.02</v>
      </c>
      <c r="L210" s="343">
        <f>K210/K209-1</f>
        <v/>
      </c>
      <c r="M210" s="343">
        <f>K210/K206-1</f>
        <v/>
      </c>
      <c r="N210" s="317" t="n">
        <v>246929.4300000001</v>
      </c>
      <c r="O210" s="343">
        <f>N210/N209-1</f>
        <v/>
      </c>
      <c r="P210" s="343">
        <f>N210/N206-1</f>
        <v/>
      </c>
      <c r="Q210" s="317" t="n">
        <v>207810.96</v>
      </c>
      <c r="R210" s="343">
        <f>Q210/Q209-1</f>
        <v/>
      </c>
      <c r="S210" s="343">
        <f>Q210/Q206-1</f>
        <v/>
      </c>
      <c r="T210" s="317" t="n">
        <v>37312.04</v>
      </c>
      <c r="U210" s="343">
        <f>T210/T209-1</f>
        <v/>
      </c>
      <c r="V210" s="343">
        <f>T210/T206-1</f>
        <v/>
      </c>
      <c r="W210" s="317" t="n">
        <v>1806.43</v>
      </c>
      <c r="X210" s="343">
        <f>W210/W209-1</f>
        <v/>
      </c>
      <c r="Y210" s="343">
        <f>W210/W206-1</f>
        <v/>
      </c>
      <c r="Z210" s="317" t="n">
        <v>142182.32</v>
      </c>
      <c r="AA210" s="343">
        <f>Z210/Z209-1</f>
        <v/>
      </c>
      <c r="AB210" s="343">
        <f>Z210/Z206-1</f>
        <v/>
      </c>
      <c r="AC210" s="317" t="n">
        <v>131555.36</v>
      </c>
      <c r="AD210" s="343">
        <f>AC210/AC209-1</f>
        <v/>
      </c>
      <c r="AE210" s="343">
        <f>AC210/AC206-1</f>
        <v/>
      </c>
      <c r="AF210" s="317" t="n">
        <v>9091.499999999998</v>
      </c>
      <c r="AG210" s="343">
        <f>AF210/AF209-1</f>
        <v/>
      </c>
      <c r="AH210" s="343">
        <f>AF210/AF206-1</f>
        <v/>
      </c>
      <c r="AI210" s="317" t="n">
        <v>1535.44</v>
      </c>
      <c r="AJ210" s="343">
        <f>AI210/AI209-1</f>
        <v/>
      </c>
      <c r="AK210" s="343">
        <f>AI210/AI206-1</f>
        <v/>
      </c>
      <c r="AL210" s="182" t="n">
        <v>77.82916666666667</v>
      </c>
      <c r="AM210" s="179">
        <f>AL210-AL208</f>
        <v/>
      </c>
      <c r="AN210" s="179">
        <f>AL210-AL206</f>
        <v/>
      </c>
      <c r="AO210" s="182" t="n">
        <v>77.855</v>
      </c>
      <c r="AP210" s="179">
        <f>AO210-AO208</f>
        <v/>
      </c>
      <c r="AQ210" s="179">
        <f>AO210-AO206</f>
        <v/>
      </c>
      <c r="AR210" s="182" t="n">
        <v>77.91</v>
      </c>
      <c r="AS210" s="179">
        <f>AR210-AR208</f>
        <v/>
      </c>
      <c r="AT210" s="179">
        <f>AR210-AR206</f>
        <v/>
      </c>
      <c r="AU210" s="182" t="n">
        <v>73.5775</v>
      </c>
      <c r="AV210" s="179">
        <f>AU210-AU208</f>
        <v/>
      </c>
      <c r="AW210" s="179">
        <f>AU210-AU206</f>
        <v/>
      </c>
      <c r="AX210" s="268" t="n"/>
      <c r="AY210" s="353" t="n"/>
      <c r="AZ210" s="343" t="n"/>
      <c r="BA210" s="317" t="n"/>
      <c r="BB210" s="39" t="n"/>
      <c r="BC210" s="317" t="n"/>
      <c r="BD210" s="39" t="n"/>
      <c r="BE210" s="317" t="n"/>
      <c r="BF210" s="39" t="n"/>
      <c r="BG210" s="317" t="n"/>
      <c r="BH210" s="39" t="n"/>
      <c r="BI210" s="317" t="n"/>
      <c r="BJ210" s="39" t="n"/>
      <c r="BK210" s="317" t="n"/>
      <c r="BL210" s="39" t="n"/>
      <c r="BM210" s="317" t="n"/>
      <c r="BN210" s="39" t="n"/>
      <c r="BO210" s="317" t="n"/>
      <c r="BP210" s="354" t="n"/>
      <c r="BQ210" s="39" t="n"/>
      <c r="BR210" s="317" t="n"/>
      <c r="BS210" s="39" t="n"/>
      <c r="BT210" s="317" t="n"/>
      <c r="BU210" s="39" t="n"/>
      <c r="BV210" s="317" t="n"/>
      <c r="BW210" s="39" t="n"/>
      <c r="BX210" s="317" t="n"/>
      <c r="BY210" s="39" t="n"/>
      <c r="BZ210" s="317" t="n"/>
      <c r="CA210" s="39" t="n"/>
      <c r="CB210" s="317" t="n"/>
      <c r="CC210" s="39" t="n"/>
      <c r="CD210" s="317" t="n"/>
      <c r="CE210" s="39" t="n"/>
      <c r="CF210" s="317" t="n"/>
      <c r="CG210" s="39" t="n"/>
      <c r="CH210" s="317" t="n"/>
      <c r="CI210" s="39" t="n"/>
      <c r="CJ210" s="317" t="n"/>
      <c r="CK210" s="39" t="n"/>
      <c r="CL210" s="317" t="n"/>
      <c r="CM210" s="39" t="n"/>
      <c r="CN210" s="317" t="n"/>
      <c r="CO210" s="39" t="n"/>
      <c r="CP210" s="317" t="n"/>
      <c r="CQ210" s="39" t="n"/>
      <c r="CR210" s="317" t="n"/>
      <c r="CS210" s="39" t="n"/>
      <c r="CT210" s="317" t="n"/>
      <c r="CU210" s="39" t="n"/>
      <c r="CV210" s="39" t="n"/>
      <c r="CW210" s="355" t="n"/>
      <c r="CX210" s="39" t="n"/>
      <c r="CY210" s="355" t="n"/>
      <c r="CZ210" s="39" t="n"/>
      <c r="DA210" s="355" t="n"/>
      <c r="DB210" s="39" t="n"/>
      <c r="DC210" s="117" t="n"/>
      <c r="DD210" s="39" t="n"/>
      <c r="DE210" s="356" t="n"/>
      <c r="DF210" s="356" t="n"/>
    </row>
    <row r="211" ht="13" customFormat="1" customHeight="1" s="40">
      <c r="A211" s="326" t="inlineStr">
        <is>
          <t>2024年</t>
        </is>
      </c>
      <c r="B211" s="291" t="n">
        <v>362924.2899999999</v>
      </c>
      <c r="C211" s="343">
        <f>B211/B210-1</f>
        <v/>
      </c>
      <c r="D211" s="343">
        <f>B211/B206-1</f>
        <v/>
      </c>
      <c r="E211" s="291" t="n">
        <v>273177.6299999999</v>
      </c>
      <c r="F211" s="343">
        <f>E211/E210-1</f>
        <v/>
      </c>
      <c r="G211" s="343">
        <f>E211/E206-1</f>
        <v/>
      </c>
      <c r="H211" s="291" t="n">
        <v>86482.99999999999</v>
      </c>
      <c r="I211" s="343">
        <f>H211/H210-1</f>
        <v/>
      </c>
      <c r="J211" s="343">
        <f>H211/H206-1</f>
        <v/>
      </c>
      <c r="K211" s="291" t="n">
        <v>3263.670000000001</v>
      </c>
      <c r="L211" s="343">
        <f>K211/K210-1</f>
        <v/>
      </c>
      <c r="M211" s="343">
        <f>K211/K206-1</f>
        <v/>
      </c>
      <c r="N211" s="291" t="n">
        <v>305974.8499999999</v>
      </c>
      <c r="O211" s="343">
        <f>N211/N210-1</f>
        <v/>
      </c>
      <c r="P211" s="343">
        <f>N211/N206-1</f>
        <v/>
      </c>
      <c r="Q211" s="291" t="n">
        <v>231269.21</v>
      </c>
      <c r="R211" s="343">
        <f>Q211/Q210-1</f>
        <v/>
      </c>
      <c r="S211" s="343">
        <f>Q211/Q206-1</f>
        <v/>
      </c>
      <c r="T211" s="291" t="n">
        <v>72161.50999999999</v>
      </c>
      <c r="U211" s="343">
        <f>T211/T210-1</f>
        <v/>
      </c>
      <c r="V211" s="343">
        <f>T211/T206-1</f>
        <v/>
      </c>
      <c r="W211" s="291" t="n">
        <v>2544.16</v>
      </c>
      <c r="X211" s="343">
        <f>W211/W210-1</f>
        <v/>
      </c>
      <c r="Y211" s="343">
        <f>W211/W206-1</f>
        <v/>
      </c>
      <c r="Z211" s="291" t="n">
        <v>164737.76</v>
      </c>
      <c r="AA211" s="348">
        <f>Z211/Z210-1</f>
        <v/>
      </c>
      <c r="AB211" s="348">
        <f>Z211/Z206-1</f>
        <v/>
      </c>
      <c r="AC211" s="291" t="n">
        <v>145165.58</v>
      </c>
      <c r="AD211" s="348">
        <f>AC211/AC210-1</f>
        <v/>
      </c>
      <c r="AE211" s="348">
        <f>AC211/AC206-1</f>
        <v/>
      </c>
      <c r="AF211" s="291" t="n">
        <v>17656.44</v>
      </c>
      <c r="AG211" s="348">
        <f>AF211/AF210-1</f>
        <v/>
      </c>
      <c r="AH211" s="348">
        <f>AF211/AF206-1</f>
        <v/>
      </c>
      <c r="AI211" s="291" t="n">
        <v>1915.74</v>
      </c>
      <c r="AJ211" s="348">
        <f>AI211/AI210-1</f>
        <v/>
      </c>
      <c r="AK211" s="348">
        <f>AI211/AI206-1</f>
        <v/>
      </c>
      <c r="AL211" s="336" t="n">
        <v>84.24916666666667</v>
      </c>
      <c r="AM211" s="336">
        <f>AL211-AL209</f>
        <v/>
      </c>
      <c r="AN211" s="336">
        <f>AL211-AL206</f>
        <v/>
      </c>
      <c r="AO211" s="336" t="n">
        <v>84.60666666666667</v>
      </c>
      <c r="AP211" s="336">
        <f>AO211-AO209</f>
        <v/>
      </c>
      <c r="AQ211" s="336">
        <f>AO211-AO206</f>
        <v/>
      </c>
      <c r="AR211" s="336" t="n">
        <v>83.33416666666666</v>
      </c>
      <c r="AS211" s="336">
        <f>AR211-AR209</f>
        <v/>
      </c>
      <c r="AT211" s="336">
        <f>AR211-AR206</f>
        <v/>
      </c>
      <c r="AU211" s="336" t="n">
        <v>77.86583333333333</v>
      </c>
      <c r="AV211" s="336">
        <f>AU211-AU209</f>
        <v/>
      </c>
      <c r="AW211" s="336">
        <f>AU211-AU206</f>
        <v/>
      </c>
      <c r="AX211" s="53" t="n"/>
      <c r="AY211" s="348" t="n"/>
      <c r="AZ211" s="343" t="n"/>
      <c r="BA211" s="291" t="n"/>
      <c r="BB211" s="39" t="n"/>
      <c r="BC211" s="291" t="n"/>
      <c r="BD211" s="39" t="n"/>
      <c r="BE211" s="291" t="n"/>
      <c r="BF211" s="39" t="n"/>
      <c r="BG211" s="291" t="n"/>
      <c r="BH211" s="39" t="n"/>
      <c r="BI211" s="291" t="n"/>
      <c r="BJ211" s="39" t="n"/>
      <c r="BK211" s="291" t="n"/>
      <c r="BL211" s="39" t="n"/>
      <c r="BM211" s="291" t="n"/>
      <c r="BN211" s="39" t="n"/>
      <c r="BO211" s="291" t="n"/>
      <c r="BP211" s="291" t="n"/>
      <c r="BQ211" s="39" t="n"/>
      <c r="BR211" s="291" t="n"/>
      <c r="BS211" s="39" t="n"/>
      <c r="BT211" s="291" t="n"/>
      <c r="BU211" s="39" t="n"/>
      <c r="BV211" s="291" t="n"/>
      <c r="BW211" s="39" t="n"/>
      <c r="BX211" s="291" t="n"/>
      <c r="BY211" s="39" t="n"/>
      <c r="BZ211" s="291" t="n"/>
      <c r="CA211" s="39" t="n"/>
      <c r="CB211" s="291" t="n"/>
      <c r="CC211" s="39" t="n"/>
      <c r="CD211" s="291" t="n"/>
      <c r="CE211" s="39" t="n"/>
      <c r="CF211" s="291" t="n"/>
      <c r="CG211" s="291" t="n"/>
      <c r="CH211" s="291" t="n"/>
      <c r="CI211" s="291" t="n"/>
      <c r="CJ211" s="291" t="n"/>
      <c r="CK211" s="291" t="n"/>
      <c r="CL211" s="291" t="n"/>
      <c r="CM211" s="291" t="n"/>
      <c r="CN211" s="291" t="n"/>
      <c r="CO211" s="291" t="n"/>
      <c r="CP211" s="343" t="n"/>
      <c r="CQ211" s="291" t="n"/>
      <c r="CR211" s="343" t="n"/>
      <c r="CS211" s="291" t="n"/>
      <c r="CT211" s="343" t="n"/>
      <c r="CU211" s="291" t="n"/>
      <c r="CV211" s="343" t="n"/>
      <c r="CW211" s="291" t="n"/>
      <c r="CX211" s="39" t="n"/>
      <c r="CY211" s="291" t="n"/>
      <c r="CZ211" s="39" t="n"/>
      <c r="DA211" s="291" t="n"/>
      <c r="DB211" s="39" t="n"/>
      <c r="DC211" s="291" t="n"/>
      <c r="DD211" s="39" t="n"/>
      <c r="DE211" s="311" t="n"/>
      <c r="DF211" s="311" t="n"/>
    </row>
    <row r="212" ht="13" customFormat="1" customHeight="1" s="40">
      <c r="A212" s="335" t="n"/>
      <c r="B212" s="291" t="n"/>
      <c r="C212" s="37" t="n"/>
      <c r="D212" s="37" t="n"/>
      <c r="E212" s="291" t="n"/>
      <c r="F212" s="37" t="n"/>
      <c r="G212" s="37" t="n"/>
      <c r="H212" s="291" t="n"/>
      <c r="I212" s="37" t="n"/>
      <c r="J212" s="37" t="n"/>
      <c r="K212" s="291" t="n"/>
      <c r="L212" s="37" t="n"/>
      <c r="M212" s="37" t="n"/>
      <c r="N212" s="291" t="n"/>
      <c r="O212" s="37" t="n"/>
      <c r="P212" s="37" t="n"/>
      <c r="Q212" s="291" t="n"/>
      <c r="R212" s="37" t="n"/>
      <c r="S212" s="37" t="n"/>
      <c r="T212" s="291" t="n"/>
      <c r="U212" s="37" t="n"/>
      <c r="V212" s="37" t="n"/>
      <c r="W212" s="291" t="n"/>
      <c r="X212" s="37" t="n"/>
      <c r="Y212" s="37" t="n"/>
      <c r="Z212" s="291" t="n"/>
      <c r="AA212" s="37" t="n"/>
      <c r="AB212" s="37" t="n"/>
      <c r="AC212" s="291" t="n"/>
      <c r="AD212" s="37" t="n"/>
      <c r="AE212" s="37" t="n"/>
      <c r="AF212" s="291" t="n"/>
      <c r="AG212" s="37" t="n"/>
      <c r="AH212" s="37" t="n"/>
      <c r="AI212" s="291" t="n"/>
      <c r="AJ212" s="37" t="n"/>
      <c r="AK212" s="37" t="n"/>
      <c r="AL212" s="291" t="n"/>
      <c r="AM212" s="291" t="n"/>
      <c r="AN212" s="291" t="n"/>
      <c r="AO212" s="291" t="n"/>
      <c r="AP212" s="291" t="n"/>
      <c r="AQ212" s="291" t="n"/>
      <c r="AR212" s="291" t="n"/>
      <c r="AS212" s="291" t="n"/>
      <c r="AT212" s="291" t="n"/>
      <c r="AU212" s="291" t="n"/>
      <c r="AV212" s="291" t="n"/>
      <c r="AW212" s="291" t="n"/>
      <c r="AX212" s="53" t="n"/>
      <c r="AY212" s="291" t="n"/>
      <c r="AZ212" s="291" t="n"/>
      <c r="BA212" s="291" t="n"/>
      <c r="BB212" s="291" t="n"/>
      <c r="BC212" s="291" t="n"/>
      <c r="BD212" s="291" t="n"/>
      <c r="BE212" s="291" t="n"/>
      <c r="BF212" s="291" t="n"/>
      <c r="BG212" s="291" t="n"/>
      <c r="BH212" s="291" t="n"/>
      <c r="BI212" s="291" t="n"/>
      <c r="BJ212" s="291" t="n"/>
      <c r="BK212" s="291" t="n"/>
      <c r="BL212" s="291" t="n"/>
      <c r="BM212" s="291" t="n"/>
      <c r="BN212" s="291" t="n"/>
      <c r="BO212" s="291" t="n"/>
      <c r="BP212" s="291" t="n"/>
      <c r="BQ212" s="291" t="n"/>
      <c r="BR212" s="291" t="n"/>
      <c r="BS212" s="291" t="n"/>
      <c r="BT212" s="291" t="n"/>
      <c r="BU212" s="291" t="n"/>
      <c r="BV212" s="291" t="n"/>
      <c r="BW212" s="291" t="n"/>
      <c r="BX212" s="291" t="n"/>
      <c r="BY212" s="291" t="n"/>
      <c r="BZ212" s="291" t="n"/>
      <c r="CA212" s="291" t="n"/>
      <c r="CB212" s="291" t="n"/>
      <c r="CC212" s="291" t="n"/>
      <c r="CD212" s="291" t="n"/>
      <c r="CE212" s="291" t="n"/>
      <c r="CF212" s="291" t="n"/>
      <c r="CG212" s="291" t="n"/>
      <c r="CH212" s="291" t="n"/>
      <c r="CI212" s="291" t="n"/>
      <c r="CJ212" s="291" t="n"/>
      <c r="CK212" s="291" t="n"/>
      <c r="CL212" s="291" t="n"/>
      <c r="CM212" s="291" t="n"/>
      <c r="CN212" s="291" t="n"/>
      <c r="CO212" s="291" t="n"/>
      <c r="CP212" s="343" t="n"/>
      <c r="CQ212" s="291" t="n"/>
      <c r="CR212" s="343" t="n"/>
      <c r="CS212" s="291" t="n"/>
      <c r="CT212" s="343" t="n"/>
      <c r="CU212" s="291" t="n"/>
      <c r="CV212" s="343" t="n"/>
      <c r="CW212" s="291" t="n"/>
      <c r="CX212" s="291" t="n"/>
      <c r="CY212" s="291" t="n"/>
      <c r="CZ212" s="291" t="n"/>
      <c r="DA212" s="291" t="n"/>
      <c r="DB212" s="291" t="n"/>
      <c r="DC212" s="291" t="n"/>
      <c r="DD212" s="291" t="n"/>
      <c r="DE212" s="311" t="n"/>
      <c r="DF212" s="311" t="n"/>
    </row>
    <row r="213" ht="13" customFormat="1" customHeight="1" s="40">
      <c r="A213" s="326" t="n"/>
      <c r="B213" s="291" t="n"/>
      <c r="C213" s="37" t="n"/>
      <c r="D213" s="37" t="n"/>
      <c r="E213" s="291" t="n"/>
      <c r="F213" s="37" t="n"/>
      <c r="G213" s="37" t="n"/>
      <c r="H213" s="291" t="n"/>
      <c r="I213" s="37" t="n"/>
      <c r="J213" s="37" t="n"/>
      <c r="K213" s="291" t="n"/>
      <c r="L213" s="37" t="n"/>
      <c r="M213" s="37" t="n"/>
      <c r="N213" s="291" t="n"/>
      <c r="O213" s="37" t="n"/>
      <c r="P213" s="37" t="n"/>
      <c r="Q213" s="291" t="n"/>
      <c r="R213" s="37" t="n"/>
      <c r="S213" s="37" t="n"/>
      <c r="T213" s="291" t="n"/>
      <c r="U213" s="37" t="n"/>
      <c r="V213" s="37" t="n"/>
      <c r="W213" s="291" t="n"/>
      <c r="X213" s="37" t="n"/>
      <c r="Y213" s="37" t="n"/>
      <c r="Z213" s="291" t="n"/>
      <c r="AA213" s="37" t="n"/>
      <c r="AB213" s="37" t="n"/>
      <c r="AC213" s="291" t="n"/>
      <c r="AD213" s="37" t="n"/>
      <c r="AE213" s="37" t="n"/>
      <c r="AF213" s="291" t="n"/>
      <c r="AG213" s="37" t="n"/>
      <c r="AH213" s="37" t="n"/>
      <c r="AI213" s="291" t="n"/>
      <c r="AJ213" s="37" t="n"/>
      <c r="AK213" s="37" t="n"/>
      <c r="AL213" s="291" t="n"/>
      <c r="AM213" s="291" t="n"/>
      <c r="AN213" s="291" t="n"/>
      <c r="AO213" s="291" t="n"/>
      <c r="AP213" s="291" t="n"/>
      <c r="AQ213" s="291" t="n"/>
      <c r="AR213" s="291" t="n"/>
      <c r="AS213" s="291" t="n"/>
      <c r="AT213" s="291" t="n"/>
      <c r="AU213" s="291" t="n"/>
      <c r="AV213" s="39" t="n"/>
      <c r="AW213" s="39" t="n"/>
      <c r="AX213" s="53" t="n"/>
      <c r="AY213" s="291" t="n"/>
      <c r="AZ213" s="291" t="n"/>
      <c r="BA213" s="291" t="n"/>
      <c r="BB213" s="291" t="n"/>
      <c r="BC213" s="291" t="n"/>
      <c r="BD213" s="291" t="n"/>
      <c r="BE213" s="291" t="n"/>
      <c r="BF213" s="291" t="n"/>
      <c r="BG213" s="291" t="n"/>
      <c r="BH213" s="291" t="n"/>
      <c r="BI213" s="291" t="n"/>
      <c r="BJ213" s="291" t="n"/>
      <c r="BK213" s="291" t="n"/>
      <c r="BL213" s="291" t="n"/>
      <c r="BM213" s="291" t="n"/>
      <c r="BN213" s="291" t="n"/>
      <c r="BO213" s="291" t="n"/>
      <c r="BP213" s="291" t="n"/>
      <c r="BQ213" s="291" t="n"/>
      <c r="BR213" s="291" t="n"/>
      <c r="BS213" s="291" t="n"/>
      <c r="BT213" s="291" t="n"/>
      <c r="BU213" s="291" t="n"/>
      <c r="BV213" s="291" t="n"/>
      <c r="BW213" s="291" t="n"/>
      <c r="BX213" s="291" t="n"/>
      <c r="BY213" s="291" t="n"/>
      <c r="BZ213" s="291" t="n"/>
      <c r="CA213" s="291" t="n"/>
      <c r="CB213" s="291" t="n"/>
      <c r="CC213" s="291" t="n"/>
      <c r="CD213" s="291" t="n"/>
      <c r="CE213" s="291" t="n"/>
      <c r="CF213" s="291" t="n"/>
      <c r="CG213" s="291" t="n"/>
      <c r="CH213" s="291" t="n"/>
      <c r="CI213" s="291" t="n"/>
      <c r="CJ213" s="291" t="n"/>
      <c r="CK213" s="291" t="n"/>
      <c r="CL213" s="291" t="n"/>
      <c r="CM213" s="291" t="n"/>
      <c r="CN213" s="291" t="n"/>
      <c r="CO213" s="291" t="n"/>
      <c r="CP213" s="291" t="n"/>
      <c r="CQ213" s="291" t="n"/>
      <c r="CR213" s="291" t="n"/>
      <c r="CS213" s="291" t="n"/>
      <c r="CT213" s="291" t="n"/>
      <c r="CU213" s="291" t="n"/>
      <c r="CV213" s="343" t="n"/>
      <c r="CW213" s="291" t="n"/>
      <c r="CX213" s="291" t="n"/>
      <c r="CY213" s="291" t="n"/>
      <c r="CZ213" s="291" t="n"/>
      <c r="DA213" s="291" t="n"/>
      <c r="DB213" s="291" t="n"/>
      <c r="DC213" s="291" t="n"/>
      <c r="DD213" s="291" t="n"/>
      <c r="DE213" s="311" t="n"/>
      <c r="DF213" s="311" t="n"/>
    </row>
    <row r="214" ht="13" customFormat="1" customHeight="1" s="40">
      <c r="A214" s="326" t="n"/>
      <c r="B214" s="291" t="n"/>
      <c r="C214" s="37" t="n"/>
      <c r="D214" s="37" t="n"/>
      <c r="E214" s="291" t="n"/>
      <c r="F214" s="37" t="n"/>
      <c r="G214" s="37" t="n"/>
      <c r="H214" s="291" t="n"/>
      <c r="I214" s="37" t="n"/>
      <c r="J214" s="37" t="n"/>
      <c r="K214" s="291" t="n"/>
      <c r="L214" s="37" t="n"/>
      <c r="M214" s="37" t="n"/>
      <c r="N214" s="291" t="n"/>
      <c r="O214" s="37" t="n"/>
      <c r="P214" s="37" t="n"/>
      <c r="Q214" s="291" t="n"/>
      <c r="R214" s="37" t="n"/>
      <c r="S214" s="37" t="n"/>
      <c r="T214" s="291" t="n"/>
      <c r="U214" s="37" t="n"/>
      <c r="V214" s="37" t="n"/>
      <c r="W214" s="291" t="n"/>
      <c r="X214" s="37" t="n"/>
      <c r="Y214" s="37" t="n"/>
      <c r="Z214" s="291" t="n"/>
      <c r="AA214" s="37" t="n"/>
      <c r="AB214" s="37" t="n"/>
      <c r="AC214" s="291" t="n"/>
      <c r="AD214" s="37" t="n"/>
      <c r="AE214" s="37" t="n"/>
      <c r="AF214" s="291" t="n"/>
      <c r="AG214" s="37" t="n"/>
      <c r="AH214" s="37" t="n"/>
      <c r="AI214" s="291" t="n"/>
      <c r="AJ214" s="37" t="n"/>
      <c r="AK214" s="37" t="n"/>
      <c r="AL214" s="291" t="n"/>
      <c r="AM214" s="291" t="n"/>
      <c r="AN214" s="291" t="n"/>
      <c r="AO214" s="291" t="n"/>
      <c r="AP214" s="291" t="n"/>
      <c r="AQ214" s="291" t="n"/>
      <c r="AR214" s="291" t="n"/>
      <c r="AS214" s="291" t="n"/>
      <c r="AT214" s="291" t="n"/>
      <c r="AU214" s="291" t="n"/>
      <c r="AV214" s="39" t="n"/>
      <c r="AW214" s="39" t="n"/>
      <c r="AX214" s="53" t="n"/>
      <c r="AY214" s="291" t="n"/>
      <c r="AZ214" s="291" t="n"/>
      <c r="BA214" s="291" t="n"/>
      <c r="BB214" s="291" t="n"/>
      <c r="BC214" s="291" t="n"/>
      <c r="BD214" s="291" t="n"/>
      <c r="BE214" s="291" t="n"/>
      <c r="BF214" s="291" t="n"/>
      <c r="BG214" s="291" t="n"/>
      <c r="BH214" s="291" t="n"/>
      <c r="BI214" s="291" t="n"/>
      <c r="BJ214" s="291" t="n"/>
      <c r="BK214" s="291" t="n"/>
      <c r="BL214" s="291" t="n"/>
      <c r="BM214" s="291" t="n"/>
      <c r="BN214" s="291" t="n"/>
      <c r="BO214" s="291" t="n"/>
      <c r="BP214" s="291" t="n"/>
      <c r="BQ214" s="291" t="n"/>
      <c r="BR214" s="291" t="n"/>
      <c r="BS214" s="291" t="n"/>
      <c r="BT214" s="291" t="n"/>
      <c r="BU214" s="291" t="n"/>
      <c r="BV214" s="291" t="n"/>
      <c r="BW214" s="291" t="n"/>
      <c r="BX214" s="291" t="n"/>
      <c r="BY214" s="291" t="n"/>
      <c r="BZ214" s="291" t="n"/>
      <c r="CA214" s="291" t="n"/>
      <c r="CB214" s="291" t="n"/>
      <c r="CC214" s="291" t="n"/>
      <c r="CD214" s="291" t="n"/>
      <c r="CE214" s="291" t="n"/>
      <c r="CF214" s="291" t="n"/>
      <c r="CG214" s="291" t="n"/>
      <c r="CH214" s="291" t="n"/>
      <c r="CI214" s="291" t="n"/>
      <c r="CJ214" s="291" t="n"/>
      <c r="CK214" s="291" t="n"/>
      <c r="CL214" s="291" t="n"/>
      <c r="CM214" s="291" t="n"/>
      <c r="CN214" s="291" t="n"/>
      <c r="CO214" s="291" t="n"/>
      <c r="CP214" s="291" t="n"/>
      <c r="CQ214" s="291" t="n"/>
      <c r="CR214" s="291" t="n"/>
      <c r="CS214" s="291" t="n"/>
      <c r="CT214" s="291" t="n"/>
      <c r="CU214" s="291" t="n"/>
      <c r="CV214" s="343" t="n"/>
      <c r="CW214" s="291" t="n"/>
      <c r="CX214" s="291" t="n"/>
      <c r="CY214" s="291" t="n"/>
      <c r="CZ214" s="291" t="n"/>
      <c r="DA214" s="291" t="n"/>
      <c r="DB214" s="291" t="n"/>
      <c r="DC214" s="291" t="n"/>
      <c r="DD214" s="291" t="n"/>
      <c r="DE214" s="311" t="n"/>
      <c r="DF214" s="311" t="n"/>
    </row>
    <row r="215" ht="13" customFormat="1" customHeight="1" s="40">
      <c r="A215" s="326" t="n"/>
      <c r="B215" s="291" t="n"/>
      <c r="C215" s="37" t="n"/>
      <c r="D215" s="37" t="n"/>
      <c r="E215" s="291" t="n"/>
      <c r="F215" s="37" t="n"/>
      <c r="G215" s="37" t="n"/>
      <c r="H215" s="291" t="n"/>
      <c r="I215" s="37" t="n"/>
      <c r="J215" s="37" t="n"/>
      <c r="K215" s="291" t="n"/>
      <c r="L215" s="37" t="n"/>
      <c r="M215" s="37" t="n"/>
      <c r="N215" s="291" t="n"/>
      <c r="O215" s="37" t="n"/>
      <c r="P215" s="37" t="n"/>
      <c r="Q215" s="291" t="n"/>
      <c r="R215" s="37" t="n"/>
      <c r="S215" s="37" t="n"/>
      <c r="T215" s="291" t="n"/>
      <c r="U215" s="37" t="n"/>
      <c r="V215" s="37" t="n"/>
      <c r="W215" s="291" t="n"/>
      <c r="X215" s="37" t="n"/>
      <c r="Y215" s="37" t="n"/>
      <c r="Z215" s="291" t="n"/>
      <c r="AA215" s="37" t="n"/>
      <c r="AB215" s="37" t="n"/>
      <c r="AC215" s="291" t="n"/>
      <c r="AD215" s="37" t="n"/>
      <c r="AE215" s="37" t="n"/>
      <c r="AF215" s="291" t="n"/>
      <c r="AG215" s="37" t="n"/>
      <c r="AH215" s="37" t="n"/>
      <c r="AI215" s="291" t="n"/>
      <c r="AJ215" s="37" t="n"/>
      <c r="AK215" s="37" t="n"/>
      <c r="AL215" s="291" t="n"/>
      <c r="AM215" s="291" t="n"/>
      <c r="AN215" s="291" t="n"/>
      <c r="AO215" s="291" t="n"/>
      <c r="AP215" s="291" t="n"/>
      <c r="AQ215" s="291" t="n"/>
      <c r="AR215" s="291" t="n"/>
      <c r="AS215" s="291" t="n"/>
      <c r="AT215" s="291" t="n"/>
      <c r="AU215" s="291" t="n"/>
      <c r="AV215" s="39" t="n"/>
      <c r="AW215" s="39" t="n"/>
      <c r="AX215" s="53" t="n"/>
      <c r="AY215" s="291" t="n"/>
      <c r="AZ215" s="291" t="n"/>
      <c r="BA215" s="291" t="n"/>
      <c r="BB215" s="291" t="n"/>
      <c r="BC215" s="291" t="n"/>
      <c r="BD215" s="291" t="n"/>
      <c r="BE215" s="291" t="n"/>
      <c r="BF215" s="291" t="n"/>
      <c r="BG215" s="291" t="n"/>
      <c r="BH215" s="291" t="n"/>
      <c r="BI215" s="291" t="n"/>
      <c r="BJ215" s="291" t="n"/>
      <c r="BK215" s="291" t="n"/>
      <c r="BL215" s="291" t="n"/>
      <c r="BM215" s="291" t="n"/>
      <c r="BN215" s="291" t="n"/>
      <c r="BO215" s="291" t="n"/>
      <c r="BP215" s="291" t="n"/>
      <c r="BQ215" s="291" t="n"/>
      <c r="BR215" s="291" t="n"/>
      <c r="BS215" s="291" t="n"/>
      <c r="BT215" s="291" t="n"/>
      <c r="BU215" s="291" t="n"/>
      <c r="BV215" s="291" t="n"/>
      <c r="BW215" s="291" t="n"/>
      <c r="BX215" s="291" t="n"/>
      <c r="BY215" s="291" t="n"/>
      <c r="BZ215" s="291" t="n"/>
      <c r="CA215" s="291" t="n"/>
      <c r="CB215" s="291" t="n"/>
      <c r="CC215" s="291" t="n"/>
      <c r="CD215" s="291" t="n"/>
      <c r="CE215" s="291" t="n"/>
      <c r="CF215" s="291" t="n"/>
      <c r="CG215" s="291" t="n"/>
      <c r="CH215" s="291" t="n"/>
      <c r="CI215" s="291" t="n"/>
      <c r="CJ215" s="291" t="n"/>
      <c r="CK215" s="291" t="n"/>
      <c r="CL215" s="291" t="n"/>
      <c r="CM215" s="291" t="n"/>
      <c r="CN215" s="291" t="n"/>
      <c r="CO215" s="291" t="n"/>
      <c r="CP215" s="291" t="n"/>
      <c r="CQ215" s="291" t="n"/>
      <c r="CR215" s="291" t="n"/>
      <c r="CS215" s="291" t="n"/>
      <c r="CT215" s="291" t="n"/>
      <c r="CU215" s="291" t="n"/>
      <c r="CV215" s="343" t="n"/>
      <c r="CW215" s="291" t="n"/>
      <c r="CX215" s="291" t="n"/>
      <c r="CY215" s="291" t="n"/>
      <c r="CZ215" s="291" t="n"/>
      <c r="DA215" s="291" t="n"/>
      <c r="DB215" s="291" t="n"/>
      <c r="DC215" s="291" t="n"/>
      <c r="DD215" s="291" t="n"/>
      <c r="DE215" s="311" t="n"/>
      <c r="DF215" s="311" t="n"/>
    </row>
    <row r="216" ht="13" customFormat="1" customHeight="1" s="40">
      <c r="A216" s="326" t="n"/>
      <c r="B216" s="291" t="n"/>
      <c r="C216" s="39" t="n"/>
      <c r="D216" s="39" t="n"/>
      <c r="E216" s="291" t="n"/>
      <c r="F216" s="39" t="n"/>
      <c r="G216" s="39" t="n"/>
      <c r="H216" s="291" t="n"/>
      <c r="I216" s="39" t="n"/>
      <c r="J216" s="39" t="n"/>
      <c r="K216" s="291" t="n"/>
      <c r="L216" s="39" t="n"/>
      <c r="M216" s="39" t="n"/>
      <c r="N216" s="291" t="n"/>
      <c r="O216" s="39" t="n"/>
      <c r="P216" s="39" t="n"/>
      <c r="Q216" s="291" t="n"/>
      <c r="R216" s="39" t="n"/>
      <c r="S216" s="39" t="n"/>
      <c r="T216" s="291" t="n"/>
      <c r="U216" s="39" t="n"/>
      <c r="V216" s="39" t="n"/>
      <c r="W216" s="291" t="n"/>
      <c r="X216" s="39" t="n"/>
      <c r="Y216" s="39" t="n"/>
      <c r="Z216" s="291" t="n"/>
      <c r="AA216" s="39" t="n"/>
      <c r="AB216" s="39" t="n"/>
      <c r="AC216" s="291" t="n"/>
      <c r="AD216" s="39" t="n"/>
      <c r="AE216" s="39" t="n"/>
      <c r="AF216" s="291" t="n"/>
      <c r="AG216" s="39" t="n"/>
      <c r="AH216" s="39" t="n"/>
      <c r="AI216" s="291" t="n"/>
      <c r="AJ216" s="39" t="n"/>
      <c r="AK216" s="39" t="n"/>
      <c r="AL216" s="291" t="n"/>
      <c r="AM216" s="39" t="n"/>
      <c r="AN216" s="39" t="n"/>
      <c r="AO216" s="291" t="n"/>
      <c r="AP216" s="39" t="n"/>
      <c r="AQ216" s="39" t="n"/>
      <c r="AR216" s="291" t="n"/>
      <c r="AS216" s="39" t="n"/>
      <c r="AT216" s="39" t="n"/>
      <c r="AU216" s="291" t="n"/>
      <c r="AV216" s="39" t="n"/>
      <c r="AW216" s="39" t="n"/>
      <c r="AX216" s="53" t="n"/>
      <c r="AY216" s="291" t="n"/>
      <c r="AZ216" s="39" t="n"/>
      <c r="BA216" s="291" t="n"/>
      <c r="BB216" s="39" t="n"/>
      <c r="BC216" s="291" t="n"/>
      <c r="BD216" s="39" t="n"/>
      <c r="BE216" s="291" t="n"/>
      <c r="BF216" s="39" t="n"/>
      <c r="BG216" s="291" t="n"/>
      <c r="BH216" s="39" t="n"/>
      <c r="BI216" s="291" t="n"/>
      <c r="BJ216" s="39" t="n"/>
      <c r="BK216" s="291" t="n"/>
      <c r="BL216" s="39" t="n"/>
      <c r="BM216" s="291" t="n"/>
      <c r="BN216" s="39" t="n"/>
      <c r="BO216" s="291" t="n"/>
      <c r="BP216" s="291" t="n"/>
      <c r="BQ216" s="39" t="n"/>
      <c r="BR216" s="291" t="n"/>
      <c r="BS216" s="39" t="n"/>
      <c r="BT216" s="291" t="n"/>
      <c r="BU216" s="39" t="n"/>
      <c r="BV216" s="291" t="n"/>
      <c r="BW216" s="39" t="n"/>
      <c r="BX216" s="291" t="n"/>
      <c r="BY216" s="39" t="n"/>
      <c r="BZ216" s="291" t="n"/>
      <c r="CA216" s="39" t="n"/>
      <c r="CB216" s="291" t="n"/>
      <c r="CC216" s="39" t="n"/>
      <c r="CD216" s="291" t="n"/>
      <c r="CE216" s="39" t="n"/>
      <c r="CF216" s="291" t="n"/>
      <c r="CG216" s="39" t="n"/>
      <c r="CH216" s="291" t="n"/>
      <c r="CI216" s="39" t="n"/>
      <c r="CJ216" s="291" t="n"/>
      <c r="CK216" s="39" t="n"/>
      <c r="CL216" s="291" t="n"/>
      <c r="CM216" s="39" t="n"/>
      <c r="CN216" s="291" t="n"/>
      <c r="CO216" s="39" t="n"/>
      <c r="CP216" s="291" t="n"/>
      <c r="CQ216" s="39" t="n"/>
      <c r="CR216" s="291" t="n"/>
      <c r="CS216" s="39" t="n"/>
      <c r="CT216" s="291" t="n"/>
      <c r="CU216" s="39" t="n"/>
      <c r="CV216" s="343" t="n"/>
      <c r="CW216" s="291" t="n"/>
      <c r="CX216" s="39" t="n"/>
      <c r="CY216" s="291" t="n"/>
      <c r="CZ216" s="39" t="n"/>
      <c r="DA216" s="291" t="n"/>
      <c r="DB216" s="39" t="n"/>
      <c r="DC216" s="291" t="n"/>
      <c r="DD216" s="39" t="n"/>
      <c r="DE216" s="311" t="n"/>
      <c r="DF216" s="311" t="n"/>
    </row>
    <row r="217" ht="13" customFormat="1" customHeight="1" s="40">
      <c r="A217" s="326" t="n"/>
      <c r="B217" s="291" t="n"/>
      <c r="C217" s="39" t="n"/>
      <c r="D217" s="39" t="n"/>
      <c r="E217" s="291" t="n"/>
      <c r="F217" s="39" t="n"/>
      <c r="G217" s="39" t="n"/>
      <c r="H217" s="291" t="n"/>
      <c r="I217" s="39" t="n"/>
      <c r="J217" s="39" t="n"/>
      <c r="K217" s="291" t="n"/>
      <c r="L217" s="39" t="n"/>
      <c r="M217" s="39" t="n"/>
      <c r="N217" s="291" t="n"/>
      <c r="O217" s="39" t="n"/>
      <c r="P217" s="39" t="n"/>
      <c r="Q217" s="291" t="n"/>
      <c r="R217" s="39" t="n"/>
      <c r="S217" s="39" t="n"/>
      <c r="T217" s="291" t="n"/>
      <c r="U217" s="39" t="n"/>
      <c r="V217" s="39" t="n"/>
      <c r="W217" s="291" t="n"/>
      <c r="X217" s="39" t="n"/>
      <c r="Y217" s="39" t="n"/>
      <c r="Z217" s="291" t="n"/>
      <c r="AA217" s="39" t="n"/>
      <c r="AB217" s="39" t="n"/>
      <c r="AC217" s="291" t="n"/>
      <c r="AD217" s="39" t="n"/>
      <c r="AE217" s="39" t="n"/>
      <c r="AF217" s="291" t="n"/>
      <c r="AG217" s="39" t="n"/>
      <c r="AH217" s="39" t="n"/>
      <c r="AI217" s="291" t="n"/>
      <c r="AJ217" s="39" t="n"/>
      <c r="AK217" s="39" t="n"/>
      <c r="AL217" s="291" t="n"/>
      <c r="AM217" s="39" t="n"/>
      <c r="AN217" s="39" t="n"/>
      <c r="AO217" s="291" t="n"/>
      <c r="AP217" s="39" t="n"/>
      <c r="AQ217" s="39" t="n"/>
      <c r="AR217" s="291" t="n"/>
      <c r="AS217" s="39" t="n"/>
      <c r="AT217" s="39" t="n"/>
      <c r="AU217" s="291" t="n"/>
      <c r="AV217" s="39" t="n"/>
      <c r="AW217" s="39" t="n"/>
      <c r="AX217" s="53" t="n"/>
      <c r="AY217" s="291" t="n"/>
      <c r="AZ217" s="39" t="n"/>
      <c r="BA217" s="291" t="n"/>
      <c r="BB217" s="39" t="n"/>
      <c r="BC217" s="291" t="n"/>
      <c r="BD217" s="39" t="n"/>
      <c r="BE217" s="291" t="n"/>
      <c r="BF217" s="39" t="n"/>
      <c r="BG217" s="291" t="n"/>
      <c r="BH217" s="39" t="n"/>
      <c r="BI217" s="291" t="n"/>
      <c r="BJ217" s="39" t="n"/>
      <c r="BK217" s="291" t="n"/>
      <c r="BL217" s="39" t="n"/>
      <c r="BM217" s="291" t="n"/>
      <c r="BN217" s="39" t="n"/>
      <c r="BO217" s="291" t="n"/>
      <c r="BP217" s="291" t="n"/>
      <c r="BQ217" s="39" t="n"/>
      <c r="BR217" s="291" t="n"/>
      <c r="BS217" s="39" t="n"/>
      <c r="BT217" s="291" t="n"/>
      <c r="BU217" s="39" t="n"/>
      <c r="BV217" s="291" t="n"/>
      <c r="BW217" s="39" t="n"/>
      <c r="BX217" s="291" t="n"/>
      <c r="BY217" s="39" t="n"/>
      <c r="BZ217" s="291" t="n"/>
      <c r="CA217" s="39" t="n"/>
      <c r="CB217" s="291" t="n"/>
      <c r="CC217" s="39" t="n"/>
      <c r="CD217" s="291" t="n"/>
      <c r="CE217" s="39" t="n"/>
      <c r="CF217" s="291" t="n"/>
      <c r="CG217" s="39" t="n"/>
      <c r="CH217" s="291" t="n"/>
      <c r="CI217" s="39" t="n"/>
      <c r="CJ217" s="291" t="n"/>
      <c r="CK217" s="39" t="n"/>
      <c r="CL217" s="291" t="n"/>
      <c r="CM217" s="39" t="n"/>
      <c r="CN217" s="291" t="n"/>
      <c r="CO217" s="39" t="n"/>
      <c r="CP217" s="291" t="n"/>
      <c r="CQ217" s="39" t="n"/>
      <c r="CR217" s="291" t="n"/>
      <c r="CS217" s="39" t="n"/>
      <c r="CT217" s="291" t="n"/>
      <c r="CU217" s="39" t="n"/>
      <c r="CV217" s="343" t="n"/>
      <c r="CW217" s="291" t="n"/>
      <c r="CX217" s="39" t="n"/>
      <c r="CY217" s="291" t="n"/>
      <c r="CZ217" s="39" t="n"/>
      <c r="DA217" s="291" t="n"/>
      <c r="DB217" s="39" t="n"/>
      <c r="DC217" s="291" t="n"/>
      <c r="DD217" s="39" t="n"/>
      <c r="DE217" s="311" t="n"/>
      <c r="DF217" s="311" t="n"/>
    </row>
    <row r="218" ht="13" customFormat="1" customHeight="1" s="40">
      <c r="A218" s="326" t="n"/>
      <c r="B218" s="291" t="n"/>
      <c r="C218" s="39" t="n"/>
      <c r="D218" s="39" t="n"/>
      <c r="E218" s="291" t="n"/>
      <c r="F218" s="39" t="n"/>
      <c r="G218" s="39" t="n"/>
      <c r="H218" s="291" t="n"/>
      <c r="I218" s="39" t="n"/>
      <c r="J218" s="39" t="n"/>
      <c r="K218" s="291" t="n"/>
      <c r="L218" s="39" t="n"/>
      <c r="M218" s="39" t="n"/>
      <c r="N218" s="291" t="n"/>
      <c r="O218" s="39" t="n"/>
      <c r="P218" s="39" t="n"/>
      <c r="Q218" s="291" t="n"/>
      <c r="R218" s="39" t="n"/>
      <c r="S218" s="39" t="n"/>
      <c r="T218" s="291" t="n"/>
      <c r="U218" s="39" t="n"/>
      <c r="V218" s="39" t="n"/>
      <c r="W218" s="291" t="n"/>
      <c r="X218" s="39" t="n"/>
      <c r="Y218" s="39" t="n"/>
      <c r="Z218" s="291" t="n"/>
      <c r="AA218" s="39" t="n"/>
      <c r="AB218" s="39" t="n"/>
      <c r="AC218" s="291" t="n"/>
      <c r="AD218" s="39" t="n"/>
      <c r="AE218" s="39" t="n"/>
      <c r="AF218" s="291" t="n"/>
      <c r="AG218" s="39" t="n"/>
      <c r="AH218" s="39" t="n"/>
      <c r="AI218" s="291" t="n"/>
      <c r="AJ218" s="39" t="n"/>
      <c r="AK218" s="39" t="n"/>
      <c r="AL218" s="291" t="n"/>
      <c r="AM218" s="39" t="n"/>
      <c r="AN218" s="39" t="n"/>
      <c r="AO218" s="291" t="n"/>
      <c r="AP218" s="39" t="n"/>
      <c r="AQ218" s="39" t="n"/>
      <c r="AR218" s="291" t="n"/>
      <c r="AS218" s="39" t="n"/>
      <c r="AT218" s="39" t="n"/>
      <c r="AU218" s="291" t="n"/>
      <c r="AV218" s="39" t="n"/>
      <c r="AW218" s="39" t="n"/>
      <c r="AX218" s="53" t="n"/>
      <c r="AY218" s="291" t="n"/>
      <c r="AZ218" s="39" t="n"/>
      <c r="BA218" s="291" t="n"/>
      <c r="BB218" s="39" t="n"/>
      <c r="BC218" s="291" t="n"/>
      <c r="BD218" s="39" t="n"/>
      <c r="BE218" s="291" t="n"/>
      <c r="BF218" s="39" t="n"/>
      <c r="BG218" s="291" t="n"/>
      <c r="BH218" s="39" t="n"/>
      <c r="BI218" s="291" t="n"/>
      <c r="BJ218" s="39" t="n"/>
      <c r="BK218" s="291" t="n"/>
      <c r="BL218" s="39" t="n"/>
      <c r="BM218" s="291" t="n"/>
      <c r="BN218" s="39" t="n"/>
      <c r="BO218" s="291" t="n"/>
      <c r="BP218" s="291" t="n"/>
      <c r="BQ218" s="39" t="n"/>
      <c r="BR218" s="291" t="n"/>
      <c r="BS218" s="39" t="n"/>
      <c r="BT218" s="291" t="n"/>
      <c r="BU218" s="39" t="n"/>
      <c r="BV218" s="291" t="n"/>
      <c r="BW218" s="39" t="n"/>
      <c r="BX218" s="291" t="n"/>
      <c r="BY218" s="39" t="n"/>
      <c r="BZ218" s="291" t="n"/>
      <c r="CA218" s="39" t="n"/>
      <c r="CB218" s="291" t="n"/>
      <c r="CC218" s="39" t="n"/>
      <c r="CD218" s="291" t="n"/>
      <c r="CE218" s="39" t="n"/>
      <c r="CF218" s="291" t="n"/>
      <c r="CG218" s="39" t="n"/>
      <c r="CH218" s="291" t="n"/>
      <c r="CI218" s="39" t="n"/>
      <c r="CJ218" s="291" t="n"/>
      <c r="CK218" s="39" t="n"/>
      <c r="CL218" s="291" t="n"/>
      <c r="CM218" s="39" t="n"/>
      <c r="CN218" s="291" t="n"/>
      <c r="CO218" s="39" t="n"/>
      <c r="CP218" s="291" t="n"/>
      <c r="CQ218" s="39" t="n"/>
      <c r="CR218" s="291" t="n"/>
      <c r="CS218" s="39" t="n"/>
      <c r="CT218" s="291" t="n"/>
      <c r="CU218" s="39" t="n"/>
      <c r="CV218" s="343" t="n"/>
      <c r="CW218" s="291" t="n"/>
      <c r="CX218" s="39" t="n"/>
      <c r="CY218" s="291" t="n"/>
      <c r="CZ218" s="39" t="n"/>
      <c r="DA218" s="291" t="n"/>
      <c r="DB218" s="39" t="n"/>
      <c r="DC218" s="291" t="n"/>
      <c r="DD218" s="39" t="n"/>
      <c r="DE218" s="311" t="n"/>
      <c r="DF218" s="311" t="n"/>
    </row>
    <row r="219" ht="13" customFormat="1" customHeight="1" s="40">
      <c r="A219" s="326" t="n"/>
      <c r="B219" s="291" t="n"/>
      <c r="C219" s="39" t="n"/>
      <c r="D219" s="39" t="n"/>
      <c r="E219" s="291" t="n"/>
      <c r="F219" s="39" t="n"/>
      <c r="G219" s="39" t="n"/>
      <c r="H219" s="291" t="n"/>
      <c r="I219" s="39" t="n"/>
      <c r="J219" s="39" t="n"/>
      <c r="K219" s="291" t="n"/>
      <c r="L219" s="39" t="n"/>
      <c r="M219" s="39" t="n"/>
      <c r="N219" s="291" t="n"/>
      <c r="O219" s="39" t="n"/>
      <c r="P219" s="39" t="n"/>
      <c r="Q219" s="291" t="n"/>
      <c r="R219" s="39" t="n"/>
      <c r="S219" s="39" t="n"/>
      <c r="T219" s="291" t="n"/>
      <c r="U219" s="39" t="n"/>
      <c r="V219" s="39" t="n"/>
      <c r="W219" s="291" t="n"/>
      <c r="X219" s="39" t="n"/>
      <c r="Y219" s="39" t="n"/>
      <c r="Z219" s="291" t="n"/>
      <c r="AA219" s="39" t="n"/>
      <c r="AB219" s="39" t="n"/>
      <c r="AC219" s="291" t="n"/>
      <c r="AD219" s="39" t="n"/>
      <c r="AE219" s="39" t="n"/>
      <c r="AF219" s="291" t="n"/>
      <c r="AG219" s="39" t="n"/>
      <c r="AH219" s="39" t="n"/>
      <c r="AI219" s="291" t="n"/>
      <c r="AJ219" s="39" t="n"/>
      <c r="AK219" s="39" t="n"/>
      <c r="AL219" s="291" t="n"/>
      <c r="AM219" s="39" t="n"/>
      <c r="AN219" s="39" t="n"/>
      <c r="AO219" s="291" t="n"/>
      <c r="AP219" s="39" t="n"/>
      <c r="AQ219" s="39" t="n"/>
      <c r="AR219" s="291" t="n"/>
      <c r="AS219" s="39" t="n"/>
      <c r="AT219" s="39" t="n"/>
      <c r="AU219" s="291" t="n"/>
      <c r="AV219" s="39" t="n"/>
      <c r="AW219" s="39" t="n"/>
      <c r="AX219" s="53" t="n"/>
      <c r="AY219" s="291" t="n"/>
      <c r="AZ219" s="39" t="n"/>
      <c r="BA219" s="291" t="n"/>
      <c r="BB219" s="39" t="n"/>
      <c r="BC219" s="291" t="n"/>
      <c r="BD219" s="39" t="n"/>
      <c r="BE219" s="291" t="n"/>
      <c r="BF219" s="39" t="n"/>
      <c r="BG219" s="291" t="n"/>
      <c r="BH219" s="39" t="n"/>
      <c r="BI219" s="291" t="n"/>
      <c r="BJ219" s="39" t="n"/>
      <c r="BK219" s="291" t="n"/>
      <c r="BL219" s="39" t="n"/>
      <c r="BM219" s="291" t="n"/>
      <c r="BN219" s="39" t="n"/>
      <c r="BO219" s="291" t="n"/>
      <c r="BP219" s="291" t="n"/>
      <c r="BQ219" s="39" t="n"/>
      <c r="BR219" s="291" t="n"/>
      <c r="BS219" s="39" t="n"/>
      <c r="BT219" s="291" t="n"/>
      <c r="BU219" s="39" t="n"/>
      <c r="BV219" s="291" t="n"/>
      <c r="BW219" s="39" t="n"/>
      <c r="BX219" s="291" t="n"/>
      <c r="BY219" s="39" t="n"/>
      <c r="BZ219" s="291" t="n"/>
      <c r="CA219" s="39" t="n"/>
      <c r="CB219" s="291" t="n"/>
      <c r="CC219" s="39" t="n"/>
      <c r="CD219" s="291" t="n"/>
      <c r="CE219" s="39" t="n"/>
      <c r="CF219" s="291" t="n"/>
      <c r="CG219" s="39" t="n"/>
      <c r="CH219" s="291" t="n"/>
      <c r="CI219" s="39" t="n"/>
      <c r="CJ219" s="291" t="n"/>
      <c r="CK219" s="39" t="n"/>
      <c r="CL219" s="291" t="n"/>
      <c r="CM219" s="39" t="n"/>
      <c r="CN219" s="291" t="n"/>
      <c r="CO219" s="39" t="n"/>
      <c r="CP219" s="291" t="n"/>
      <c r="CQ219" s="39" t="n"/>
      <c r="CR219" s="291" t="n"/>
      <c r="CS219" s="39" t="n"/>
      <c r="CT219" s="291" t="n"/>
      <c r="CU219" s="39" t="n"/>
      <c r="CV219" s="343" t="n"/>
      <c r="CW219" s="291" t="n"/>
      <c r="CX219" s="39" t="n"/>
      <c r="CY219" s="291" t="n"/>
      <c r="CZ219" s="39" t="n"/>
      <c r="DA219" s="291" t="n"/>
      <c r="DB219" s="39" t="n"/>
      <c r="DC219" s="291" t="n"/>
      <c r="DD219" s="39" t="n"/>
      <c r="DE219" s="311" t="n"/>
      <c r="DF219" s="311" t="n"/>
    </row>
    <row r="220" ht="13" customFormat="1" customHeight="1" s="40">
      <c r="A220" s="326" t="n"/>
      <c r="B220" s="291" t="n"/>
      <c r="C220" s="39" t="n"/>
      <c r="D220" s="39" t="n"/>
      <c r="E220" s="291" t="n"/>
      <c r="F220" s="39" t="n"/>
      <c r="G220" s="39" t="n"/>
      <c r="H220" s="291" t="n"/>
      <c r="I220" s="39" t="n"/>
      <c r="J220" s="39" t="n"/>
      <c r="K220" s="291" t="n"/>
      <c r="L220" s="39" t="n"/>
      <c r="M220" s="39" t="n"/>
      <c r="N220" s="291" t="n"/>
      <c r="O220" s="39" t="n"/>
      <c r="P220" s="39" t="n"/>
      <c r="Q220" s="291" t="n"/>
      <c r="R220" s="39" t="n"/>
      <c r="S220" s="39" t="n"/>
      <c r="T220" s="291" t="n"/>
      <c r="U220" s="39" t="n"/>
      <c r="V220" s="39" t="n"/>
      <c r="W220" s="291" t="n"/>
      <c r="X220" s="39" t="n"/>
      <c r="Y220" s="39" t="n"/>
      <c r="Z220" s="291" t="n"/>
      <c r="AA220" s="39" t="n"/>
      <c r="AB220" s="39" t="n"/>
      <c r="AC220" s="291" t="n"/>
      <c r="AD220" s="39" t="n"/>
      <c r="AE220" s="39" t="n"/>
      <c r="AF220" s="291" t="n"/>
      <c r="AG220" s="39" t="n"/>
      <c r="AH220" s="39" t="n"/>
      <c r="AI220" s="291" t="n"/>
      <c r="AJ220" s="39" t="n"/>
      <c r="AK220" s="39" t="n"/>
      <c r="AL220" s="291" t="n"/>
      <c r="AM220" s="39" t="n"/>
      <c r="AN220" s="39" t="n"/>
      <c r="AO220" s="291" t="n"/>
      <c r="AP220" s="39" t="n"/>
      <c r="AQ220" s="39" t="n"/>
      <c r="AR220" s="291" t="n"/>
      <c r="AS220" s="39" t="n"/>
      <c r="AT220" s="39" t="n"/>
      <c r="AU220" s="291" t="n"/>
      <c r="AV220" s="39" t="n"/>
      <c r="AW220" s="39" t="n"/>
      <c r="AX220" s="53" t="n"/>
      <c r="AY220" s="291" t="n"/>
      <c r="AZ220" s="39" t="n"/>
      <c r="BA220" s="291" t="n"/>
      <c r="BB220" s="39" t="n"/>
      <c r="BC220" s="291" t="n"/>
      <c r="BD220" s="39" t="n"/>
      <c r="BE220" s="291" t="n"/>
      <c r="BF220" s="39" t="n"/>
      <c r="BG220" s="291" t="n"/>
      <c r="BH220" s="39" t="n"/>
      <c r="BI220" s="291" t="n"/>
      <c r="BJ220" s="39" t="n"/>
      <c r="BK220" s="291" t="n"/>
      <c r="BL220" s="39" t="n"/>
      <c r="BM220" s="291" t="n"/>
      <c r="BN220" s="39" t="n"/>
      <c r="BO220" s="291" t="n"/>
      <c r="BP220" s="291" t="n"/>
      <c r="BQ220" s="39" t="n"/>
      <c r="BR220" s="291" t="n"/>
      <c r="BS220" s="39" t="n"/>
      <c r="BT220" s="291" t="n"/>
      <c r="BU220" s="39" t="n"/>
      <c r="BV220" s="291" t="n"/>
      <c r="BW220" s="39" t="n"/>
      <c r="BX220" s="291" t="n"/>
      <c r="BY220" s="39" t="n"/>
      <c r="BZ220" s="291" t="n"/>
      <c r="CA220" s="39" t="n"/>
      <c r="CB220" s="291" t="n"/>
      <c r="CC220" s="39" t="n"/>
      <c r="CD220" s="291" t="n"/>
      <c r="CE220" s="39" t="n"/>
      <c r="CF220" s="291" t="n"/>
      <c r="CG220" s="39" t="n"/>
      <c r="CH220" s="291" t="n"/>
      <c r="CI220" s="39" t="n"/>
      <c r="CJ220" s="291" t="n"/>
      <c r="CK220" s="39" t="n"/>
      <c r="CL220" s="291" t="n"/>
      <c r="CM220" s="39" t="n"/>
      <c r="CN220" s="291" t="n"/>
      <c r="CO220" s="39" t="n"/>
      <c r="CP220" s="291" t="n"/>
      <c r="CQ220" s="39" t="n"/>
      <c r="CR220" s="291" t="n"/>
      <c r="CS220" s="39" t="n"/>
      <c r="CT220" s="291" t="n"/>
      <c r="CU220" s="39" t="n"/>
      <c r="CV220" s="343" t="n"/>
      <c r="CW220" s="291" t="n"/>
      <c r="CX220" s="39" t="n"/>
      <c r="CY220" s="291" t="n"/>
      <c r="CZ220" s="39" t="n"/>
      <c r="DA220" s="291" t="n"/>
      <c r="DB220" s="39" t="n"/>
      <c r="DC220" s="291" t="n"/>
      <c r="DD220" s="39" t="n"/>
      <c r="DE220" s="311" t="n"/>
      <c r="DF220" s="311" t="n"/>
    </row>
    <row r="221" ht="13" customFormat="1" customHeight="1" s="116">
      <c r="A221" s="342" t="n"/>
      <c r="B221" s="317" t="n"/>
      <c r="C221" s="39" t="n"/>
      <c r="D221" s="39" t="n"/>
      <c r="E221" s="317" t="n"/>
      <c r="F221" s="39" t="n"/>
      <c r="G221" s="39" t="n"/>
      <c r="H221" s="317" t="n"/>
      <c r="I221" s="39" t="n"/>
      <c r="J221" s="39" t="n"/>
      <c r="K221" s="317" t="n"/>
      <c r="L221" s="39" t="n"/>
      <c r="M221" s="39" t="n"/>
      <c r="N221" s="317" t="n"/>
      <c r="O221" s="39" t="n"/>
      <c r="P221" s="39" t="n"/>
      <c r="Q221" s="317" t="n"/>
      <c r="R221" s="39" t="n"/>
      <c r="S221" s="39" t="n"/>
      <c r="T221" s="317" t="n"/>
      <c r="U221" s="39" t="n"/>
      <c r="V221" s="39" t="n"/>
      <c r="W221" s="317" t="n"/>
      <c r="X221" s="39" t="n"/>
      <c r="Y221" s="39" t="n"/>
      <c r="Z221" s="317" t="n"/>
      <c r="AA221" s="39" t="n"/>
      <c r="AB221" s="39" t="n"/>
      <c r="AC221" s="317" t="n"/>
      <c r="AD221" s="39" t="n"/>
      <c r="AE221" s="39" t="n"/>
      <c r="AF221" s="317" t="n"/>
      <c r="AG221" s="39" t="n"/>
      <c r="AH221" s="39" t="n"/>
      <c r="AI221" s="317" t="n"/>
      <c r="AJ221" s="39" t="n"/>
      <c r="AK221" s="39" t="n"/>
      <c r="AL221" s="317" t="n"/>
      <c r="AM221" s="39" t="n"/>
      <c r="AN221" s="39" t="n"/>
      <c r="AO221" s="317" t="n"/>
      <c r="AP221" s="39" t="n"/>
      <c r="AQ221" s="39" t="n"/>
      <c r="AR221" s="317" t="n"/>
      <c r="AS221" s="39" t="n"/>
      <c r="AT221" s="39" t="n"/>
      <c r="AU221" s="317" t="n"/>
      <c r="AV221" s="39" t="n"/>
      <c r="AW221" s="39" t="n"/>
      <c r="AX221" s="268" t="n"/>
      <c r="AY221" s="317" t="n"/>
      <c r="AZ221" s="39" t="n"/>
      <c r="BA221" s="317" t="n"/>
      <c r="BB221" s="39" t="n"/>
      <c r="BC221" s="317" t="n"/>
      <c r="BD221" s="39" t="n"/>
      <c r="BE221" s="317" t="n"/>
      <c r="BF221" s="39" t="n"/>
      <c r="BG221" s="317" t="n"/>
      <c r="BH221" s="39" t="n"/>
      <c r="BI221" s="317" t="n"/>
      <c r="BJ221" s="39" t="n"/>
      <c r="BK221" s="317" t="n"/>
      <c r="BL221" s="39" t="n"/>
      <c r="BM221" s="317" t="n"/>
      <c r="BN221" s="39" t="n"/>
      <c r="BO221" s="317" t="n"/>
      <c r="BP221" s="317" t="n"/>
      <c r="BQ221" s="39" t="n"/>
      <c r="BR221" s="317" t="n"/>
      <c r="BS221" s="39" t="n"/>
      <c r="BT221" s="317" t="n"/>
      <c r="BU221" s="39" t="n"/>
      <c r="BV221" s="317" t="n"/>
      <c r="BW221" s="39" t="n"/>
      <c r="BX221" s="317" t="n"/>
      <c r="BY221" s="39" t="n"/>
      <c r="BZ221" s="317" t="n"/>
      <c r="CA221" s="39" t="n"/>
      <c r="CB221" s="317" t="n"/>
      <c r="CC221" s="39" t="n"/>
      <c r="CD221" s="317" t="n"/>
      <c r="CE221" s="39" t="n"/>
      <c r="CF221" s="317" t="n"/>
      <c r="CG221" s="39" t="n"/>
      <c r="CH221" s="317" t="n"/>
      <c r="CI221" s="39" t="n"/>
      <c r="CJ221" s="317" t="n"/>
      <c r="CK221" s="39" t="n"/>
      <c r="CL221" s="317" t="n"/>
      <c r="CM221" s="39" t="n"/>
      <c r="CN221" s="317" t="n"/>
      <c r="CO221" s="39" t="n"/>
      <c r="CP221" s="317" t="n"/>
      <c r="CQ221" s="39" t="n"/>
      <c r="CR221" s="317" t="n"/>
      <c r="CS221" s="39" t="n"/>
      <c r="CT221" s="317" t="n"/>
      <c r="CU221" s="39" t="n"/>
      <c r="CV221" s="343" t="n"/>
      <c r="CW221" s="317" t="n"/>
      <c r="CX221" s="39" t="n"/>
      <c r="CY221" s="317" t="n"/>
      <c r="CZ221" s="39" t="n"/>
      <c r="DA221" s="317" t="n"/>
      <c r="DB221" s="39" t="n"/>
      <c r="DC221" s="317" t="n"/>
      <c r="DD221" s="39" t="n"/>
      <c r="DE221" s="319" t="n"/>
      <c r="DF221" s="319" t="n"/>
    </row>
    <row r="222" ht="13" customFormat="1" customHeight="1" s="40">
      <c r="A222" s="326" t="n"/>
      <c r="B222" s="291" t="n"/>
      <c r="C222" s="39" t="n"/>
      <c r="D222" s="39" t="n"/>
      <c r="E222" s="291" t="n"/>
      <c r="F222" s="39" t="n"/>
      <c r="G222" s="39" t="n"/>
      <c r="H222" s="291" t="n"/>
      <c r="I222" s="39" t="n"/>
      <c r="J222" s="39" t="n"/>
      <c r="K222" s="291" t="n"/>
      <c r="L222" s="39" t="n"/>
      <c r="M222" s="39" t="n"/>
      <c r="N222" s="291" t="n"/>
      <c r="O222" s="39" t="n"/>
      <c r="P222" s="39" t="n"/>
      <c r="Q222" s="291" t="n"/>
      <c r="R222" s="39" t="n"/>
      <c r="S222" s="39" t="n"/>
      <c r="T222" s="291" t="n"/>
      <c r="U222" s="39" t="n"/>
      <c r="V222" s="39" t="n"/>
      <c r="W222" s="291" t="n"/>
      <c r="X222" s="39" t="n"/>
      <c r="Y222" s="39" t="n"/>
      <c r="Z222" s="291" t="n"/>
      <c r="AA222" s="39" t="n"/>
      <c r="AB222" s="39" t="n"/>
      <c r="AC222" s="291" t="n"/>
      <c r="AD222" s="39" t="n"/>
      <c r="AE222" s="39" t="n"/>
      <c r="AF222" s="291" t="n"/>
      <c r="AG222" s="39" t="n"/>
      <c r="AH222" s="39" t="n"/>
      <c r="AI222" s="291" t="n"/>
      <c r="AJ222" s="39" t="n"/>
      <c r="AK222" s="39" t="n"/>
      <c r="AL222" s="291" t="n"/>
      <c r="AM222" s="39" t="n"/>
      <c r="AN222" s="39" t="n"/>
      <c r="AO222" s="291" t="n"/>
      <c r="AP222" s="39" t="n"/>
      <c r="AQ222" s="39" t="n"/>
      <c r="AR222" s="291" t="n"/>
      <c r="AS222" s="39" t="n"/>
      <c r="AT222" s="39" t="n"/>
      <c r="AU222" s="291" t="n"/>
      <c r="AV222" s="39" t="n"/>
      <c r="AW222" s="39" t="n"/>
      <c r="AX222" s="53" t="n"/>
      <c r="AY222" s="291" t="n"/>
      <c r="AZ222" s="39" t="n"/>
      <c r="BA222" s="291" t="n"/>
      <c r="BB222" s="39" t="n"/>
      <c r="BC222" s="291" t="n"/>
      <c r="BD222" s="39" t="n"/>
      <c r="BE222" s="291" t="n"/>
      <c r="BF222" s="39" t="n"/>
      <c r="BG222" s="291" t="n"/>
      <c r="BH222" s="39" t="n"/>
      <c r="BI222" s="291" t="n"/>
      <c r="BJ222" s="39" t="n"/>
      <c r="BK222" s="291" t="n"/>
      <c r="BL222" s="39" t="n"/>
      <c r="BM222" s="291" t="n"/>
      <c r="BN222" s="39" t="n"/>
      <c r="BO222" s="291" t="n"/>
      <c r="BP222" s="291" t="n"/>
      <c r="BQ222" s="39" t="n"/>
      <c r="BR222" s="291" t="n"/>
      <c r="BS222" s="39" t="n"/>
      <c r="BT222" s="291" t="n"/>
      <c r="BU222" s="39" t="n"/>
      <c r="BV222" s="291" t="n"/>
      <c r="BW222" s="39" t="n"/>
      <c r="BX222" s="291" t="n"/>
      <c r="BY222" s="39" t="n"/>
      <c r="BZ222" s="291" t="n"/>
      <c r="CA222" s="39" t="n"/>
      <c r="CB222" s="291" t="n"/>
      <c r="CC222" s="39" t="n"/>
      <c r="CD222" s="291" t="n"/>
      <c r="CE222" s="39" t="n"/>
      <c r="CF222" s="291" t="n"/>
      <c r="CG222" s="39" t="n"/>
      <c r="CH222" s="291" t="n"/>
      <c r="CI222" s="39" t="n"/>
      <c r="CJ222" s="291" t="n"/>
      <c r="CK222" s="39" t="n"/>
      <c r="CL222" s="291" t="n"/>
      <c r="CM222" s="39" t="n"/>
      <c r="CN222" s="291" t="n"/>
      <c r="CO222" s="39" t="n"/>
      <c r="CP222" s="291" t="n"/>
      <c r="CQ222" s="39" t="n"/>
      <c r="CR222" s="291" t="n"/>
      <c r="CS222" s="39" t="n"/>
      <c r="CT222" s="291" t="n"/>
      <c r="CU222" s="39" t="n"/>
      <c r="CV222" s="343" t="n"/>
      <c r="CW222" s="291" t="n"/>
      <c r="CX222" s="39" t="n"/>
      <c r="CY222" s="291" t="n"/>
      <c r="CZ222" s="39" t="n"/>
      <c r="DA222" s="291" t="n"/>
      <c r="DB222" s="39" t="n"/>
      <c r="DC222" s="291" t="n"/>
      <c r="DD222" s="39" t="n"/>
      <c r="DE222" s="311" t="n"/>
      <c r="DF222" s="311" t="n"/>
    </row>
    <row r="223" ht="13" customFormat="1" customHeight="1" s="64">
      <c r="A223" s="342" t="n"/>
      <c r="B223" s="317" t="n"/>
      <c r="C223" s="39" t="n"/>
      <c r="D223" s="39" t="n"/>
      <c r="E223" s="317" t="n"/>
      <c r="F223" s="39" t="n"/>
      <c r="G223" s="39" t="n"/>
      <c r="H223" s="317" t="n"/>
      <c r="I223" s="39" t="n"/>
      <c r="J223" s="39" t="n"/>
      <c r="K223" s="317" t="n"/>
      <c r="L223" s="39" t="n"/>
      <c r="M223" s="39" t="n"/>
      <c r="N223" s="317" t="n"/>
      <c r="O223" s="39" t="n"/>
      <c r="P223" s="39" t="n"/>
      <c r="Q223" s="317" t="n"/>
      <c r="R223" s="39" t="n"/>
      <c r="S223" s="39" t="n"/>
      <c r="T223" s="317" t="n"/>
      <c r="U223" s="39" t="n"/>
      <c r="V223" s="39" t="n"/>
      <c r="W223" s="317" t="n"/>
      <c r="X223" s="39" t="n"/>
      <c r="Y223" s="39" t="n"/>
      <c r="Z223" s="317" t="n"/>
      <c r="AA223" s="39" t="n"/>
      <c r="AB223" s="39" t="n"/>
      <c r="AC223" s="317" t="n"/>
      <c r="AD223" s="39" t="n"/>
      <c r="AE223" s="39" t="n"/>
      <c r="AF223" s="317" t="n"/>
      <c r="AG223" s="39" t="n"/>
      <c r="AH223" s="39" t="n"/>
      <c r="AI223" s="317" t="n"/>
      <c r="AJ223" s="39" t="n"/>
      <c r="AK223" s="39" t="n"/>
      <c r="AL223" s="317" t="n"/>
      <c r="AM223" s="39" t="n"/>
      <c r="AN223" s="39" t="n"/>
      <c r="AO223" s="317" t="n"/>
      <c r="AP223" s="39" t="n"/>
      <c r="AQ223" s="39" t="n"/>
      <c r="AR223" s="317" t="n"/>
      <c r="AS223" s="39" t="n"/>
      <c r="AT223" s="39" t="n"/>
      <c r="AU223" s="317" t="n"/>
      <c r="AV223" s="39" t="n"/>
      <c r="AW223" s="39" t="n"/>
      <c r="AX223" s="357" t="n"/>
      <c r="AY223" s="357" t="n"/>
      <c r="AZ223" s="357" t="n"/>
      <c r="BA223" s="357" t="n"/>
      <c r="BB223" s="357" t="n"/>
      <c r="BC223" s="357" t="n"/>
      <c r="BD223" s="357" t="n"/>
      <c r="BE223" s="357" t="n"/>
      <c r="BF223" s="357" t="n"/>
      <c r="BG223" s="357" t="n"/>
      <c r="BH223" s="357" t="n"/>
      <c r="BI223" s="357" t="n"/>
      <c r="BJ223" s="357" t="n"/>
      <c r="BK223" s="357" t="n"/>
      <c r="BL223" s="357" t="n"/>
      <c r="BM223" s="357" t="n"/>
      <c r="BN223" s="357" t="n"/>
      <c r="BO223" s="357" t="n"/>
      <c r="BP223" s="357" t="n"/>
      <c r="BQ223" s="357" t="n"/>
      <c r="BR223" s="357" t="n"/>
      <c r="BS223" s="357" t="n"/>
      <c r="BT223" s="357" t="n"/>
      <c r="BU223" s="357" t="n"/>
      <c r="BV223" s="357" t="n"/>
      <c r="BW223" s="357" t="n"/>
      <c r="BX223" s="357" t="n"/>
      <c r="BY223" s="357" t="n"/>
      <c r="BZ223" s="357" t="n"/>
      <c r="CA223" s="357" t="n"/>
      <c r="CB223" s="357" t="n"/>
      <c r="CC223" s="357" t="n"/>
      <c r="CD223" s="357" t="n"/>
      <c r="CE223" s="357" t="n"/>
      <c r="CF223" s="357" t="n"/>
      <c r="CG223" s="357" t="n"/>
      <c r="CH223" s="357" t="n"/>
      <c r="CI223" s="357" t="n"/>
      <c r="CJ223" s="357" t="n"/>
      <c r="CK223" s="357" t="n"/>
      <c r="CL223" s="357" t="n"/>
      <c r="CM223" s="357" t="n"/>
      <c r="CN223" s="357" t="n"/>
      <c r="CO223" s="357" t="n"/>
      <c r="CP223" s="357" t="n"/>
      <c r="CQ223" s="357" t="n"/>
      <c r="CR223" s="357" t="n"/>
      <c r="CS223" s="357" t="n"/>
      <c r="CT223" s="357" t="n"/>
      <c r="CU223" s="357" t="n"/>
      <c r="CV223" s="357" t="n"/>
      <c r="CW223" s="357" t="n"/>
      <c r="CX223" s="357" t="n"/>
      <c r="CY223" s="357" t="n"/>
      <c r="CZ223" s="357" t="n"/>
      <c r="DA223" s="357" t="n"/>
      <c r="DB223" s="357" t="n"/>
      <c r="DC223" s="357" t="n"/>
      <c r="DD223" s="357" t="n"/>
      <c r="DE223" s="357" t="n"/>
      <c r="DF223" s="357" t="n"/>
    </row>
    <row r="224" ht="13" customFormat="1" customHeight="1" s="64">
      <c r="A224" s="358" t="n"/>
      <c r="B224" s="357" t="n"/>
      <c r="C224" s="39" t="n"/>
      <c r="D224" s="39" t="n"/>
      <c r="E224" s="357" t="n"/>
      <c r="F224" s="58" t="n"/>
      <c r="G224" s="58" t="n"/>
      <c r="H224" s="357" t="n"/>
      <c r="I224" s="58" t="n"/>
      <c r="J224" s="58" t="n"/>
      <c r="K224" s="357" t="n"/>
      <c r="L224" s="58" t="n"/>
      <c r="M224" s="58" t="n"/>
      <c r="N224" s="357" t="n"/>
      <c r="O224" s="58" t="n"/>
      <c r="P224" s="58" t="n"/>
      <c r="Q224" s="357" t="n"/>
      <c r="R224" s="58" t="n"/>
      <c r="S224" s="58" t="n"/>
      <c r="T224" s="357" t="n"/>
      <c r="U224" s="58" t="n"/>
      <c r="V224" s="58" t="n"/>
      <c r="W224" s="357" t="n"/>
      <c r="X224" s="58" t="n"/>
      <c r="Y224" s="58" t="n"/>
      <c r="Z224" s="357" t="n"/>
      <c r="AA224" s="58" t="n"/>
      <c r="AB224" s="58" t="n"/>
      <c r="AC224" s="357" t="n"/>
      <c r="AD224" s="58" t="n"/>
      <c r="AE224" s="58" t="n"/>
      <c r="AF224" s="357" t="n"/>
      <c r="AG224" s="58" t="n"/>
      <c r="AH224" s="58" t="n"/>
      <c r="AI224" s="357" t="n"/>
      <c r="AJ224" s="58" t="n"/>
      <c r="AK224" s="58" t="n"/>
      <c r="AL224" s="357" t="n"/>
      <c r="AM224" s="357" t="n"/>
      <c r="AN224" s="357" t="n"/>
      <c r="AO224" s="357" t="n"/>
      <c r="AP224" s="357" t="n"/>
      <c r="AQ224" s="357" t="n"/>
      <c r="AR224" s="357" t="n"/>
      <c r="AS224" s="357" t="n"/>
      <c r="AT224" s="357" t="n"/>
      <c r="AU224" s="357" t="n"/>
      <c r="AV224" s="357" t="n"/>
      <c r="AW224" s="357" t="n"/>
      <c r="AX224" s="357" t="n"/>
      <c r="AY224" s="357" t="n"/>
      <c r="AZ224" s="357" t="n"/>
      <c r="BA224" s="357" t="n"/>
      <c r="BB224" s="357" t="n"/>
      <c r="BC224" s="357" t="n"/>
      <c r="BD224" s="357" t="n"/>
      <c r="BE224" s="357" t="n"/>
      <c r="BF224" s="357" t="n"/>
      <c r="BG224" s="357" t="n"/>
      <c r="BH224" s="357" t="n"/>
      <c r="BI224" s="357" t="n"/>
      <c r="BJ224" s="357" t="n"/>
      <c r="BK224" s="357" t="n"/>
      <c r="BL224" s="357" t="n"/>
      <c r="BM224" s="357" t="n"/>
      <c r="BN224" s="357" t="n"/>
      <c r="BO224" s="357" t="n"/>
      <c r="BP224" s="357" t="n"/>
      <c r="BQ224" s="357" t="n"/>
      <c r="BR224" s="357" t="n"/>
      <c r="BS224" s="357" t="n"/>
      <c r="BT224" s="357" t="n"/>
      <c r="BU224" s="357" t="n"/>
      <c r="BV224" s="357" t="n"/>
      <c r="BW224" s="357" t="n"/>
      <c r="BX224" s="357" t="n"/>
      <c r="BY224" s="357" t="n"/>
      <c r="BZ224" s="357" t="n"/>
      <c r="CA224" s="357" t="n"/>
      <c r="CB224" s="357" t="n"/>
      <c r="CC224" s="357" t="n"/>
      <c r="CD224" s="357" t="n"/>
      <c r="CE224" s="357" t="n"/>
      <c r="CF224" s="357" t="n"/>
      <c r="CG224" s="357" t="n"/>
      <c r="CH224" s="357" t="n"/>
      <c r="CI224" s="357" t="n"/>
      <c r="CJ224" s="357" t="n"/>
      <c r="CK224" s="357" t="n"/>
      <c r="CL224" s="357" t="n"/>
      <c r="CM224" s="357" t="n"/>
      <c r="CN224" s="357" t="n"/>
      <c r="CO224" s="357" t="n"/>
      <c r="CP224" s="357" t="n"/>
      <c r="CQ224" s="357" t="n"/>
      <c r="CR224" s="357" t="n"/>
      <c r="CS224" s="357" t="n"/>
      <c r="CT224" s="357" t="n"/>
      <c r="CU224" s="357" t="n"/>
      <c r="CV224" s="357" t="n"/>
      <c r="CW224" s="357" t="n"/>
      <c r="CX224" s="357" t="n"/>
      <c r="CY224" s="357" t="n"/>
      <c r="CZ224" s="357" t="n"/>
      <c r="DA224" s="357" t="n"/>
      <c r="DB224" s="357" t="n"/>
      <c r="DC224" s="357" t="n"/>
      <c r="DD224" s="357" t="n"/>
      <c r="DE224" s="357" t="n"/>
      <c r="DF224" s="357" t="n"/>
    </row>
    <row r="225" ht="13" customFormat="1" customHeight="1" s="40">
      <c r="A225" s="326" t="n"/>
      <c r="B225" s="291" t="n"/>
      <c r="C225" s="37" t="n"/>
      <c r="D225" s="37" t="n"/>
      <c r="E225" s="291" t="n"/>
      <c r="F225" s="37" t="n"/>
      <c r="G225" s="37" t="n"/>
      <c r="H225" s="291" t="n"/>
      <c r="I225" s="37" t="n"/>
      <c r="J225" s="37" t="n"/>
      <c r="K225" s="291" t="n"/>
      <c r="L225" s="37" t="n"/>
      <c r="M225" s="37" t="n"/>
      <c r="N225" s="291" t="n"/>
      <c r="O225" s="37" t="n"/>
      <c r="P225" s="37" t="n"/>
      <c r="Q225" s="291" t="n"/>
      <c r="R225" s="37" t="n"/>
      <c r="S225" s="37" t="n"/>
      <c r="T225" s="291" t="n"/>
      <c r="U225" s="37" t="n"/>
      <c r="V225" s="37" t="n"/>
      <c r="W225" s="291" t="n"/>
      <c r="X225" s="37" t="n"/>
      <c r="Y225" s="37" t="n"/>
      <c r="Z225" s="291" t="n"/>
      <c r="AA225" s="37" t="n"/>
      <c r="AB225" s="37" t="n"/>
      <c r="AC225" s="291" t="n"/>
      <c r="AD225" s="37" t="n"/>
      <c r="AE225" s="37" t="n"/>
      <c r="AF225" s="291" t="n"/>
      <c r="AG225" s="37" t="n"/>
      <c r="AH225" s="37" t="n"/>
      <c r="AI225" s="291" t="n"/>
      <c r="AJ225" s="37" t="n"/>
      <c r="AK225" s="37" t="n"/>
      <c r="AL225" s="291" t="n"/>
      <c r="AM225" s="291" t="n"/>
      <c r="AN225" s="291" t="n"/>
      <c r="AO225" s="37" t="n"/>
      <c r="AP225" s="291" t="n"/>
      <c r="AQ225" s="291" t="n"/>
      <c r="AR225" s="37" t="n"/>
      <c r="AS225" s="291" t="n"/>
      <c r="AT225" s="291" t="n"/>
      <c r="AU225" s="37" t="n"/>
      <c r="AV225" s="359" t="n"/>
      <c r="AW225" s="359" t="n"/>
      <c r="AX225" s="37" t="n"/>
      <c r="AY225" s="291" t="n"/>
      <c r="AZ225" s="37" t="n"/>
      <c r="BA225" s="291" t="n"/>
      <c r="BB225" s="37" t="n"/>
      <c r="BC225" s="291" t="n"/>
      <c r="BD225" s="37" t="n"/>
      <c r="BE225" s="291" t="n"/>
      <c r="BF225" s="37" t="n"/>
      <c r="BG225" s="291" t="n"/>
      <c r="BH225" s="291" t="n"/>
      <c r="BI225" s="291" t="n"/>
      <c r="BJ225" s="291" t="n"/>
      <c r="BK225" s="291" t="n"/>
      <c r="BL225" s="291" t="n"/>
      <c r="BM225" s="291" t="n"/>
      <c r="BN225" s="291" t="n"/>
      <c r="BO225" s="291" t="n"/>
      <c r="BP225" s="291" t="n"/>
      <c r="BQ225" s="37" t="n"/>
      <c r="BR225" s="291" t="n"/>
      <c r="BS225" s="37" t="n"/>
      <c r="BT225" s="291" t="n"/>
      <c r="BU225" s="37" t="n"/>
      <c r="BV225" s="291" t="n"/>
      <c r="BW225" s="37" t="n"/>
      <c r="BX225" s="291" t="n"/>
      <c r="BY225" s="37" t="n"/>
      <c r="BZ225" s="291" t="n"/>
      <c r="CA225" s="37" t="n"/>
      <c r="CB225" s="291" t="n"/>
      <c r="CC225" s="37" t="n"/>
      <c r="CD225" s="291" t="n"/>
      <c r="CE225" s="37" t="n"/>
      <c r="CF225" s="291" t="n"/>
      <c r="CG225" s="291" t="n"/>
      <c r="CH225" s="291" t="n"/>
      <c r="CI225" s="291" t="n"/>
      <c r="CJ225" s="291" t="n"/>
      <c r="CK225" s="291" t="n"/>
      <c r="CL225" s="291" t="n"/>
      <c r="CM225" s="291" t="n"/>
      <c r="CN225" s="291" t="n"/>
      <c r="CO225" s="291" t="n"/>
      <c r="CP225" s="37" t="n"/>
      <c r="CQ225" s="291" t="n"/>
      <c r="CR225" s="37" t="n"/>
      <c r="CS225" s="291" t="n"/>
      <c r="CT225" s="37" t="n"/>
      <c r="CU225" s="291" t="n"/>
      <c r="CV225" s="37" t="n"/>
      <c r="CW225" s="291" t="n"/>
      <c r="CX225" s="37" t="n"/>
      <c r="CY225" s="291" t="n"/>
      <c r="CZ225" s="37" t="n"/>
      <c r="DA225" s="291" t="n"/>
      <c r="DB225" s="37" t="n"/>
      <c r="DC225" s="291" t="n"/>
      <c r="DD225" s="37" t="n"/>
      <c r="DE225" s="291" t="n"/>
      <c r="DF225" s="291" t="n"/>
    </row>
    <row r="226" ht="13" customFormat="1" customHeight="1" s="64">
      <c r="A226" s="358" t="n"/>
      <c r="B226" s="357" t="n"/>
      <c r="C226" s="58" t="n"/>
      <c r="D226" s="58" t="n"/>
      <c r="E226" s="357" t="n"/>
      <c r="F226" s="58" t="n"/>
      <c r="G226" s="58" t="n"/>
      <c r="H226" s="357" t="n"/>
      <c r="I226" s="58" t="n"/>
      <c r="J226" s="58" t="n"/>
      <c r="K226" s="357" t="n"/>
      <c r="L226" s="58" t="n"/>
      <c r="M226" s="58" t="n"/>
      <c r="N226" s="357" t="n"/>
      <c r="O226" s="58" t="n"/>
      <c r="P226" s="58" t="n"/>
      <c r="Q226" s="357" t="n"/>
      <c r="R226" s="58" t="n"/>
      <c r="S226" s="58" t="n"/>
      <c r="T226" s="357" t="n"/>
      <c r="U226" s="58" t="n"/>
      <c r="V226" s="58" t="n"/>
      <c r="W226" s="357" t="n"/>
      <c r="X226" s="58" t="n"/>
      <c r="Y226" s="58" t="n"/>
      <c r="Z226" s="357" t="n"/>
      <c r="AA226" s="58" t="n"/>
      <c r="AB226" s="58" t="n"/>
      <c r="AC226" s="357" t="n"/>
      <c r="AD226" s="58" t="n"/>
      <c r="AE226" s="58" t="n"/>
      <c r="AF226" s="357" t="n"/>
      <c r="AG226" s="58" t="n"/>
      <c r="AH226" s="58" t="n"/>
      <c r="AI226" s="357" t="n"/>
      <c r="AJ226" s="58" t="n"/>
      <c r="AK226" s="58" t="n"/>
      <c r="AL226" s="357" t="n"/>
      <c r="AM226" s="357" t="n"/>
      <c r="AN226" s="357" t="n"/>
      <c r="AO226" s="357" t="n"/>
      <c r="AP226" s="357" t="n"/>
      <c r="AQ226" s="357" t="n"/>
      <c r="AR226" s="357" t="n"/>
      <c r="AS226" s="357" t="n"/>
      <c r="AT226" s="357" t="n"/>
      <c r="AU226" s="357" t="n"/>
      <c r="AV226" s="357" t="n"/>
      <c r="AW226" s="357" t="n"/>
      <c r="AX226" s="357" t="n"/>
      <c r="AY226" s="357" t="n"/>
      <c r="AZ226" s="357" t="n"/>
      <c r="BA226" s="357" t="n"/>
      <c r="BB226" s="357" t="n"/>
      <c r="BC226" s="357" t="n"/>
      <c r="BD226" s="357" t="n"/>
      <c r="BE226" s="357" t="n"/>
      <c r="BF226" s="357" t="n"/>
      <c r="BG226" s="357" t="n"/>
      <c r="BH226" s="357" t="n"/>
      <c r="BI226" s="357" t="n"/>
      <c r="BJ226" s="357" t="n"/>
      <c r="BK226" s="357" t="n"/>
      <c r="BL226" s="357" t="n"/>
      <c r="BM226" s="357" t="n"/>
      <c r="BN226" s="357" t="n"/>
      <c r="BO226" s="357" t="n"/>
      <c r="BP226" s="357" t="n"/>
      <c r="BQ226" s="357" t="n"/>
      <c r="BR226" s="357" t="n"/>
      <c r="BS226" s="357" t="n"/>
      <c r="BT226" s="357" t="n"/>
      <c r="BU226" s="357" t="n"/>
      <c r="BV226" s="357" t="n"/>
      <c r="BW226" s="357" t="n"/>
      <c r="BX226" s="357" t="n"/>
      <c r="BY226" s="357" t="n"/>
      <c r="BZ226" s="357" t="n"/>
      <c r="CA226" s="357" t="n"/>
      <c r="CB226" s="357" t="n"/>
      <c r="CC226" s="357" t="n"/>
      <c r="CD226" s="357" t="n"/>
      <c r="CE226" s="357" t="n"/>
      <c r="CF226" s="357" t="n"/>
      <c r="CG226" s="357" t="n"/>
      <c r="CH226" s="357" t="n"/>
      <c r="CI226" s="357" t="n"/>
      <c r="CJ226" s="357" t="n"/>
      <c r="CK226" s="357" t="n"/>
      <c r="CL226" s="357" t="n"/>
      <c r="CM226" s="357" t="n"/>
      <c r="CN226" s="357" t="n"/>
      <c r="CO226" s="357" t="n"/>
      <c r="CP226" s="357" t="n"/>
      <c r="CQ226" s="357" t="n"/>
      <c r="CR226" s="357" t="n"/>
      <c r="CS226" s="357" t="n"/>
      <c r="CT226" s="357" t="n"/>
      <c r="CU226" s="357" t="n"/>
      <c r="CV226" s="357" t="n"/>
      <c r="CW226" s="357" t="n"/>
      <c r="CX226" s="357" t="n"/>
      <c r="CY226" s="357" t="n"/>
      <c r="CZ226" s="357" t="n"/>
      <c r="DA226" s="357" t="n"/>
      <c r="DB226" s="357" t="n"/>
      <c r="DC226" s="357" t="n"/>
      <c r="DD226" s="357" t="n"/>
      <c r="DE226" s="357" t="n"/>
      <c r="DF226" s="357" t="n"/>
      <c r="DG226" s="357" t="n"/>
    </row>
    <row r="227" ht="13" customFormat="1" customHeight="1" s="64">
      <c r="A227" s="358" t="n"/>
      <c r="B227" s="357" t="n"/>
      <c r="C227" s="58" t="n"/>
      <c r="D227" s="58" t="n"/>
      <c r="E227" s="357" t="n"/>
      <c r="F227" s="58" t="n"/>
      <c r="G227" s="58" t="n"/>
      <c r="H227" s="357" t="n"/>
      <c r="I227" s="58" t="n"/>
      <c r="J227" s="58" t="n"/>
      <c r="K227" s="357" t="n"/>
      <c r="L227" s="58" t="n"/>
      <c r="M227" s="58" t="n"/>
      <c r="N227" s="357" t="n"/>
      <c r="O227" s="58" t="n"/>
      <c r="P227" s="58" t="n"/>
      <c r="Q227" s="357" t="n"/>
      <c r="R227" s="58" t="n"/>
      <c r="S227" s="58" t="n"/>
      <c r="T227" s="357" t="n"/>
      <c r="U227" s="58" t="n"/>
      <c r="V227" s="58" t="n"/>
      <c r="W227" s="357" t="n"/>
      <c r="X227" s="58" t="n"/>
      <c r="Y227" s="58" t="n"/>
      <c r="Z227" s="357" t="n"/>
      <c r="AA227" s="58" t="n"/>
      <c r="AB227" s="58" t="n"/>
      <c r="AC227" s="357" t="n"/>
      <c r="AD227" s="58" t="n"/>
      <c r="AE227" s="58" t="n"/>
      <c r="AF227" s="357" t="n"/>
      <c r="AG227" s="58" t="n"/>
      <c r="AH227" s="58" t="n"/>
      <c r="AI227" s="357" t="n"/>
      <c r="AJ227" s="58" t="n"/>
      <c r="AK227" s="58" t="n"/>
      <c r="AL227" s="357" t="n"/>
      <c r="AM227" s="357" t="n"/>
      <c r="AN227" s="357" t="n"/>
      <c r="AO227" s="357" t="n"/>
      <c r="AP227" s="357" t="n"/>
      <c r="AQ227" s="357" t="n"/>
      <c r="AR227" s="357" t="n"/>
      <c r="AS227" s="357" t="n"/>
      <c r="AT227" s="357" t="n"/>
      <c r="AU227" s="357" t="n"/>
      <c r="AV227" s="357" t="n"/>
      <c r="AW227" s="357" t="n"/>
      <c r="AX227" s="357" t="n"/>
      <c r="AY227" s="357" t="n"/>
      <c r="AZ227" s="357" t="n"/>
      <c r="BA227" s="357" t="n"/>
      <c r="BB227" s="357" t="n"/>
      <c r="BC227" s="357" t="n"/>
      <c r="BD227" s="357" t="n"/>
      <c r="BE227" s="357" t="n"/>
      <c r="BF227" s="357" t="n"/>
      <c r="BG227" s="357" t="n"/>
      <c r="BH227" s="357" t="n"/>
      <c r="BI227" s="357" t="n"/>
      <c r="BJ227" s="357" t="n"/>
      <c r="BK227" s="357" t="n"/>
      <c r="BL227" s="357" t="n"/>
      <c r="BM227" s="357" t="n"/>
      <c r="BN227" s="357" t="n"/>
      <c r="BO227" s="357" t="n"/>
      <c r="BP227" s="357" t="n"/>
      <c r="BQ227" s="357" t="n"/>
      <c r="BR227" s="357" t="n"/>
      <c r="BS227" s="357" t="n"/>
      <c r="BT227" s="357" t="n"/>
      <c r="BU227" s="357" t="n"/>
      <c r="BV227" s="357" t="n"/>
      <c r="BW227" s="357" t="n"/>
      <c r="BX227" s="357" t="n"/>
      <c r="BY227" s="357" t="n"/>
      <c r="BZ227" s="357" t="n"/>
      <c r="CA227" s="357" t="n"/>
      <c r="CB227" s="357" t="n"/>
      <c r="CC227" s="357" t="n"/>
      <c r="CD227" s="357" t="n"/>
      <c r="CE227" s="357" t="n"/>
      <c r="CF227" s="357" t="n"/>
      <c r="CG227" s="357" t="n"/>
      <c r="CH227" s="357" t="n"/>
      <c r="CI227" s="357" t="n"/>
      <c r="CJ227" s="357" t="n"/>
      <c r="CK227" s="357" t="n"/>
      <c r="CL227" s="357" t="n"/>
      <c r="CM227" s="357" t="n"/>
      <c r="CN227" s="357" t="n"/>
      <c r="CO227" s="357" t="n"/>
      <c r="CP227" s="357" t="n"/>
      <c r="CQ227" s="357" t="n"/>
      <c r="CR227" s="357" t="n"/>
      <c r="CS227" s="357" t="n"/>
      <c r="CT227" s="357" t="n"/>
      <c r="CU227" s="357" t="n"/>
      <c r="CV227" s="357" t="n"/>
      <c r="CW227" s="357" t="n"/>
      <c r="CX227" s="357" t="n"/>
      <c r="CY227" s="357" t="n"/>
      <c r="CZ227" s="357" t="n"/>
      <c r="DA227" s="357" t="n"/>
      <c r="DB227" s="357" t="n"/>
      <c r="DC227" s="357" t="n"/>
      <c r="DD227" s="357" t="n"/>
      <c r="DE227" s="357" t="n"/>
      <c r="DF227" s="357" t="n"/>
      <c r="DG227" s="357" t="n"/>
    </row>
    <row r="228" ht="13" customFormat="1" customHeight="1" s="64">
      <c r="A228" s="358" t="n"/>
      <c r="B228" s="357" t="n"/>
      <c r="C228" s="58" t="n"/>
      <c r="D228" s="58" t="n"/>
      <c r="E228" s="357" t="n"/>
      <c r="F228" s="58" t="n"/>
      <c r="G228" s="58" t="n"/>
      <c r="H228" s="357" t="n"/>
      <c r="I228" s="58" t="n"/>
      <c r="J228" s="58" t="n"/>
      <c r="K228" s="357" t="n"/>
      <c r="L228" s="58" t="n"/>
      <c r="M228" s="58" t="n"/>
      <c r="N228" s="357" t="n"/>
      <c r="O228" s="58" t="n"/>
      <c r="P228" s="58" t="n"/>
      <c r="Q228" s="357" t="n"/>
      <c r="R228" s="58" t="n"/>
      <c r="S228" s="58" t="n"/>
      <c r="T228" s="357" t="n"/>
      <c r="U228" s="58" t="n"/>
      <c r="V228" s="58" t="n"/>
      <c r="W228" s="357" t="n"/>
      <c r="X228" s="58" t="n"/>
      <c r="Y228" s="58" t="n"/>
      <c r="Z228" s="357" t="n"/>
      <c r="AA228" s="58" t="n"/>
      <c r="AB228" s="58" t="n"/>
      <c r="AC228" s="357" t="n"/>
      <c r="AD228" s="58" t="n"/>
      <c r="AE228" s="58" t="n"/>
      <c r="AF228" s="357" t="n"/>
      <c r="AG228" s="58" t="n"/>
      <c r="AH228" s="58" t="n"/>
      <c r="AI228" s="357" t="n"/>
      <c r="AJ228" s="58" t="n"/>
      <c r="AK228" s="58" t="n"/>
      <c r="AL228" s="357" t="n"/>
      <c r="AM228" s="357" t="n"/>
      <c r="AN228" s="357" t="n"/>
      <c r="AO228" s="58" t="n"/>
      <c r="AP228" s="357" t="n"/>
      <c r="AQ228" s="357" t="n"/>
      <c r="AR228" s="58" t="n"/>
      <c r="AS228" s="357" t="n"/>
      <c r="AT228" s="357" t="n"/>
      <c r="AU228" s="58" t="n"/>
      <c r="AV228" s="360" t="n"/>
      <c r="AW228" s="360" t="n"/>
      <c r="AX228" s="58" t="n"/>
      <c r="AY228" s="357" t="n"/>
      <c r="AZ228" s="58" t="n"/>
      <c r="BA228" s="357" t="n"/>
      <c r="BB228" s="58" t="n"/>
      <c r="BC228" s="357" t="n"/>
      <c r="BD228" s="58" t="n"/>
      <c r="BE228" s="357" t="n"/>
      <c r="BF228" s="58" t="n"/>
      <c r="BG228" s="357" t="n"/>
      <c r="BH228" s="357" t="n"/>
      <c r="BI228" s="357" t="n"/>
      <c r="BJ228" s="357" t="n"/>
      <c r="BK228" s="357" t="n"/>
      <c r="BL228" s="357" t="n"/>
      <c r="BM228" s="357" t="n"/>
      <c r="BN228" s="357" t="n"/>
      <c r="BO228" s="357" t="n"/>
      <c r="BP228" s="357" t="n"/>
      <c r="BQ228" s="58" t="n"/>
      <c r="BR228" s="357" t="n"/>
      <c r="BS228" s="58" t="n"/>
      <c r="BT228" s="357" t="n"/>
      <c r="BU228" s="58" t="n"/>
      <c r="BV228" s="357" t="n"/>
      <c r="BW228" s="58" t="n"/>
      <c r="BX228" s="357" t="n"/>
      <c r="BY228" s="58" t="n"/>
      <c r="BZ228" s="357" t="n"/>
      <c r="CA228" s="58" t="n"/>
      <c r="CB228" s="357" t="n"/>
      <c r="CC228" s="58" t="n"/>
      <c r="CD228" s="357" t="n"/>
      <c r="CE228" s="58" t="n"/>
      <c r="CF228" s="357" t="n"/>
      <c r="CG228" s="357" t="n"/>
      <c r="CH228" s="357" t="n"/>
      <c r="CI228" s="357" t="n"/>
      <c r="CJ228" s="357" t="n"/>
      <c r="CK228" s="357" t="n"/>
      <c r="CL228" s="357" t="n"/>
      <c r="CM228" s="357" t="n"/>
      <c r="CN228" s="357" t="n"/>
      <c r="CO228" s="357" t="n"/>
      <c r="CP228" s="58" t="n"/>
      <c r="CQ228" s="357" t="n"/>
      <c r="CR228" s="58" t="n"/>
      <c r="CS228" s="357" t="n"/>
      <c r="CT228" s="58" t="n"/>
      <c r="CU228" s="357" t="n"/>
      <c r="CV228" s="58" t="n"/>
      <c r="CW228" s="357" t="n"/>
      <c r="CX228" s="58" t="n"/>
      <c r="CY228" s="357" t="n"/>
      <c r="CZ228" s="58" t="n"/>
      <c r="DA228" s="357" t="n"/>
      <c r="DB228" s="58" t="n"/>
      <c r="DC228" s="357" t="n"/>
      <c r="DD228" s="58" t="n"/>
      <c r="DE228" s="357" t="n"/>
      <c r="DF228" s="357" t="n"/>
    </row>
    <row r="229" ht="13" customFormat="1" customHeight="1" s="64">
      <c r="A229" s="358" t="n"/>
      <c r="B229" s="357" t="n"/>
      <c r="C229" s="58" t="n"/>
      <c r="D229" s="58" t="n"/>
      <c r="E229" s="357" t="n"/>
      <c r="F229" s="58" t="n"/>
      <c r="G229" s="58" t="n"/>
      <c r="H229" s="357" t="n"/>
      <c r="I229" s="58" t="n"/>
      <c r="J229" s="58" t="n"/>
      <c r="K229" s="357" t="n"/>
      <c r="L229" s="58" t="n"/>
      <c r="M229" s="58" t="n"/>
      <c r="N229" s="357" t="n"/>
      <c r="O229" s="58" t="n"/>
      <c r="P229" s="58" t="n"/>
      <c r="Q229" s="357" t="n"/>
      <c r="R229" s="58" t="n"/>
      <c r="S229" s="58" t="n"/>
      <c r="T229" s="357" t="n"/>
      <c r="U229" s="58" t="n"/>
      <c r="V229" s="58" t="n"/>
      <c r="W229" s="357" t="n"/>
      <c r="X229" s="58" t="n"/>
      <c r="Y229" s="58" t="n"/>
      <c r="Z229" s="357" t="n"/>
      <c r="AA229" s="58" t="n"/>
      <c r="AB229" s="58" t="n"/>
      <c r="AC229" s="357" t="n"/>
      <c r="AD229" s="58" t="n"/>
      <c r="AE229" s="58" t="n"/>
      <c r="AF229" s="357" t="n"/>
      <c r="AG229" s="58" t="n"/>
      <c r="AH229" s="58" t="n"/>
      <c r="AI229" s="357" t="n"/>
      <c r="AJ229" s="58" t="n"/>
      <c r="AK229" s="58" t="n"/>
      <c r="AL229" s="357" t="n"/>
      <c r="AM229" s="357" t="n"/>
      <c r="AN229" s="357" t="n"/>
      <c r="AO229" s="58" t="n"/>
      <c r="AP229" s="357" t="n"/>
      <c r="AQ229" s="357" t="n"/>
      <c r="AR229" s="58" t="n"/>
      <c r="AS229" s="357" t="n"/>
      <c r="AT229" s="357" t="n"/>
      <c r="AU229" s="58" t="n"/>
      <c r="AV229" s="360" t="n"/>
      <c r="AW229" s="360" t="n"/>
      <c r="AX229" s="58" t="n"/>
      <c r="AY229" s="357" t="n"/>
      <c r="AZ229" s="58" t="n"/>
      <c r="BA229" s="357" t="n"/>
      <c r="BB229" s="58" t="n"/>
      <c r="BC229" s="357" t="n"/>
      <c r="BD229" s="58" t="n"/>
      <c r="BE229" s="357" t="n"/>
      <c r="BF229" s="58" t="n"/>
      <c r="BG229" s="357" t="n"/>
      <c r="BH229" s="357" t="n"/>
      <c r="BI229" s="357" t="n"/>
      <c r="BJ229" s="357" t="n"/>
      <c r="BK229" s="357" t="n"/>
      <c r="BL229" s="357" t="n"/>
      <c r="BM229" s="357" t="n"/>
      <c r="BN229" s="357" t="n"/>
      <c r="BO229" s="357" t="n"/>
      <c r="BP229" s="357" t="n"/>
      <c r="BQ229" s="58" t="n"/>
      <c r="BR229" s="357" t="n"/>
      <c r="BS229" s="58" t="n"/>
      <c r="BT229" s="357" t="n"/>
      <c r="BU229" s="58" t="n"/>
      <c r="BV229" s="357" t="n"/>
      <c r="BW229" s="58" t="n"/>
      <c r="BX229" s="357" t="n"/>
      <c r="BY229" s="58" t="n"/>
      <c r="BZ229" s="357" t="n"/>
      <c r="CA229" s="58" t="n"/>
      <c r="CB229" s="357" t="n"/>
      <c r="CC229" s="58" t="n"/>
      <c r="CD229" s="357" t="n"/>
      <c r="CE229" s="58" t="n"/>
      <c r="CF229" s="357" t="n"/>
      <c r="CG229" s="357" t="n"/>
      <c r="CH229" s="357" t="n"/>
      <c r="CI229" s="357" t="n"/>
      <c r="CJ229" s="357" t="n"/>
      <c r="CK229" s="357" t="n"/>
      <c r="CL229" s="357" t="n"/>
      <c r="CM229" s="357" t="n"/>
      <c r="CN229" s="357" t="n"/>
      <c r="CO229" s="357" t="n"/>
      <c r="CP229" s="58" t="n"/>
      <c r="CQ229" s="357" t="n"/>
      <c r="CR229" s="58" t="n"/>
      <c r="CS229" s="357" t="n"/>
      <c r="CT229" s="58" t="n"/>
      <c r="CU229" s="357" t="n"/>
      <c r="CV229" s="58" t="n"/>
      <c r="CW229" s="357" t="n"/>
      <c r="CX229" s="58" t="n"/>
      <c r="CY229" s="357" t="n"/>
      <c r="CZ229" s="58" t="n"/>
      <c r="DA229" s="357" t="n"/>
      <c r="DB229" s="58" t="n"/>
      <c r="DC229" s="357" t="n"/>
      <c r="DD229" s="58" t="n"/>
      <c r="DE229" s="357" t="n"/>
      <c r="DF229" s="357" t="n"/>
    </row>
    <row r="230" ht="13" customFormat="1" customHeight="1" s="64">
      <c r="A230" s="358" t="n"/>
      <c r="B230" s="357" t="n"/>
      <c r="C230" s="58" t="n"/>
      <c r="D230" s="58" t="n"/>
      <c r="E230" s="357" t="n"/>
      <c r="F230" s="58" t="n"/>
      <c r="G230" s="58" t="n"/>
      <c r="H230" s="357" t="n"/>
      <c r="I230" s="58" t="n"/>
      <c r="J230" s="58" t="n"/>
      <c r="K230" s="357" t="n"/>
      <c r="L230" s="58" t="n"/>
      <c r="M230" s="58" t="n"/>
      <c r="N230" s="357" t="n"/>
      <c r="O230" s="58" t="n"/>
      <c r="P230" s="58" t="n"/>
      <c r="Q230" s="357" t="n"/>
      <c r="R230" s="58" t="n"/>
      <c r="S230" s="58" t="n"/>
      <c r="T230" s="357" t="n"/>
      <c r="U230" s="58" t="n"/>
      <c r="V230" s="58" t="n"/>
      <c r="W230" s="357" t="n"/>
      <c r="X230" s="58" t="n"/>
      <c r="Y230" s="58" t="n"/>
      <c r="Z230" s="357" t="n"/>
      <c r="AA230" s="58" t="n"/>
      <c r="AB230" s="58" t="n"/>
      <c r="AC230" s="357" t="n"/>
      <c r="AD230" s="58" t="n"/>
      <c r="AE230" s="58" t="n"/>
      <c r="AF230" s="357" t="n"/>
      <c r="AG230" s="58" t="n"/>
      <c r="AH230" s="58" t="n"/>
      <c r="AI230" s="357" t="n"/>
      <c r="AJ230" s="58" t="n"/>
      <c r="AK230" s="58" t="n"/>
      <c r="AL230" s="357" t="n"/>
      <c r="AM230" s="357" t="n"/>
      <c r="AN230" s="357" t="n"/>
      <c r="AO230" s="357" t="n"/>
      <c r="AP230" s="357" t="n"/>
      <c r="AQ230" s="357" t="n"/>
      <c r="AR230" s="357" t="n"/>
      <c r="AS230" s="357" t="n"/>
      <c r="AT230" s="357" t="n"/>
      <c r="AU230" s="357" t="n"/>
      <c r="AV230" s="357" t="n"/>
      <c r="AW230" s="357" t="n"/>
      <c r="AX230" s="357" t="n"/>
      <c r="AY230" s="357" t="n"/>
      <c r="AZ230" s="357" t="n"/>
      <c r="BA230" s="357" t="n"/>
      <c r="BB230" s="357" t="n"/>
      <c r="BC230" s="357" t="n"/>
      <c r="BD230" s="357" t="n"/>
      <c r="BE230" s="357" t="n"/>
      <c r="BF230" s="357" t="n"/>
      <c r="BG230" s="357" t="n"/>
      <c r="BH230" s="357" t="n"/>
      <c r="BI230" s="357" t="n"/>
      <c r="BJ230" s="357" t="n"/>
      <c r="BK230" s="357" t="n"/>
      <c r="BL230" s="357" t="n"/>
      <c r="BM230" s="357" t="n"/>
      <c r="BN230" s="357" t="n"/>
      <c r="BO230" s="357" t="n"/>
      <c r="BP230" s="357" t="n"/>
      <c r="BQ230" s="357" t="n"/>
      <c r="BR230" s="357" t="n"/>
      <c r="BS230" s="357" t="n"/>
      <c r="BT230" s="357" t="n"/>
      <c r="BU230" s="357" t="n"/>
      <c r="BV230" s="357" t="n"/>
      <c r="BW230" s="357" t="n"/>
      <c r="BX230" s="357" t="n"/>
      <c r="BY230" s="357" t="n"/>
      <c r="BZ230" s="357" t="n"/>
      <c r="CA230" s="357" t="n"/>
      <c r="CB230" s="357" t="n"/>
      <c r="CC230" s="357" t="n"/>
      <c r="CD230" s="357" t="n"/>
      <c r="CE230" s="357" t="n"/>
      <c r="CF230" s="357" t="n"/>
      <c r="CG230" s="357" t="n"/>
      <c r="CH230" s="357" t="n"/>
      <c r="CI230" s="357" t="n"/>
      <c r="CJ230" s="357" t="n"/>
      <c r="CK230" s="357" t="n"/>
      <c r="CL230" s="357" t="n"/>
      <c r="CM230" s="357" t="n"/>
      <c r="CN230" s="357" t="n"/>
      <c r="CO230" s="357" t="n"/>
      <c r="CP230" s="357" t="n"/>
      <c r="CQ230" s="357" t="n"/>
      <c r="CR230" s="357" t="n"/>
      <c r="CS230" s="357" t="n"/>
      <c r="CT230" s="357" t="n"/>
      <c r="CU230" s="357" t="n"/>
      <c r="CV230" s="357" t="n"/>
      <c r="CW230" s="357" t="n"/>
      <c r="CX230" s="357" t="n"/>
      <c r="CY230" s="357" t="n"/>
      <c r="CZ230" s="357" t="n"/>
      <c r="DA230" s="357" t="n"/>
      <c r="DB230" s="357" t="n"/>
      <c r="DC230" s="357" t="n"/>
      <c r="DD230" s="357" t="n"/>
      <c r="DE230" s="357" t="n"/>
      <c r="DF230" s="357" t="n"/>
      <c r="DG230" s="357" t="n"/>
      <c r="DH230" s="357" t="n"/>
      <c r="DI230" s="357" t="n"/>
      <c r="DJ230" s="357" t="n"/>
      <c r="DK230" s="357" t="n"/>
      <c r="DL230" s="357" t="n"/>
      <c r="DM230" s="357" t="n"/>
      <c r="DN230" s="357" t="n"/>
      <c r="DO230" s="357" t="n"/>
      <c r="DP230" s="357" t="n"/>
      <c r="DQ230" s="357" t="n"/>
      <c r="DR230" s="357" t="n"/>
      <c r="DS230" s="357" t="n"/>
      <c r="DT230" s="357" t="n"/>
      <c r="DU230" s="357" t="n"/>
      <c r="DV230" s="357" t="n"/>
    </row>
    <row r="231" ht="13" customFormat="1" customHeight="1" s="64">
      <c r="A231" s="358" t="n"/>
      <c r="B231" s="357" t="n"/>
      <c r="C231" s="58" t="n"/>
      <c r="D231" s="58" t="n"/>
      <c r="E231" s="357" t="n"/>
      <c r="F231" s="58" t="n"/>
      <c r="G231" s="58" t="n"/>
      <c r="H231" s="357" t="n"/>
      <c r="I231" s="58" t="n"/>
      <c r="J231" s="58" t="n"/>
      <c r="K231" s="357" t="n"/>
      <c r="L231" s="58" t="n"/>
      <c r="M231" s="58" t="n"/>
      <c r="N231" s="357" t="n"/>
      <c r="O231" s="58" t="n"/>
      <c r="P231" s="58" t="n"/>
      <c r="Q231" s="357" t="n"/>
      <c r="R231" s="58" t="n"/>
      <c r="S231" s="58" t="n"/>
      <c r="T231" s="357" t="n"/>
      <c r="U231" s="58" t="n"/>
      <c r="V231" s="58" t="n"/>
      <c r="W231" s="357" t="n"/>
      <c r="X231" s="58" t="n"/>
      <c r="Y231" s="58" t="n"/>
      <c r="Z231" s="357" t="n"/>
      <c r="AA231" s="58" t="n"/>
      <c r="AB231" s="58" t="n"/>
      <c r="AC231" s="357" t="n"/>
      <c r="AD231" s="58" t="n"/>
      <c r="AE231" s="58" t="n"/>
      <c r="AF231" s="357" t="n"/>
      <c r="AG231" s="58" t="n"/>
      <c r="AH231" s="58" t="n"/>
      <c r="AI231" s="357" t="n"/>
      <c r="AJ231" s="58" t="n"/>
      <c r="AK231" s="58" t="n"/>
      <c r="AL231" s="357" t="n"/>
      <c r="AM231" s="357" t="n"/>
      <c r="AN231" s="357" t="n"/>
      <c r="AO231" s="357" t="n"/>
      <c r="AP231" s="357" t="n"/>
      <c r="AQ231" s="357" t="n"/>
      <c r="AR231" s="357" t="n"/>
      <c r="AS231" s="357" t="n"/>
      <c r="AT231" s="357" t="n"/>
      <c r="AU231" s="357" t="n"/>
      <c r="AV231" s="357" t="n"/>
      <c r="AW231" s="357" t="n"/>
      <c r="AX231" s="357" t="n"/>
      <c r="AY231" s="357" t="n"/>
      <c r="AZ231" s="357" t="n"/>
      <c r="BA231" s="357" t="n"/>
      <c r="BB231" s="357" t="n"/>
      <c r="BC231" s="357" t="n"/>
      <c r="BD231" s="357" t="n"/>
      <c r="BE231" s="357" t="n"/>
      <c r="BF231" s="357" t="n"/>
      <c r="BG231" s="357" t="n"/>
      <c r="BH231" s="357" t="n"/>
      <c r="BI231" s="357" t="n"/>
      <c r="BJ231" s="357" t="n"/>
      <c r="BK231" s="357" t="n"/>
      <c r="BL231" s="357" t="n"/>
      <c r="BM231" s="357" t="n"/>
      <c r="BN231" s="357" t="n"/>
      <c r="BO231" s="357" t="n"/>
      <c r="BP231" s="357" t="n"/>
      <c r="BQ231" s="357" t="n"/>
      <c r="BR231" s="357" t="n"/>
      <c r="BS231" s="357" t="n"/>
      <c r="BT231" s="357" t="n"/>
      <c r="BU231" s="357" t="n"/>
      <c r="BV231" s="357" t="n"/>
      <c r="BW231" s="357" t="n"/>
      <c r="BX231" s="357" t="n"/>
      <c r="BY231" s="357" t="n"/>
      <c r="BZ231" s="357" t="n"/>
      <c r="CA231" s="357" t="n"/>
      <c r="CB231" s="357" t="n"/>
      <c r="CC231" s="357" t="n"/>
      <c r="CD231" s="357" t="n"/>
      <c r="CE231" s="357" t="n"/>
      <c r="CF231" s="357" t="n"/>
      <c r="CG231" s="357" t="n"/>
      <c r="CH231" s="357" t="n"/>
      <c r="CI231" s="357" t="n"/>
      <c r="CJ231" s="357" t="n"/>
      <c r="CK231" s="357" t="n"/>
      <c r="CL231" s="357" t="n"/>
      <c r="CM231" s="357" t="n"/>
      <c r="CN231" s="357" t="n"/>
      <c r="CO231" s="357" t="n"/>
      <c r="CP231" s="357" t="n"/>
      <c r="CQ231" s="357" t="n"/>
      <c r="CR231" s="357" t="n"/>
      <c r="CS231" s="357" t="n"/>
      <c r="CT231" s="357" t="n"/>
      <c r="CU231" s="357" t="n"/>
      <c r="CV231" s="357" t="n"/>
      <c r="CW231" s="357" t="n"/>
      <c r="CX231" s="357" t="n"/>
      <c r="CY231" s="357" t="n"/>
      <c r="CZ231" s="357" t="n"/>
      <c r="DA231" s="357" t="n"/>
      <c r="DB231" s="357" t="n"/>
      <c r="DC231" s="357" t="n"/>
      <c r="DD231" s="357" t="n"/>
      <c r="DE231" s="357" t="n"/>
      <c r="DF231" s="357" t="n"/>
      <c r="DG231" s="357" t="n"/>
      <c r="DH231" s="357" t="n"/>
      <c r="DI231" s="357" t="n"/>
      <c r="DJ231" s="357" t="n"/>
      <c r="DK231" s="357" t="n"/>
      <c r="DL231" s="357" t="n"/>
      <c r="DM231" s="357" t="n"/>
      <c r="DN231" s="357" t="n"/>
      <c r="DO231" s="357" t="n"/>
      <c r="DP231" s="357" t="n"/>
      <c r="DQ231" s="357" t="n"/>
      <c r="DR231" s="357" t="n"/>
      <c r="DS231" s="357" t="n"/>
      <c r="DT231" s="35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theme="5" tint="0.799920651875362"/>
    <outlinePr summaryBelow="1" summaryRight="1"/>
    <pageSetUpPr/>
  </sheetPr>
  <dimension ref="A1:EM216"/>
  <sheetViews>
    <sheetView zoomScale="93" zoomScaleNormal="93" workbookViewId="0">
      <pane xSplit="1" ySplit="3" topLeftCell="B19" activePane="bottomRight" state="frozen"/>
      <selection activeCell="A1" sqref="A1"/>
      <selection pane="topRight" activeCell="A1" sqref="A1"/>
      <selection pane="bottomLeft" activeCell="A1" sqref="A1"/>
      <selection pane="bottomRight" activeCell="A2" sqref="$A2:$XFD14"/>
    </sheetView>
  </sheetViews>
  <sheetFormatPr baseColWidth="8" defaultColWidth="8.75" defaultRowHeight="14"/>
  <cols>
    <col width="8.75" customWidth="1" style="117" min="1" max="1"/>
    <col width="16.75" customWidth="1" style="117" min="2" max="2"/>
    <col width="9.75" customWidth="1" style="120" min="3" max="3"/>
    <col width="8" customWidth="1" style="120" min="4" max="4"/>
    <col width="16.75" customWidth="1" style="117" min="5" max="5"/>
    <col width="9.75" customWidth="1" style="120" min="6" max="6"/>
    <col width="10.5" customWidth="1" style="120" min="7" max="7"/>
    <col width="16.75" customWidth="1" style="117" min="8" max="8"/>
    <col width="9.75" customWidth="1" style="120" min="9" max="9"/>
    <col width="8" customWidth="1" style="120" min="10" max="10"/>
    <col width="16.75" customWidth="1" style="117" min="11" max="11"/>
    <col width="9.75" customWidth="1" style="120" min="12" max="12"/>
    <col width="8" customWidth="1" style="120" min="13" max="13"/>
    <col width="16.75" customWidth="1" style="117" min="14" max="14"/>
    <col width="9.75" customWidth="1" style="120" min="15" max="15"/>
    <col width="8" customWidth="1" style="120" min="16" max="16"/>
    <col width="16.75" customWidth="1" style="117" min="17" max="17"/>
    <col width="9.33333333333333" customWidth="1" style="120" min="18" max="19"/>
    <col width="16.75" customWidth="1" style="117" min="20" max="20"/>
    <col width="8.33333333333333" customWidth="1" style="120" min="21" max="22"/>
    <col width="16.75" customWidth="1" style="117" min="23" max="23"/>
    <col width="10" customWidth="1" style="120" min="24" max="24"/>
    <col width="8" customWidth="1" style="120" min="25" max="25"/>
    <col width="16.75" customWidth="1" style="117" min="26" max="26"/>
    <col width="9.75" customWidth="1" style="120" min="27" max="27"/>
    <col width="8" customWidth="1" style="120" min="28" max="28"/>
    <col width="16.75" customWidth="1" style="117" min="29" max="29"/>
    <col width="9.75" customWidth="1" style="120" min="30" max="30"/>
    <col width="7.91666666666667" customWidth="1" style="120" min="31" max="31"/>
    <col width="11.3333333333333" customWidth="1" style="117" min="32" max="32"/>
    <col width="9.75" customWidth="1" style="120" min="33" max="33"/>
    <col width="8" customWidth="1" style="120" min="34" max="34"/>
    <col width="11.3333333333333" customWidth="1" style="117" min="35" max="35"/>
    <col width="10" customWidth="1" style="120" min="36" max="36"/>
    <col width="8" customWidth="1" style="120" min="37" max="37"/>
    <col width="7.08333333333333" customWidth="1" style="117" min="38" max="38"/>
    <col width="9.75" customWidth="1" style="117" min="39" max="39"/>
    <col width="12" customWidth="1" style="117" min="40" max="40"/>
    <col width="11.3333333333333" customWidth="1" style="117" min="41" max="41"/>
    <col width="9.75" customWidth="1" style="117" min="42" max="42"/>
    <col width="9" customWidth="1" style="117" min="43" max="43"/>
    <col width="11.3333333333333" customWidth="1" style="117" min="44" max="44"/>
    <col width="9.75" customWidth="1" style="117" min="45" max="45"/>
    <col width="7.91666666666667" customWidth="1" style="117" min="46" max="46"/>
    <col width="11.3333333333333" customWidth="1" style="117" min="47" max="47"/>
    <col width="9.75" customWidth="1" style="117" min="48" max="48"/>
    <col width="7.91666666666667" customWidth="1" style="117" min="49" max="49"/>
    <col width="17.3333333333333" customWidth="1" style="204" min="50" max="50"/>
    <col width="11.3333333333333" customWidth="1" style="117" min="51" max="51"/>
    <col width="8.33333333333333" customWidth="1" style="117" min="52" max="52"/>
    <col width="10.3333333333333" customWidth="1" style="117" min="53" max="53"/>
    <col width="8.33333333333333" customWidth="1" style="117" min="54" max="54"/>
    <col width="9" customWidth="1" style="117" min="55" max="55"/>
    <col width="8.33333333333333" customWidth="1" style="117" min="56" max="57"/>
    <col width="17.3333333333333" customWidth="1" style="117" min="58" max="58"/>
    <col width="31" customWidth="1" style="117" min="59" max="59"/>
    <col width="20.3333333333333" customWidth="1" style="117" min="60" max="60"/>
    <col width="16.0833333333333" customWidth="1" style="117" min="61" max="61"/>
    <col width="18.3333333333333" customWidth="1" style="117" min="62" max="62"/>
    <col width="16.3333333333333" customWidth="1" style="117" min="63" max="63"/>
    <col width="14.6666666666667" customWidth="1" style="117" min="64" max="64"/>
    <col width="8.33333333333333" customWidth="1" style="117" min="65" max="65"/>
    <col width="27" customWidth="1" style="117" min="66" max="66"/>
    <col width="9" customWidth="1" style="117" min="67" max="67"/>
    <col width="16" customWidth="1" style="117" min="68" max="68"/>
    <col width="8.33333333333333" customWidth="1" style="117" min="69" max="73"/>
    <col width="14.6666666666667" customWidth="1" style="117" min="74" max="74"/>
    <col width="8.33333333333333" customWidth="1" style="117" min="75" max="75"/>
    <col width="16" customWidth="1" style="117" min="76" max="76"/>
    <col width="8.33333333333333" customWidth="1" style="117" min="77" max="79"/>
    <col width="18.3333333333333" customWidth="1" style="117" min="80" max="80"/>
    <col width="17.3333333333333" customWidth="1" style="117" min="81" max="81"/>
    <col width="13.6666666666667" customWidth="1" style="117" min="82" max="82"/>
    <col width="24" customWidth="1" style="117" min="83" max="83"/>
    <col width="12" customWidth="1" style="117" min="84" max="84"/>
    <col width="17.6666666666667" customWidth="1" style="117" min="85" max="85"/>
    <col width="15.75" customWidth="1" style="117" min="86" max="86"/>
    <col width="20.3333333333333" customWidth="1" style="117" min="87" max="87"/>
    <col width="18.75" customWidth="1" style="117" min="88" max="88"/>
    <col width="21.75" customWidth="1" style="117" min="89" max="89"/>
    <col width="12.3333333333333" customWidth="1" style="117" min="90" max="90"/>
    <col width="14.3333333333333" customWidth="1" style="117" min="91" max="91"/>
    <col width="10.3333333333333" customWidth="1" style="117" min="92" max="92"/>
    <col width="14.3333333333333" customWidth="1" style="117" min="93" max="93"/>
    <col width="15.3333333333333" customWidth="1" style="361" min="94" max="94"/>
    <col width="15.0833333333333" customWidth="1" style="117" min="95" max="95"/>
    <col width="19.3333333333333" customWidth="1" style="361" min="96" max="96"/>
    <col width="15.0833333333333" customWidth="1" style="117" min="97" max="97"/>
    <col width="10" customWidth="1" style="361" min="98" max="98"/>
    <col width="16.3333333333333" customWidth="1" style="117" min="99" max="99"/>
    <col width="14.6666666666667" customWidth="1" style="361" min="100" max="100"/>
    <col width="12" customWidth="1" style="117" min="101" max="101"/>
    <col width="8.33333333333333" customWidth="1" style="117" min="102" max="102"/>
    <col width="10.3333333333333" customWidth="1" style="117" min="103" max="103"/>
    <col width="8.33333333333333" customWidth="1" style="117" min="104" max="104"/>
    <col width="10.3333333333333" customWidth="1" style="117" min="105" max="105"/>
    <col width="13.6666666666667" customWidth="1" style="117" min="106" max="106"/>
    <col width="18.6666666666667" customWidth="1" style="117" min="107" max="107"/>
    <col width="17.75" customWidth="1" style="117" min="108" max="108"/>
    <col width="8.75" customWidth="1" style="356" min="109" max="110"/>
    <col width="8.75" customWidth="1" style="117" min="111" max="114"/>
    <col width="8.75" customWidth="1" style="117" min="115" max="115"/>
    <col width="8.75" customWidth="1" style="117" min="116" max="16384"/>
  </cols>
  <sheetData>
    <row r="1" customFormat="1" s="113">
      <c r="A1" s="362" t="inlineStr">
        <is>
          <t>指标名称</t>
        </is>
      </c>
      <c r="B1" s="362" t="inlineStr">
        <is>
          <t>可用座公里（百万）</t>
        </is>
      </c>
      <c r="C1" s="123" t="inlineStr">
        <is>
          <t>同比上年</t>
        </is>
      </c>
      <c r="D1" s="123" t="inlineStr">
        <is>
          <t>同比19</t>
        </is>
      </c>
      <c r="E1" s="362" t="inlineStr">
        <is>
          <t>可用座公里:国内</t>
        </is>
      </c>
      <c r="F1" s="123" t="inlineStr">
        <is>
          <t>同比上年</t>
        </is>
      </c>
      <c r="G1" s="123" t="inlineStr">
        <is>
          <t>同比19</t>
        </is>
      </c>
      <c r="H1" s="362" t="inlineStr">
        <is>
          <t>可用座公里:国际</t>
        </is>
      </c>
      <c r="I1" s="123" t="inlineStr">
        <is>
          <t>同比上年</t>
        </is>
      </c>
      <c r="J1" s="123" t="inlineStr">
        <is>
          <t>同比19</t>
        </is>
      </c>
      <c r="K1" s="362" t="inlineStr">
        <is>
          <t>可用座公里:地区</t>
        </is>
      </c>
      <c r="L1" s="123" t="inlineStr">
        <is>
          <t>同比上年</t>
        </is>
      </c>
      <c r="M1" s="123" t="inlineStr">
        <is>
          <t>同比19</t>
        </is>
      </c>
      <c r="N1" s="362" t="inlineStr">
        <is>
          <t>收入客公里（百万）</t>
        </is>
      </c>
      <c r="O1" s="123" t="inlineStr">
        <is>
          <t>同比上年</t>
        </is>
      </c>
      <c r="P1" s="123" t="inlineStr">
        <is>
          <t>同比19</t>
        </is>
      </c>
      <c r="Q1" s="362" t="inlineStr">
        <is>
          <t>收入客公里:国内</t>
        </is>
      </c>
      <c r="R1" s="123" t="inlineStr">
        <is>
          <t>同比上年</t>
        </is>
      </c>
      <c r="S1" s="123" t="inlineStr">
        <is>
          <t>同比19</t>
        </is>
      </c>
      <c r="T1" s="362" t="inlineStr">
        <is>
          <t>收入客公里:国际</t>
        </is>
      </c>
      <c r="U1" s="123" t="inlineStr">
        <is>
          <t>同比上年</t>
        </is>
      </c>
      <c r="V1" s="123" t="inlineStr">
        <is>
          <t>同比19</t>
        </is>
      </c>
      <c r="W1" s="362" t="inlineStr">
        <is>
          <t>收入客公里:地区</t>
        </is>
      </c>
      <c r="X1" s="123" t="inlineStr">
        <is>
          <t>同比上年</t>
        </is>
      </c>
      <c r="Y1" s="123" t="inlineStr">
        <is>
          <t>同比19</t>
        </is>
      </c>
      <c r="Z1" s="362" t="inlineStr">
        <is>
          <t>客运量（千人次）</t>
        </is>
      </c>
      <c r="AA1" s="123" t="inlineStr">
        <is>
          <t>同比上年</t>
        </is>
      </c>
      <c r="AB1" s="123" t="inlineStr">
        <is>
          <t>同比19</t>
        </is>
      </c>
      <c r="AC1" s="362" t="inlineStr">
        <is>
          <t>客运量:国内</t>
        </is>
      </c>
      <c r="AD1" s="123" t="inlineStr">
        <is>
          <t>同比上年</t>
        </is>
      </c>
      <c r="AE1" s="123" t="inlineStr">
        <is>
          <t>同比19</t>
        </is>
      </c>
      <c r="AF1" s="362" t="inlineStr">
        <is>
          <t>客运量:国际</t>
        </is>
      </c>
      <c r="AG1" s="123" t="inlineStr">
        <is>
          <t>同比上年</t>
        </is>
      </c>
      <c r="AH1" s="123" t="inlineStr">
        <is>
          <t>同比19</t>
        </is>
      </c>
      <c r="AI1" s="362" t="inlineStr">
        <is>
          <t>客运量:地区</t>
        </is>
      </c>
      <c r="AJ1" s="123" t="inlineStr">
        <is>
          <t>同比上年</t>
        </is>
      </c>
      <c r="AK1" s="123" t="inlineStr">
        <is>
          <t>同比19</t>
        </is>
      </c>
      <c r="AL1" s="362" t="inlineStr">
        <is>
          <t>客座率</t>
        </is>
      </c>
      <c r="AM1" s="123" t="inlineStr">
        <is>
          <t>同比上年</t>
        </is>
      </c>
      <c r="AN1" s="123" t="inlineStr">
        <is>
          <t>同比19</t>
        </is>
      </c>
      <c r="AO1" s="362" t="inlineStr">
        <is>
          <t>客座率:国内</t>
        </is>
      </c>
      <c r="AP1" s="123" t="inlineStr">
        <is>
          <t>同比上年</t>
        </is>
      </c>
      <c r="AQ1" s="123" t="inlineStr">
        <is>
          <t>同比19</t>
        </is>
      </c>
      <c r="AR1" s="362" t="inlineStr">
        <is>
          <t>客座率:国际</t>
        </is>
      </c>
      <c r="AS1" s="123" t="inlineStr">
        <is>
          <t>同比上年</t>
        </is>
      </c>
      <c r="AT1" s="123" t="inlineStr">
        <is>
          <t>同比19</t>
        </is>
      </c>
      <c r="AU1" s="362" t="inlineStr">
        <is>
          <t>客座率:地区</t>
        </is>
      </c>
      <c r="AV1" s="123" t="inlineStr">
        <is>
          <t>同比上年</t>
        </is>
      </c>
      <c r="AW1" s="123" t="inlineStr">
        <is>
          <t>同比19</t>
        </is>
      </c>
      <c r="AX1" s="205" t="inlineStr">
        <is>
          <t>运营飞机数</t>
        </is>
      </c>
      <c r="AY1" s="123" t="inlineStr">
        <is>
          <t>同比上年</t>
        </is>
      </c>
      <c r="AZ1" s="123" t="inlineStr">
        <is>
          <t>同比19</t>
        </is>
      </c>
      <c r="BA1" s="362" t="n"/>
      <c r="BB1" s="362" t="n"/>
      <c r="BC1" s="362" t="n"/>
      <c r="BD1" s="362" t="n"/>
      <c r="BE1" s="362" t="n"/>
      <c r="BF1" s="362" t="n"/>
      <c r="BG1" s="362" t="n"/>
      <c r="BH1" s="362" t="n"/>
      <c r="BI1" s="362" t="n"/>
      <c r="BJ1" s="362" t="n"/>
      <c r="BK1" s="362" t="n"/>
      <c r="BL1" s="362" t="n"/>
      <c r="BM1" s="362" t="n"/>
      <c r="BN1" s="362" t="n"/>
      <c r="BO1" s="362" t="n"/>
      <c r="BP1" s="362" t="n"/>
      <c r="BQ1" s="362" t="n"/>
      <c r="BR1" s="362" t="n"/>
      <c r="BS1" s="362" t="n"/>
      <c r="BT1" s="362" t="n"/>
      <c r="BU1" s="362" t="n"/>
      <c r="BV1" s="362" t="n"/>
      <c r="BW1" s="362" t="n"/>
      <c r="BX1" s="362" t="n"/>
      <c r="BY1" s="362" t="n"/>
      <c r="BZ1" s="362" t="n"/>
      <c r="CA1" s="362" t="n"/>
      <c r="CB1" s="362" t="n"/>
      <c r="CC1" s="362" t="n"/>
      <c r="CD1" s="362" t="n"/>
      <c r="CE1" s="362" t="n"/>
      <c r="CF1" s="362" t="n"/>
      <c r="CG1" s="362" t="n"/>
      <c r="CH1" s="362" t="n"/>
      <c r="CI1" s="362" t="n"/>
      <c r="CJ1" s="362" t="n"/>
      <c r="CK1" s="362" t="n"/>
      <c r="CL1" s="362" t="n"/>
      <c r="CM1" s="362" t="n"/>
      <c r="CN1" s="362" t="n"/>
      <c r="CO1" s="362" t="n"/>
      <c r="CP1" s="362" t="n"/>
      <c r="CQ1" s="362" t="n"/>
      <c r="CR1" s="362" t="n"/>
      <c r="CS1" s="362" t="n"/>
      <c r="CT1" s="362" t="n"/>
      <c r="CU1" s="362" t="n"/>
      <c r="CV1" s="124" t="n"/>
      <c r="CW1" s="362" t="n"/>
      <c r="CX1" s="362" t="n"/>
      <c r="CY1" s="362" t="n"/>
      <c r="CZ1" s="362" t="n"/>
      <c r="DA1" s="362" t="n"/>
      <c r="DB1" s="362" t="n"/>
      <c r="DC1" s="362" t="n"/>
      <c r="DD1" s="362" t="n"/>
      <c r="DE1" s="363" t="n"/>
      <c r="DF1" s="363" t="n"/>
      <c r="DG1" s="362" t="n"/>
      <c r="DH1" s="124" t="n"/>
      <c r="DI1" s="124" t="n"/>
      <c r="DJ1" s="124" t="n"/>
      <c r="DK1" s="124" t="n"/>
      <c r="DL1" s="124" t="n"/>
      <c r="DM1" s="124" t="n"/>
      <c r="DN1" s="124" t="n"/>
      <c r="DO1" s="124" t="n"/>
      <c r="DP1" s="124" t="n"/>
      <c r="DQ1" s="124" t="n"/>
      <c r="DR1" s="124" t="n"/>
    </row>
    <row r="2" ht="13" customFormat="1" customHeight="1" s="188">
      <c r="A2" s="364" t="inlineStr">
        <is>
          <t>频率</t>
        </is>
      </c>
      <c r="B2" s="365" t="inlineStr">
        <is>
          <t>月</t>
        </is>
      </c>
      <c r="C2" s="128" t="n"/>
      <c r="D2" s="128" t="n"/>
      <c r="E2" s="365" t="inlineStr">
        <is>
          <t>月</t>
        </is>
      </c>
      <c r="F2" s="129" t="n"/>
      <c r="G2" s="129" t="n"/>
      <c r="H2" s="365" t="inlineStr">
        <is>
          <t>月</t>
        </is>
      </c>
      <c r="I2" s="129" t="n"/>
      <c r="J2" s="129" t="n"/>
      <c r="K2" s="365" t="inlineStr">
        <is>
          <t>月</t>
        </is>
      </c>
      <c r="L2" s="129" t="n"/>
      <c r="M2" s="129" t="n"/>
      <c r="N2" s="365" t="inlineStr">
        <is>
          <t>月</t>
        </is>
      </c>
      <c r="O2" s="129" t="n"/>
      <c r="P2" s="129" t="n"/>
      <c r="Q2" s="365" t="inlineStr">
        <is>
          <t>月</t>
        </is>
      </c>
      <c r="R2" s="129" t="n"/>
      <c r="S2" s="129" t="n"/>
      <c r="T2" s="365" t="inlineStr">
        <is>
          <t>月</t>
        </is>
      </c>
      <c r="U2" s="129" t="n"/>
      <c r="V2" s="129" t="n"/>
      <c r="W2" s="365" t="inlineStr">
        <is>
          <t>月</t>
        </is>
      </c>
      <c r="X2" s="129" t="n"/>
      <c r="Y2" s="129" t="n"/>
      <c r="Z2" s="365" t="inlineStr">
        <is>
          <t>月</t>
        </is>
      </c>
      <c r="AA2" s="129" t="n"/>
      <c r="AB2" s="129" t="n"/>
      <c r="AC2" s="365" t="inlineStr">
        <is>
          <t>月</t>
        </is>
      </c>
      <c r="AD2" s="129" t="n"/>
      <c r="AE2" s="129" t="n"/>
      <c r="AF2" s="365" t="inlineStr">
        <is>
          <t>月</t>
        </is>
      </c>
      <c r="AG2" s="129" t="n"/>
      <c r="AH2" s="129" t="n"/>
      <c r="AI2" s="365" t="inlineStr">
        <is>
          <t>月</t>
        </is>
      </c>
      <c r="AJ2" s="129" t="n"/>
      <c r="AK2" s="129" t="n"/>
      <c r="AL2" s="365" t="inlineStr">
        <is>
          <t>月</t>
        </is>
      </c>
      <c r="AM2" s="129" t="n"/>
      <c r="AN2" s="129" t="n"/>
      <c r="AO2" s="365" t="inlineStr">
        <is>
          <t>月</t>
        </is>
      </c>
      <c r="AP2" s="129" t="n"/>
      <c r="AQ2" s="129" t="n"/>
      <c r="AR2" s="365" t="inlineStr">
        <is>
          <t>月</t>
        </is>
      </c>
      <c r="AS2" s="129" t="n"/>
      <c r="AT2" s="129" t="n"/>
      <c r="AU2" s="365" t="inlineStr">
        <is>
          <t>月</t>
        </is>
      </c>
      <c r="AV2" s="129" t="n"/>
      <c r="AW2" s="129" t="n"/>
      <c r="AX2" s="206" t="n"/>
      <c r="AY2" s="129" t="n"/>
      <c r="AZ2" s="129" t="n"/>
      <c r="BA2" s="365" t="n"/>
      <c r="BB2" s="365" t="n"/>
      <c r="BC2" s="365" t="n"/>
      <c r="BD2" s="365" t="n"/>
      <c r="BE2" s="365" t="n"/>
      <c r="BF2" s="365" t="n"/>
      <c r="BG2" s="365" t="n"/>
      <c r="BH2" s="365" t="n"/>
      <c r="BI2" s="365" t="n"/>
      <c r="BJ2" s="365" t="n"/>
      <c r="BK2" s="365" t="n"/>
      <c r="BL2" s="365" t="n"/>
      <c r="BM2" s="365" t="n"/>
      <c r="BN2" s="365" t="n"/>
      <c r="BO2" s="365" t="n"/>
      <c r="BP2" s="365" t="n"/>
      <c r="BQ2" s="365" t="n"/>
      <c r="BR2" s="365" t="n"/>
      <c r="BS2" s="365" t="n"/>
      <c r="BT2" s="365" t="n"/>
      <c r="BU2" s="365" t="n"/>
      <c r="BV2" s="365" t="n"/>
      <c r="BW2" s="365" t="n"/>
      <c r="BX2" s="365" t="n"/>
      <c r="BY2" s="365" t="n"/>
      <c r="BZ2" s="365" t="n"/>
      <c r="CA2" s="365" t="n"/>
      <c r="CB2" s="365" t="n"/>
      <c r="CC2" s="365" t="n"/>
      <c r="CD2" s="365" t="n"/>
      <c r="CE2" s="365" t="n"/>
      <c r="CF2" s="365" t="n"/>
      <c r="CG2" s="365" t="n"/>
      <c r="CH2" s="365" t="n"/>
      <c r="CI2" s="365" t="n"/>
      <c r="CJ2" s="365" t="n"/>
      <c r="CK2" s="365" t="n"/>
      <c r="CL2" s="365" t="n"/>
      <c r="CM2" s="365" t="n"/>
      <c r="CN2" s="365" t="n"/>
      <c r="CO2" s="365" t="n"/>
      <c r="CP2" s="365" t="n"/>
      <c r="CQ2" s="365" t="n"/>
      <c r="CR2" s="365" t="n"/>
      <c r="CS2" s="365" t="n"/>
      <c r="CT2" s="365" t="n"/>
      <c r="CU2" s="365" t="n"/>
      <c r="CV2" s="130" t="n"/>
      <c r="CW2" s="365" t="n"/>
      <c r="CX2" s="365" t="n"/>
      <c r="CY2" s="365" t="n"/>
      <c r="CZ2" s="365" t="n"/>
      <c r="DA2" s="365" t="n"/>
      <c r="DB2" s="365" t="n"/>
      <c r="DC2" s="365" t="n"/>
      <c r="DD2" s="365" t="n"/>
      <c r="DE2" s="366" t="n"/>
      <c r="DF2" s="366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</row>
    <row r="3" ht="13" customFormat="1" customHeight="1" s="115">
      <c r="A3" s="367" t="n"/>
      <c r="B3" s="368" t="inlineStr">
        <is>
          <t>ASK</t>
        </is>
      </c>
      <c r="C3" s="134" t="n"/>
      <c r="D3" s="134" t="n"/>
      <c r="E3" s="368" t="inlineStr">
        <is>
          <t>Domestic</t>
        </is>
      </c>
      <c r="F3" s="135" t="n"/>
      <c r="G3" s="135" t="n"/>
      <c r="H3" s="368" t="inlineStr">
        <is>
          <t>International</t>
        </is>
      </c>
      <c r="I3" s="135" t="n"/>
      <c r="J3" s="135" t="n"/>
      <c r="K3" s="368" t="inlineStr">
        <is>
          <t>Regional</t>
        </is>
      </c>
      <c r="L3" s="135" t="n"/>
      <c r="M3" s="135" t="n"/>
      <c r="N3" s="368" t="inlineStr">
        <is>
          <t>RPK</t>
        </is>
      </c>
      <c r="O3" s="135" t="n"/>
      <c r="P3" s="135" t="n"/>
      <c r="Q3" s="368" t="inlineStr">
        <is>
          <t>Domestic</t>
        </is>
      </c>
      <c r="R3" s="135" t="n"/>
      <c r="S3" s="135" t="n"/>
      <c r="T3" s="368" t="inlineStr">
        <is>
          <t>International</t>
        </is>
      </c>
      <c r="U3" s="135" t="n"/>
      <c r="V3" s="135" t="n"/>
      <c r="W3" s="368" t="inlineStr">
        <is>
          <t>Regional</t>
        </is>
      </c>
      <c r="X3" s="135" t="n"/>
      <c r="Y3" s="135" t="n"/>
      <c r="Z3" s="368" t="inlineStr">
        <is>
          <t>Pax volume</t>
        </is>
      </c>
      <c r="AA3" s="135" t="n"/>
      <c r="AB3" s="135" t="n"/>
      <c r="AC3" s="368" t="inlineStr">
        <is>
          <t>Domestic</t>
        </is>
      </c>
      <c r="AD3" s="135" t="n"/>
      <c r="AE3" s="135" t="n"/>
      <c r="AF3" s="368" t="inlineStr">
        <is>
          <t>International</t>
        </is>
      </c>
      <c r="AG3" s="135" t="n"/>
      <c r="AH3" s="135" t="n"/>
      <c r="AI3" s="368" t="inlineStr">
        <is>
          <t>Regional</t>
        </is>
      </c>
      <c r="AJ3" s="135" t="n"/>
      <c r="AK3" s="135" t="n"/>
      <c r="AL3" s="369" t="inlineStr">
        <is>
          <t>PLF</t>
        </is>
      </c>
      <c r="AM3" s="135" t="n"/>
      <c r="AN3" s="135" t="n"/>
      <c r="AO3" s="368" t="inlineStr">
        <is>
          <t>Domestic</t>
        </is>
      </c>
      <c r="AP3" s="135" t="n"/>
      <c r="AQ3" s="135" t="n"/>
      <c r="AR3" s="368" t="inlineStr">
        <is>
          <t>International</t>
        </is>
      </c>
      <c r="AS3" s="135" t="n"/>
      <c r="AT3" s="135" t="n"/>
      <c r="AU3" s="368" t="inlineStr">
        <is>
          <t>Regional</t>
        </is>
      </c>
      <c r="AV3" s="135" t="n"/>
      <c r="AW3" s="135" t="n"/>
      <c r="AX3" s="207" t="n"/>
      <c r="AY3" s="135" t="n"/>
      <c r="AZ3" s="135" t="n"/>
      <c r="BA3" s="368" t="n"/>
      <c r="BB3" s="368" t="n"/>
      <c r="BC3" s="368" t="n"/>
      <c r="BD3" s="368" t="n"/>
      <c r="BE3" s="368" t="n"/>
      <c r="BF3" s="368" t="n"/>
      <c r="BG3" s="368" t="n"/>
      <c r="BH3" s="368" t="n"/>
      <c r="BI3" s="368" t="n"/>
      <c r="BJ3" s="368" t="n"/>
      <c r="BK3" s="368" t="n"/>
      <c r="BL3" s="368" t="n"/>
      <c r="BM3" s="368" t="n"/>
      <c r="BN3" s="368" t="n"/>
      <c r="BO3" s="368" t="n"/>
      <c r="BP3" s="368" t="n"/>
      <c r="BQ3" s="368" t="n"/>
      <c r="BR3" s="368" t="n"/>
      <c r="BS3" s="368" t="n"/>
      <c r="BT3" s="368" t="n"/>
      <c r="BU3" s="368" t="n"/>
      <c r="BV3" s="368" t="n"/>
      <c r="BW3" s="368" t="n"/>
      <c r="BX3" s="368" t="n"/>
      <c r="BY3" s="368" t="n"/>
      <c r="BZ3" s="368" t="n"/>
      <c r="CA3" s="368" t="n"/>
      <c r="CB3" s="368" t="n"/>
      <c r="CC3" s="368" t="n"/>
      <c r="CD3" s="368" t="n"/>
      <c r="CE3" s="368" t="n"/>
      <c r="CF3" s="369" t="n"/>
      <c r="CG3" s="368" t="n"/>
      <c r="CH3" s="368" t="n"/>
      <c r="CI3" s="368" t="n"/>
      <c r="CJ3" s="368" t="n"/>
      <c r="CK3" s="368" t="n"/>
      <c r="CL3" s="368" t="n"/>
      <c r="CM3" s="368" t="n"/>
      <c r="CN3" s="369" t="n"/>
      <c r="CO3" s="369" t="n"/>
      <c r="CP3" s="368" t="n"/>
      <c r="CQ3" s="368" t="n"/>
      <c r="CR3" s="368" t="n"/>
      <c r="CS3" s="368" t="n"/>
      <c r="CT3" s="368" t="n"/>
      <c r="CU3" s="368" t="n"/>
      <c r="CV3" s="137" t="n"/>
      <c r="CW3" s="368" t="n"/>
      <c r="CX3" s="368" t="n"/>
      <c r="CY3" s="368" t="n"/>
      <c r="CZ3" s="368" t="n"/>
      <c r="DA3" s="368" t="n"/>
      <c r="DB3" s="368" t="n"/>
      <c r="DC3" s="368" t="n"/>
      <c r="DD3" s="368" t="n"/>
      <c r="DE3" s="370" t="n"/>
      <c r="DF3" s="370" t="n"/>
      <c r="DG3" s="137" t="n"/>
      <c r="DH3" s="137" t="n"/>
      <c r="DI3" s="137" t="n"/>
      <c r="DJ3" s="137" t="n"/>
      <c r="DK3" s="137" t="n"/>
      <c r="DL3" s="137" t="n"/>
      <c r="DM3" s="137" t="n"/>
      <c r="DN3" s="137" t="n"/>
      <c r="DO3" s="137" t="n"/>
      <c r="DP3" s="137" t="n"/>
      <c r="DQ3" s="137" t="n"/>
      <c r="DR3" s="137" t="n"/>
    </row>
    <row r="4" ht="13" customFormat="1" customHeight="1" s="199">
      <c r="A4" s="371" t="n">
        <v>41670</v>
      </c>
      <c r="B4" s="372" t="n">
        <v>15893.3</v>
      </c>
      <c r="C4" s="111" t="n"/>
      <c r="D4" s="111" t="n"/>
      <c r="E4" s="372" t="n">
        <v>10507.9</v>
      </c>
      <c r="F4" s="111" t="n"/>
      <c r="G4" s="111" t="n"/>
      <c r="H4" s="372" t="n">
        <v>4578.3</v>
      </c>
      <c r="I4" s="111" t="n"/>
      <c r="J4" s="111" t="n"/>
      <c r="K4" s="372" t="n">
        <v>807.2</v>
      </c>
      <c r="L4" s="111" t="n"/>
      <c r="M4" s="111" t="n"/>
      <c r="N4" s="372" t="n">
        <v>12895.9</v>
      </c>
      <c r="O4" s="111" t="n"/>
      <c r="P4" s="111" t="n"/>
      <c r="Q4" s="372" t="n">
        <v>8503.700000000001</v>
      </c>
      <c r="R4" s="111" t="n"/>
      <c r="S4" s="111" t="n"/>
      <c r="T4" s="372" t="n">
        <v>3791.1</v>
      </c>
      <c r="U4" s="111" t="n"/>
      <c r="V4" s="111" t="n"/>
      <c r="W4" s="372" t="n">
        <v>601.1</v>
      </c>
      <c r="X4" s="111" t="n"/>
      <c r="Y4" s="111" t="n"/>
      <c r="Z4" s="372" t="n">
        <v>6853.3</v>
      </c>
      <c r="AA4" s="111" t="n"/>
      <c r="AB4" s="111" t="n"/>
      <c r="AC4" s="372" t="n">
        <v>5781.5</v>
      </c>
      <c r="AD4" s="111" t="n"/>
      <c r="AE4" s="111" t="n"/>
      <c r="AF4" s="372" t="n">
        <v>705.9</v>
      </c>
      <c r="AG4" s="111" t="n"/>
      <c r="AH4" s="111" t="n"/>
      <c r="AI4" s="372" t="n">
        <v>365.9</v>
      </c>
      <c r="AJ4" s="111" t="n"/>
      <c r="AK4" s="111" t="n"/>
      <c r="AL4" s="373" t="n">
        <v>81.09999999999999</v>
      </c>
      <c r="AM4" s="111" t="n"/>
      <c r="AN4" s="111" t="n"/>
      <c r="AO4" s="373" t="n">
        <v>80.90000000000001</v>
      </c>
      <c r="AP4" s="111" t="n"/>
      <c r="AQ4" s="111" t="n"/>
      <c r="AR4" s="373" t="n">
        <v>82.8</v>
      </c>
      <c r="AS4" s="111" t="n"/>
      <c r="AT4" s="111" t="n"/>
      <c r="AU4" s="373" t="n">
        <v>74.5</v>
      </c>
      <c r="AV4" s="111" t="n"/>
      <c r="AW4" s="111" t="n"/>
      <c r="AX4" s="374" t="n">
        <v>0</v>
      </c>
      <c r="AY4" s="111" t="n"/>
      <c r="AZ4" s="111" t="n"/>
      <c r="BA4" s="372" t="n"/>
      <c r="BB4" s="142" t="n"/>
      <c r="BC4" s="372" t="n"/>
      <c r="BD4" s="209" t="n"/>
      <c r="BE4" s="372" t="n"/>
      <c r="BF4" s="209" t="n"/>
      <c r="BG4" s="372" t="n"/>
      <c r="BH4" s="209" t="n"/>
      <c r="BI4" s="372" t="n"/>
      <c r="BJ4" s="209" t="n"/>
      <c r="BK4" s="372" t="n"/>
      <c r="BL4" s="209" t="n"/>
      <c r="BM4" s="372" t="n"/>
      <c r="BN4" s="209" t="n"/>
      <c r="BO4" s="372" t="n"/>
      <c r="BP4" s="372" t="n"/>
      <c r="BQ4" s="209" t="n"/>
      <c r="BR4" s="372" t="n"/>
      <c r="BS4" s="209" t="n"/>
      <c r="BT4" s="372" t="n"/>
      <c r="BU4" s="209" t="n"/>
      <c r="BV4" s="372" t="n"/>
      <c r="BW4" s="209" t="n"/>
      <c r="BX4" s="372" t="n"/>
      <c r="BY4" s="209" t="n"/>
      <c r="BZ4" s="372" t="n"/>
      <c r="CA4" s="209" t="n"/>
      <c r="CB4" s="372" t="n"/>
      <c r="CC4" s="209" t="n"/>
      <c r="CD4" s="372" t="n"/>
      <c r="CE4" s="209" t="n"/>
      <c r="CF4" s="372" t="n"/>
      <c r="CG4" s="372" t="n"/>
      <c r="CH4" s="372" t="n"/>
      <c r="CI4" s="372" t="n"/>
      <c r="CJ4" s="372" t="n"/>
      <c r="CK4" s="372" t="n"/>
      <c r="CL4" s="372" t="n"/>
      <c r="CM4" s="372" t="n"/>
      <c r="CN4" s="372" t="n"/>
      <c r="CO4" s="372" t="n"/>
      <c r="CP4" s="372" t="n"/>
      <c r="CQ4" s="372" t="n"/>
      <c r="CR4" s="372" t="n"/>
      <c r="CS4" s="372" t="n"/>
      <c r="CT4" s="372" t="n"/>
      <c r="CU4" s="372" t="n"/>
      <c r="CW4" s="372" t="n"/>
      <c r="CX4" s="209" t="n"/>
      <c r="CY4" s="372" t="n"/>
      <c r="CZ4" s="209" t="n"/>
      <c r="DA4" s="372" t="n"/>
      <c r="DB4" s="209" t="n"/>
      <c r="DC4" s="372" t="n"/>
      <c r="DD4" s="209" t="n"/>
      <c r="DE4" s="375" t="n"/>
      <c r="DF4" s="375" t="n"/>
    </row>
    <row r="5">
      <c r="A5" s="376" t="n">
        <v>41698</v>
      </c>
      <c r="B5" s="315" t="n">
        <v>14641.1</v>
      </c>
      <c r="C5" s="145" t="n"/>
      <c r="D5" s="145" t="n"/>
      <c r="E5" s="315" t="n">
        <v>9841.5</v>
      </c>
      <c r="F5" s="146" t="n"/>
      <c r="G5" s="146" t="n"/>
      <c r="H5" s="315" t="n">
        <v>4067</v>
      </c>
      <c r="I5" s="146" t="n"/>
      <c r="J5" s="146" t="n"/>
      <c r="K5" s="315" t="n">
        <v>732.5</v>
      </c>
      <c r="L5" s="146" t="n"/>
      <c r="M5" s="146" t="n"/>
      <c r="N5" s="315" t="n">
        <v>12424.7</v>
      </c>
      <c r="O5" s="146" t="n"/>
      <c r="P5" s="146" t="n"/>
      <c r="Q5" s="315" t="n">
        <v>8596.700000000001</v>
      </c>
      <c r="R5" s="146" t="n"/>
      <c r="S5" s="146" t="n"/>
      <c r="T5" s="315" t="n">
        <v>3249.9</v>
      </c>
      <c r="U5" s="146" t="n"/>
      <c r="V5" s="146" t="n"/>
      <c r="W5" s="315" t="n">
        <v>578.1</v>
      </c>
      <c r="X5" s="146" t="n"/>
      <c r="Y5" s="146" t="n"/>
      <c r="Z5" s="315" t="n">
        <v>6775.2</v>
      </c>
      <c r="AA5" s="146" t="n"/>
      <c r="AB5" s="146" t="n"/>
      <c r="AC5" s="315" t="n">
        <v>5782.9</v>
      </c>
      <c r="AD5" s="146" t="n"/>
      <c r="AE5" s="146" t="n"/>
      <c r="AF5" s="315" t="n">
        <v>632.2</v>
      </c>
      <c r="AG5" s="146" t="n"/>
      <c r="AH5" s="146" t="n"/>
      <c r="AI5" s="315" t="n">
        <v>360.1</v>
      </c>
      <c r="AJ5" s="146" t="n"/>
      <c r="AK5" s="146" t="n"/>
      <c r="AL5" s="316" t="n">
        <v>84.90000000000001</v>
      </c>
      <c r="AM5" s="146" t="n"/>
      <c r="AN5" s="146" t="n"/>
      <c r="AO5" s="316" t="n">
        <v>87.40000000000001</v>
      </c>
      <c r="AP5" s="146" t="n"/>
      <c r="AQ5" s="146" t="n"/>
      <c r="AR5" s="316" t="n">
        <v>79.90000000000001</v>
      </c>
      <c r="AS5" s="146" t="n"/>
      <c r="AT5" s="146" t="n"/>
      <c r="AU5" s="316" t="n">
        <v>78.90000000000001</v>
      </c>
      <c r="AV5" s="146" t="n"/>
      <c r="AW5" s="146" t="n"/>
      <c r="AX5" s="377" t="n">
        <v>0</v>
      </c>
      <c r="AY5" s="146" t="n"/>
      <c r="AZ5" s="146" t="n"/>
      <c r="BA5" s="378" t="n"/>
      <c r="BB5" s="378" t="n"/>
      <c r="BC5" s="378" t="n"/>
      <c r="BD5" s="378" t="n"/>
      <c r="BE5" s="378" t="n"/>
      <c r="BF5" s="378" t="n"/>
      <c r="BG5" s="378" t="n"/>
      <c r="BH5" s="378" t="n"/>
      <c r="BI5" s="318" t="n"/>
      <c r="BJ5" s="318" t="n"/>
      <c r="BK5" s="318" t="n"/>
      <c r="BL5" s="318" t="n"/>
      <c r="BM5" s="318" t="n"/>
      <c r="BN5" s="318" t="n"/>
      <c r="BO5" s="318" t="n"/>
      <c r="BP5" s="318" t="n"/>
      <c r="BQ5" s="318" t="n"/>
      <c r="BR5" s="318" t="n"/>
      <c r="BS5" s="318" t="n"/>
      <c r="BT5" s="318" t="n"/>
      <c r="BU5" s="318" t="n"/>
      <c r="BV5" s="318" t="n"/>
      <c r="BW5" s="318" t="n"/>
      <c r="BX5" s="318" t="n"/>
      <c r="BY5" s="318" t="n"/>
      <c r="BZ5" s="318" t="n"/>
      <c r="CA5" s="318" t="n"/>
      <c r="CB5" s="318" t="n"/>
      <c r="CC5" s="318" t="n"/>
      <c r="CD5" s="318" t="n"/>
      <c r="CE5" s="318" t="n"/>
      <c r="CF5" s="318" t="n"/>
      <c r="CG5" s="318" t="n"/>
      <c r="CH5" s="318" t="n"/>
      <c r="CI5" s="318" t="n"/>
      <c r="CJ5" s="318" t="n"/>
      <c r="CK5" s="318" t="n"/>
      <c r="CL5" s="318" t="n"/>
      <c r="CM5" s="318" t="n"/>
      <c r="CN5" s="318" t="n"/>
      <c r="CO5" s="318" t="n"/>
      <c r="CP5" s="318" t="n"/>
      <c r="CQ5" s="318" t="n"/>
      <c r="CR5" s="318" t="n"/>
      <c r="CS5" s="318" t="n"/>
      <c r="CT5" s="318" t="n"/>
      <c r="CU5" s="318" t="n"/>
      <c r="CW5" s="318" t="n"/>
      <c r="CX5" s="318" t="n"/>
      <c r="CY5" s="318" t="n"/>
      <c r="CZ5" s="318" t="n"/>
      <c r="DA5" s="318" t="n"/>
      <c r="DB5" s="318" t="n"/>
      <c r="DC5" s="318" t="n"/>
      <c r="DD5" s="318" t="n"/>
      <c r="DE5" s="379" t="n"/>
      <c r="DF5" s="379" t="n"/>
      <c r="DG5" s="214" t="n"/>
    </row>
    <row r="6">
      <c r="A6" s="376" t="n">
        <v>41729</v>
      </c>
      <c r="B6" s="315" t="n">
        <v>15409.7</v>
      </c>
      <c r="C6" s="145" t="n"/>
      <c r="D6" s="145" t="n"/>
      <c r="E6" s="315" t="n">
        <v>9999.9</v>
      </c>
      <c r="F6" s="146" t="n"/>
      <c r="G6" s="146" t="n"/>
      <c r="H6" s="315" t="n">
        <v>4642</v>
      </c>
      <c r="I6" s="146" t="n"/>
      <c r="J6" s="146" t="n"/>
      <c r="K6" s="315" t="n">
        <v>767.8</v>
      </c>
      <c r="L6" s="146" t="n"/>
      <c r="M6" s="146" t="n"/>
      <c r="N6" s="315" t="n">
        <v>12242.3</v>
      </c>
      <c r="O6" s="146" t="n"/>
      <c r="P6" s="146" t="n"/>
      <c r="Q6" s="315" t="n">
        <v>8071.3</v>
      </c>
      <c r="R6" s="146" t="n"/>
      <c r="S6" s="146" t="n"/>
      <c r="T6" s="315" t="n">
        <v>3599.6</v>
      </c>
      <c r="U6" s="146" t="n"/>
      <c r="V6" s="146" t="n"/>
      <c r="W6" s="315" t="n">
        <v>571.3</v>
      </c>
      <c r="X6" s="146" t="n"/>
      <c r="Y6" s="146" t="n"/>
      <c r="Z6" s="315" t="n">
        <v>6549.6</v>
      </c>
      <c r="AA6" s="146" t="n"/>
      <c r="AB6" s="146" t="n"/>
      <c r="AC6" s="315" t="n">
        <v>5489.6</v>
      </c>
      <c r="AD6" s="146" t="n"/>
      <c r="AE6" s="146" t="n"/>
      <c r="AF6" s="315" t="n">
        <v>699.6</v>
      </c>
      <c r="AG6" s="146" t="n"/>
      <c r="AH6" s="146" t="n"/>
      <c r="AI6" s="315" t="n">
        <v>360.3</v>
      </c>
      <c r="AJ6" s="146" t="n"/>
      <c r="AK6" s="146" t="n"/>
      <c r="AL6" s="316" t="n">
        <v>79.40000000000001</v>
      </c>
      <c r="AM6" s="146" t="n"/>
      <c r="AN6" s="146" t="n"/>
      <c r="AO6" s="316" t="n">
        <v>80.7</v>
      </c>
      <c r="AP6" s="146" t="n"/>
      <c r="AQ6" s="146" t="n"/>
      <c r="AR6" s="316" t="n">
        <v>77.5</v>
      </c>
      <c r="AS6" s="146" t="n"/>
      <c r="AT6" s="146" t="n"/>
      <c r="AU6" s="316" t="n">
        <v>74.40000000000001</v>
      </c>
      <c r="AV6" s="146" t="n"/>
      <c r="AW6" s="146" t="n"/>
      <c r="AX6" s="377" t="n">
        <v>0</v>
      </c>
      <c r="AY6" s="146" t="n"/>
      <c r="AZ6" s="146" t="n"/>
      <c r="BA6" s="378" t="n"/>
      <c r="BB6" s="378" t="n"/>
      <c r="BC6" s="378" t="n"/>
      <c r="BD6" s="378" t="n"/>
      <c r="BE6" s="378" t="n"/>
      <c r="BF6" s="378" t="n"/>
      <c r="BG6" s="378" t="n"/>
      <c r="BH6" s="378" t="n"/>
      <c r="BI6" s="318" t="n"/>
      <c r="BJ6" s="318" t="n"/>
      <c r="BK6" s="318" t="n"/>
      <c r="BL6" s="318" t="n"/>
      <c r="BM6" s="318" t="n"/>
      <c r="BN6" s="318" t="n"/>
      <c r="BO6" s="318" t="n"/>
      <c r="BP6" s="318" t="n"/>
      <c r="BQ6" s="318" t="n"/>
      <c r="BR6" s="318" t="n"/>
      <c r="BS6" s="318" t="n"/>
      <c r="BT6" s="318" t="n"/>
      <c r="BU6" s="318" t="n"/>
      <c r="BV6" s="318" t="n"/>
      <c r="BW6" s="318" t="n"/>
      <c r="BX6" s="318" t="n"/>
      <c r="BY6" s="318" t="n"/>
      <c r="BZ6" s="318" t="n"/>
      <c r="CA6" s="318" t="n"/>
      <c r="CB6" s="318" t="n"/>
      <c r="CC6" s="318" t="n"/>
      <c r="CD6" s="318" t="n"/>
      <c r="CE6" s="318" t="n"/>
      <c r="CF6" s="318" t="n"/>
      <c r="CG6" s="318" t="n"/>
      <c r="CH6" s="318" t="n"/>
      <c r="CI6" s="318" t="n"/>
      <c r="CJ6" s="318" t="n"/>
      <c r="CK6" s="318" t="n"/>
      <c r="CL6" s="318" t="n"/>
      <c r="CM6" s="318" t="n"/>
      <c r="CN6" s="318" t="n"/>
      <c r="CO6" s="318" t="n"/>
      <c r="CP6" s="318" t="n"/>
      <c r="CQ6" s="318" t="n"/>
      <c r="CR6" s="318" t="n"/>
      <c r="CS6" s="318" t="n"/>
      <c r="CT6" s="318" t="n"/>
      <c r="CU6" s="318" t="n"/>
      <c r="CW6" s="318" t="n"/>
      <c r="CX6" s="318" t="n"/>
      <c r="CY6" s="318" t="n"/>
      <c r="CZ6" s="318" t="n"/>
      <c r="DA6" s="318" t="n"/>
      <c r="DB6" s="318" t="n"/>
      <c r="DC6" s="318" t="n"/>
      <c r="DD6" s="318" t="n"/>
      <c r="DE6" s="379" t="n"/>
      <c r="DF6" s="379" t="n"/>
      <c r="DG6" s="214" t="n"/>
    </row>
    <row r="7">
      <c r="A7" s="376" t="n">
        <v>41759</v>
      </c>
      <c r="B7" s="315" t="n">
        <v>15775.9</v>
      </c>
      <c r="C7" s="145" t="n"/>
      <c r="D7" s="145" t="n"/>
      <c r="E7" s="315" t="n">
        <v>9921.4</v>
      </c>
      <c r="F7" s="146" t="n"/>
      <c r="G7" s="146" t="n"/>
      <c r="H7" s="315" t="n">
        <v>5051.7</v>
      </c>
      <c r="I7" s="146" t="n"/>
      <c r="J7" s="146" t="n"/>
      <c r="K7" s="315" t="n">
        <v>802.8</v>
      </c>
      <c r="L7" s="146" t="n"/>
      <c r="M7" s="146" t="n"/>
      <c r="N7" s="315" t="n">
        <v>12604.2</v>
      </c>
      <c r="O7" s="146" t="n"/>
      <c r="P7" s="146" t="n"/>
      <c r="Q7" s="315" t="n">
        <v>8119.4</v>
      </c>
      <c r="R7" s="146" t="n"/>
      <c r="S7" s="146" t="n"/>
      <c r="T7" s="315" t="n">
        <v>3901.1</v>
      </c>
      <c r="U7" s="146" t="n"/>
      <c r="V7" s="146" t="n"/>
      <c r="W7" s="315" t="n">
        <v>583.7</v>
      </c>
      <c r="X7" s="146" t="n"/>
      <c r="Y7" s="146" t="n"/>
      <c r="Z7" s="315" t="n">
        <v>6752.9</v>
      </c>
      <c r="AA7" s="146" t="n"/>
      <c r="AB7" s="146" t="n"/>
      <c r="AC7" s="315" t="n">
        <v>5635</v>
      </c>
      <c r="AD7" s="146" t="n"/>
      <c r="AE7" s="146" t="n"/>
      <c r="AF7" s="315" t="n">
        <v>747.2</v>
      </c>
      <c r="AG7" s="146" t="n"/>
      <c r="AH7" s="146" t="n"/>
      <c r="AI7" s="315" t="n">
        <v>370.7</v>
      </c>
      <c r="AJ7" s="146" t="n"/>
      <c r="AK7" s="146" t="n"/>
      <c r="AL7" s="316" t="n">
        <v>79.90000000000001</v>
      </c>
      <c r="AM7" s="146" t="n"/>
      <c r="AN7" s="146" t="n"/>
      <c r="AO7" s="316" t="n">
        <v>81.8</v>
      </c>
      <c r="AP7" s="146" t="n"/>
      <c r="AQ7" s="146" t="n"/>
      <c r="AR7" s="316" t="n">
        <v>77.2</v>
      </c>
      <c r="AS7" s="146" t="n"/>
      <c r="AT7" s="146" t="n"/>
      <c r="AU7" s="316" t="n">
        <v>72.7</v>
      </c>
      <c r="AV7" s="146" t="n"/>
      <c r="AW7" s="146" t="n"/>
      <c r="AX7" s="377" t="n">
        <v>0</v>
      </c>
      <c r="AY7" s="146" t="n"/>
      <c r="AZ7" s="146" t="n"/>
      <c r="BA7" s="378" t="n"/>
      <c r="BB7" s="378" t="n"/>
      <c r="BC7" s="378" t="n"/>
      <c r="BD7" s="378" t="n"/>
      <c r="BE7" s="378" t="n"/>
      <c r="BF7" s="378" t="n"/>
      <c r="BG7" s="378" t="n"/>
      <c r="BH7" s="378" t="n"/>
      <c r="BI7" s="318" t="n"/>
      <c r="BJ7" s="318" t="n"/>
      <c r="BK7" s="318" t="n"/>
      <c r="BL7" s="318" t="n"/>
      <c r="BM7" s="318" t="n"/>
      <c r="BN7" s="318" t="n"/>
      <c r="BO7" s="318" t="n"/>
      <c r="BP7" s="318" t="n"/>
      <c r="BQ7" s="318" t="n"/>
      <c r="BR7" s="318" t="n"/>
      <c r="BS7" s="318" t="n"/>
      <c r="BT7" s="318" t="n"/>
      <c r="BU7" s="318" t="n"/>
      <c r="BV7" s="318" t="n"/>
      <c r="BW7" s="318" t="n"/>
      <c r="BX7" s="318" t="n"/>
      <c r="BY7" s="318" t="n"/>
      <c r="BZ7" s="318" t="n"/>
      <c r="CA7" s="318" t="n"/>
      <c r="CB7" s="318" t="n"/>
      <c r="CC7" s="318" t="n"/>
      <c r="CD7" s="318" t="n"/>
      <c r="CE7" s="318" t="n"/>
      <c r="CF7" s="318" t="n"/>
      <c r="CG7" s="318" t="n"/>
      <c r="CH7" s="318" t="n"/>
      <c r="CI7" s="318" t="n"/>
      <c r="CJ7" s="318" t="n"/>
      <c r="CK7" s="318" t="n"/>
      <c r="CL7" s="318" t="n"/>
      <c r="CM7" s="318" t="n"/>
      <c r="CN7" s="318" t="n"/>
      <c r="CO7" s="318" t="n"/>
      <c r="CP7" s="318" t="n"/>
      <c r="CQ7" s="318" t="n"/>
      <c r="CR7" s="318" t="n"/>
      <c r="CS7" s="318" t="n"/>
      <c r="CT7" s="318" t="n"/>
      <c r="CU7" s="318" t="n"/>
      <c r="CW7" s="318" t="n"/>
      <c r="CX7" s="318" t="n"/>
      <c r="CY7" s="318" t="n"/>
      <c r="CZ7" s="318" t="n"/>
      <c r="DA7" s="318" t="n"/>
      <c r="DB7" s="318" t="n"/>
      <c r="DC7" s="318" t="n"/>
      <c r="DD7" s="318" t="n"/>
      <c r="DE7" s="379" t="n"/>
      <c r="DF7" s="379" t="n"/>
      <c r="DG7" s="214" t="n"/>
    </row>
    <row r="8">
      <c r="A8" s="376" t="n">
        <v>41790</v>
      </c>
      <c r="B8" s="315" t="n">
        <v>15695.8</v>
      </c>
      <c r="C8" s="145" t="n"/>
      <c r="D8" s="145" t="n"/>
      <c r="E8" s="315" t="n">
        <v>9695.6</v>
      </c>
      <c r="F8" s="146" t="n"/>
      <c r="G8" s="146" t="n"/>
      <c r="H8" s="315" t="n">
        <v>5198.1</v>
      </c>
      <c r="I8" s="146" t="n"/>
      <c r="J8" s="146" t="n"/>
      <c r="K8" s="315" t="n">
        <v>802</v>
      </c>
      <c r="L8" s="146" t="n"/>
      <c r="M8" s="146" t="n"/>
      <c r="N8" s="315" t="n">
        <v>12379.5</v>
      </c>
      <c r="O8" s="146" t="n"/>
      <c r="P8" s="146" t="n"/>
      <c r="Q8" s="315" t="n">
        <v>7878</v>
      </c>
      <c r="R8" s="146" t="n"/>
      <c r="S8" s="146" t="n"/>
      <c r="T8" s="315" t="n">
        <v>3944.8</v>
      </c>
      <c r="U8" s="146" t="n"/>
      <c r="V8" s="146" t="n"/>
      <c r="W8" s="315" t="n">
        <v>556.7</v>
      </c>
      <c r="X8" s="146" t="n"/>
      <c r="Y8" s="146" t="n"/>
      <c r="Z8" s="315" t="n">
        <v>6603.1</v>
      </c>
      <c r="AA8" s="146" t="n"/>
      <c r="AB8" s="146" t="n"/>
      <c r="AC8" s="315" t="n">
        <v>5522.3</v>
      </c>
      <c r="AD8" s="146" t="n"/>
      <c r="AE8" s="146" t="n"/>
      <c r="AF8" s="315" t="n">
        <v>727.6</v>
      </c>
      <c r="AG8" s="146" t="n"/>
      <c r="AH8" s="146" t="n"/>
      <c r="AI8" s="315" t="n">
        <v>353.2</v>
      </c>
      <c r="AJ8" s="146" t="n"/>
      <c r="AK8" s="146" t="n"/>
      <c r="AL8" s="316" t="n">
        <v>78.90000000000001</v>
      </c>
      <c r="AM8" s="146" t="n"/>
      <c r="AN8" s="146" t="n"/>
      <c r="AO8" s="316" t="n">
        <v>81.3</v>
      </c>
      <c r="AP8" s="146" t="n"/>
      <c r="AQ8" s="146" t="n"/>
      <c r="AR8" s="316" t="n">
        <v>75.90000000000001</v>
      </c>
      <c r="AS8" s="146" t="n"/>
      <c r="AT8" s="146" t="n"/>
      <c r="AU8" s="316" t="n">
        <v>69.40000000000001</v>
      </c>
      <c r="AV8" s="146" t="n"/>
      <c r="AW8" s="146" t="n"/>
      <c r="AX8" s="377" t="n">
        <v>0</v>
      </c>
      <c r="AY8" s="146" t="n"/>
      <c r="AZ8" s="146" t="n"/>
      <c r="BA8" s="378" t="n"/>
      <c r="BB8" s="378" t="n"/>
      <c r="BC8" s="378" t="n"/>
      <c r="BD8" s="378" t="n"/>
      <c r="BE8" s="378" t="n"/>
      <c r="BF8" s="378" t="n"/>
      <c r="BG8" s="378" t="n"/>
      <c r="BH8" s="378" t="n"/>
      <c r="BI8" s="318" t="n"/>
      <c r="BJ8" s="318" t="n"/>
      <c r="BK8" s="318" t="n"/>
      <c r="BL8" s="318" t="n"/>
      <c r="BM8" s="318" t="n"/>
      <c r="BN8" s="318" t="n"/>
      <c r="BO8" s="318" t="n"/>
      <c r="BP8" s="318" t="n"/>
      <c r="BQ8" s="318" t="n"/>
      <c r="BR8" s="318" t="n"/>
      <c r="BS8" s="318" t="n"/>
      <c r="BT8" s="318" t="n"/>
      <c r="BU8" s="318" t="n"/>
      <c r="BV8" s="318" t="n"/>
      <c r="BW8" s="318" t="n"/>
      <c r="BX8" s="318" t="n"/>
      <c r="BY8" s="318" t="n"/>
      <c r="BZ8" s="318" t="n"/>
      <c r="CA8" s="318" t="n"/>
      <c r="CB8" s="318" t="n"/>
      <c r="CC8" s="318" t="n"/>
      <c r="CD8" s="318" t="n"/>
      <c r="CE8" s="318" t="n"/>
      <c r="CF8" s="318" t="n"/>
      <c r="CG8" s="318" t="n"/>
      <c r="CH8" s="318" t="n"/>
      <c r="CI8" s="318" t="n"/>
      <c r="CJ8" s="318" t="n"/>
      <c r="CK8" s="318" t="n"/>
      <c r="CL8" s="318" t="n"/>
      <c r="CM8" s="318" t="n"/>
      <c r="CN8" s="318" t="n"/>
      <c r="CO8" s="318" t="n"/>
      <c r="CP8" s="318" t="n"/>
      <c r="CQ8" s="318" t="n"/>
      <c r="CR8" s="318" t="n"/>
      <c r="CS8" s="318" t="n"/>
      <c r="CT8" s="318" t="n"/>
      <c r="CU8" s="318" t="n"/>
      <c r="CW8" s="318" t="n"/>
      <c r="CX8" s="318" t="n"/>
      <c r="CY8" s="318" t="n"/>
      <c r="CZ8" s="318" t="n"/>
      <c r="DA8" s="318" t="n"/>
      <c r="DB8" s="318" t="n"/>
      <c r="DC8" s="318" t="n"/>
      <c r="DD8" s="318" t="n"/>
      <c r="DE8" s="379" t="n"/>
      <c r="DF8" s="379" t="n"/>
      <c r="DG8" s="214" t="n"/>
    </row>
    <row r="9">
      <c r="A9" s="376" t="n">
        <v>41820</v>
      </c>
      <c r="B9" s="315" t="n">
        <v>15713.2</v>
      </c>
      <c r="C9" s="145" t="n"/>
      <c r="D9" s="145" t="n"/>
      <c r="E9" s="315" t="n">
        <v>9718.4</v>
      </c>
      <c r="F9" s="146" t="n"/>
      <c r="G9" s="146" t="n"/>
      <c r="H9" s="315" t="n">
        <v>5225.7</v>
      </c>
      <c r="I9" s="146" t="n"/>
      <c r="J9" s="146" t="n"/>
      <c r="K9" s="315" t="n">
        <v>769</v>
      </c>
      <c r="L9" s="146" t="n"/>
      <c r="M9" s="146" t="n"/>
      <c r="N9" s="315" t="n">
        <v>12507.3</v>
      </c>
      <c r="O9" s="146" t="n"/>
      <c r="P9" s="146" t="n"/>
      <c r="Q9" s="315" t="n">
        <v>7841.5</v>
      </c>
      <c r="R9" s="146" t="n"/>
      <c r="S9" s="146" t="n"/>
      <c r="T9" s="315" t="n">
        <v>4113</v>
      </c>
      <c r="U9" s="146" t="n"/>
      <c r="V9" s="146" t="n"/>
      <c r="W9" s="315" t="n">
        <v>552.7</v>
      </c>
      <c r="X9" s="146" t="n"/>
      <c r="Y9" s="146" t="n"/>
      <c r="Z9" s="315" t="n">
        <v>6610.2</v>
      </c>
      <c r="AA9" s="146" t="n"/>
      <c r="AB9" s="146" t="n"/>
      <c r="AC9" s="315" t="n">
        <v>5505.5</v>
      </c>
      <c r="AD9" s="146" t="n"/>
      <c r="AE9" s="146" t="n"/>
      <c r="AF9" s="315" t="n">
        <v>751.2</v>
      </c>
      <c r="AG9" s="146" t="n"/>
      <c r="AH9" s="146" t="n"/>
      <c r="AI9" s="315" t="n">
        <v>353.6</v>
      </c>
      <c r="AJ9" s="146" t="n"/>
      <c r="AK9" s="146" t="n"/>
      <c r="AL9" s="316" t="n">
        <v>79.59999999999999</v>
      </c>
      <c r="AM9" s="146" t="n"/>
      <c r="AN9" s="146" t="n"/>
      <c r="AO9" s="316" t="n">
        <v>80.7</v>
      </c>
      <c r="AP9" s="146" t="n"/>
      <c r="AQ9" s="146" t="n"/>
      <c r="AR9" s="316" t="n">
        <v>78.7</v>
      </c>
      <c r="AS9" s="146" t="n"/>
      <c r="AT9" s="146" t="n"/>
      <c r="AU9" s="316" t="n">
        <v>71.90000000000001</v>
      </c>
      <c r="AV9" s="146" t="n"/>
      <c r="AW9" s="146" t="n"/>
      <c r="AX9" s="377" t="n">
        <v>0</v>
      </c>
      <c r="AY9" s="146" t="n"/>
      <c r="AZ9" s="146" t="n"/>
      <c r="BA9" s="378" t="n"/>
      <c r="BB9" s="378" t="n"/>
      <c r="BC9" s="378" t="n"/>
      <c r="BD9" s="378" t="n"/>
      <c r="BE9" s="378" t="n"/>
      <c r="BF9" s="378" t="n"/>
      <c r="BG9" s="378" t="n"/>
      <c r="BH9" s="378" t="n"/>
      <c r="BI9" s="318" t="n"/>
      <c r="BJ9" s="318" t="n"/>
      <c r="BK9" s="318" t="n"/>
      <c r="BL9" s="318" t="n"/>
      <c r="BM9" s="318" t="n"/>
      <c r="BN9" s="318" t="n"/>
      <c r="BO9" s="318" t="n"/>
      <c r="BP9" s="318" t="n"/>
      <c r="BQ9" s="318" t="n"/>
      <c r="BR9" s="318" t="n"/>
      <c r="BS9" s="318" t="n"/>
      <c r="BT9" s="318" t="n"/>
      <c r="BU9" s="318" t="n"/>
      <c r="BV9" s="318" t="n"/>
      <c r="BW9" s="318" t="n"/>
      <c r="BX9" s="318" t="n"/>
      <c r="BY9" s="318" t="n"/>
      <c r="BZ9" s="318" t="n"/>
      <c r="CA9" s="318" t="n"/>
      <c r="CB9" s="318" t="n"/>
      <c r="CC9" s="318" t="n"/>
      <c r="CD9" s="318" t="n"/>
      <c r="CE9" s="318" t="n"/>
      <c r="CF9" s="318" t="n"/>
      <c r="CG9" s="318" t="n"/>
      <c r="CH9" s="318" t="n"/>
      <c r="CI9" s="318" t="n"/>
      <c r="CJ9" s="318" t="n"/>
      <c r="CK9" s="318" t="n"/>
      <c r="CL9" s="318" t="n"/>
      <c r="CM9" s="318" t="n"/>
      <c r="CN9" s="318" t="n"/>
      <c r="CO9" s="318" t="n"/>
      <c r="CP9" s="318" t="n"/>
      <c r="CQ9" s="318" t="n"/>
      <c r="CR9" s="318" t="n"/>
      <c r="CS9" s="318" t="n"/>
      <c r="CT9" s="318" t="n"/>
      <c r="CU9" s="318" t="n"/>
      <c r="CW9" s="318" t="n"/>
      <c r="CX9" s="318" t="n"/>
      <c r="CY9" s="318" t="n"/>
      <c r="CZ9" s="318" t="n"/>
      <c r="DA9" s="318" t="n"/>
      <c r="DB9" s="318" t="n"/>
      <c r="DC9" s="318" t="n"/>
      <c r="DD9" s="318" t="n"/>
      <c r="DE9" s="379" t="n"/>
      <c r="DF9" s="379" t="n"/>
      <c r="DG9" s="214" t="n"/>
    </row>
    <row r="10">
      <c r="A10" s="376" t="n">
        <v>41851</v>
      </c>
      <c r="B10" s="315" t="n">
        <v>16866.3</v>
      </c>
      <c r="C10" s="145" t="n"/>
      <c r="D10" s="145" t="n"/>
      <c r="E10" s="315" t="n">
        <v>10579.6</v>
      </c>
      <c r="F10" s="146" t="n"/>
      <c r="G10" s="146" t="n"/>
      <c r="H10" s="315" t="n">
        <v>5491.8</v>
      </c>
      <c r="I10" s="146" t="n"/>
      <c r="J10" s="146" t="n"/>
      <c r="K10" s="315" t="n">
        <v>794.9</v>
      </c>
      <c r="L10" s="146" t="n"/>
      <c r="M10" s="146" t="n"/>
      <c r="N10" s="315" t="n">
        <v>13650.5</v>
      </c>
      <c r="O10" s="146" t="n"/>
      <c r="P10" s="146" t="n"/>
      <c r="Q10" s="315" t="n">
        <v>8602.6</v>
      </c>
      <c r="R10" s="146" t="n"/>
      <c r="S10" s="146" t="n"/>
      <c r="T10" s="315" t="n">
        <v>4433.2</v>
      </c>
      <c r="U10" s="146" t="n"/>
      <c r="V10" s="146" t="n"/>
      <c r="W10" s="315" t="n">
        <v>614.6</v>
      </c>
      <c r="X10" s="146" t="n"/>
      <c r="Y10" s="146" t="n"/>
      <c r="Z10" s="315" t="n">
        <v>7341</v>
      </c>
      <c r="AA10" s="146" t="n"/>
      <c r="AB10" s="146" t="n"/>
      <c r="AC10" s="315" t="n">
        <v>6094.6</v>
      </c>
      <c r="AD10" s="146" t="n"/>
      <c r="AE10" s="146" t="n"/>
      <c r="AF10" s="315" t="n">
        <v>853.4</v>
      </c>
      <c r="AG10" s="146" t="n"/>
      <c r="AH10" s="146" t="n"/>
      <c r="AI10" s="315" t="n">
        <v>393</v>
      </c>
      <c r="AJ10" s="146" t="n"/>
      <c r="AK10" s="146" t="n"/>
      <c r="AL10" s="316" t="n">
        <v>80.90000000000001</v>
      </c>
      <c r="AM10" s="146" t="n"/>
      <c r="AN10" s="146" t="n"/>
      <c r="AO10" s="316" t="n">
        <v>81.3</v>
      </c>
      <c r="AP10" s="146" t="n"/>
      <c r="AQ10" s="146" t="n"/>
      <c r="AR10" s="316" t="n">
        <v>80.7</v>
      </c>
      <c r="AS10" s="146" t="n"/>
      <c r="AT10" s="146" t="n"/>
      <c r="AU10" s="316" t="n">
        <v>77.3</v>
      </c>
      <c r="AV10" s="146" t="n"/>
      <c r="AW10" s="146" t="n"/>
      <c r="AX10" s="377" t="n">
        <v>0</v>
      </c>
      <c r="AY10" s="146" t="n"/>
      <c r="AZ10" s="146" t="n"/>
      <c r="BA10" s="378" t="n"/>
      <c r="BB10" s="378" t="n"/>
      <c r="BC10" s="378" t="n"/>
      <c r="BD10" s="378" t="n"/>
      <c r="BE10" s="378" t="n"/>
      <c r="BF10" s="378" t="n"/>
      <c r="BG10" s="378" t="n"/>
      <c r="BH10" s="378" t="n"/>
      <c r="BI10" s="318" t="n"/>
      <c r="BJ10" s="318" t="n"/>
      <c r="BK10" s="318" t="n"/>
      <c r="BL10" s="318" t="n"/>
      <c r="BM10" s="318" t="n"/>
      <c r="BN10" s="318" t="n"/>
      <c r="BO10" s="318" t="n"/>
      <c r="BP10" s="318" t="n"/>
      <c r="BQ10" s="318" t="n"/>
      <c r="BR10" s="318" t="n"/>
      <c r="BS10" s="318" t="n"/>
      <c r="BT10" s="318" t="n"/>
      <c r="BU10" s="318" t="n"/>
      <c r="BV10" s="318" t="n"/>
      <c r="BW10" s="318" t="n"/>
      <c r="BX10" s="318" t="n"/>
      <c r="BY10" s="318" t="n"/>
      <c r="BZ10" s="318" t="n"/>
      <c r="CA10" s="318" t="n"/>
      <c r="CB10" s="318" t="n"/>
      <c r="CC10" s="318" t="n"/>
      <c r="CD10" s="318" t="n"/>
      <c r="CE10" s="318" t="n"/>
      <c r="CF10" s="318" t="n"/>
      <c r="CG10" s="318" t="n"/>
      <c r="CH10" s="318" t="n"/>
      <c r="CI10" s="318" t="n"/>
      <c r="CJ10" s="318" t="n"/>
      <c r="CK10" s="318" t="n"/>
      <c r="CL10" s="318" t="n"/>
      <c r="CM10" s="318" t="n"/>
      <c r="CN10" s="318" t="n"/>
      <c r="CO10" s="318" t="n"/>
      <c r="CP10" s="318" t="n"/>
      <c r="CQ10" s="318" t="n"/>
      <c r="CR10" s="318" t="n"/>
      <c r="CS10" s="318" t="n"/>
      <c r="CT10" s="318" t="n"/>
      <c r="CU10" s="318" t="n"/>
      <c r="CW10" s="318" t="n"/>
      <c r="CX10" s="318" t="n"/>
      <c r="CY10" s="318" t="n"/>
      <c r="CZ10" s="318" t="n"/>
      <c r="DA10" s="318" t="n"/>
      <c r="DB10" s="318" t="n"/>
      <c r="DC10" s="318" t="n"/>
      <c r="DD10" s="318" t="n"/>
      <c r="DE10" s="379" t="n"/>
      <c r="DF10" s="379" t="n"/>
      <c r="DG10" s="214" t="n"/>
    </row>
    <row r="11">
      <c r="A11" s="376" t="n">
        <v>41882</v>
      </c>
      <c r="B11" s="315" t="n">
        <v>17452.5</v>
      </c>
      <c r="C11" s="145" t="n"/>
      <c r="D11" s="145" t="n"/>
      <c r="E11" s="315" t="n">
        <v>11056.2</v>
      </c>
      <c r="F11" s="146" t="n"/>
      <c r="G11" s="146" t="n"/>
      <c r="H11" s="315" t="n">
        <v>5563.2</v>
      </c>
      <c r="I11" s="146" t="n"/>
      <c r="J11" s="146" t="n"/>
      <c r="K11" s="315" t="n">
        <v>833.1</v>
      </c>
      <c r="L11" s="146" t="n"/>
      <c r="M11" s="146" t="n"/>
      <c r="N11" s="315" t="n">
        <v>14335</v>
      </c>
      <c r="O11" s="146" t="n"/>
      <c r="P11" s="146" t="n"/>
      <c r="Q11" s="315" t="n">
        <v>9000.200000000001</v>
      </c>
      <c r="R11" s="146" t="n"/>
      <c r="S11" s="146" t="n"/>
      <c r="T11" s="315" t="n">
        <v>4689.8</v>
      </c>
      <c r="U11" s="146" t="n"/>
      <c r="V11" s="146" t="n"/>
      <c r="W11" s="315" t="n">
        <v>644.9</v>
      </c>
      <c r="X11" s="146" t="n"/>
      <c r="Y11" s="146" t="n"/>
      <c r="Z11" s="315" t="n">
        <v>7711.6</v>
      </c>
      <c r="AA11" s="146" t="n"/>
      <c r="AB11" s="146" t="n"/>
      <c r="AC11" s="315" t="n">
        <v>6374.5</v>
      </c>
      <c r="AD11" s="146" t="n"/>
      <c r="AE11" s="146" t="n"/>
      <c r="AF11" s="315" t="n">
        <v>929.4</v>
      </c>
      <c r="AG11" s="146" t="n"/>
      <c r="AH11" s="146" t="n"/>
      <c r="AI11" s="315" t="n">
        <v>407.7</v>
      </c>
      <c r="AJ11" s="146" t="n"/>
      <c r="AK11" s="146" t="n"/>
      <c r="AL11" s="316" t="n">
        <v>82.09999999999999</v>
      </c>
      <c r="AM11" s="146" t="n"/>
      <c r="AN11" s="146" t="n"/>
      <c r="AO11" s="316" t="n">
        <v>81.40000000000001</v>
      </c>
      <c r="AP11" s="146" t="n"/>
      <c r="AQ11" s="146" t="n"/>
      <c r="AR11" s="316" t="n">
        <v>84.3</v>
      </c>
      <c r="AS11" s="146" t="n"/>
      <c r="AT11" s="146" t="n"/>
      <c r="AU11" s="316" t="n">
        <v>77.40000000000001</v>
      </c>
      <c r="AV11" s="146" t="n"/>
      <c r="AW11" s="146" t="n"/>
      <c r="AX11" s="377" t="n">
        <v>0</v>
      </c>
      <c r="AY11" s="146" t="n"/>
      <c r="AZ11" s="146" t="n"/>
      <c r="BA11" s="378" t="n"/>
      <c r="BB11" s="378" t="n"/>
      <c r="BC11" s="378" t="n"/>
      <c r="BD11" s="378" t="n"/>
      <c r="BE11" s="378" t="n"/>
      <c r="BF11" s="378" t="n"/>
      <c r="BG11" s="378" t="n"/>
      <c r="BH11" s="378" t="n"/>
      <c r="BI11" s="318" t="n"/>
      <c r="BJ11" s="318" t="n"/>
      <c r="BK11" s="318" t="n"/>
      <c r="BL11" s="318" t="n"/>
      <c r="BM11" s="318" t="n"/>
      <c r="BN11" s="318" t="n"/>
      <c r="BO11" s="318" t="n"/>
      <c r="BP11" s="318" t="n"/>
      <c r="BQ11" s="318" t="n"/>
      <c r="BR11" s="318" t="n"/>
      <c r="BS11" s="318" t="n"/>
      <c r="BT11" s="318" t="n"/>
      <c r="BU11" s="318" t="n"/>
      <c r="BV11" s="318" t="n"/>
      <c r="BW11" s="318" t="n"/>
      <c r="BX11" s="318" t="n"/>
      <c r="BY11" s="318" t="n"/>
      <c r="BZ11" s="318" t="n"/>
      <c r="CA11" s="318" t="n"/>
      <c r="CB11" s="318" t="n"/>
      <c r="CC11" s="318" t="n"/>
      <c r="CD11" s="318" t="n"/>
      <c r="CE11" s="318" t="n"/>
      <c r="CF11" s="318" t="n"/>
      <c r="CG11" s="318" t="n"/>
      <c r="CH11" s="318" t="n"/>
      <c r="CI11" s="318" t="n"/>
      <c r="CJ11" s="318" t="n"/>
      <c r="CK11" s="318" t="n"/>
      <c r="CL11" s="318" t="n"/>
      <c r="CM11" s="318" t="n"/>
      <c r="CN11" s="318" t="n"/>
      <c r="CO11" s="318" t="n"/>
      <c r="CP11" s="318" t="n"/>
      <c r="CQ11" s="318" t="n"/>
      <c r="CR11" s="318" t="n"/>
      <c r="CS11" s="318" t="n"/>
      <c r="CT11" s="318" t="n"/>
      <c r="CU11" s="318" t="n"/>
      <c r="CW11" s="318" t="n"/>
      <c r="CX11" s="318" t="n"/>
      <c r="CY11" s="318" t="n"/>
      <c r="CZ11" s="318" t="n"/>
      <c r="DA11" s="318" t="n"/>
      <c r="DB11" s="318" t="n"/>
      <c r="DC11" s="318" t="n"/>
      <c r="DD11" s="318" t="n"/>
      <c r="DE11" s="379" t="n"/>
      <c r="DF11" s="379" t="n"/>
      <c r="DG11" s="214" t="n"/>
    </row>
    <row r="12">
      <c r="A12" s="376" t="n">
        <v>41912</v>
      </c>
      <c r="B12" s="315" t="n">
        <v>16300</v>
      </c>
      <c r="C12" s="145" t="n"/>
      <c r="D12" s="145" t="n"/>
      <c r="E12" s="315" t="n">
        <v>10093.6</v>
      </c>
      <c r="F12" s="146" t="n"/>
      <c r="G12" s="146" t="n"/>
      <c r="H12" s="315" t="n">
        <v>5415.6</v>
      </c>
      <c r="I12" s="146" t="n"/>
      <c r="J12" s="146" t="n"/>
      <c r="K12" s="315" t="n">
        <v>790.9</v>
      </c>
      <c r="L12" s="146" t="n"/>
      <c r="M12" s="146" t="n"/>
      <c r="N12" s="315" t="n">
        <v>12944.4</v>
      </c>
      <c r="O12" s="146" t="n"/>
      <c r="P12" s="146" t="n"/>
      <c r="Q12" s="315" t="n">
        <v>8151.6</v>
      </c>
      <c r="R12" s="146" t="n"/>
      <c r="S12" s="146" t="n"/>
      <c r="T12" s="315" t="n">
        <v>4221.4</v>
      </c>
      <c r="U12" s="146" t="n"/>
      <c r="V12" s="146" t="n"/>
      <c r="W12" s="315" t="n">
        <v>571.4</v>
      </c>
      <c r="X12" s="146" t="n"/>
      <c r="Y12" s="146" t="n"/>
      <c r="Z12" s="315" t="n">
        <v>6893.3</v>
      </c>
      <c r="AA12" s="146" t="n"/>
      <c r="AB12" s="146" t="n"/>
      <c r="AC12" s="315" t="n">
        <v>5717.2</v>
      </c>
      <c r="AD12" s="146" t="n"/>
      <c r="AE12" s="146" t="n"/>
      <c r="AF12" s="315" t="n">
        <v>823.1</v>
      </c>
      <c r="AG12" s="146" t="n"/>
      <c r="AH12" s="146" t="n"/>
      <c r="AI12" s="315" t="n">
        <v>353.1</v>
      </c>
      <c r="AJ12" s="146" t="n"/>
      <c r="AK12" s="146" t="n"/>
      <c r="AL12" s="316" t="n">
        <v>79.40000000000001</v>
      </c>
      <c r="AM12" s="146" t="n"/>
      <c r="AN12" s="146" t="n"/>
      <c r="AO12" s="316" t="n">
        <v>80.8</v>
      </c>
      <c r="AP12" s="146" t="n"/>
      <c r="AQ12" s="146" t="n"/>
      <c r="AR12" s="316" t="n">
        <v>77.90000000000001</v>
      </c>
      <c r="AS12" s="146" t="n"/>
      <c r="AT12" s="146" t="n"/>
      <c r="AU12" s="316" t="n">
        <v>72.2</v>
      </c>
      <c r="AV12" s="146" t="n"/>
      <c r="AW12" s="146" t="n"/>
      <c r="AX12" s="377" t="n">
        <v>0</v>
      </c>
      <c r="AY12" s="146" t="n"/>
      <c r="AZ12" s="146" t="n"/>
      <c r="BA12" s="378" t="n"/>
      <c r="BB12" s="378" t="n"/>
      <c r="BC12" s="378" t="n"/>
      <c r="BD12" s="378" t="n"/>
      <c r="BE12" s="378" t="n"/>
      <c r="BF12" s="378" t="n"/>
      <c r="BG12" s="378" t="n"/>
      <c r="BH12" s="378" t="n"/>
      <c r="BI12" s="318" t="n"/>
      <c r="BJ12" s="318" t="n"/>
      <c r="BK12" s="318" t="n"/>
      <c r="BL12" s="318" t="n"/>
      <c r="BM12" s="318" t="n"/>
      <c r="BN12" s="318" t="n"/>
      <c r="BO12" s="318" t="n"/>
      <c r="BP12" s="318" t="n"/>
      <c r="BQ12" s="318" t="n"/>
      <c r="BR12" s="318" t="n"/>
      <c r="BS12" s="318" t="n"/>
      <c r="BT12" s="318" t="n"/>
      <c r="BU12" s="318" t="n"/>
      <c r="BV12" s="318" t="n"/>
      <c r="BW12" s="318" t="n"/>
      <c r="BX12" s="318" t="n"/>
      <c r="BY12" s="318" t="n"/>
      <c r="BZ12" s="318" t="n"/>
      <c r="CA12" s="318" t="n"/>
      <c r="CB12" s="318" t="n"/>
      <c r="CC12" s="318" t="n"/>
      <c r="CD12" s="318" t="n"/>
      <c r="CE12" s="318" t="n"/>
      <c r="CF12" s="318" t="n"/>
      <c r="CG12" s="318" t="n"/>
      <c r="CH12" s="318" t="n"/>
      <c r="CI12" s="318" t="n"/>
      <c r="CJ12" s="318" t="n"/>
      <c r="CK12" s="318" t="n"/>
      <c r="CL12" s="318" t="n"/>
      <c r="CM12" s="318" t="n"/>
      <c r="CN12" s="318" t="n"/>
      <c r="CO12" s="318" t="n"/>
      <c r="CP12" s="318" t="n"/>
      <c r="CQ12" s="318" t="n"/>
      <c r="CR12" s="318" t="n"/>
      <c r="CS12" s="318" t="n"/>
      <c r="CT12" s="318" t="n"/>
      <c r="CU12" s="318" t="n"/>
      <c r="CW12" s="318" t="n"/>
      <c r="CX12" s="318" t="n"/>
      <c r="CY12" s="318" t="n"/>
      <c r="CZ12" s="318" t="n"/>
      <c r="DA12" s="318" t="n"/>
      <c r="DB12" s="318" t="n"/>
      <c r="DC12" s="318" t="n"/>
      <c r="DD12" s="318" t="n"/>
      <c r="DE12" s="379" t="n"/>
      <c r="DF12" s="379" t="n"/>
      <c r="DG12" s="214" t="n"/>
    </row>
    <row r="13">
      <c r="A13" s="376" t="n">
        <v>41943</v>
      </c>
      <c r="B13" s="315" t="n">
        <v>16879.2</v>
      </c>
      <c r="C13" s="145" t="n"/>
      <c r="D13" s="145" t="n"/>
      <c r="E13" s="315" t="n">
        <v>10461.8</v>
      </c>
      <c r="F13" s="146" t="n"/>
      <c r="G13" s="146" t="n"/>
      <c r="H13" s="315" t="n">
        <v>5589.6</v>
      </c>
      <c r="I13" s="146" t="n"/>
      <c r="J13" s="146" t="n"/>
      <c r="K13" s="315" t="n">
        <v>827.8</v>
      </c>
      <c r="L13" s="146" t="n"/>
      <c r="M13" s="146" t="n"/>
      <c r="N13" s="315" t="n">
        <v>13266.9</v>
      </c>
      <c r="O13" s="146" t="n"/>
      <c r="P13" s="146" t="n"/>
      <c r="Q13" s="315" t="n">
        <v>8560.5</v>
      </c>
      <c r="R13" s="146" t="n"/>
      <c r="S13" s="146" t="n"/>
      <c r="T13" s="315" t="n">
        <v>4116.1</v>
      </c>
      <c r="U13" s="146" t="n"/>
      <c r="V13" s="146" t="n"/>
      <c r="W13" s="315" t="n">
        <v>590.3</v>
      </c>
      <c r="X13" s="146" t="n"/>
      <c r="Y13" s="146" t="n"/>
      <c r="Z13" s="315" t="n">
        <v>7229.5</v>
      </c>
      <c r="AA13" s="146" t="n"/>
      <c r="AB13" s="146" t="n"/>
      <c r="AC13" s="315" t="n">
        <v>6032.9</v>
      </c>
      <c r="AD13" s="146" t="n"/>
      <c r="AE13" s="146" t="n"/>
      <c r="AF13" s="315" t="n">
        <v>827.4</v>
      </c>
      <c r="AG13" s="146" t="n"/>
      <c r="AH13" s="146" t="n"/>
      <c r="AI13" s="315" t="n">
        <v>369.2</v>
      </c>
      <c r="AJ13" s="146" t="n"/>
      <c r="AK13" s="146" t="n"/>
      <c r="AL13" s="316" t="n">
        <v>78.59999999999999</v>
      </c>
      <c r="AM13" s="146" t="n"/>
      <c r="AN13" s="146" t="n"/>
      <c r="AO13" s="316" t="n">
        <v>81.8</v>
      </c>
      <c r="AP13" s="146" t="n"/>
      <c r="AQ13" s="146" t="n"/>
      <c r="AR13" s="316" t="n">
        <v>73.59999999999999</v>
      </c>
      <c r="AS13" s="146" t="n"/>
      <c r="AT13" s="146" t="n"/>
      <c r="AU13" s="316" t="n">
        <v>71.3</v>
      </c>
      <c r="AV13" s="146" t="n"/>
      <c r="AW13" s="146" t="n"/>
      <c r="AX13" s="377" t="n">
        <v>0</v>
      </c>
      <c r="AY13" s="146" t="n"/>
      <c r="AZ13" s="146" t="n"/>
      <c r="BA13" s="378" t="n"/>
      <c r="BB13" s="378" t="n"/>
      <c r="BC13" s="378" t="n"/>
      <c r="BD13" s="378" t="n"/>
      <c r="BE13" s="378" t="n"/>
      <c r="BF13" s="378" t="n"/>
      <c r="BG13" s="378" t="n"/>
      <c r="BH13" s="378" t="n"/>
      <c r="BI13" s="318" t="n"/>
      <c r="BJ13" s="318" t="n"/>
      <c r="BK13" s="318" t="n"/>
      <c r="BL13" s="318" t="n"/>
      <c r="BM13" s="318" t="n"/>
      <c r="BN13" s="318" t="n"/>
      <c r="BO13" s="318" t="n"/>
      <c r="BP13" s="318" t="n"/>
      <c r="BQ13" s="318" t="n"/>
      <c r="BR13" s="318" t="n"/>
      <c r="BS13" s="318" t="n"/>
      <c r="BT13" s="318" t="n"/>
      <c r="BU13" s="318" t="n"/>
      <c r="BV13" s="318" t="n"/>
      <c r="BW13" s="318" t="n"/>
      <c r="BX13" s="318" t="n"/>
      <c r="BY13" s="318" t="n"/>
      <c r="BZ13" s="318" t="n"/>
      <c r="CA13" s="318" t="n"/>
      <c r="CB13" s="318" t="n"/>
      <c r="CC13" s="318" t="n"/>
      <c r="CD13" s="318" t="n"/>
      <c r="CE13" s="318" t="n"/>
      <c r="CF13" s="318" t="n"/>
      <c r="CG13" s="318" t="n"/>
      <c r="CH13" s="318" t="n"/>
      <c r="CI13" s="318" t="n"/>
      <c r="CJ13" s="318" t="n"/>
      <c r="CK13" s="318" t="n"/>
      <c r="CL13" s="318" t="n"/>
      <c r="CM13" s="318" t="n"/>
      <c r="CN13" s="318" t="n"/>
      <c r="CO13" s="318" t="n"/>
      <c r="CP13" s="318" t="n"/>
      <c r="CQ13" s="318" t="n"/>
      <c r="CR13" s="318" t="n"/>
      <c r="CS13" s="318" t="n"/>
      <c r="CT13" s="318" t="n"/>
      <c r="CU13" s="318" t="n"/>
      <c r="CW13" s="318" t="n"/>
      <c r="CX13" s="318" t="n"/>
      <c r="CY13" s="318" t="n"/>
      <c r="CZ13" s="318" t="n"/>
      <c r="DA13" s="318" t="n"/>
      <c r="DB13" s="318" t="n"/>
      <c r="DC13" s="318" t="n"/>
      <c r="DD13" s="318" t="n"/>
      <c r="DE13" s="379" t="n"/>
      <c r="DF13" s="379" t="n"/>
      <c r="DG13" s="214" t="n"/>
    </row>
    <row r="14">
      <c r="A14" s="376" t="n">
        <v>41973</v>
      </c>
      <c r="B14" s="315" t="n">
        <v>16297.3</v>
      </c>
      <c r="C14" s="145" t="n"/>
      <c r="D14" s="145" t="n"/>
      <c r="E14" s="315" t="n">
        <v>10624.9</v>
      </c>
      <c r="F14" s="146" t="n"/>
      <c r="G14" s="146" t="n"/>
      <c r="H14" s="315" t="n">
        <v>4880</v>
      </c>
      <c r="I14" s="146" t="n"/>
      <c r="J14" s="146" t="n"/>
      <c r="K14" s="315" t="n">
        <v>792.4</v>
      </c>
      <c r="L14" s="146" t="n"/>
      <c r="M14" s="146" t="n"/>
      <c r="N14" s="315" t="n">
        <v>12681.5</v>
      </c>
      <c r="O14" s="146" t="n"/>
      <c r="P14" s="146" t="n"/>
      <c r="Q14" s="315" t="n">
        <v>8500.5</v>
      </c>
      <c r="R14" s="146" t="n"/>
      <c r="S14" s="146" t="n"/>
      <c r="T14" s="315" t="n">
        <v>3611.1</v>
      </c>
      <c r="U14" s="146" t="n"/>
      <c r="V14" s="146" t="n"/>
      <c r="W14" s="315" t="n">
        <v>569.9</v>
      </c>
      <c r="X14" s="146" t="n"/>
      <c r="Y14" s="146" t="n"/>
      <c r="Z14" s="315" t="n">
        <v>6922.8</v>
      </c>
      <c r="AA14" s="146" t="n"/>
      <c r="AB14" s="146" t="n"/>
      <c r="AC14" s="315" t="n">
        <v>5809.3</v>
      </c>
      <c r="AD14" s="146" t="n"/>
      <c r="AE14" s="146" t="n"/>
      <c r="AF14" s="315" t="n">
        <v>755.6</v>
      </c>
      <c r="AG14" s="146" t="n"/>
      <c r="AH14" s="146" t="n"/>
      <c r="AI14" s="315" t="n">
        <v>357.8</v>
      </c>
      <c r="AJ14" s="146" t="n"/>
      <c r="AK14" s="146" t="n"/>
      <c r="AL14" s="316" t="n">
        <v>77.8</v>
      </c>
      <c r="AM14" s="146" t="n"/>
      <c r="AN14" s="146" t="n"/>
      <c r="AO14" s="316" t="n">
        <v>80</v>
      </c>
      <c r="AP14" s="146" t="n"/>
      <c r="AQ14" s="146" t="n"/>
      <c r="AR14" s="316" t="n">
        <v>74</v>
      </c>
      <c r="AS14" s="146" t="n"/>
      <c r="AT14" s="146" t="n"/>
      <c r="AU14" s="316" t="n">
        <v>71.90000000000001</v>
      </c>
      <c r="AV14" s="146" t="n"/>
      <c r="AW14" s="146" t="n"/>
      <c r="AX14" s="377" t="n">
        <v>0</v>
      </c>
      <c r="AY14" s="146" t="n"/>
      <c r="AZ14" s="146" t="n"/>
      <c r="BA14" s="378" t="n"/>
      <c r="BB14" s="378" t="n"/>
      <c r="BC14" s="378" t="n"/>
      <c r="BD14" s="378" t="n"/>
      <c r="BE14" s="378" t="n"/>
      <c r="BF14" s="378" t="n"/>
      <c r="BG14" s="378" t="n"/>
      <c r="BH14" s="378" t="n"/>
      <c r="BI14" s="318" t="n"/>
      <c r="BJ14" s="318" t="n"/>
      <c r="BK14" s="318" t="n"/>
      <c r="BL14" s="318" t="n"/>
      <c r="BM14" s="318" t="n"/>
      <c r="BN14" s="318" t="n"/>
      <c r="BO14" s="318" t="n"/>
      <c r="BP14" s="318" t="n"/>
      <c r="BQ14" s="318" t="n"/>
      <c r="BR14" s="318" t="n"/>
      <c r="BS14" s="318" t="n"/>
      <c r="BT14" s="318" t="n"/>
      <c r="BU14" s="318" t="n"/>
      <c r="BV14" s="318" t="n"/>
      <c r="BW14" s="318" t="n"/>
      <c r="BX14" s="318" t="n"/>
      <c r="BY14" s="318" t="n"/>
      <c r="BZ14" s="318" t="n"/>
      <c r="CA14" s="318" t="n"/>
      <c r="CB14" s="318" t="n"/>
      <c r="CC14" s="318" t="n"/>
      <c r="CD14" s="318" t="n"/>
      <c r="CE14" s="318" t="n"/>
      <c r="CF14" s="318" t="n"/>
      <c r="CG14" s="318" t="n"/>
      <c r="CH14" s="318" t="n"/>
      <c r="CI14" s="318" t="n"/>
      <c r="CJ14" s="318" t="n"/>
      <c r="CK14" s="318" t="n"/>
      <c r="CL14" s="318" t="n"/>
      <c r="CM14" s="318" t="n"/>
      <c r="CN14" s="318" t="n"/>
      <c r="CO14" s="318" t="n"/>
      <c r="CP14" s="318" t="n"/>
      <c r="CQ14" s="318" t="n"/>
      <c r="CR14" s="318" t="n"/>
      <c r="CS14" s="318" t="n"/>
      <c r="CT14" s="318" t="n"/>
      <c r="CU14" s="318" t="n"/>
      <c r="CW14" s="318" t="n"/>
      <c r="CX14" s="318" t="n"/>
      <c r="CY14" s="318" t="n"/>
      <c r="CZ14" s="318" t="n"/>
      <c r="DA14" s="318" t="n"/>
      <c r="DB14" s="318" t="n"/>
      <c r="DC14" s="318" t="n"/>
      <c r="DD14" s="318" t="n"/>
      <c r="DE14" s="379" t="n"/>
      <c r="DF14" s="379" t="n"/>
      <c r="DG14" s="214" t="n"/>
    </row>
    <row r="15">
      <c r="A15" s="376" t="n">
        <v>42004</v>
      </c>
      <c r="B15" s="315" t="n">
        <v>16671</v>
      </c>
      <c r="C15" s="145" t="n"/>
      <c r="D15" s="145" t="n"/>
      <c r="E15" s="315" t="n">
        <v>10617.9</v>
      </c>
      <c r="F15" s="146" t="n"/>
      <c r="G15" s="146" t="n"/>
      <c r="H15" s="315" t="n">
        <v>5248.2</v>
      </c>
      <c r="I15" s="146" t="n"/>
      <c r="J15" s="146" t="n"/>
      <c r="K15" s="315" t="n">
        <v>804.8</v>
      </c>
      <c r="L15" s="146" t="n"/>
      <c r="M15" s="146" t="n"/>
      <c r="N15" s="315" t="n">
        <v>12750.5</v>
      </c>
      <c r="O15" s="146" t="n"/>
      <c r="P15" s="146" t="n"/>
      <c r="Q15" s="315" t="n">
        <v>8273</v>
      </c>
      <c r="R15" s="146" t="n"/>
      <c r="S15" s="146" t="n"/>
      <c r="T15" s="315" t="n">
        <v>3912.2</v>
      </c>
      <c r="U15" s="146" t="n"/>
      <c r="V15" s="146" t="n"/>
      <c r="W15" s="315" t="n">
        <v>565.4</v>
      </c>
      <c r="X15" s="146" t="n"/>
      <c r="Y15" s="146" t="n"/>
      <c r="Z15" s="315" t="n">
        <v>6765.8</v>
      </c>
      <c r="AA15" s="146" t="n"/>
      <c r="AB15" s="146" t="n"/>
      <c r="AC15" s="315" t="n">
        <v>5624.9</v>
      </c>
      <c r="AD15" s="146" t="n"/>
      <c r="AE15" s="146" t="n"/>
      <c r="AF15" s="315" t="n">
        <v>784.3</v>
      </c>
      <c r="AG15" s="146" t="n"/>
      <c r="AH15" s="146" t="n"/>
      <c r="AI15" s="315" t="n">
        <v>356.6</v>
      </c>
      <c r="AJ15" s="146" t="n"/>
      <c r="AK15" s="146" t="n"/>
      <c r="AL15" s="316" t="n">
        <v>76.5</v>
      </c>
      <c r="AM15" s="146" t="n"/>
      <c r="AN15" s="146" t="n"/>
      <c r="AO15" s="316" t="n">
        <v>77.90000000000001</v>
      </c>
      <c r="AP15" s="146" t="n"/>
      <c r="AQ15" s="146" t="n"/>
      <c r="AR15" s="316" t="n">
        <v>74.5</v>
      </c>
      <c r="AS15" s="146" t="n"/>
      <c r="AT15" s="146" t="n"/>
      <c r="AU15" s="316" t="n">
        <v>70.2</v>
      </c>
      <c r="AV15" s="146" t="n"/>
      <c r="AW15" s="146" t="n"/>
      <c r="AX15" s="377" t="n">
        <v>0</v>
      </c>
      <c r="AY15" s="146" t="n"/>
      <c r="AZ15" s="146" t="n"/>
      <c r="BA15" s="378" t="n"/>
      <c r="BB15" s="378" t="n"/>
      <c r="BC15" s="378" t="n"/>
      <c r="BD15" s="378" t="n"/>
      <c r="BE15" s="378" t="n"/>
      <c r="BF15" s="378" t="n"/>
      <c r="BG15" s="378" t="n"/>
      <c r="BH15" s="378" t="n"/>
      <c r="BI15" s="318" t="n"/>
      <c r="BJ15" s="318" t="n"/>
      <c r="BK15" s="318" t="n"/>
      <c r="BL15" s="318" t="n"/>
      <c r="BM15" s="318" t="n"/>
      <c r="BN15" s="318" t="n"/>
      <c r="BO15" s="318" t="n"/>
      <c r="BP15" s="318" t="n"/>
      <c r="BQ15" s="318" t="n"/>
      <c r="BR15" s="318" t="n"/>
      <c r="BS15" s="318" t="n"/>
      <c r="BT15" s="318" t="n"/>
      <c r="BU15" s="318" t="n"/>
      <c r="BV15" s="318" t="n"/>
      <c r="BW15" s="318" t="n"/>
      <c r="BX15" s="318" t="n"/>
      <c r="BY15" s="318" t="n"/>
      <c r="BZ15" s="318" t="n"/>
      <c r="CA15" s="318" t="n"/>
      <c r="CB15" s="318" t="n"/>
      <c r="CC15" s="318" t="n"/>
      <c r="CD15" s="318" t="n"/>
      <c r="CE15" s="318" t="n"/>
      <c r="CF15" s="318" t="n"/>
      <c r="CG15" s="318" t="n"/>
      <c r="CH15" s="318" t="n"/>
      <c r="CI15" s="318" t="n"/>
      <c r="CJ15" s="318" t="n"/>
      <c r="CK15" s="318" t="n"/>
      <c r="CL15" s="318" t="n"/>
      <c r="CM15" s="318" t="n"/>
      <c r="CN15" s="318" t="n"/>
      <c r="CO15" s="318" t="n"/>
      <c r="CP15" s="318" t="n"/>
      <c r="CQ15" s="318" t="n"/>
      <c r="CR15" s="318" t="n"/>
      <c r="CS15" s="318" t="n"/>
      <c r="CT15" s="318" t="n"/>
      <c r="CU15" s="318" t="n"/>
      <c r="CW15" s="318" t="n"/>
      <c r="CX15" s="318" t="n"/>
      <c r="CY15" s="318" t="n"/>
      <c r="CZ15" s="318" t="n"/>
      <c r="DA15" s="318" t="n"/>
      <c r="DB15" s="318" t="n"/>
      <c r="DC15" s="318" t="n"/>
      <c r="DD15" s="318" t="n"/>
      <c r="DE15" s="379" t="n"/>
      <c r="DF15" s="379" t="n"/>
      <c r="DG15" s="214" t="n"/>
    </row>
    <row r="16" ht="13" customFormat="1" customHeight="1" s="199">
      <c r="A16" s="371" t="n">
        <v>42035</v>
      </c>
      <c r="B16" s="372" t="n">
        <v>16712.4</v>
      </c>
      <c r="C16" s="111">
        <f>B16/B4-1</f>
        <v/>
      </c>
      <c r="D16" s="111" t="n"/>
      <c r="E16" s="372" t="n">
        <v>10693.3</v>
      </c>
      <c r="F16" s="111">
        <f>E16/E4-1</f>
        <v/>
      </c>
      <c r="G16" s="111" t="n"/>
      <c r="H16" s="372" t="n">
        <v>5237.4</v>
      </c>
      <c r="I16" s="111">
        <f>H16/H4-1</f>
        <v/>
      </c>
      <c r="J16" s="111" t="n"/>
      <c r="K16" s="372" t="n">
        <v>781.7</v>
      </c>
      <c r="L16" s="111">
        <f>K16/K4-1</f>
        <v/>
      </c>
      <c r="M16" s="111" t="n"/>
      <c r="N16" s="372" t="n">
        <v>12777.5</v>
      </c>
      <c r="O16" s="111">
        <f>N16/N4-1</f>
        <v/>
      </c>
      <c r="P16" s="111" t="n"/>
      <c r="Q16" s="372" t="n">
        <v>8405</v>
      </c>
      <c r="R16" s="111">
        <f>Q16/Q4-1</f>
        <v/>
      </c>
      <c r="S16" s="111" t="n"/>
      <c r="T16" s="372" t="n">
        <v>3865.1</v>
      </c>
      <c r="U16" s="111">
        <f>T16/T4-1</f>
        <v/>
      </c>
      <c r="V16" s="111" t="n"/>
      <c r="W16" s="372" t="n">
        <v>507.4</v>
      </c>
      <c r="X16" s="111">
        <f>W16/W4-1</f>
        <v/>
      </c>
      <c r="Y16" s="111" t="n"/>
      <c r="Z16" s="372" t="n">
        <v>6731.1</v>
      </c>
      <c r="AA16" s="111">
        <f>Z16/Z4-1</f>
        <v/>
      </c>
      <c r="AB16" s="111" t="n"/>
      <c r="AC16" s="372" t="n">
        <v>5638</v>
      </c>
      <c r="AD16" s="111">
        <f>AC16/AC4-1</f>
        <v/>
      </c>
      <c r="AE16" s="111" t="n"/>
      <c r="AF16" s="372" t="n">
        <v>776.8</v>
      </c>
      <c r="AG16" s="111">
        <f>AF16/AF4-1</f>
        <v/>
      </c>
      <c r="AH16" s="111" t="n"/>
      <c r="AI16" s="372" t="n">
        <v>316.3</v>
      </c>
      <c r="AJ16" s="111">
        <f>AI16/AI4-1</f>
        <v/>
      </c>
      <c r="AK16" s="111" t="n"/>
      <c r="AL16" s="373" t="n">
        <v>76.5</v>
      </c>
      <c r="AM16" s="380">
        <f>AL16-AL4</f>
        <v/>
      </c>
      <c r="AN16" s="111" t="n"/>
      <c r="AO16" s="373" t="n">
        <v>78.59999999999999</v>
      </c>
      <c r="AP16" s="380">
        <f>AO16-AO4</f>
        <v/>
      </c>
      <c r="AQ16" s="111" t="n"/>
      <c r="AR16" s="373" t="n">
        <v>73.8</v>
      </c>
      <c r="AS16" s="380">
        <f>AR16-AR4</f>
        <v/>
      </c>
      <c r="AT16" s="111" t="n"/>
      <c r="AU16" s="373" t="n">
        <v>64.90000000000001</v>
      </c>
      <c r="AV16" s="380">
        <f>AU16-AU4</f>
        <v/>
      </c>
      <c r="AW16" s="111" t="n"/>
      <c r="AX16" s="374" t="n">
        <v>0</v>
      </c>
      <c r="AY16" s="111">
        <f>AX16/AX4-1</f>
        <v/>
      </c>
      <c r="AZ16" s="111" t="n"/>
      <c r="BA16" s="372" t="n"/>
      <c r="BB16" s="142" t="n"/>
      <c r="BC16" s="372" t="n"/>
      <c r="BD16" s="209" t="n"/>
      <c r="BE16" s="372" t="n"/>
      <c r="BF16" s="209" t="n"/>
      <c r="BG16" s="372" t="n"/>
      <c r="BH16" s="209" t="n"/>
      <c r="BI16" s="372" t="n"/>
      <c r="BJ16" s="209" t="n"/>
      <c r="BK16" s="372" t="n"/>
      <c r="BL16" s="209" t="n"/>
      <c r="BM16" s="372" t="n"/>
      <c r="BN16" s="209" t="n"/>
      <c r="BO16" s="372" t="n"/>
      <c r="BP16" s="372" t="n"/>
      <c r="BQ16" s="209" t="n"/>
      <c r="BR16" s="372" t="n"/>
      <c r="BS16" s="209" t="n"/>
      <c r="BT16" s="372" t="n"/>
      <c r="BU16" s="209" t="n"/>
      <c r="BV16" s="372" t="n"/>
      <c r="BW16" s="209" t="n"/>
      <c r="BX16" s="372" t="n"/>
      <c r="BY16" s="209" t="n"/>
      <c r="BZ16" s="372" t="n"/>
      <c r="CA16" s="209" t="n"/>
      <c r="CB16" s="372" t="n"/>
      <c r="CC16" s="209" t="n"/>
      <c r="CD16" s="372" t="n"/>
      <c r="CE16" s="209" t="n"/>
      <c r="CF16" s="372" t="n"/>
      <c r="CG16" s="372" t="n"/>
      <c r="CH16" s="372" t="n"/>
      <c r="CI16" s="372" t="n"/>
      <c r="CJ16" s="372" t="n"/>
      <c r="CK16" s="372" t="n"/>
      <c r="CL16" s="372" t="n"/>
      <c r="CM16" s="372" t="n"/>
      <c r="CN16" s="372" t="n"/>
      <c r="CO16" s="215" t="n"/>
      <c r="CP16" s="372" t="n"/>
      <c r="CQ16" s="215" t="n"/>
      <c r="CR16" s="372" t="n"/>
      <c r="CS16" s="215" t="n"/>
      <c r="CT16" s="372" t="n"/>
      <c r="CU16" s="215" t="n"/>
      <c r="CW16" s="372" t="n"/>
      <c r="CX16" s="209" t="n"/>
      <c r="CY16" s="372" t="n"/>
      <c r="CZ16" s="209" t="n"/>
      <c r="DA16" s="372" t="n"/>
      <c r="DB16" s="209" t="n"/>
      <c r="DC16" s="372" t="n"/>
      <c r="DD16" s="209" t="n"/>
      <c r="DE16" s="375" t="n"/>
      <c r="DF16" s="375" t="n"/>
    </row>
    <row r="17">
      <c r="A17" s="376" t="n">
        <v>42063</v>
      </c>
      <c r="B17" s="315" t="n">
        <v>16429.4</v>
      </c>
      <c r="C17" s="111">
        <f>B17/B5-1</f>
        <v/>
      </c>
      <c r="D17" s="111" t="n"/>
      <c r="E17" s="315" t="n">
        <v>10662.6</v>
      </c>
      <c r="F17" s="111">
        <f>E17/E5-1</f>
        <v/>
      </c>
      <c r="G17" s="111" t="n"/>
      <c r="H17" s="315" t="n">
        <v>4930.3</v>
      </c>
      <c r="I17" s="111">
        <f>H17/H5-1</f>
        <v/>
      </c>
      <c r="J17" s="111" t="n"/>
      <c r="K17" s="315" t="n">
        <v>836.5</v>
      </c>
      <c r="L17" s="111">
        <f>K17/K5-1</f>
        <v/>
      </c>
      <c r="M17" s="111" t="n"/>
      <c r="N17" s="315" t="n">
        <v>13557.3</v>
      </c>
      <c r="O17" s="111">
        <f>N17/N5-1</f>
        <v/>
      </c>
      <c r="P17" s="111" t="n"/>
      <c r="Q17" s="315" t="n">
        <v>8930.200000000001</v>
      </c>
      <c r="R17" s="111">
        <f>Q17/Q5-1</f>
        <v/>
      </c>
      <c r="S17" s="111" t="n"/>
      <c r="T17" s="315" t="n">
        <v>3967.9</v>
      </c>
      <c r="U17" s="111">
        <f>T17/T5-1</f>
        <v/>
      </c>
      <c r="V17" s="111" t="n"/>
      <c r="W17" s="315" t="n">
        <v>659.2</v>
      </c>
      <c r="X17" s="111">
        <f>W17/W5-1</f>
        <v/>
      </c>
      <c r="Y17" s="111" t="n"/>
      <c r="Z17" s="315" t="n">
        <v>7269.7</v>
      </c>
      <c r="AA17" s="111">
        <f>Z17/Z5-1</f>
        <v/>
      </c>
      <c r="AB17" s="111" t="n"/>
      <c r="AC17" s="315" t="n">
        <v>6004</v>
      </c>
      <c r="AD17" s="111">
        <f>AC17/AC5-1</f>
        <v/>
      </c>
      <c r="AE17" s="111" t="n"/>
      <c r="AF17" s="315" t="n">
        <v>851.7</v>
      </c>
      <c r="AG17" s="111">
        <f>AF17/AF5-1</f>
        <v/>
      </c>
      <c r="AH17" s="111" t="n"/>
      <c r="AI17" s="315" t="n">
        <v>414</v>
      </c>
      <c r="AJ17" s="111">
        <f>AI17/AI5-1</f>
        <v/>
      </c>
      <c r="AK17" s="111" t="n"/>
      <c r="AL17" s="316" t="n">
        <v>82.5</v>
      </c>
      <c r="AM17" s="380">
        <f>AL17-AL5</f>
        <v/>
      </c>
      <c r="AN17" s="111" t="n"/>
      <c r="AO17" s="316" t="n">
        <v>83.8</v>
      </c>
      <c r="AP17" s="380">
        <f>AO17-AO5</f>
        <v/>
      </c>
      <c r="AQ17" s="111" t="n"/>
      <c r="AR17" s="316" t="n">
        <v>80.5</v>
      </c>
      <c r="AS17" s="380">
        <f>AR17-AR5</f>
        <v/>
      </c>
      <c r="AT17" s="111" t="n"/>
      <c r="AU17" s="316" t="n">
        <v>78.8</v>
      </c>
      <c r="AV17" s="380">
        <f>AU17-AU5</f>
        <v/>
      </c>
      <c r="AW17" s="111" t="n"/>
      <c r="AX17" s="377" t="n">
        <v>0</v>
      </c>
      <c r="AY17" s="111">
        <f>AX17/AX5-1</f>
        <v/>
      </c>
      <c r="AZ17" s="111" t="n"/>
      <c r="BA17" s="378" t="n"/>
      <c r="BB17" s="142" t="n"/>
      <c r="BC17" s="378" t="n"/>
      <c r="BD17" s="142" t="n"/>
      <c r="BE17" s="378" t="n"/>
      <c r="BF17" s="142" t="n"/>
      <c r="BG17" s="378" t="n"/>
      <c r="BH17" s="142" t="n"/>
      <c r="BI17" s="318" t="n"/>
      <c r="BJ17" s="142" t="n"/>
      <c r="BK17" s="318" t="n"/>
      <c r="BL17" s="142" t="n"/>
      <c r="BM17" s="318" t="n"/>
      <c r="BN17" s="142" t="n"/>
      <c r="BO17" s="318" t="n"/>
      <c r="BP17" s="318" t="n"/>
      <c r="BQ17" s="142" t="n"/>
      <c r="BR17" s="318" t="n"/>
      <c r="BS17" s="142" t="n"/>
      <c r="BT17" s="318" t="n"/>
      <c r="BU17" s="142" t="n"/>
      <c r="BV17" s="318" t="n"/>
      <c r="BW17" s="142" t="n"/>
      <c r="BX17" s="318" t="n"/>
      <c r="BY17" s="142" t="n"/>
      <c r="BZ17" s="318" t="n"/>
      <c r="CA17" s="142" t="n"/>
      <c r="CB17" s="318" t="n"/>
      <c r="CC17" s="142" t="n"/>
      <c r="CD17" s="318" t="n"/>
      <c r="CE17" s="142" t="n"/>
      <c r="CF17" s="318" t="n"/>
      <c r="CG17" s="317" t="n"/>
      <c r="CH17" s="318" t="n"/>
      <c r="CI17" s="317" t="n"/>
      <c r="CJ17" s="318" t="n"/>
      <c r="CK17" s="317" t="n"/>
      <c r="CL17" s="318" t="n"/>
      <c r="CM17" s="317" t="n"/>
      <c r="CN17" s="318" t="n"/>
      <c r="CO17" s="80" t="n"/>
      <c r="CP17" s="318" t="n"/>
      <c r="CQ17" s="80" t="n"/>
      <c r="CR17" s="318" t="n"/>
      <c r="CS17" s="80" t="n"/>
      <c r="CT17" s="318" t="n"/>
      <c r="CU17" s="80" t="n"/>
      <c r="CW17" s="318" t="n"/>
      <c r="CX17" s="142" t="n"/>
      <c r="CY17" s="318" t="n"/>
      <c r="CZ17" s="142" t="n"/>
      <c r="DA17" s="318" t="n"/>
      <c r="DB17" s="142" t="n"/>
      <c r="DC17" s="318" t="n"/>
      <c r="DD17" s="142" t="n"/>
      <c r="DE17" s="379" t="n"/>
      <c r="DF17" s="379" t="n"/>
      <c r="DG17" s="214" t="n"/>
    </row>
    <row r="18">
      <c r="A18" s="376" t="n">
        <v>42094</v>
      </c>
      <c r="B18" s="315" t="n">
        <v>17489.4</v>
      </c>
      <c r="C18" s="111">
        <f>B18/B6-1</f>
        <v/>
      </c>
      <c r="D18" s="111" t="n"/>
      <c r="E18" s="315" t="n">
        <v>11356.8</v>
      </c>
      <c r="F18" s="111">
        <f>E18/E6-1</f>
        <v/>
      </c>
      <c r="G18" s="111" t="n"/>
      <c r="H18" s="315" t="n">
        <v>5326</v>
      </c>
      <c r="I18" s="111">
        <f>H18/H6-1</f>
        <v/>
      </c>
      <c r="J18" s="111" t="n"/>
      <c r="K18" s="315" t="n">
        <v>806.6</v>
      </c>
      <c r="L18" s="111">
        <f>K18/K6-1</f>
        <v/>
      </c>
      <c r="M18" s="111" t="n"/>
      <c r="N18" s="315" t="n">
        <v>14287.2</v>
      </c>
      <c r="O18" s="111">
        <f>N18/N6-1</f>
        <v/>
      </c>
      <c r="P18" s="111" t="n"/>
      <c r="Q18" s="315" t="n">
        <v>9631.200000000001</v>
      </c>
      <c r="R18" s="111">
        <f>Q18/Q6-1</f>
        <v/>
      </c>
      <c r="S18" s="111" t="n"/>
      <c r="T18" s="315" t="n">
        <v>4136</v>
      </c>
      <c r="U18" s="111">
        <f>T18/T6-1</f>
        <v/>
      </c>
      <c r="V18" s="111" t="n"/>
      <c r="W18" s="315" t="n">
        <v>520</v>
      </c>
      <c r="X18" s="111">
        <f>W18/W6-1</f>
        <v/>
      </c>
      <c r="Y18" s="111" t="n"/>
      <c r="Z18" s="315" t="n">
        <v>7712</v>
      </c>
      <c r="AA18" s="111">
        <f>Z18/Z6-1</f>
        <v/>
      </c>
      <c r="AB18" s="111" t="n"/>
      <c r="AC18" s="315" t="n">
        <v>6520.6</v>
      </c>
      <c r="AD18" s="111">
        <f>AC18/AC6-1</f>
        <v/>
      </c>
      <c r="AE18" s="111" t="n"/>
      <c r="AF18" s="315" t="n">
        <v>860.8</v>
      </c>
      <c r="AG18" s="111">
        <f>AF18/AF6-1</f>
        <v/>
      </c>
      <c r="AH18" s="111" t="n"/>
      <c r="AI18" s="315" t="n">
        <v>330.7</v>
      </c>
      <c r="AJ18" s="111">
        <f>AI18/AI6-1</f>
        <v/>
      </c>
      <c r="AK18" s="111" t="n"/>
      <c r="AL18" s="316" t="n">
        <v>81.7</v>
      </c>
      <c r="AM18" s="380">
        <f>AL18-AL6</f>
        <v/>
      </c>
      <c r="AN18" s="111" t="n"/>
      <c r="AO18" s="316" t="n">
        <v>84.8</v>
      </c>
      <c r="AP18" s="380">
        <f>AO18-AO6</f>
        <v/>
      </c>
      <c r="AQ18" s="111" t="n"/>
      <c r="AR18" s="316" t="n">
        <v>77.7</v>
      </c>
      <c r="AS18" s="380">
        <f>AR18-AR6</f>
        <v/>
      </c>
      <c r="AT18" s="111" t="n"/>
      <c r="AU18" s="316" t="n">
        <v>64.5</v>
      </c>
      <c r="AV18" s="380">
        <f>AU18-AU6</f>
        <v/>
      </c>
      <c r="AW18" s="111" t="n"/>
      <c r="AX18" s="377" t="n">
        <v>0</v>
      </c>
      <c r="AY18" s="111">
        <f>AX18/AX6-1</f>
        <v/>
      </c>
      <c r="AZ18" s="111" t="n"/>
      <c r="BA18" s="378" t="n"/>
      <c r="BB18" s="142" t="n"/>
      <c r="BC18" s="378" t="n"/>
      <c r="BD18" s="142" t="n"/>
      <c r="BE18" s="378" t="n"/>
      <c r="BF18" s="142" t="n"/>
      <c r="BG18" s="378" t="n"/>
      <c r="BH18" s="142" t="n"/>
      <c r="BI18" s="318" t="n"/>
      <c r="BJ18" s="142" t="n"/>
      <c r="BK18" s="318" t="n"/>
      <c r="BL18" s="142" t="n"/>
      <c r="BM18" s="318" t="n"/>
      <c r="BN18" s="142" t="n"/>
      <c r="BO18" s="318" t="n"/>
      <c r="BP18" s="318" t="n"/>
      <c r="BQ18" s="142" t="n"/>
      <c r="BR18" s="318" t="n"/>
      <c r="BS18" s="142" t="n"/>
      <c r="BT18" s="318" t="n"/>
      <c r="BU18" s="142" t="n"/>
      <c r="BV18" s="318" t="n"/>
      <c r="BW18" s="142" t="n"/>
      <c r="BX18" s="318" t="n"/>
      <c r="BY18" s="142" t="n"/>
      <c r="BZ18" s="318" t="n"/>
      <c r="CA18" s="142" t="n"/>
      <c r="CB18" s="318" t="n"/>
      <c r="CC18" s="142" t="n"/>
      <c r="CD18" s="318" t="n"/>
      <c r="CE18" s="142" t="n"/>
      <c r="CF18" s="318" t="n"/>
      <c r="CG18" s="317" t="n"/>
      <c r="CH18" s="318" t="n"/>
      <c r="CI18" s="317" t="n"/>
      <c r="CJ18" s="318" t="n"/>
      <c r="CK18" s="317" t="n"/>
      <c r="CL18" s="318" t="n"/>
      <c r="CM18" s="317" t="n"/>
      <c r="CN18" s="318" t="n"/>
      <c r="CO18" s="80" t="n"/>
      <c r="CP18" s="318" t="n"/>
      <c r="CQ18" s="80" t="n"/>
      <c r="CR18" s="318" t="n"/>
      <c r="CS18" s="80" t="n"/>
      <c r="CT18" s="318" t="n"/>
      <c r="CU18" s="80" t="n"/>
      <c r="CW18" s="318" t="n"/>
      <c r="CX18" s="142" t="n"/>
      <c r="CY18" s="318" t="n"/>
      <c r="CZ18" s="142" t="n"/>
      <c r="DA18" s="318" t="n"/>
      <c r="DB18" s="142" t="n"/>
      <c r="DC18" s="318" t="n"/>
      <c r="DD18" s="142" t="n"/>
      <c r="DE18" s="379" t="n"/>
      <c r="DF18" s="379" t="n"/>
      <c r="DG18" s="214" t="n"/>
    </row>
    <row r="19">
      <c r="A19" s="376" t="n">
        <v>42124</v>
      </c>
      <c r="B19" s="315" t="n">
        <v>17196.9</v>
      </c>
      <c r="C19" s="111">
        <f>B19/B7-1</f>
        <v/>
      </c>
      <c r="D19" s="111" t="n"/>
      <c r="E19" s="315" t="n">
        <v>10712</v>
      </c>
      <c r="F19" s="111">
        <f>E19/E7-1</f>
        <v/>
      </c>
      <c r="G19" s="111" t="n"/>
      <c r="H19" s="315" t="n">
        <v>5664.8</v>
      </c>
      <c r="I19" s="111">
        <f>H19/H7-1</f>
        <v/>
      </c>
      <c r="J19" s="111" t="n"/>
      <c r="K19" s="315" t="n">
        <v>820.1</v>
      </c>
      <c r="L19" s="111">
        <f>K19/K7-1</f>
        <v/>
      </c>
      <c r="M19" s="111" t="n"/>
      <c r="N19" s="315" t="n">
        <v>13793.3</v>
      </c>
      <c r="O19" s="111">
        <f>N19/N7-1</f>
        <v/>
      </c>
      <c r="P19" s="111" t="n"/>
      <c r="Q19" s="315" t="n">
        <v>8867.200000000001</v>
      </c>
      <c r="R19" s="111">
        <f>Q19/Q7-1</f>
        <v/>
      </c>
      <c r="S19" s="111" t="n"/>
      <c r="T19" s="315" t="n">
        <v>4362.8</v>
      </c>
      <c r="U19" s="111">
        <f>T19/T7-1</f>
        <v/>
      </c>
      <c r="V19" s="111" t="n"/>
      <c r="W19" s="315" t="n">
        <v>563.2</v>
      </c>
      <c r="X19" s="111">
        <f>W19/W7-1</f>
        <v/>
      </c>
      <c r="Y19" s="111" t="n"/>
      <c r="Z19" s="315" t="n">
        <v>7404.9</v>
      </c>
      <c r="AA19" s="111">
        <f>Z19/Z7-1</f>
        <v/>
      </c>
      <c r="AB19" s="111" t="n"/>
      <c r="AC19" s="315" t="n">
        <v>6126.5</v>
      </c>
      <c r="AD19" s="111">
        <f>AC19/AC7-1</f>
        <v/>
      </c>
      <c r="AE19" s="111" t="n"/>
      <c r="AF19" s="315" t="n">
        <v>916.3</v>
      </c>
      <c r="AG19" s="111">
        <f>AF19/AF7-1</f>
        <v/>
      </c>
      <c r="AH19" s="111" t="n"/>
      <c r="AI19" s="315" t="n">
        <v>362</v>
      </c>
      <c r="AJ19" s="111">
        <f>AI19/AI7-1</f>
        <v/>
      </c>
      <c r="AK19" s="111" t="n"/>
      <c r="AL19" s="316" t="n">
        <v>80.2</v>
      </c>
      <c r="AM19" s="380">
        <f>AL19-AL7</f>
        <v/>
      </c>
      <c r="AN19" s="111" t="n"/>
      <c r="AO19" s="316" t="n">
        <v>82.8</v>
      </c>
      <c r="AP19" s="380">
        <f>AO19-AO7</f>
        <v/>
      </c>
      <c r="AQ19" s="111" t="n"/>
      <c r="AR19" s="316" t="n">
        <v>77</v>
      </c>
      <c r="AS19" s="380">
        <f>AR19-AR7</f>
        <v/>
      </c>
      <c r="AT19" s="111" t="n"/>
      <c r="AU19" s="316" t="n">
        <v>68.7</v>
      </c>
      <c r="AV19" s="380">
        <f>AU19-AU7</f>
        <v/>
      </c>
      <c r="AW19" s="111" t="n"/>
      <c r="AX19" s="377" t="n">
        <v>0</v>
      </c>
      <c r="AY19" s="111">
        <f>AX19/AX7-1</f>
        <v/>
      </c>
      <c r="AZ19" s="111" t="n"/>
      <c r="BA19" s="378" t="n"/>
      <c r="BB19" s="142" t="n"/>
      <c r="BC19" s="378" t="n"/>
      <c r="BD19" s="142" t="n"/>
      <c r="BE19" s="378" t="n"/>
      <c r="BF19" s="142" t="n"/>
      <c r="BG19" s="378" t="n"/>
      <c r="BH19" s="142" t="n"/>
      <c r="BI19" s="318" t="n"/>
      <c r="BJ19" s="142" t="n"/>
      <c r="BK19" s="318" t="n"/>
      <c r="BL19" s="142" t="n"/>
      <c r="BM19" s="318" t="n"/>
      <c r="BN19" s="142" t="n"/>
      <c r="BO19" s="318" t="n"/>
      <c r="BP19" s="318" t="n"/>
      <c r="BQ19" s="142" t="n"/>
      <c r="BR19" s="318" t="n"/>
      <c r="BS19" s="142" t="n"/>
      <c r="BT19" s="318" t="n"/>
      <c r="BU19" s="142" t="n"/>
      <c r="BV19" s="318" t="n"/>
      <c r="BW19" s="142" t="n"/>
      <c r="BX19" s="318" t="n"/>
      <c r="BY19" s="142" t="n"/>
      <c r="BZ19" s="318" t="n"/>
      <c r="CA19" s="142" t="n"/>
      <c r="CB19" s="318" t="n"/>
      <c r="CC19" s="142" t="n"/>
      <c r="CD19" s="318" t="n"/>
      <c r="CE19" s="142" t="n"/>
      <c r="CF19" s="318" t="n"/>
      <c r="CG19" s="317" t="n"/>
      <c r="CH19" s="318" t="n"/>
      <c r="CI19" s="317" t="n"/>
      <c r="CJ19" s="318" t="n"/>
      <c r="CK19" s="317" t="n"/>
      <c r="CL19" s="318" t="n"/>
      <c r="CM19" s="317" t="n"/>
      <c r="CN19" s="318" t="n"/>
      <c r="CO19" s="80" t="n"/>
      <c r="CP19" s="318" t="n"/>
      <c r="CQ19" s="80" t="n"/>
      <c r="CR19" s="318" t="n"/>
      <c r="CS19" s="80" t="n"/>
      <c r="CT19" s="318" t="n"/>
      <c r="CU19" s="80" t="n"/>
      <c r="CW19" s="318" t="n"/>
      <c r="CX19" s="142" t="n"/>
      <c r="CY19" s="318" t="n"/>
      <c r="CZ19" s="142" t="n"/>
      <c r="DA19" s="318" t="n"/>
      <c r="DB19" s="142" t="n"/>
      <c r="DC19" s="318" t="n"/>
      <c r="DD19" s="142" t="n"/>
      <c r="DE19" s="379" t="n"/>
      <c r="DF19" s="379" t="n"/>
      <c r="DG19" s="214" t="n"/>
    </row>
    <row r="20">
      <c r="A20" s="376" t="n">
        <v>42155</v>
      </c>
      <c r="B20" s="315" t="n">
        <v>17706.1</v>
      </c>
      <c r="C20" s="111">
        <f>B20/B8-1</f>
        <v/>
      </c>
      <c r="D20" s="111" t="n"/>
      <c r="E20" s="315" t="n">
        <v>10917</v>
      </c>
      <c r="F20" s="111">
        <f>E20/E8-1</f>
        <v/>
      </c>
      <c r="G20" s="111" t="n"/>
      <c r="H20" s="315" t="n">
        <v>5972.3</v>
      </c>
      <c r="I20" s="111">
        <f>H20/H8-1</f>
        <v/>
      </c>
      <c r="J20" s="111" t="n"/>
      <c r="K20" s="315" t="n">
        <v>816.8</v>
      </c>
      <c r="L20" s="111">
        <f>K20/K8-1</f>
        <v/>
      </c>
      <c r="M20" s="111" t="n"/>
      <c r="N20" s="315" t="n">
        <v>13925.2</v>
      </c>
      <c r="O20" s="111">
        <f>N20/N8-1</f>
        <v/>
      </c>
      <c r="P20" s="111" t="n"/>
      <c r="Q20" s="315" t="n">
        <v>8835.299999999999</v>
      </c>
      <c r="R20" s="111">
        <f>Q20/Q8-1</f>
        <v/>
      </c>
      <c r="S20" s="111" t="n"/>
      <c r="T20" s="315" t="n">
        <v>4519.3</v>
      </c>
      <c r="U20" s="111">
        <f>T20/T8-1</f>
        <v/>
      </c>
      <c r="V20" s="111" t="n"/>
      <c r="W20" s="315" t="n">
        <v>570.5</v>
      </c>
      <c r="X20" s="111">
        <f>W20/W8-1</f>
        <v/>
      </c>
      <c r="Y20" s="111" t="n"/>
      <c r="Z20" s="315" t="n">
        <v>7404.3</v>
      </c>
      <c r="AA20" s="111">
        <f>Z20/Z8-1</f>
        <v/>
      </c>
      <c r="AB20" s="111" t="n"/>
      <c r="AC20" s="315" t="n">
        <v>6111.5</v>
      </c>
      <c r="AD20" s="111">
        <f>AC20/AC8-1</f>
        <v/>
      </c>
      <c r="AE20" s="111" t="n"/>
      <c r="AF20" s="315" t="n">
        <v>924.5</v>
      </c>
      <c r="AG20" s="111">
        <f>AF20/AF8-1</f>
        <v/>
      </c>
      <c r="AH20" s="111" t="n"/>
      <c r="AI20" s="315" t="n">
        <v>368.4</v>
      </c>
      <c r="AJ20" s="111">
        <f>AI20/AI8-1</f>
        <v/>
      </c>
      <c r="AK20" s="111" t="n"/>
      <c r="AL20" s="316" t="n">
        <v>78.59999999999999</v>
      </c>
      <c r="AM20" s="380">
        <f>AL20-AL8</f>
        <v/>
      </c>
      <c r="AN20" s="111" t="n"/>
      <c r="AO20" s="316" t="n">
        <v>80.90000000000001</v>
      </c>
      <c r="AP20" s="380">
        <f>AO20-AO8</f>
        <v/>
      </c>
      <c r="AQ20" s="111" t="n"/>
      <c r="AR20" s="316" t="n">
        <v>75.7</v>
      </c>
      <c r="AS20" s="380">
        <f>AR20-AR8</f>
        <v/>
      </c>
      <c r="AT20" s="111" t="n"/>
      <c r="AU20" s="316" t="n">
        <v>69.90000000000001</v>
      </c>
      <c r="AV20" s="380">
        <f>AU20-AU8</f>
        <v/>
      </c>
      <c r="AW20" s="111" t="n"/>
      <c r="AX20" s="377" t="n">
        <v>0</v>
      </c>
      <c r="AY20" s="111">
        <f>AX20/AX8-1</f>
        <v/>
      </c>
      <c r="AZ20" s="111" t="n"/>
      <c r="BA20" s="378" t="n"/>
      <c r="BB20" s="142" t="n"/>
      <c r="BC20" s="378" t="n"/>
      <c r="BD20" s="142" t="n"/>
      <c r="BE20" s="378" t="n"/>
      <c r="BF20" s="142" t="n"/>
      <c r="BG20" s="378" t="n"/>
      <c r="BH20" s="142" t="n"/>
      <c r="BI20" s="318" t="n"/>
      <c r="BJ20" s="142" t="n"/>
      <c r="BK20" s="318" t="n"/>
      <c r="BL20" s="142" t="n"/>
      <c r="BM20" s="318" t="n"/>
      <c r="BN20" s="142" t="n"/>
      <c r="BO20" s="318" t="n"/>
      <c r="BP20" s="318" t="n"/>
      <c r="BQ20" s="142" t="n"/>
      <c r="BR20" s="318" t="n"/>
      <c r="BS20" s="142" t="n"/>
      <c r="BT20" s="318" t="n"/>
      <c r="BU20" s="142" t="n"/>
      <c r="BV20" s="318" t="n"/>
      <c r="BW20" s="142" t="n"/>
      <c r="BX20" s="318" t="n"/>
      <c r="BY20" s="142" t="n"/>
      <c r="BZ20" s="318" t="n"/>
      <c r="CA20" s="142" t="n"/>
      <c r="CB20" s="318" t="n"/>
      <c r="CC20" s="142" t="n"/>
      <c r="CD20" s="318" t="n"/>
      <c r="CE20" s="142" t="n"/>
      <c r="CF20" s="318" t="n"/>
      <c r="CG20" s="317" t="n"/>
      <c r="CH20" s="318" t="n"/>
      <c r="CI20" s="317" t="n"/>
      <c r="CJ20" s="318" t="n"/>
      <c r="CK20" s="317" t="n"/>
      <c r="CL20" s="318" t="n"/>
      <c r="CM20" s="317" t="n"/>
      <c r="CN20" s="318" t="n"/>
      <c r="CO20" s="80" t="n"/>
      <c r="CP20" s="318" t="n"/>
      <c r="CQ20" s="80" t="n"/>
      <c r="CR20" s="318" t="n"/>
      <c r="CS20" s="80" t="n"/>
      <c r="CT20" s="318" t="n"/>
      <c r="CU20" s="80" t="n"/>
      <c r="CW20" s="318" t="n"/>
      <c r="CX20" s="142" t="n"/>
      <c r="CY20" s="318" t="n"/>
      <c r="CZ20" s="142" t="n"/>
      <c r="DA20" s="318" t="n"/>
      <c r="DB20" s="142" t="n"/>
      <c r="DC20" s="318" t="n"/>
      <c r="DD20" s="142" t="n"/>
      <c r="DE20" s="379" t="n"/>
      <c r="DF20" s="379" t="n"/>
      <c r="DG20" s="214" t="n"/>
    </row>
    <row r="21">
      <c r="A21" s="376" t="n">
        <v>42185</v>
      </c>
      <c r="B21" s="315" t="n">
        <v>17347.5</v>
      </c>
      <c r="C21" s="111">
        <f>B21/B9-1</f>
        <v/>
      </c>
      <c r="D21" s="111" t="n"/>
      <c r="E21" s="315" t="n">
        <v>10579.5</v>
      </c>
      <c r="F21" s="111">
        <f>E21/E9-1</f>
        <v/>
      </c>
      <c r="G21" s="111" t="n"/>
      <c r="H21" s="315" t="n">
        <v>5980.8</v>
      </c>
      <c r="I21" s="111">
        <f>H21/H9-1</f>
        <v/>
      </c>
      <c r="J21" s="111" t="n"/>
      <c r="K21" s="315" t="n">
        <v>787.2</v>
      </c>
      <c r="L21" s="111">
        <f>K21/K9-1</f>
        <v/>
      </c>
      <c r="M21" s="111" t="n"/>
      <c r="N21" s="315" t="n">
        <v>13835.7</v>
      </c>
      <c r="O21" s="111">
        <f>N21/N9-1</f>
        <v/>
      </c>
      <c r="P21" s="111" t="n"/>
      <c r="Q21" s="315" t="n">
        <v>8558.5</v>
      </c>
      <c r="R21" s="111">
        <f>Q21/Q9-1</f>
        <v/>
      </c>
      <c r="S21" s="111" t="n"/>
      <c r="T21" s="315" t="n">
        <v>4737.5</v>
      </c>
      <c r="U21" s="111">
        <f>T21/T9-1</f>
        <v/>
      </c>
      <c r="V21" s="111" t="n"/>
      <c r="W21" s="315" t="n">
        <v>539.8</v>
      </c>
      <c r="X21" s="111">
        <f>W21/W9-1</f>
        <v/>
      </c>
      <c r="Y21" s="111" t="n"/>
      <c r="Z21" s="315" t="n">
        <v>7151.4</v>
      </c>
      <c r="AA21" s="111">
        <f>Z21/Z9-1</f>
        <v/>
      </c>
      <c r="AB21" s="111" t="n"/>
      <c r="AC21" s="315" t="n">
        <v>5927.7</v>
      </c>
      <c r="AD21" s="111">
        <f>AC21/AC9-1</f>
        <v/>
      </c>
      <c r="AE21" s="111" t="n"/>
      <c r="AF21" s="315" t="n">
        <v>876.2</v>
      </c>
      <c r="AG21" s="111">
        <f>AF21/AF9-1</f>
        <v/>
      </c>
      <c r="AH21" s="111" t="n"/>
      <c r="AI21" s="315" t="n">
        <v>347.5</v>
      </c>
      <c r="AJ21" s="111">
        <f>AI21/AI9-1</f>
        <v/>
      </c>
      <c r="AK21" s="111" t="n"/>
      <c r="AL21" s="316" t="n">
        <v>79.8</v>
      </c>
      <c r="AM21" s="380">
        <f>AL21-AL9</f>
        <v/>
      </c>
      <c r="AN21" s="111" t="n"/>
      <c r="AO21" s="316" t="n">
        <v>80.90000000000001</v>
      </c>
      <c r="AP21" s="380">
        <f>AO21-AO9</f>
        <v/>
      </c>
      <c r="AQ21" s="111" t="n"/>
      <c r="AR21" s="316" t="n">
        <v>79.2</v>
      </c>
      <c r="AS21" s="380">
        <f>AR21-AR9</f>
        <v/>
      </c>
      <c r="AT21" s="111" t="n"/>
      <c r="AU21" s="316" t="n">
        <v>68.59999999999999</v>
      </c>
      <c r="AV21" s="380">
        <f>AU21-AU9</f>
        <v/>
      </c>
      <c r="AW21" s="111" t="n"/>
      <c r="AX21" s="377" t="n">
        <v>0</v>
      </c>
      <c r="AY21" s="111">
        <f>AX21/AX9-1</f>
        <v/>
      </c>
      <c r="AZ21" s="111" t="n"/>
      <c r="BA21" s="378" t="n"/>
      <c r="BB21" s="142" t="n"/>
      <c r="BC21" s="378" t="n"/>
      <c r="BD21" s="142" t="n"/>
      <c r="BE21" s="378" t="n"/>
      <c r="BF21" s="142" t="n"/>
      <c r="BG21" s="378" t="n"/>
      <c r="BH21" s="142" t="n"/>
      <c r="BI21" s="318" t="n"/>
      <c r="BJ21" s="142" t="n"/>
      <c r="BK21" s="318" t="n"/>
      <c r="BL21" s="142" t="n"/>
      <c r="BM21" s="318" t="n"/>
      <c r="BN21" s="142" t="n"/>
      <c r="BO21" s="318" t="n"/>
      <c r="BP21" s="318" t="n"/>
      <c r="BQ21" s="142" t="n"/>
      <c r="BR21" s="318" t="n"/>
      <c r="BS21" s="142" t="n"/>
      <c r="BT21" s="318" t="n"/>
      <c r="BU21" s="142" t="n"/>
      <c r="BV21" s="318" t="n"/>
      <c r="BW21" s="142" t="n"/>
      <c r="BX21" s="318" t="n"/>
      <c r="BY21" s="142" t="n"/>
      <c r="BZ21" s="318" t="n"/>
      <c r="CA21" s="142" t="n"/>
      <c r="CB21" s="318" t="n"/>
      <c r="CC21" s="142" t="n"/>
      <c r="CD21" s="318" t="n"/>
      <c r="CE21" s="142" t="n"/>
      <c r="CF21" s="318" t="n"/>
      <c r="CG21" s="317" t="n"/>
      <c r="CH21" s="318" t="n"/>
      <c r="CI21" s="317" t="n"/>
      <c r="CJ21" s="318" t="n"/>
      <c r="CK21" s="317" t="n"/>
      <c r="CL21" s="318" t="n"/>
      <c r="CM21" s="317" t="n"/>
      <c r="CN21" s="318" t="n"/>
      <c r="CO21" s="80" t="n"/>
      <c r="CP21" s="318" t="n"/>
      <c r="CQ21" s="80" t="n"/>
      <c r="CR21" s="318" t="n"/>
      <c r="CS21" s="80" t="n"/>
      <c r="CT21" s="318" t="n"/>
      <c r="CU21" s="80" t="n"/>
      <c r="CW21" s="318" t="n"/>
      <c r="CX21" s="142" t="n"/>
      <c r="CY21" s="318" t="n"/>
      <c r="CZ21" s="142" t="n"/>
      <c r="DA21" s="318" t="n"/>
      <c r="DB21" s="142" t="n"/>
      <c r="DC21" s="318" t="n"/>
      <c r="DD21" s="142" t="n"/>
      <c r="DE21" s="379" t="n"/>
      <c r="DF21" s="379" t="n"/>
      <c r="DG21" s="214" t="n"/>
    </row>
    <row r="22">
      <c r="A22" s="376" t="n">
        <v>42216</v>
      </c>
      <c r="B22" s="315" t="n">
        <v>18967.9</v>
      </c>
      <c r="C22" s="111">
        <f>B22/B10-1</f>
        <v/>
      </c>
      <c r="D22" s="111" t="n"/>
      <c r="E22" s="315" t="n">
        <v>11785.4</v>
      </c>
      <c r="F22" s="111">
        <f>E22/E10-1</f>
        <v/>
      </c>
      <c r="G22" s="111" t="n"/>
      <c r="H22" s="315" t="n">
        <v>6380.5</v>
      </c>
      <c r="I22" s="111">
        <f>H22/H10-1</f>
        <v/>
      </c>
      <c r="J22" s="111" t="n"/>
      <c r="K22" s="315" t="n">
        <v>801.9</v>
      </c>
      <c r="L22" s="111">
        <f>K22/K10-1</f>
        <v/>
      </c>
      <c r="M22" s="111" t="n"/>
      <c r="N22" s="315" t="n">
        <v>15438.8</v>
      </c>
      <c r="O22" s="111">
        <f>N22/N10-1</f>
        <v/>
      </c>
      <c r="P22" s="111" t="n"/>
      <c r="Q22" s="315" t="n">
        <v>9626.799999999999</v>
      </c>
      <c r="R22" s="111">
        <f>Q22/Q10-1</f>
        <v/>
      </c>
      <c r="S22" s="111" t="n"/>
      <c r="T22" s="315" t="n">
        <v>5236</v>
      </c>
      <c r="U22" s="111">
        <f>T22/T10-1</f>
        <v/>
      </c>
      <c r="V22" s="111" t="n"/>
      <c r="W22" s="315" t="n">
        <v>576</v>
      </c>
      <c r="X22" s="111">
        <f>W22/W10-1</f>
        <v/>
      </c>
      <c r="Y22" s="111" t="n"/>
      <c r="Z22" s="315" t="n">
        <v>8008.7</v>
      </c>
      <c r="AA22" s="111">
        <f>Z22/Z10-1</f>
        <v/>
      </c>
      <c r="AB22" s="111" t="n"/>
      <c r="AC22" s="315" t="n">
        <v>6688.6</v>
      </c>
      <c r="AD22" s="111">
        <f>AC22/AC10-1</f>
        <v/>
      </c>
      <c r="AE22" s="111" t="n"/>
      <c r="AF22" s="315" t="n">
        <v>945.3</v>
      </c>
      <c r="AG22" s="111">
        <f>AF22/AF10-1</f>
        <v/>
      </c>
      <c r="AH22" s="111" t="n"/>
      <c r="AI22" s="315" t="n">
        <v>374.8</v>
      </c>
      <c r="AJ22" s="111">
        <f>AI22/AI10-1</f>
        <v/>
      </c>
      <c r="AK22" s="111" t="n"/>
      <c r="AL22" s="316" t="n">
        <v>81.40000000000001</v>
      </c>
      <c r="AM22" s="380">
        <f>AL22-AL10</f>
        <v/>
      </c>
      <c r="AN22" s="111" t="n"/>
      <c r="AO22" s="316" t="n">
        <v>81.7</v>
      </c>
      <c r="AP22" s="380">
        <f>AO22-AO10</f>
        <v/>
      </c>
      <c r="AQ22" s="111" t="n"/>
      <c r="AR22" s="316" t="n">
        <v>82.09999999999999</v>
      </c>
      <c r="AS22" s="380">
        <f>AR22-AR10</f>
        <v/>
      </c>
      <c r="AT22" s="111" t="n"/>
      <c r="AU22" s="316" t="n">
        <v>71.8</v>
      </c>
      <c r="AV22" s="380">
        <f>AU22-AU10</f>
        <v/>
      </c>
      <c r="AW22" s="111" t="n"/>
      <c r="AX22" s="377" t="n">
        <v>0</v>
      </c>
      <c r="AY22" s="111">
        <f>AX22/AX10-1</f>
        <v/>
      </c>
      <c r="AZ22" s="111" t="n"/>
      <c r="BA22" s="378" t="n"/>
      <c r="BB22" s="142" t="n"/>
      <c r="BC22" s="378" t="n"/>
      <c r="BD22" s="142" t="n"/>
      <c r="BE22" s="378" t="n"/>
      <c r="BF22" s="142" t="n"/>
      <c r="BG22" s="378" t="n"/>
      <c r="BH22" s="142" t="n"/>
      <c r="BI22" s="318" t="n"/>
      <c r="BJ22" s="142" t="n"/>
      <c r="BK22" s="318" t="n"/>
      <c r="BL22" s="142" t="n"/>
      <c r="BM22" s="318" t="n"/>
      <c r="BN22" s="142" t="n"/>
      <c r="BO22" s="318" t="n"/>
      <c r="BP22" s="318" t="n"/>
      <c r="BQ22" s="142" t="n"/>
      <c r="BR22" s="318" t="n"/>
      <c r="BS22" s="142" t="n"/>
      <c r="BT22" s="318" t="n"/>
      <c r="BU22" s="142" t="n"/>
      <c r="BV22" s="318" t="n"/>
      <c r="BW22" s="142" t="n"/>
      <c r="BX22" s="318" t="n"/>
      <c r="BY22" s="142" t="n"/>
      <c r="BZ22" s="318" t="n"/>
      <c r="CA22" s="142" t="n"/>
      <c r="CB22" s="318" t="n"/>
      <c r="CC22" s="142" t="n"/>
      <c r="CD22" s="318" t="n"/>
      <c r="CE22" s="142" t="n"/>
      <c r="CF22" s="318" t="n"/>
      <c r="CG22" s="317" t="n"/>
      <c r="CH22" s="318" t="n"/>
      <c r="CI22" s="317" t="n"/>
      <c r="CJ22" s="318" t="n"/>
      <c r="CK22" s="317" t="n"/>
      <c r="CL22" s="318" t="n"/>
      <c r="CM22" s="317" t="n"/>
      <c r="CN22" s="318" t="n"/>
      <c r="CO22" s="80" t="n"/>
      <c r="CP22" s="318" t="n"/>
      <c r="CQ22" s="80" t="n"/>
      <c r="CR22" s="318" t="n"/>
      <c r="CS22" s="80" t="n"/>
      <c r="CT22" s="318" t="n"/>
      <c r="CU22" s="80" t="n"/>
      <c r="CW22" s="318" t="n"/>
      <c r="CX22" s="142" t="n"/>
      <c r="CY22" s="318" t="n"/>
      <c r="CZ22" s="142" t="n"/>
      <c r="DA22" s="318" t="n"/>
      <c r="DB22" s="142" t="n"/>
      <c r="DC22" s="318" t="n"/>
      <c r="DD22" s="142" t="n"/>
      <c r="DE22" s="379" t="n"/>
      <c r="DF22" s="379" t="n"/>
      <c r="DG22" s="214" t="n"/>
    </row>
    <row r="23">
      <c r="A23" s="376" t="n">
        <v>42247</v>
      </c>
      <c r="B23" s="315" t="n">
        <v>19454.8</v>
      </c>
      <c r="C23" s="111">
        <f>B23/B11-1</f>
        <v/>
      </c>
      <c r="D23" s="111" t="n"/>
      <c r="E23" s="315" t="n">
        <v>11961.2</v>
      </c>
      <c r="F23" s="111">
        <f>E23/E11-1</f>
        <v/>
      </c>
      <c r="G23" s="111" t="n"/>
      <c r="H23" s="315" t="n">
        <v>6654.9</v>
      </c>
      <c r="I23" s="111">
        <f>H23/H11-1</f>
        <v/>
      </c>
      <c r="J23" s="111" t="n"/>
      <c r="K23" s="315" t="n">
        <v>838.7</v>
      </c>
      <c r="L23" s="111">
        <f>K23/K11-1</f>
        <v/>
      </c>
      <c r="M23" s="111" t="n"/>
      <c r="N23" s="315" t="n">
        <v>16405.8</v>
      </c>
      <c r="O23" s="111">
        <f>N23/N11-1</f>
        <v/>
      </c>
      <c r="P23" s="111" t="n"/>
      <c r="Q23" s="315" t="n">
        <v>10024.9</v>
      </c>
      <c r="R23" s="111">
        <f>Q23/Q11-1</f>
        <v/>
      </c>
      <c r="S23" s="111" t="n"/>
      <c r="T23" s="315" t="n">
        <v>5723.5</v>
      </c>
      <c r="U23" s="111">
        <f>T23/T11-1</f>
        <v/>
      </c>
      <c r="V23" s="111" t="n"/>
      <c r="W23" s="315" t="n">
        <v>657.5</v>
      </c>
      <c r="X23" s="111">
        <f>W23/W11-1</f>
        <v/>
      </c>
      <c r="Y23" s="111" t="n"/>
      <c r="Z23" s="315" t="n">
        <v>8410.4</v>
      </c>
      <c r="AA23" s="111">
        <f>Z23/Z11-1</f>
        <v/>
      </c>
      <c r="AB23" s="111" t="n"/>
      <c r="AC23" s="315" t="n">
        <v>6918.6</v>
      </c>
      <c r="AD23" s="111">
        <f>AC23/AC11-1</f>
        <v/>
      </c>
      <c r="AE23" s="111" t="n"/>
      <c r="AF23" s="315" t="n">
        <v>1068.1</v>
      </c>
      <c r="AG23" s="111">
        <f>AF23/AF11-1</f>
        <v/>
      </c>
      <c r="AH23" s="111" t="n"/>
      <c r="AI23" s="315" t="n">
        <v>423.7</v>
      </c>
      <c r="AJ23" s="111">
        <f>AI23/AI11-1</f>
        <v/>
      </c>
      <c r="AK23" s="111" t="n"/>
      <c r="AL23" s="316" t="n">
        <v>84.3</v>
      </c>
      <c r="AM23" s="380">
        <f>AL23-AL11</f>
        <v/>
      </c>
      <c r="AN23" s="111" t="n"/>
      <c r="AO23" s="316" t="n">
        <v>83.8</v>
      </c>
      <c r="AP23" s="380">
        <f>AO23-AO11</f>
        <v/>
      </c>
      <c r="AQ23" s="111" t="n"/>
      <c r="AR23" s="316" t="n">
        <v>86</v>
      </c>
      <c r="AS23" s="380">
        <f>AR23-AR11</f>
        <v/>
      </c>
      <c r="AT23" s="111" t="n"/>
      <c r="AU23" s="316" t="n">
        <v>78.40000000000001</v>
      </c>
      <c r="AV23" s="380">
        <f>AU23-AU11</f>
        <v/>
      </c>
      <c r="AW23" s="111" t="n"/>
      <c r="AX23" s="377" t="n">
        <v>0</v>
      </c>
      <c r="AY23" s="111">
        <f>AX23/AX11-1</f>
        <v/>
      </c>
      <c r="AZ23" s="111" t="n"/>
      <c r="BA23" s="378" t="n"/>
      <c r="BB23" s="142" t="n"/>
      <c r="BC23" s="378" t="n"/>
      <c r="BD23" s="142" t="n"/>
      <c r="BE23" s="378" t="n"/>
      <c r="BF23" s="142" t="n"/>
      <c r="BG23" s="378" t="n"/>
      <c r="BH23" s="142" t="n"/>
      <c r="BI23" s="318" t="n"/>
      <c r="BJ23" s="142" t="n"/>
      <c r="BK23" s="318" t="n"/>
      <c r="BL23" s="142" t="n"/>
      <c r="BM23" s="318" t="n"/>
      <c r="BN23" s="142" t="n"/>
      <c r="BO23" s="318" t="n"/>
      <c r="BP23" s="318" t="n"/>
      <c r="BQ23" s="142" t="n"/>
      <c r="BR23" s="318" t="n"/>
      <c r="BS23" s="142" t="n"/>
      <c r="BT23" s="318" t="n"/>
      <c r="BU23" s="142" t="n"/>
      <c r="BV23" s="318" t="n"/>
      <c r="BW23" s="142" t="n"/>
      <c r="BX23" s="318" t="n"/>
      <c r="BY23" s="142" t="n"/>
      <c r="BZ23" s="318" t="n"/>
      <c r="CA23" s="142" t="n"/>
      <c r="CB23" s="318" t="n"/>
      <c r="CC23" s="142" t="n"/>
      <c r="CD23" s="318" t="n"/>
      <c r="CE23" s="142" t="n"/>
      <c r="CF23" s="318" t="n"/>
      <c r="CG23" s="317" t="n"/>
      <c r="CH23" s="318" t="n"/>
      <c r="CI23" s="317" t="n"/>
      <c r="CJ23" s="318" t="n"/>
      <c r="CK23" s="317" t="n"/>
      <c r="CL23" s="318" t="n"/>
      <c r="CM23" s="317" t="n"/>
      <c r="CN23" s="318" t="n"/>
      <c r="CO23" s="80" t="n"/>
      <c r="CP23" s="318" t="n"/>
      <c r="CQ23" s="80" t="n"/>
      <c r="CR23" s="318" t="n"/>
      <c r="CS23" s="80" t="n"/>
      <c r="CT23" s="318" t="n"/>
      <c r="CU23" s="80" t="n"/>
      <c r="CW23" s="318" t="n"/>
      <c r="CX23" s="142" t="n"/>
      <c r="CY23" s="318" t="n"/>
      <c r="CZ23" s="142" t="n"/>
      <c r="DA23" s="318" t="n"/>
      <c r="DB23" s="142" t="n"/>
      <c r="DC23" s="318" t="n"/>
      <c r="DD23" s="142" t="n"/>
      <c r="DE23" s="379" t="n"/>
      <c r="DF23" s="379" t="n"/>
      <c r="DG23" s="214" t="n"/>
    </row>
    <row r="24">
      <c r="A24" s="376" t="n">
        <v>42277</v>
      </c>
      <c r="B24" s="315" t="n">
        <v>18209.7</v>
      </c>
      <c r="C24" s="111">
        <f>B24/B12-1</f>
        <v/>
      </c>
      <c r="D24" s="111" t="n"/>
      <c r="E24" s="315" t="n">
        <v>11091.8</v>
      </c>
      <c r="F24" s="111">
        <f>E24/E12-1</f>
        <v/>
      </c>
      <c r="G24" s="111" t="n"/>
      <c r="H24" s="315" t="n">
        <v>6320</v>
      </c>
      <c r="I24" s="111">
        <f>H24/H12-1</f>
        <v/>
      </c>
      <c r="J24" s="111" t="n"/>
      <c r="K24" s="315" t="n">
        <v>797.9</v>
      </c>
      <c r="L24" s="111">
        <f>K24/K12-1</f>
        <v/>
      </c>
      <c r="M24" s="111" t="n"/>
      <c r="N24" s="315" t="n">
        <v>14442.7</v>
      </c>
      <c r="O24" s="111">
        <f>N24/N12-1</f>
        <v/>
      </c>
      <c r="P24" s="111" t="n"/>
      <c r="Q24" s="315" t="n">
        <v>9071.700000000001</v>
      </c>
      <c r="R24" s="111">
        <f>Q24/Q12-1</f>
        <v/>
      </c>
      <c r="S24" s="111" t="n"/>
      <c r="T24" s="315" t="n">
        <v>4822.9</v>
      </c>
      <c r="U24" s="111">
        <f>T24/T12-1</f>
        <v/>
      </c>
      <c r="V24" s="111" t="n"/>
      <c r="W24" s="315" t="n">
        <v>548.1</v>
      </c>
      <c r="X24" s="111">
        <f>W24/W12-1</f>
        <v/>
      </c>
      <c r="Y24" s="111" t="n"/>
      <c r="Z24" s="315" t="n">
        <v>7496.6</v>
      </c>
      <c r="AA24" s="111">
        <f>Z24/Z12-1</f>
        <v/>
      </c>
      <c r="AB24" s="111" t="n"/>
      <c r="AC24" s="315" t="n">
        <v>6220.6</v>
      </c>
      <c r="AD24" s="111">
        <f>AC24/AC12-1</f>
        <v/>
      </c>
      <c r="AE24" s="111" t="n"/>
      <c r="AF24" s="315" t="n">
        <v>925.2</v>
      </c>
      <c r="AG24" s="111">
        <f>AF24/AF12-1</f>
        <v/>
      </c>
      <c r="AH24" s="111" t="n"/>
      <c r="AI24" s="315" t="n">
        <v>350.8</v>
      </c>
      <c r="AJ24" s="111">
        <f>AI24/AI12-1</f>
        <v/>
      </c>
      <c r="AK24" s="111" t="n"/>
      <c r="AL24" s="316" t="n">
        <v>79.3</v>
      </c>
      <c r="AM24" s="380">
        <f>AL24-AL12</f>
        <v/>
      </c>
      <c r="AN24" s="111" t="n"/>
      <c r="AO24" s="316" t="n">
        <v>81.8</v>
      </c>
      <c r="AP24" s="380">
        <f>AO24-AO12</f>
        <v/>
      </c>
      <c r="AQ24" s="111" t="n"/>
      <c r="AR24" s="316" t="n">
        <v>76.3</v>
      </c>
      <c r="AS24" s="380">
        <f>AR24-AR12</f>
        <v/>
      </c>
      <c r="AT24" s="111" t="n"/>
      <c r="AU24" s="316" t="n">
        <v>68.7</v>
      </c>
      <c r="AV24" s="380">
        <f>AU24-AU12</f>
        <v/>
      </c>
      <c r="AW24" s="111" t="n"/>
      <c r="AX24" s="377" t="n">
        <v>0</v>
      </c>
      <c r="AY24" s="111">
        <f>AX24/AX12-1</f>
        <v/>
      </c>
      <c r="AZ24" s="111" t="n"/>
      <c r="BA24" s="378" t="n"/>
      <c r="BB24" s="142" t="n"/>
      <c r="BC24" s="378" t="n"/>
      <c r="BD24" s="142" t="n"/>
      <c r="BE24" s="378" t="n"/>
      <c r="BF24" s="142" t="n"/>
      <c r="BG24" s="378" t="n"/>
      <c r="BH24" s="142" t="n"/>
      <c r="BI24" s="318" t="n"/>
      <c r="BJ24" s="142" t="n"/>
      <c r="BK24" s="318" t="n"/>
      <c r="BL24" s="142" t="n"/>
      <c r="BM24" s="318" t="n"/>
      <c r="BN24" s="142" t="n"/>
      <c r="BO24" s="318" t="n"/>
      <c r="BP24" s="318" t="n"/>
      <c r="BQ24" s="142" t="n"/>
      <c r="BR24" s="318" t="n"/>
      <c r="BS24" s="142" t="n"/>
      <c r="BT24" s="318" t="n"/>
      <c r="BU24" s="142" t="n"/>
      <c r="BV24" s="318" t="n"/>
      <c r="BW24" s="142" t="n"/>
      <c r="BX24" s="318" t="n"/>
      <c r="BY24" s="142" t="n"/>
      <c r="BZ24" s="318" t="n"/>
      <c r="CA24" s="142" t="n"/>
      <c r="CB24" s="318" t="n"/>
      <c r="CC24" s="142" t="n"/>
      <c r="CD24" s="318" t="n"/>
      <c r="CE24" s="142" t="n"/>
      <c r="CF24" s="318" t="n"/>
      <c r="CG24" s="317" t="n"/>
      <c r="CH24" s="318" t="n"/>
      <c r="CI24" s="317" t="n"/>
      <c r="CJ24" s="318" t="n"/>
      <c r="CK24" s="317" t="n"/>
      <c r="CL24" s="318" t="n"/>
      <c r="CM24" s="317" t="n"/>
      <c r="CN24" s="318" t="n"/>
      <c r="CO24" s="80" t="n"/>
      <c r="CP24" s="318" t="n"/>
      <c r="CQ24" s="80" t="n"/>
      <c r="CR24" s="318" t="n"/>
      <c r="CS24" s="80" t="n"/>
      <c r="CT24" s="318" t="n"/>
      <c r="CU24" s="80" t="n"/>
      <c r="CW24" s="318" t="n"/>
      <c r="CX24" s="142" t="n"/>
      <c r="CY24" s="318" t="n"/>
      <c r="CZ24" s="142" t="n"/>
      <c r="DA24" s="318" t="n"/>
      <c r="DB24" s="142" t="n"/>
      <c r="DC24" s="318" t="n"/>
      <c r="DD24" s="142" t="n"/>
      <c r="DE24" s="379" t="n"/>
      <c r="DF24" s="379" t="n"/>
      <c r="DG24" s="214" t="n"/>
    </row>
    <row r="25">
      <c r="A25" s="376" t="n">
        <v>42308</v>
      </c>
      <c r="B25" s="315" t="n">
        <v>18997.1</v>
      </c>
      <c r="C25" s="111">
        <f>B25/B13-1</f>
        <v/>
      </c>
      <c r="D25" s="111" t="n"/>
      <c r="E25" s="315" t="n">
        <v>11330.3</v>
      </c>
      <c r="F25" s="111">
        <f>E25/E13-1</f>
        <v/>
      </c>
      <c r="G25" s="111" t="n"/>
      <c r="H25" s="315" t="n">
        <v>6815.7</v>
      </c>
      <c r="I25" s="111">
        <f>H25/H13-1</f>
        <v/>
      </c>
      <c r="J25" s="111" t="n"/>
      <c r="K25" s="315" t="n">
        <v>851.1</v>
      </c>
      <c r="L25" s="111">
        <f>K25/K13-1</f>
        <v/>
      </c>
      <c r="M25" s="111" t="n"/>
      <c r="N25" s="315" t="n">
        <v>15196.7</v>
      </c>
      <c r="O25" s="111">
        <f>N25/N13-1</f>
        <v/>
      </c>
      <c r="P25" s="111" t="n"/>
      <c r="Q25" s="315" t="n">
        <v>9515.799999999999</v>
      </c>
      <c r="R25" s="111">
        <f>Q25/Q13-1</f>
        <v/>
      </c>
      <c r="S25" s="111" t="n"/>
      <c r="T25" s="315" t="n">
        <v>5066.2</v>
      </c>
      <c r="U25" s="111">
        <f>T25/T13-1</f>
        <v/>
      </c>
      <c r="V25" s="111" t="n"/>
      <c r="W25" s="315" t="n">
        <v>614.7</v>
      </c>
      <c r="X25" s="111">
        <f>W25/W13-1</f>
        <v/>
      </c>
      <c r="Y25" s="111" t="n"/>
      <c r="Z25" s="315" t="n">
        <v>7940.3</v>
      </c>
      <c r="AA25" s="111">
        <f>Z25/Z13-1</f>
        <v/>
      </c>
      <c r="AB25" s="111" t="n"/>
      <c r="AC25" s="315" t="n">
        <v>6551.3</v>
      </c>
      <c r="AD25" s="111">
        <f>AC25/AC13-1</f>
        <v/>
      </c>
      <c r="AE25" s="111" t="n"/>
      <c r="AF25" s="315" t="n">
        <v>998.6</v>
      </c>
      <c r="AG25" s="111">
        <f>AF25/AF13-1</f>
        <v/>
      </c>
      <c r="AH25" s="111" t="n"/>
      <c r="AI25" s="315" t="n">
        <v>390.4</v>
      </c>
      <c r="AJ25" s="111">
        <f>AI25/AI13-1</f>
        <v/>
      </c>
      <c r="AK25" s="111" t="n"/>
      <c r="AL25" s="316" t="n">
        <v>80</v>
      </c>
      <c r="AM25" s="380">
        <f>AL25-AL13</f>
        <v/>
      </c>
      <c r="AN25" s="111" t="n"/>
      <c r="AO25" s="316" t="n">
        <v>84</v>
      </c>
      <c r="AP25" s="380">
        <f>AO25-AO13</f>
        <v/>
      </c>
      <c r="AQ25" s="111" t="n"/>
      <c r="AR25" s="316" t="n">
        <v>74.3</v>
      </c>
      <c r="AS25" s="380">
        <f>AR25-AR13</f>
        <v/>
      </c>
      <c r="AT25" s="111" t="n"/>
      <c r="AU25" s="316" t="n">
        <v>72.2</v>
      </c>
      <c r="AV25" s="380">
        <f>AU25-AU13</f>
        <v/>
      </c>
      <c r="AW25" s="111" t="n"/>
      <c r="AX25" s="377" t="n">
        <v>0</v>
      </c>
      <c r="AY25" s="111">
        <f>AX25/AX13-1</f>
        <v/>
      </c>
      <c r="AZ25" s="111" t="n"/>
      <c r="BA25" s="378" t="n"/>
      <c r="BB25" s="142" t="n"/>
      <c r="BC25" s="378" t="n"/>
      <c r="BD25" s="142" t="n"/>
      <c r="BE25" s="378" t="n"/>
      <c r="BF25" s="142" t="n"/>
      <c r="BG25" s="378" t="n"/>
      <c r="BH25" s="142" t="n"/>
      <c r="BI25" s="318" t="n"/>
      <c r="BJ25" s="142" t="n"/>
      <c r="BK25" s="318" t="n"/>
      <c r="BL25" s="142" t="n"/>
      <c r="BM25" s="318" t="n"/>
      <c r="BN25" s="142" t="n"/>
      <c r="BO25" s="318" t="n"/>
      <c r="BP25" s="318" t="n"/>
      <c r="BQ25" s="142" t="n"/>
      <c r="BR25" s="318" t="n"/>
      <c r="BS25" s="142" t="n"/>
      <c r="BT25" s="318" t="n"/>
      <c r="BU25" s="142" t="n"/>
      <c r="BV25" s="318" t="n"/>
      <c r="BW25" s="142" t="n"/>
      <c r="BX25" s="318" t="n"/>
      <c r="BY25" s="142" t="n"/>
      <c r="BZ25" s="318" t="n"/>
      <c r="CA25" s="142" t="n"/>
      <c r="CB25" s="318" t="n"/>
      <c r="CC25" s="142" t="n"/>
      <c r="CD25" s="318" t="n"/>
      <c r="CE25" s="142" t="n"/>
      <c r="CF25" s="318" t="n"/>
      <c r="CG25" s="317" t="n"/>
      <c r="CH25" s="318" t="n"/>
      <c r="CI25" s="317" t="n"/>
      <c r="CJ25" s="318" t="n"/>
      <c r="CK25" s="317" t="n"/>
      <c r="CL25" s="318" t="n"/>
      <c r="CM25" s="317" t="n"/>
      <c r="CN25" s="318" t="n"/>
      <c r="CO25" s="80" t="n"/>
      <c r="CP25" s="318" t="n"/>
      <c r="CQ25" s="80" t="n"/>
      <c r="CR25" s="318" t="n"/>
      <c r="CS25" s="80" t="n"/>
      <c r="CT25" s="318" t="n"/>
      <c r="CU25" s="80" t="n"/>
      <c r="CW25" s="318" t="n"/>
      <c r="CX25" s="142" t="n"/>
      <c r="CY25" s="318" t="n"/>
      <c r="CZ25" s="142" t="n"/>
      <c r="DA25" s="318" t="n"/>
      <c r="DB25" s="142" t="n"/>
      <c r="DC25" s="318" t="n"/>
      <c r="DD25" s="142" t="n"/>
      <c r="DE25" s="379" t="n"/>
      <c r="DF25" s="379" t="n"/>
      <c r="DG25" s="214" t="n"/>
    </row>
    <row r="26">
      <c r="A26" s="376" t="n">
        <v>42338</v>
      </c>
      <c r="B26" s="315" t="n">
        <v>17733.7</v>
      </c>
      <c r="C26" s="111">
        <f>B26/B14-1</f>
        <v/>
      </c>
      <c r="D26" s="111" t="n"/>
      <c r="E26" s="315" t="n">
        <v>10451.2</v>
      </c>
      <c r="F26" s="111">
        <f>E26/E14-1</f>
        <v/>
      </c>
      <c r="G26" s="111" t="n"/>
      <c r="H26" s="315" t="n">
        <v>6476.2</v>
      </c>
      <c r="I26" s="111">
        <f>H26/H14-1</f>
        <v/>
      </c>
      <c r="J26" s="111" t="n"/>
      <c r="K26" s="315" t="n">
        <v>806.3</v>
      </c>
      <c r="L26" s="111">
        <f>K26/K14-1</f>
        <v/>
      </c>
      <c r="M26" s="111" t="n"/>
      <c r="N26" s="315" t="n">
        <v>13841.5</v>
      </c>
      <c r="O26" s="111">
        <f>N26/N14-1</f>
        <v/>
      </c>
      <c r="P26" s="111" t="n"/>
      <c r="Q26" s="315" t="n">
        <v>8533.4</v>
      </c>
      <c r="R26" s="111">
        <f>Q26/Q14-1</f>
        <v/>
      </c>
      <c r="S26" s="111" t="n"/>
      <c r="T26" s="315" t="n">
        <v>4729.7</v>
      </c>
      <c r="U26" s="111">
        <f>T26/T14-1</f>
        <v/>
      </c>
      <c r="V26" s="111" t="n"/>
      <c r="W26" s="315" t="n">
        <v>578.4</v>
      </c>
      <c r="X26" s="111">
        <f>W26/W14-1</f>
        <v/>
      </c>
      <c r="Y26" s="111" t="n"/>
      <c r="Z26" s="315" t="n">
        <v>7116.1</v>
      </c>
      <c r="AA26" s="111">
        <f>Z26/Z14-1</f>
        <v/>
      </c>
      <c r="AB26" s="111" t="n"/>
      <c r="AC26" s="315" t="n">
        <v>5807.5</v>
      </c>
      <c r="AD26" s="111">
        <f>AC26/AC14-1</f>
        <v/>
      </c>
      <c r="AE26" s="111" t="n"/>
      <c r="AF26" s="315" t="n">
        <v>944.3</v>
      </c>
      <c r="AG26" s="111">
        <f>AF26/AF14-1</f>
        <v/>
      </c>
      <c r="AH26" s="111" t="n"/>
      <c r="AI26" s="315" t="n">
        <v>364.3</v>
      </c>
      <c r="AJ26" s="111">
        <f>AI26/AI14-1</f>
        <v/>
      </c>
      <c r="AK26" s="111" t="n"/>
      <c r="AL26" s="316" t="n">
        <v>78.09999999999999</v>
      </c>
      <c r="AM26" s="380">
        <f>AL26-AL14</f>
        <v/>
      </c>
      <c r="AN26" s="111" t="n"/>
      <c r="AO26" s="316" t="n">
        <v>81.7</v>
      </c>
      <c r="AP26" s="380">
        <f>AO26-AO14</f>
        <v/>
      </c>
      <c r="AQ26" s="111" t="n"/>
      <c r="AR26" s="316" t="n">
        <v>73</v>
      </c>
      <c r="AS26" s="380">
        <f>AR26-AR14</f>
        <v/>
      </c>
      <c r="AT26" s="111" t="n"/>
      <c r="AU26" s="316" t="n">
        <v>71.7</v>
      </c>
      <c r="AV26" s="380">
        <f>AU26-AU14</f>
        <v/>
      </c>
      <c r="AW26" s="111" t="n"/>
      <c r="AX26" s="377" t="n">
        <v>0</v>
      </c>
      <c r="AY26" s="111">
        <f>AX26/AX14-1</f>
        <v/>
      </c>
      <c r="AZ26" s="111" t="n"/>
      <c r="BA26" s="378" t="n"/>
      <c r="BB26" s="142" t="n"/>
      <c r="BC26" s="378" t="n"/>
      <c r="BD26" s="142" t="n"/>
      <c r="BE26" s="378" t="n"/>
      <c r="BF26" s="142" t="n"/>
      <c r="BG26" s="378" t="n"/>
      <c r="BH26" s="142" t="n"/>
      <c r="BI26" s="318" t="n"/>
      <c r="BJ26" s="142" t="n"/>
      <c r="BK26" s="318" t="n"/>
      <c r="BL26" s="142" t="n"/>
      <c r="BM26" s="318" t="n"/>
      <c r="BN26" s="142" t="n"/>
      <c r="BO26" s="318" t="n"/>
      <c r="BP26" s="318" t="n"/>
      <c r="BQ26" s="142" t="n"/>
      <c r="BR26" s="318" t="n"/>
      <c r="BS26" s="142" t="n"/>
      <c r="BT26" s="318" t="n"/>
      <c r="BU26" s="142" t="n"/>
      <c r="BV26" s="318" t="n"/>
      <c r="BW26" s="142" t="n"/>
      <c r="BX26" s="318" t="n"/>
      <c r="BY26" s="142" t="n"/>
      <c r="BZ26" s="318" t="n"/>
      <c r="CA26" s="142" t="n"/>
      <c r="CB26" s="318" t="n"/>
      <c r="CC26" s="142" t="n"/>
      <c r="CD26" s="318" t="n"/>
      <c r="CE26" s="142" t="n"/>
      <c r="CF26" s="318" t="n"/>
      <c r="CG26" s="317" t="n"/>
      <c r="CH26" s="318" t="n"/>
      <c r="CI26" s="317" t="n"/>
      <c r="CJ26" s="318" t="n"/>
      <c r="CK26" s="317" t="n"/>
      <c r="CL26" s="318" t="n"/>
      <c r="CM26" s="317" t="n"/>
      <c r="CN26" s="318" t="n"/>
      <c r="CO26" s="80" t="n"/>
      <c r="CP26" s="318" t="n"/>
      <c r="CQ26" s="80" t="n"/>
      <c r="CR26" s="318" t="n"/>
      <c r="CS26" s="80" t="n"/>
      <c r="CT26" s="318" t="n"/>
      <c r="CU26" s="80" t="n"/>
      <c r="CW26" s="318" t="n"/>
      <c r="CX26" s="142" t="n"/>
      <c r="CY26" s="318" t="n"/>
      <c r="CZ26" s="142" t="n"/>
      <c r="DA26" s="318" t="n"/>
      <c r="DB26" s="142" t="n"/>
      <c r="DC26" s="318" t="n"/>
      <c r="DD26" s="142" t="n"/>
      <c r="DE26" s="379" t="n"/>
      <c r="DF26" s="379" t="n"/>
      <c r="DG26" s="214" t="n"/>
    </row>
    <row r="27">
      <c r="A27" s="376" t="n">
        <v>42369</v>
      </c>
      <c r="B27" s="315" t="n">
        <v>18563.2</v>
      </c>
      <c r="C27" s="111">
        <f>B27/B15-1</f>
        <v/>
      </c>
      <c r="D27" s="111" t="n"/>
      <c r="E27" s="315" t="n">
        <v>10859.2</v>
      </c>
      <c r="F27" s="111">
        <f>E27/E15-1</f>
        <v/>
      </c>
      <c r="G27" s="111" t="n"/>
      <c r="H27" s="315" t="n">
        <v>6879.5</v>
      </c>
      <c r="I27" s="111">
        <f>H27/H15-1</f>
        <v/>
      </c>
      <c r="J27" s="111" t="n"/>
      <c r="K27" s="315" t="n">
        <v>824.4</v>
      </c>
      <c r="L27" s="111">
        <f>K27/K15-1</f>
        <v/>
      </c>
      <c r="M27" s="111" t="n"/>
      <c r="N27" s="315" t="n">
        <v>14194.7</v>
      </c>
      <c r="O27" s="111">
        <f>N27/N15-1</f>
        <v/>
      </c>
      <c r="P27" s="111" t="n"/>
      <c r="Q27" s="315" t="n">
        <v>8576.299999999999</v>
      </c>
      <c r="R27" s="111">
        <f>Q27/Q15-1</f>
        <v/>
      </c>
      <c r="S27" s="111" t="n"/>
      <c r="T27" s="315" t="n">
        <v>5030.9</v>
      </c>
      <c r="U27" s="111">
        <f>T27/T15-1</f>
        <v/>
      </c>
      <c r="V27" s="111" t="n"/>
      <c r="W27" s="315" t="n">
        <v>587.4</v>
      </c>
      <c r="X27" s="111">
        <f>W27/W15-1</f>
        <v/>
      </c>
      <c r="Y27" s="111" t="n"/>
      <c r="Z27" s="315" t="n">
        <v>7162.2</v>
      </c>
      <c r="AA27" s="111">
        <f>Z27/Z15-1</f>
        <v/>
      </c>
      <c r="AB27" s="111" t="n"/>
      <c r="AC27" s="315" t="n">
        <v>5807.8</v>
      </c>
      <c r="AD27" s="111">
        <f>AC27/AC15-1</f>
        <v/>
      </c>
      <c r="AE27" s="111" t="n"/>
      <c r="AF27" s="315" t="n">
        <v>984.9</v>
      </c>
      <c r="AG27" s="111">
        <f>AF27/AF15-1</f>
        <v/>
      </c>
      <c r="AH27" s="111" t="n"/>
      <c r="AI27" s="315" t="n">
        <v>369.6</v>
      </c>
      <c r="AJ27" s="111">
        <f>AI27/AI15-1</f>
        <v/>
      </c>
      <c r="AK27" s="111" t="n"/>
      <c r="AL27" s="316" t="n">
        <v>76.5</v>
      </c>
      <c r="AM27" s="380">
        <f>AL27-AL15</f>
        <v/>
      </c>
      <c r="AN27" s="111" t="n"/>
      <c r="AO27" s="316" t="n">
        <v>79</v>
      </c>
      <c r="AP27" s="380">
        <f>AO27-AO15</f>
        <v/>
      </c>
      <c r="AQ27" s="111" t="n"/>
      <c r="AR27" s="316" t="n">
        <v>73.09999999999999</v>
      </c>
      <c r="AS27" s="380">
        <f>AR27-AR15</f>
        <v/>
      </c>
      <c r="AT27" s="111" t="n"/>
      <c r="AU27" s="316" t="n">
        <v>71.3</v>
      </c>
      <c r="AV27" s="380">
        <f>AU27-AU15</f>
        <v/>
      </c>
      <c r="AW27" s="111" t="n"/>
      <c r="AX27" s="377" t="n">
        <v>0</v>
      </c>
      <c r="AY27" s="111">
        <f>AX27/AX15-1</f>
        <v/>
      </c>
      <c r="AZ27" s="111" t="n"/>
      <c r="BA27" s="378" t="n"/>
      <c r="BB27" s="142" t="n"/>
      <c r="BC27" s="378" t="n"/>
      <c r="BD27" s="142" t="n"/>
      <c r="BE27" s="378" t="n"/>
      <c r="BF27" s="142" t="n"/>
      <c r="BG27" s="378" t="n"/>
      <c r="BH27" s="142" t="n"/>
      <c r="BI27" s="318" t="n"/>
      <c r="BJ27" s="142" t="n"/>
      <c r="BK27" s="318" t="n"/>
      <c r="BL27" s="142" t="n"/>
      <c r="BM27" s="318" t="n"/>
      <c r="BN27" s="142" t="n"/>
      <c r="BO27" s="318" t="n"/>
      <c r="BP27" s="318" t="n"/>
      <c r="BQ27" s="142" t="n"/>
      <c r="BR27" s="318" t="n"/>
      <c r="BS27" s="142" t="n"/>
      <c r="BT27" s="318" t="n"/>
      <c r="BU27" s="142" t="n"/>
      <c r="BV27" s="318" t="n"/>
      <c r="BW27" s="142" t="n"/>
      <c r="BX27" s="318" t="n"/>
      <c r="BY27" s="142" t="n"/>
      <c r="BZ27" s="318" t="n"/>
      <c r="CA27" s="142" t="n"/>
      <c r="CB27" s="318" t="n"/>
      <c r="CC27" s="142" t="n"/>
      <c r="CD27" s="318" t="n"/>
      <c r="CE27" s="142" t="n"/>
      <c r="CF27" s="318" t="n"/>
      <c r="CG27" s="317" t="n"/>
      <c r="CH27" s="318" t="n"/>
      <c r="CI27" s="317" t="n"/>
      <c r="CJ27" s="318" t="n"/>
      <c r="CK27" s="317" t="n"/>
      <c r="CL27" s="318" t="n"/>
      <c r="CM27" s="317" t="n"/>
      <c r="CN27" s="318" t="n"/>
      <c r="CO27" s="80" t="n"/>
      <c r="CP27" s="318" t="n"/>
      <c r="CQ27" s="80" t="n"/>
      <c r="CR27" s="318" t="n"/>
      <c r="CS27" s="80" t="n"/>
      <c r="CT27" s="318" t="n"/>
      <c r="CU27" s="80" t="n"/>
      <c r="CW27" s="318" t="n"/>
      <c r="CX27" s="142" t="n"/>
      <c r="CY27" s="318" t="n"/>
      <c r="CZ27" s="142" t="n"/>
      <c r="DA27" s="318" t="n"/>
      <c r="DB27" s="142" t="n"/>
      <c r="DC27" s="318" t="n"/>
      <c r="DD27" s="142" t="n"/>
      <c r="DE27" s="379" t="n"/>
      <c r="DF27" s="379" t="n"/>
      <c r="DG27" s="214" t="n"/>
    </row>
    <row r="28" ht="13" customFormat="1" customHeight="1" s="200">
      <c r="A28" s="371" t="n">
        <v>42400</v>
      </c>
      <c r="B28" s="381" t="n">
        <v>19054.9</v>
      </c>
      <c r="C28" s="111">
        <f>B28/B16-1</f>
        <v/>
      </c>
      <c r="D28" s="111" t="n"/>
      <c r="E28" s="381" t="n">
        <v>11149.3</v>
      </c>
      <c r="F28" s="111">
        <f>E28/E16-1</f>
        <v/>
      </c>
      <c r="G28" s="111" t="n"/>
      <c r="H28" s="381" t="n">
        <v>7069.6</v>
      </c>
      <c r="I28" s="111">
        <f>H28/H16-1</f>
        <v/>
      </c>
      <c r="J28" s="111" t="n"/>
      <c r="K28" s="381" t="n">
        <v>836</v>
      </c>
      <c r="L28" s="111">
        <f>K28/K16-1</f>
        <v/>
      </c>
      <c r="M28" s="111" t="n"/>
      <c r="N28" s="381" t="n">
        <v>15149.6</v>
      </c>
      <c r="O28" s="111">
        <f>N28/N16-1</f>
        <v/>
      </c>
      <c r="P28" s="111" t="n"/>
      <c r="Q28" s="381" t="n">
        <v>8994.1</v>
      </c>
      <c r="R28" s="111">
        <f>Q28/Q16-1</f>
        <v/>
      </c>
      <c r="S28" s="111" t="n"/>
      <c r="T28" s="381" t="n">
        <v>5537.1</v>
      </c>
      <c r="U28" s="111">
        <f>T28/T16-1</f>
        <v/>
      </c>
      <c r="V28" s="111" t="n"/>
      <c r="W28" s="381" t="n">
        <v>618.4</v>
      </c>
      <c r="X28" s="111">
        <f>W28/W16-1</f>
        <v/>
      </c>
      <c r="Y28" s="111" t="n"/>
      <c r="Z28" s="381" t="n">
        <v>7523.7</v>
      </c>
      <c r="AA28" s="111">
        <f>Z28/Z16-1</f>
        <v/>
      </c>
      <c r="AB28" s="111" t="n"/>
      <c r="AC28" s="381" t="n">
        <v>6038.2</v>
      </c>
      <c r="AD28" s="111">
        <f>AC28/AC16-1</f>
        <v/>
      </c>
      <c r="AE28" s="111" t="n"/>
      <c r="AF28" s="381" t="n">
        <v>1100.9</v>
      </c>
      <c r="AG28" s="111">
        <f>AF28/AF16-1</f>
        <v/>
      </c>
      <c r="AH28" s="111" t="n"/>
      <c r="AI28" s="381" t="n">
        <v>384.7</v>
      </c>
      <c r="AJ28" s="111">
        <f>AI28/AI16-1</f>
        <v/>
      </c>
      <c r="AK28" s="111" t="n"/>
      <c r="AL28" s="382" t="n">
        <v>79.5</v>
      </c>
      <c r="AM28" s="380">
        <f>AL28-AL16</f>
        <v/>
      </c>
      <c r="AN28" s="111" t="n"/>
      <c r="AO28" s="382" t="n">
        <v>80.7</v>
      </c>
      <c r="AP28" s="380">
        <f>AO28-AO16</f>
        <v/>
      </c>
      <c r="AQ28" s="111" t="n"/>
      <c r="AR28" s="382" t="n">
        <v>78.3</v>
      </c>
      <c r="AS28" s="380">
        <f>AR28-AR16</f>
        <v/>
      </c>
      <c r="AT28" s="111" t="n"/>
      <c r="AU28" s="382" t="n">
        <v>74</v>
      </c>
      <c r="AV28" s="380">
        <f>AU28-AU16</f>
        <v/>
      </c>
      <c r="AW28" s="111" t="n"/>
      <c r="AX28" s="383" t="n">
        <v>594</v>
      </c>
      <c r="AY28" s="111">
        <f>AX28/AX16-1</f>
        <v/>
      </c>
      <c r="AZ28" s="111" t="n"/>
      <c r="BA28" s="381" t="n"/>
      <c r="BB28" s="142" t="n"/>
      <c r="BC28" s="381" t="n"/>
      <c r="BD28" s="217" t="n"/>
      <c r="BE28" s="381" t="n"/>
      <c r="BF28" s="217" t="n"/>
      <c r="BG28" s="381" t="n"/>
      <c r="BH28" s="217" t="n"/>
      <c r="BI28" s="381" t="n"/>
      <c r="BJ28" s="217" t="n"/>
      <c r="BK28" s="381" t="n"/>
      <c r="BL28" s="217" t="n"/>
      <c r="BM28" s="381" t="n"/>
      <c r="BN28" s="217" t="n"/>
      <c r="BO28" s="381" t="n"/>
      <c r="BP28" s="381" t="n"/>
      <c r="BQ28" s="217" t="n"/>
      <c r="BR28" s="381" t="n"/>
      <c r="BS28" s="217" t="n"/>
      <c r="BT28" s="381" t="n"/>
      <c r="BU28" s="217" t="n"/>
      <c r="BV28" s="381" t="n"/>
      <c r="BW28" s="217" t="n"/>
      <c r="BX28" s="381" t="n"/>
      <c r="BY28" s="217" t="n"/>
      <c r="BZ28" s="381" t="n"/>
      <c r="CA28" s="217" t="n"/>
      <c r="CB28" s="381" t="n"/>
      <c r="CC28" s="217" t="n"/>
      <c r="CD28" s="381" t="n"/>
      <c r="CE28" s="217" t="n"/>
      <c r="CF28" s="381" t="n"/>
      <c r="CG28" s="381" t="n"/>
      <c r="CH28" s="381" t="n"/>
      <c r="CI28" s="381" t="n"/>
      <c r="CJ28" s="381" t="n"/>
      <c r="CK28" s="381" t="n"/>
      <c r="CL28" s="381" t="n"/>
      <c r="CM28" s="381" t="n"/>
      <c r="CN28" s="381" t="n"/>
      <c r="CO28" s="218" t="n"/>
      <c r="CP28" s="381" t="n"/>
      <c r="CQ28" s="218" t="n"/>
      <c r="CR28" s="381" t="n"/>
      <c r="CS28" s="218" t="n"/>
      <c r="CT28" s="381" t="n"/>
      <c r="CU28" s="218" t="n"/>
      <c r="CW28" s="381" t="n"/>
      <c r="CX28" s="217" t="n"/>
      <c r="CY28" s="381" t="n"/>
      <c r="CZ28" s="217" t="n"/>
      <c r="DA28" s="381" t="n"/>
      <c r="DB28" s="217" t="n"/>
      <c r="DC28" s="381" t="n"/>
      <c r="DD28" s="217" t="n"/>
      <c r="DE28" s="384" t="n"/>
      <c r="DF28" s="384" t="n"/>
    </row>
    <row r="29">
      <c r="A29" s="376" t="n">
        <v>42429</v>
      </c>
      <c r="B29" s="315" t="n">
        <v>18513.8</v>
      </c>
      <c r="C29" s="111">
        <f>B29/B17-1</f>
        <v/>
      </c>
      <c r="D29" s="111" t="n"/>
      <c r="E29" s="315" t="n">
        <v>11256.4</v>
      </c>
      <c r="F29" s="111">
        <f>E29/E17-1</f>
        <v/>
      </c>
      <c r="G29" s="111" t="n"/>
      <c r="H29" s="315" t="n">
        <v>6367.3</v>
      </c>
      <c r="I29" s="111">
        <f>H29/H17-1</f>
        <v/>
      </c>
      <c r="J29" s="111" t="n"/>
      <c r="K29" s="315" t="n">
        <v>890.1</v>
      </c>
      <c r="L29" s="111">
        <f>K29/K17-1</f>
        <v/>
      </c>
      <c r="M29" s="111" t="n"/>
      <c r="N29" s="315" t="n">
        <v>15063.5</v>
      </c>
      <c r="O29" s="111">
        <f>N29/N17-1</f>
        <v/>
      </c>
      <c r="P29" s="111" t="n"/>
      <c r="Q29" s="315" t="n">
        <v>9392.799999999999</v>
      </c>
      <c r="R29" s="111">
        <f>Q29/Q17-1</f>
        <v/>
      </c>
      <c r="S29" s="111" t="n"/>
      <c r="T29" s="315" t="n">
        <v>4983.5</v>
      </c>
      <c r="U29" s="111">
        <f>T29/T17-1</f>
        <v/>
      </c>
      <c r="V29" s="111" t="n"/>
      <c r="W29" s="315" t="n">
        <v>687.2</v>
      </c>
      <c r="X29" s="111">
        <f>W29/W17-1</f>
        <v/>
      </c>
      <c r="Y29" s="111" t="n"/>
      <c r="Z29" s="315" t="n">
        <v>7766.1</v>
      </c>
      <c r="AA29" s="111">
        <f>Z29/Z17-1</f>
        <v/>
      </c>
      <c r="AB29" s="111" t="n"/>
      <c r="AC29" s="315" t="n">
        <v>6283.2</v>
      </c>
      <c r="AD29" s="111">
        <f>AC29/AC17-1</f>
        <v/>
      </c>
      <c r="AE29" s="111" t="n"/>
      <c r="AF29" s="315" t="n">
        <v>1045.6</v>
      </c>
      <c r="AG29" s="111">
        <f>AF29/AF17-1</f>
        <v/>
      </c>
      <c r="AH29" s="111" t="n"/>
      <c r="AI29" s="315" t="n">
        <v>437.3</v>
      </c>
      <c r="AJ29" s="111">
        <f>AI29/AI17-1</f>
        <v/>
      </c>
      <c r="AK29" s="111" t="n"/>
      <c r="AL29" s="316" t="n">
        <v>81.40000000000001</v>
      </c>
      <c r="AM29" s="380">
        <f>AL29-AL17</f>
        <v/>
      </c>
      <c r="AN29" s="111" t="n"/>
      <c r="AO29" s="316" t="n">
        <v>83.40000000000001</v>
      </c>
      <c r="AP29" s="380">
        <f>AO29-AO17</f>
        <v/>
      </c>
      <c r="AQ29" s="111" t="n"/>
      <c r="AR29" s="316" t="n">
        <v>78.3</v>
      </c>
      <c r="AS29" s="380">
        <f>AR29-AR17</f>
        <v/>
      </c>
      <c r="AT29" s="111" t="n"/>
      <c r="AU29" s="316" t="n">
        <v>77.2</v>
      </c>
      <c r="AV29" s="380">
        <f>AU29-AU17</f>
        <v/>
      </c>
      <c r="AW29" s="111" t="n"/>
      <c r="AX29" s="377" t="n">
        <v>593</v>
      </c>
      <c r="AY29" s="111">
        <f>AX29/AX17-1</f>
        <v/>
      </c>
      <c r="AZ29" s="111" t="n"/>
      <c r="BA29" s="378" t="n"/>
      <c r="BB29" s="142" t="n"/>
      <c r="BC29" s="378" t="n"/>
      <c r="BD29" s="142" t="n"/>
      <c r="BE29" s="378" t="n"/>
      <c r="BF29" s="142" t="n"/>
      <c r="BG29" s="378" t="n"/>
      <c r="BH29" s="142" t="n"/>
      <c r="BI29" s="318" t="n"/>
      <c r="BJ29" s="142" t="n"/>
      <c r="BK29" s="318" t="n"/>
      <c r="BL29" s="142" t="n"/>
      <c r="BM29" s="318" t="n"/>
      <c r="BN29" s="142" t="n"/>
      <c r="BO29" s="318" t="n"/>
      <c r="BP29" s="318" t="n"/>
      <c r="BQ29" s="142" t="n"/>
      <c r="BR29" s="318" t="n"/>
      <c r="BS29" s="142" t="n"/>
      <c r="BT29" s="318" t="n"/>
      <c r="BU29" s="142" t="n"/>
      <c r="BV29" s="318" t="n"/>
      <c r="BW29" s="142" t="n"/>
      <c r="BX29" s="318" t="n"/>
      <c r="BY29" s="142" t="n"/>
      <c r="BZ29" s="318" t="n"/>
      <c r="CA29" s="142" t="n"/>
      <c r="CB29" s="318" t="n"/>
      <c r="CC29" s="142" t="n"/>
      <c r="CD29" s="318" t="n"/>
      <c r="CE29" s="142" t="n"/>
      <c r="CF29" s="318" t="n"/>
      <c r="CG29" s="317" t="n"/>
      <c r="CH29" s="318" t="n"/>
      <c r="CI29" s="317" t="n"/>
      <c r="CJ29" s="318" t="n"/>
      <c r="CK29" s="317" t="n"/>
      <c r="CL29" s="318" t="n"/>
      <c r="CM29" s="317" t="n"/>
      <c r="CN29" s="318" t="n"/>
      <c r="CO29" s="80" t="n"/>
      <c r="CP29" s="318" t="n"/>
      <c r="CQ29" s="80" t="n"/>
      <c r="CR29" s="318" t="n"/>
      <c r="CS29" s="80" t="n"/>
      <c r="CT29" s="318" t="n"/>
      <c r="CU29" s="80" t="n"/>
      <c r="CW29" s="318" t="n"/>
      <c r="CX29" s="142" t="n"/>
      <c r="CY29" s="318" t="n"/>
      <c r="CZ29" s="142" t="n"/>
      <c r="DA29" s="318" t="n"/>
      <c r="DB29" s="142" t="n"/>
      <c r="DC29" s="318" t="n"/>
      <c r="DD29" s="142" t="n"/>
      <c r="DE29" s="379" t="n"/>
      <c r="DF29" s="379" t="n"/>
      <c r="DG29" s="214" t="n"/>
    </row>
    <row r="30">
      <c r="A30" s="376" t="n">
        <v>42460</v>
      </c>
      <c r="B30" s="315" t="n">
        <v>18966.6</v>
      </c>
      <c r="C30" s="111">
        <f>B30/B18-1</f>
        <v/>
      </c>
      <c r="D30" s="111" t="n"/>
      <c r="E30" s="315" t="n">
        <v>11534.5</v>
      </c>
      <c r="F30" s="111">
        <f>E30/E18-1</f>
        <v/>
      </c>
      <c r="G30" s="111" t="n"/>
      <c r="H30" s="315" t="n">
        <v>6638.6</v>
      </c>
      <c r="I30" s="111">
        <f>H30/H18-1</f>
        <v/>
      </c>
      <c r="J30" s="111" t="n"/>
      <c r="K30" s="315" t="n">
        <v>793.6</v>
      </c>
      <c r="L30" s="111">
        <f>K30/K18-1</f>
        <v/>
      </c>
      <c r="M30" s="111" t="n"/>
      <c r="N30" s="315" t="n">
        <v>14897.5</v>
      </c>
      <c r="O30" s="111">
        <f>N30/N18-1</f>
        <v/>
      </c>
      <c r="P30" s="111" t="n"/>
      <c r="Q30" s="315" t="n">
        <v>9371.700000000001</v>
      </c>
      <c r="R30" s="111">
        <f>Q30/Q18-1</f>
        <v/>
      </c>
      <c r="S30" s="111" t="n"/>
      <c r="T30" s="315" t="n">
        <v>4956.8</v>
      </c>
      <c r="U30" s="111">
        <f>T30/T18-1</f>
        <v/>
      </c>
      <c r="V30" s="111" t="n"/>
      <c r="W30" s="315" t="n">
        <v>569</v>
      </c>
      <c r="X30" s="111">
        <f>W30/W18-1</f>
        <v/>
      </c>
      <c r="Y30" s="111" t="n"/>
      <c r="Z30" s="315" t="n">
        <v>7767</v>
      </c>
      <c r="AA30" s="111">
        <f>Z30/Z18-1</f>
        <v/>
      </c>
      <c r="AB30" s="111" t="n"/>
      <c r="AC30" s="315" t="n">
        <v>6380</v>
      </c>
      <c r="AD30" s="111">
        <f>AC30/AC18-1</f>
        <v/>
      </c>
      <c r="AE30" s="111" t="n"/>
      <c r="AF30" s="315" t="n">
        <v>1023.2</v>
      </c>
      <c r="AG30" s="111">
        <f>AF30/AF18-1</f>
        <v/>
      </c>
      <c r="AH30" s="111" t="n"/>
      <c r="AI30" s="315" t="n">
        <v>363.7</v>
      </c>
      <c r="AJ30" s="111">
        <f>AI30/AI18-1</f>
        <v/>
      </c>
      <c r="AK30" s="111" t="n"/>
      <c r="AL30" s="316" t="n">
        <v>78.5</v>
      </c>
      <c r="AM30" s="380">
        <f>AL30-AL18</f>
        <v/>
      </c>
      <c r="AN30" s="111" t="n"/>
      <c r="AO30" s="316" t="n">
        <v>81.2</v>
      </c>
      <c r="AP30" s="380">
        <f>AO30-AO18</f>
        <v/>
      </c>
      <c r="AQ30" s="111" t="n"/>
      <c r="AR30" s="316" t="n">
        <v>74.7</v>
      </c>
      <c r="AS30" s="380">
        <f>AR30-AR18</f>
        <v/>
      </c>
      <c r="AT30" s="111" t="n"/>
      <c r="AU30" s="316" t="n">
        <v>71.7</v>
      </c>
      <c r="AV30" s="380">
        <f>AU30-AU18</f>
        <v/>
      </c>
      <c r="AW30" s="111" t="n"/>
      <c r="AX30" s="377" t="n">
        <v>594</v>
      </c>
      <c r="AY30" s="111">
        <f>AX30/AX18-1</f>
        <v/>
      </c>
      <c r="AZ30" s="111" t="n"/>
      <c r="BA30" s="378" t="n"/>
      <c r="BB30" s="142" t="n"/>
      <c r="BC30" s="378" t="n"/>
      <c r="BD30" s="142" t="n"/>
      <c r="BE30" s="378" t="n"/>
      <c r="BF30" s="142" t="n"/>
      <c r="BG30" s="378" t="n"/>
      <c r="BH30" s="142" t="n"/>
      <c r="BI30" s="318" t="n"/>
      <c r="BJ30" s="142" t="n"/>
      <c r="BK30" s="318" t="n"/>
      <c r="BL30" s="142" t="n"/>
      <c r="BM30" s="318" t="n"/>
      <c r="BN30" s="142" t="n"/>
      <c r="BO30" s="318" t="n"/>
      <c r="BP30" s="318" t="n"/>
      <c r="BQ30" s="142" t="n"/>
      <c r="BR30" s="318" t="n"/>
      <c r="BS30" s="142" t="n"/>
      <c r="BT30" s="318" t="n"/>
      <c r="BU30" s="142" t="n"/>
      <c r="BV30" s="318" t="n"/>
      <c r="BW30" s="142" t="n"/>
      <c r="BX30" s="318" t="n"/>
      <c r="BY30" s="142" t="n"/>
      <c r="BZ30" s="318" t="n"/>
      <c r="CA30" s="142" t="n"/>
      <c r="CB30" s="318" t="n"/>
      <c r="CC30" s="142" t="n"/>
      <c r="CD30" s="318" t="n"/>
      <c r="CE30" s="142" t="n"/>
      <c r="CF30" s="318" t="n"/>
      <c r="CG30" s="317" t="n"/>
      <c r="CH30" s="318" t="n"/>
      <c r="CI30" s="317" t="n"/>
      <c r="CJ30" s="318" t="n"/>
      <c r="CK30" s="317" t="n"/>
      <c r="CL30" s="318" t="n"/>
      <c r="CM30" s="317" t="n"/>
      <c r="CN30" s="318" t="n"/>
      <c r="CO30" s="80" t="n"/>
      <c r="CP30" s="318" t="n"/>
      <c r="CQ30" s="80" t="n"/>
      <c r="CR30" s="318" t="n"/>
      <c r="CS30" s="80" t="n"/>
      <c r="CT30" s="318" t="n"/>
      <c r="CU30" s="80" t="n"/>
      <c r="CW30" s="318" t="n"/>
      <c r="CX30" s="142" t="n"/>
      <c r="CY30" s="318" t="n"/>
      <c r="CZ30" s="142" t="n"/>
      <c r="DA30" s="318" t="n"/>
      <c r="DB30" s="142" t="n"/>
      <c r="DC30" s="318" t="n"/>
      <c r="DD30" s="142" t="n"/>
      <c r="DE30" s="379" t="n"/>
      <c r="DF30" s="379" t="n"/>
      <c r="DG30" s="214" t="n"/>
    </row>
    <row r="31">
      <c r="A31" s="376" t="n">
        <v>42490</v>
      </c>
      <c r="B31" s="315" t="n">
        <v>18859.8</v>
      </c>
      <c r="C31" s="111">
        <f>B31/B19-1</f>
        <v/>
      </c>
      <c r="D31" s="111" t="n"/>
      <c r="E31" s="315" t="n">
        <v>11569.3</v>
      </c>
      <c r="F31" s="111">
        <f>E31/E19-1</f>
        <v/>
      </c>
      <c r="G31" s="111" t="n"/>
      <c r="H31" s="315" t="n">
        <v>6511.6</v>
      </c>
      <c r="I31" s="111">
        <f>H31/H19-1</f>
        <v/>
      </c>
      <c r="J31" s="111" t="n"/>
      <c r="K31" s="315" t="n">
        <v>778.9</v>
      </c>
      <c r="L31" s="111">
        <f>K31/K19-1</f>
        <v/>
      </c>
      <c r="M31" s="111" t="n"/>
      <c r="N31" s="315" t="n">
        <v>15145.7</v>
      </c>
      <c r="O31" s="111">
        <f>N31/N19-1</f>
        <v/>
      </c>
      <c r="P31" s="111" t="n"/>
      <c r="Q31" s="315" t="n">
        <v>9562.5</v>
      </c>
      <c r="R31" s="111">
        <f>Q31/Q19-1</f>
        <v/>
      </c>
      <c r="S31" s="111" t="n"/>
      <c r="T31" s="315" t="n">
        <v>4990.8</v>
      </c>
      <c r="U31" s="111">
        <f>T31/T19-1</f>
        <v/>
      </c>
      <c r="V31" s="111" t="n"/>
      <c r="W31" s="315" t="n">
        <v>592.4</v>
      </c>
      <c r="X31" s="111">
        <f>W31/W19-1</f>
        <v/>
      </c>
      <c r="Y31" s="111" t="n"/>
      <c r="Z31" s="315" t="n">
        <v>8029.9</v>
      </c>
      <c r="AA31" s="111">
        <f>Z31/Z19-1</f>
        <v/>
      </c>
      <c r="AB31" s="111" t="n"/>
      <c r="AC31" s="315" t="n">
        <v>6579.9</v>
      </c>
      <c r="AD31" s="111">
        <f>AC31/AC19-1</f>
        <v/>
      </c>
      <c r="AE31" s="111" t="n"/>
      <c r="AF31" s="315" t="n">
        <v>1066.4</v>
      </c>
      <c r="AG31" s="111">
        <f>AF31/AF19-1</f>
        <v/>
      </c>
      <c r="AH31" s="111" t="n"/>
      <c r="AI31" s="315" t="n">
        <v>383.6</v>
      </c>
      <c r="AJ31" s="111">
        <f>AI31/AI19-1</f>
        <v/>
      </c>
      <c r="AK31" s="111" t="n"/>
      <c r="AL31" s="316" t="n">
        <v>80.3</v>
      </c>
      <c r="AM31" s="380">
        <f>AL31-AL19</f>
        <v/>
      </c>
      <c r="AN31" s="111" t="n"/>
      <c r="AO31" s="316" t="n">
        <v>82.7</v>
      </c>
      <c r="AP31" s="380">
        <f>AO31-AO19</f>
        <v/>
      </c>
      <c r="AQ31" s="111" t="n"/>
      <c r="AR31" s="316" t="n">
        <v>76.59999999999999</v>
      </c>
      <c r="AS31" s="380">
        <f>AR31-AR19</f>
        <v/>
      </c>
      <c r="AT31" s="111" t="n"/>
      <c r="AU31" s="316" t="n">
        <v>76</v>
      </c>
      <c r="AV31" s="380">
        <f>AU31-AU19</f>
        <v/>
      </c>
      <c r="AW31" s="111" t="n"/>
      <c r="AX31" s="377" t="n">
        <v>593</v>
      </c>
      <c r="AY31" s="111">
        <f>AX31/AX19-1</f>
        <v/>
      </c>
      <c r="AZ31" s="111" t="n"/>
      <c r="BA31" s="378" t="n"/>
      <c r="BB31" s="142" t="n"/>
      <c r="BC31" s="378" t="n"/>
      <c r="BD31" s="142" t="n"/>
      <c r="BE31" s="378" t="n"/>
      <c r="BF31" s="142" t="n"/>
      <c r="BG31" s="378" t="n"/>
      <c r="BH31" s="142" t="n"/>
      <c r="BI31" s="318" t="n"/>
      <c r="BJ31" s="142" t="n"/>
      <c r="BK31" s="318" t="n"/>
      <c r="BL31" s="142" t="n"/>
      <c r="BM31" s="318" t="n"/>
      <c r="BN31" s="142" t="n"/>
      <c r="BO31" s="318" t="n"/>
      <c r="BP31" s="318" t="n"/>
      <c r="BQ31" s="142" t="n"/>
      <c r="BR31" s="318" t="n"/>
      <c r="BS31" s="142" t="n"/>
      <c r="BT31" s="318" t="n"/>
      <c r="BU31" s="142" t="n"/>
      <c r="BV31" s="318" t="n"/>
      <c r="BW31" s="142" t="n"/>
      <c r="BX31" s="318" t="n"/>
      <c r="BY31" s="142" t="n"/>
      <c r="BZ31" s="318" t="n"/>
      <c r="CA31" s="142" t="n"/>
      <c r="CB31" s="318" t="n"/>
      <c r="CC31" s="142" t="n"/>
      <c r="CD31" s="318" t="n"/>
      <c r="CE31" s="142" t="n"/>
      <c r="CF31" s="318" t="n"/>
      <c r="CG31" s="317" t="n"/>
      <c r="CH31" s="318" t="n"/>
      <c r="CI31" s="317" t="n"/>
      <c r="CJ31" s="318" t="n"/>
      <c r="CK31" s="317" t="n"/>
      <c r="CL31" s="318" t="n"/>
      <c r="CM31" s="317" t="n"/>
      <c r="CN31" s="318" t="n"/>
      <c r="CO31" s="80" t="n"/>
      <c r="CP31" s="318" t="n"/>
      <c r="CQ31" s="80" t="n"/>
      <c r="CR31" s="318" t="n"/>
      <c r="CS31" s="80" t="n"/>
      <c r="CT31" s="318" t="n"/>
      <c r="CU31" s="80" t="n"/>
      <c r="CW31" s="318" t="n"/>
      <c r="CX31" s="142" t="n"/>
      <c r="CY31" s="318" t="n"/>
      <c r="CZ31" s="142" t="n"/>
      <c r="DA31" s="318" t="n"/>
      <c r="DB31" s="142" t="n"/>
      <c r="DC31" s="318" t="n"/>
      <c r="DD31" s="142" t="n"/>
      <c r="DE31" s="379" t="n"/>
      <c r="DF31" s="379" t="n"/>
      <c r="DG31" s="214" t="n"/>
    </row>
    <row r="32">
      <c r="A32" s="376" t="n">
        <v>42521</v>
      </c>
      <c r="B32" s="315" t="n">
        <v>19241.6</v>
      </c>
      <c r="C32" s="111">
        <f>B32/B20-1</f>
        <v/>
      </c>
      <c r="D32" s="111" t="n"/>
      <c r="E32" s="315" t="n">
        <v>11633.9</v>
      </c>
      <c r="F32" s="111">
        <f>E32/E20-1</f>
        <v/>
      </c>
      <c r="G32" s="111" t="n"/>
      <c r="H32" s="315" t="n">
        <v>6815.6</v>
      </c>
      <c r="I32" s="111">
        <f>H32/H20-1</f>
        <v/>
      </c>
      <c r="J32" s="111" t="n"/>
      <c r="K32" s="315" t="n">
        <v>792.1</v>
      </c>
      <c r="L32" s="111">
        <f>K32/K20-1</f>
        <v/>
      </c>
      <c r="M32" s="111" t="n"/>
      <c r="N32" s="315" t="n">
        <v>14988.3</v>
      </c>
      <c r="O32" s="111">
        <f>N32/N20-1</f>
        <v/>
      </c>
      <c r="P32" s="111" t="n"/>
      <c r="Q32" s="315" t="n">
        <v>9466.299999999999</v>
      </c>
      <c r="R32" s="111">
        <f>Q32/Q20-1</f>
        <v/>
      </c>
      <c r="S32" s="111" t="n"/>
      <c r="T32" s="315" t="n">
        <v>4961.2</v>
      </c>
      <c r="U32" s="111">
        <f>T32/T20-1</f>
        <v/>
      </c>
      <c r="V32" s="111" t="n"/>
      <c r="W32" s="315" t="n">
        <v>560.8</v>
      </c>
      <c r="X32" s="111">
        <f>W32/W20-1</f>
        <v/>
      </c>
      <c r="Y32" s="111" t="n"/>
      <c r="Z32" s="315" t="n">
        <v>7925.1</v>
      </c>
      <c r="AA32" s="111">
        <f>Z32/Z20-1</f>
        <v/>
      </c>
      <c r="AB32" s="111" t="n"/>
      <c r="AC32" s="315" t="n">
        <v>6527.5</v>
      </c>
      <c r="AD32" s="111">
        <f>AC32/AC20-1</f>
        <v/>
      </c>
      <c r="AE32" s="111" t="n"/>
      <c r="AF32" s="315" t="n">
        <v>1032.7</v>
      </c>
      <c r="AG32" s="111">
        <f>AF32/AF20-1</f>
        <v/>
      </c>
      <c r="AH32" s="111" t="n"/>
      <c r="AI32" s="315" t="n">
        <v>364.9</v>
      </c>
      <c r="AJ32" s="111">
        <f>AI32/AI20-1</f>
        <v/>
      </c>
      <c r="AK32" s="111" t="n"/>
      <c r="AL32" s="316" t="n">
        <v>77.90000000000001</v>
      </c>
      <c r="AM32" s="380">
        <f>AL32-AL20</f>
        <v/>
      </c>
      <c r="AN32" s="111" t="n"/>
      <c r="AO32" s="316" t="n">
        <v>81.40000000000001</v>
      </c>
      <c r="AP32" s="380">
        <f>AO32-AO20</f>
        <v/>
      </c>
      <c r="AQ32" s="111" t="n"/>
      <c r="AR32" s="316" t="n">
        <v>72.8</v>
      </c>
      <c r="AS32" s="380">
        <f>AR32-AR20</f>
        <v/>
      </c>
      <c r="AT32" s="111" t="n"/>
      <c r="AU32" s="316" t="n">
        <v>70.8</v>
      </c>
      <c r="AV32" s="380">
        <f>AU32-AU20</f>
        <v/>
      </c>
      <c r="AW32" s="111" t="n"/>
      <c r="AX32" s="377" t="n">
        <v>596</v>
      </c>
      <c r="AY32" s="111">
        <f>AX32/AX20-1</f>
        <v/>
      </c>
      <c r="AZ32" s="111" t="n"/>
      <c r="BA32" s="378" t="n"/>
      <c r="BB32" s="142" t="n"/>
      <c r="BC32" s="378" t="n"/>
      <c r="BD32" s="142" t="n"/>
      <c r="BE32" s="378" t="n"/>
      <c r="BF32" s="142" t="n"/>
      <c r="BG32" s="378" t="n"/>
      <c r="BH32" s="142" t="n"/>
      <c r="BI32" s="318" t="n"/>
      <c r="BJ32" s="142" t="n"/>
      <c r="BK32" s="318" t="n"/>
      <c r="BL32" s="142" t="n"/>
      <c r="BM32" s="318" t="n"/>
      <c r="BN32" s="142" t="n"/>
      <c r="BO32" s="318" t="n"/>
      <c r="BP32" s="318" t="n"/>
      <c r="BQ32" s="142" t="n"/>
      <c r="BR32" s="318" t="n"/>
      <c r="BS32" s="142" t="n"/>
      <c r="BT32" s="318" t="n"/>
      <c r="BU32" s="142" t="n"/>
      <c r="BV32" s="318" t="n"/>
      <c r="BW32" s="142" t="n"/>
      <c r="BX32" s="318" t="n"/>
      <c r="BY32" s="142" t="n"/>
      <c r="BZ32" s="318" t="n"/>
      <c r="CA32" s="142" t="n"/>
      <c r="CB32" s="318" t="n"/>
      <c r="CC32" s="142" t="n"/>
      <c r="CD32" s="318" t="n"/>
      <c r="CE32" s="142" t="n"/>
      <c r="CF32" s="318" t="n"/>
      <c r="CG32" s="317" t="n"/>
      <c r="CH32" s="318" t="n"/>
      <c r="CI32" s="317" t="n"/>
      <c r="CJ32" s="318" t="n"/>
      <c r="CK32" s="317" t="n"/>
      <c r="CL32" s="318" t="n"/>
      <c r="CM32" s="317" t="n"/>
      <c r="CN32" s="318" t="n"/>
      <c r="CO32" s="80" t="n"/>
      <c r="CP32" s="318" t="n"/>
      <c r="CQ32" s="80" t="n"/>
      <c r="CR32" s="318" t="n"/>
      <c r="CS32" s="80" t="n"/>
      <c r="CT32" s="318" t="n"/>
      <c r="CU32" s="80" t="n"/>
      <c r="CW32" s="318" t="n"/>
      <c r="CX32" s="142" t="n"/>
      <c r="CY32" s="318" t="n"/>
      <c r="CZ32" s="142" t="n"/>
      <c r="DA32" s="318" t="n"/>
      <c r="DB32" s="142" t="n"/>
      <c r="DC32" s="318" t="n"/>
      <c r="DD32" s="142" t="n"/>
      <c r="DE32" s="379" t="n"/>
      <c r="DF32" s="379" t="n"/>
      <c r="DG32" s="214" t="n"/>
    </row>
    <row r="33">
      <c r="A33" s="376" t="n">
        <v>42551</v>
      </c>
      <c r="B33" s="315" t="n">
        <v>18750.2</v>
      </c>
      <c r="C33" s="111">
        <f>B33/B21-1</f>
        <v/>
      </c>
      <c r="D33" s="111" t="n"/>
      <c r="E33" s="315" t="n">
        <v>11184.7</v>
      </c>
      <c r="F33" s="111">
        <f>E33/E21-1</f>
        <v/>
      </c>
      <c r="G33" s="111" t="n"/>
      <c r="H33" s="315" t="n">
        <v>6805.6</v>
      </c>
      <c r="I33" s="111">
        <f>H33/H21-1</f>
        <v/>
      </c>
      <c r="J33" s="111" t="n"/>
      <c r="K33" s="315" t="n">
        <v>759.9</v>
      </c>
      <c r="L33" s="111">
        <f>K33/K21-1</f>
        <v/>
      </c>
      <c r="M33" s="111" t="n"/>
      <c r="N33" s="315" t="n">
        <v>15264.2</v>
      </c>
      <c r="O33" s="111">
        <f>N33/N21-1</f>
        <v/>
      </c>
      <c r="P33" s="111" t="n"/>
      <c r="Q33" s="315" t="n">
        <v>9321.5</v>
      </c>
      <c r="R33" s="111">
        <f>Q33/Q21-1</f>
        <v/>
      </c>
      <c r="S33" s="111" t="n"/>
      <c r="T33" s="315" t="n">
        <v>5377.8</v>
      </c>
      <c r="U33" s="111">
        <f>T33/T21-1</f>
        <v/>
      </c>
      <c r="V33" s="111" t="n"/>
      <c r="W33" s="315" t="n">
        <v>565</v>
      </c>
      <c r="X33" s="111">
        <f>W33/W21-1</f>
        <v/>
      </c>
      <c r="Y33" s="111" t="n"/>
      <c r="Z33" s="315" t="n">
        <v>7844.9</v>
      </c>
      <c r="AA33" s="111">
        <f>Z33/Z21-1</f>
        <v/>
      </c>
      <c r="AB33" s="111" t="n"/>
      <c r="AC33" s="315" t="n">
        <v>6381.1</v>
      </c>
      <c r="AD33" s="111">
        <f>AC33/AC21-1</f>
        <v/>
      </c>
      <c r="AE33" s="111" t="n"/>
      <c r="AF33" s="315" t="n">
        <v>1099.7</v>
      </c>
      <c r="AG33" s="111">
        <f>AF33/AF21-1</f>
        <v/>
      </c>
      <c r="AH33" s="111" t="n"/>
      <c r="AI33" s="315" t="n">
        <v>364.2</v>
      </c>
      <c r="AJ33" s="111">
        <f>AI33/AI21-1</f>
        <v/>
      </c>
      <c r="AK33" s="111" t="n"/>
      <c r="AL33" s="316" t="n">
        <v>81.40000000000001</v>
      </c>
      <c r="AM33" s="380">
        <f>AL33-AL21</f>
        <v/>
      </c>
      <c r="AN33" s="111" t="n"/>
      <c r="AO33" s="316" t="n">
        <v>83.3</v>
      </c>
      <c r="AP33" s="380">
        <f>AO33-AO21</f>
        <v/>
      </c>
      <c r="AQ33" s="111" t="n"/>
      <c r="AR33" s="316" t="n">
        <v>79</v>
      </c>
      <c r="AS33" s="380">
        <f>AR33-AR21</f>
        <v/>
      </c>
      <c r="AT33" s="111" t="n"/>
      <c r="AU33" s="316" t="n">
        <v>74.3</v>
      </c>
      <c r="AV33" s="380">
        <f>AU33-AU21</f>
        <v/>
      </c>
      <c r="AW33" s="111" t="n"/>
      <c r="AX33" s="377" t="n">
        <v>602</v>
      </c>
      <c r="AY33" s="111">
        <f>AX33/AX21-1</f>
        <v/>
      </c>
      <c r="AZ33" s="111" t="n"/>
      <c r="BA33" s="378" t="n"/>
      <c r="BB33" s="142" t="n"/>
      <c r="BC33" s="378" t="n"/>
      <c r="BD33" s="142" t="n"/>
      <c r="BE33" s="378" t="n"/>
      <c r="BF33" s="142" t="n"/>
      <c r="BG33" s="378" t="n"/>
      <c r="BH33" s="142" t="n"/>
      <c r="BI33" s="318" t="n"/>
      <c r="BJ33" s="142" t="n"/>
      <c r="BK33" s="318" t="n"/>
      <c r="BL33" s="142" t="n"/>
      <c r="BM33" s="318" t="n"/>
      <c r="BN33" s="142" t="n"/>
      <c r="BO33" s="318" t="n"/>
      <c r="BP33" s="318" t="n"/>
      <c r="BQ33" s="142" t="n"/>
      <c r="BR33" s="318" t="n"/>
      <c r="BS33" s="142" t="n"/>
      <c r="BT33" s="318" t="n"/>
      <c r="BU33" s="142" t="n"/>
      <c r="BV33" s="318" t="n"/>
      <c r="BW33" s="142" t="n"/>
      <c r="BX33" s="318" t="n"/>
      <c r="BY33" s="142" t="n"/>
      <c r="BZ33" s="318" t="n"/>
      <c r="CA33" s="142" t="n"/>
      <c r="CB33" s="318" t="n"/>
      <c r="CC33" s="142" t="n"/>
      <c r="CD33" s="318" t="n"/>
      <c r="CE33" s="142" t="n"/>
      <c r="CF33" s="318" t="n"/>
      <c r="CG33" s="317" t="n"/>
      <c r="CH33" s="318" t="n"/>
      <c r="CI33" s="317" t="n"/>
      <c r="CJ33" s="318" t="n"/>
      <c r="CK33" s="317" t="n"/>
      <c r="CL33" s="318" t="n"/>
      <c r="CM33" s="317" t="n"/>
      <c r="CN33" s="318" t="n"/>
      <c r="CO33" s="80" t="n"/>
      <c r="CP33" s="318" t="n"/>
      <c r="CQ33" s="80" t="n"/>
      <c r="CR33" s="318" t="n"/>
      <c r="CS33" s="80" t="n"/>
      <c r="CT33" s="318" t="n"/>
      <c r="CU33" s="80" t="n"/>
      <c r="CW33" s="318" t="n"/>
      <c r="CX33" s="142" t="n"/>
      <c r="CY33" s="318" t="n"/>
      <c r="CZ33" s="142" t="n"/>
      <c r="DA33" s="318" t="n"/>
      <c r="DB33" s="142" t="n"/>
      <c r="DC33" s="318" t="n"/>
      <c r="DD33" s="142" t="n"/>
      <c r="DE33" s="379" t="n"/>
      <c r="DF33" s="379" t="n"/>
      <c r="DG33" s="214" t="n"/>
    </row>
    <row r="34">
      <c r="A34" s="376" t="n">
        <v>42582</v>
      </c>
      <c r="B34" s="315" t="n">
        <v>20438.6</v>
      </c>
      <c r="C34" s="111">
        <f>B34/B22-1</f>
        <v/>
      </c>
      <c r="D34" s="111" t="n"/>
      <c r="E34" s="315" t="n">
        <v>12055.9</v>
      </c>
      <c r="F34" s="111">
        <f>E34/E22-1</f>
        <v/>
      </c>
      <c r="G34" s="111" t="n"/>
      <c r="H34" s="315" t="n">
        <v>7612.3</v>
      </c>
      <c r="I34" s="111">
        <f>H34/H22-1</f>
        <v/>
      </c>
      <c r="J34" s="111" t="n"/>
      <c r="K34" s="315" t="n">
        <v>770.4</v>
      </c>
      <c r="L34" s="111">
        <f>K34/K22-1</f>
        <v/>
      </c>
      <c r="M34" s="111" t="n"/>
      <c r="N34" s="315" t="n">
        <v>16944.3</v>
      </c>
      <c r="O34" s="111">
        <f>N34/N22-1</f>
        <v/>
      </c>
      <c r="P34" s="111" t="n"/>
      <c r="Q34" s="315" t="n">
        <v>10010.8</v>
      </c>
      <c r="R34" s="111">
        <f>Q34/Q22-1</f>
        <v/>
      </c>
      <c r="S34" s="111" t="n"/>
      <c r="T34" s="315" t="n">
        <v>6334.7</v>
      </c>
      <c r="U34" s="111">
        <f>T34/T22-1</f>
        <v/>
      </c>
      <c r="V34" s="111" t="n"/>
      <c r="W34" s="315" t="n">
        <v>598.8</v>
      </c>
      <c r="X34" s="111">
        <f>W34/W22-1</f>
        <v/>
      </c>
      <c r="Y34" s="111" t="n"/>
      <c r="Z34" s="315" t="n">
        <v>8541.6</v>
      </c>
      <c r="AA34" s="111">
        <f>Z34/Z22-1</f>
        <v/>
      </c>
      <c r="AB34" s="111" t="n"/>
      <c r="AC34" s="315" t="n">
        <v>6860.8</v>
      </c>
      <c r="AD34" s="111">
        <f>AC34/AC22-1</f>
        <v/>
      </c>
      <c r="AE34" s="111" t="n"/>
      <c r="AF34" s="315" t="n">
        <v>1293.4</v>
      </c>
      <c r="AG34" s="111">
        <f>AF34/AF22-1</f>
        <v/>
      </c>
      <c r="AH34" s="111" t="n"/>
      <c r="AI34" s="315" t="n">
        <v>387.3</v>
      </c>
      <c r="AJ34" s="111">
        <f>AI34/AI22-1</f>
        <v/>
      </c>
      <c r="AK34" s="111" t="n"/>
      <c r="AL34" s="316" t="n">
        <v>82.90000000000001</v>
      </c>
      <c r="AM34" s="380">
        <f>AL34-AL22</f>
        <v/>
      </c>
      <c r="AN34" s="111" t="n"/>
      <c r="AO34" s="316" t="n">
        <v>83</v>
      </c>
      <c r="AP34" s="380">
        <f>AO34-AO22</f>
        <v/>
      </c>
      <c r="AQ34" s="111" t="n"/>
      <c r="AR34" s="316" t="n">
        <v>83.2</v>
      </c>
      <c r="AS34" s="380">
        <f>AR34-AR22</f>
        <v/>
      </c>
      <c r="AT34" s="111" t="n"/>
      <c r="AU34" s="316" t="n">
        <v>77.7</v>
      </c>
      <c r="AV34" s="380">
        <f>AU34-AU22</f>
        <v/>
      </c>
      <c r="AW34" s="111" t="n"/>
      <c r="AX34" s="377" t="n">
        <v>607</v>
      </c>
      <c r="AY34" s="111">
        <f>AX34/AX22-1</f>
        <v/>
      </c>
      <c r="AZ34" s="111" t="n"/>
      <c r="BA34" s="378" t="n"/>
      <c r="BB34" s="142" t="n"/>
      <c r="BC34" s="378" t="n"/>
      <c r="BD34" s="142" t="n"/>
      <c r="BE34" s="378" t="n"/>
      <c r="BF34" s="142" t="n"/>
      <c r="BG34" s="378" t="n"/>
      <c r="BH34" s="142" t="n"/>
      <c r="BI34" s="318" t="n"/>
      <c r="BJ34" s="142" t="n"/>
      <c r="BK34" s="318" t="n"/>
      <c r="BL34" s="142" t="n"/>
      <c r="BM34" s="318" t="n"/>
      <c r="BN34" s="142" t="n"/>
      <c r="BO34" s="318" t="n"/>
      <c r="BP34" s="318" t="n"/>
      <c r="BQ34" s="142" t="n"/>
      <c r="BR34" s="318" t="n"/>
      <c r="BS34" s="142" t="n"/>
      <c r="BT34" s="318" t="n"/>
      <c r="BU34" s="142" t="n"/>
      <c r="BV34" s="318" t="n"/>
      <c r="BW34" s="142" t="n"/>
      <c r="BX34" s="318" t="n"/>
      <c r="BY34" s="142" t="n"/>
      <c r="BZ34" s="318" t="n"/>
      <c r="CA34" s="142" t="n"/>
      <c r="CB34" s="318" t="n"/>
      <c r="CC34" s="142" t="n"/>
      <c r="CD34" s="318" t="n"/>
      <c r="CE34" s="142" t="n"/>
      <c r="CF34" s="318" t="n"/>
      <c r="CG34" s="317" t="n"/>
      <c r="CH34" s="318" t="n"/>
      <c r="CI34" s="317" t="n"/>
      <c r="CJ34" s="318" t="n"/>
      <c r="CK34" s="317" t="n"/>
      <c r="CL34" s="318" t="n"/>
      <c r="CM34" s="317" t="n"/>
      <c r="CN34" s="318" t="n"/>
      <c r="CO34" s="80" t="n"/>
      <c r="CP34" s="318" t="n"/>
      <c r="CQ34" s="80" t="n"/>
      <c r="CR34" s="318" t="n"/>
      <c r="CS34" s="80" t="n"/>
      <c r="CT34" s="318" t="n"/>
      <c r="CU34" s="80" t="n"/>
      <c r="CW34" s="318" t="n"/>
      <c r="CX34" s="142" t="n"/>
      <c r="CY34" s="318" t="n"/>
      <c r="CZ34" s="142" t="n"/>
      <c r="DA34" s="318" t="n"/>
      <c r="DB34" s="142" t="n"/>
      <c r="DC34" s="318" t="n"/>
      <c r="DD34" s="142" t="n"/>
      <c r="DE34" s="379" t="n"/>
      <c r="DF34" s="379" t="n"/>
      <c r="DG34" s="214" t="n"/>
    </row>
    <row r="35">
      <c r="A35" s="376" t="n">
        <v>42613</v>
      </c>
      <c r="B35" s="315" t="n">
        <v>20825.7</v>
      </c>
      <c r="C35" s="111">
        <f>B35/B23-1</f>
        <v/>
      </c>
      <c r="D35" s="111" t="n"/>
      <c r="E35" s="315" t="n">
        <v>12124.9</v>
      </c>
      <c r="F35" s="111">
        <f>E35/E23-1</f>
        <v/>
      </c>
      <c r="G35" s="111" t="n"/>
      <c r="H35" s="315" t="n">
        <v>7934.4</v>
      </c>
      <c r="I35" s="111">
        <f>H35/H23-1</f>
        <v/>
      </c>
      <c r="J35" s="111" t="n"/>
      <c r="K35" s="315" t="n">
        <v>766.5</v>
      </c>
      <c r="L35" s="111">
        <f>K35/K23-1</f>
        <v/>
      </c>
      <c r="M35" s="111" t="n"/>
      <c r="N35" s="315" t="n">
        <v>17624.6</v>
      </c>
      <c r="O35" s="111">
        <f>N35/N23-1</f>
        <v/>
      </c>
      <c r="P35" s="111" t="n"/>
      <c r="Q35" s="315" t="n">
        <v>10334.2</v>
      </c>
      <c r="R35" s="111">
        <f>Q35/Q23-1</f>
        <v/>
      </c>
      <c r="S35" s="111" t="n"/>
      <c r="T35" s="315" t="n">
        <v>6686.4</v>
      </c>
      <c r="U35" s="111">
        <f>T35/T23-1</f>
        <v/>
      </c>
      <c r="V35" s="111" t="n"/>
      <c r="W35" s="315" t="n">
        <v>604</v>
      </c>
      <c r="X35" s="111">
        <f>W35/W23-1</f>
        <v/>
      </c>
      <c r="Y35" s="111" t="n"/>
      <c r="Z35" s="315" t="n">
        <v>8845.700000000001</v>
      </c>
      <c r="AA35" s="111">
        <f>Z35/Z23-1</f>
        <v/>
      </c>
      <c r="AB35" s="111" t="n"/>
      <c r="AC35" s="315" t="n">
        <v>7111.8</v>
      </c>
      <c r="AD35" s="111">
        <f>AC35/AC23-1</f>
        <v/>
      </c>
      <c r="AE35" s="111" t="n"/>
      <c r="AF35" s="315" t="n">
        <v>1343.7</v>
      </c>
      <c r="AG35" s="111">
        <f>AF35/AF23-1</f>
        <v/>
      </c>
      <c r="AH35" s="111" t="n"/>
      <c r="AI35" s="315" t="n">
        <v>390.3</v>
      </c>
      <c r="AJ35" s="111">
        <f>AI35/AI23-1</f>
        <v/>
      </c>
      <c r="AK35" s="111" t="n"/>
      <c r="AL35" s="316" t="n">
        <v>84.59999999999999</v>
      </c>
      <c r="AM35" s="380">
        <f>AL35-AL23</f>
        <v/>
      </c>
      <c r="AN35" s="111" t="n"/>
      <c r="AO35" s="316" t="n">
        <v>85.2</v>
      </c>
      <c r="AP35" s="380">
        <f>AO35-AO23</f>
        <v/>
      </c>
      <c r="AQ35" s="111" t="n"/>
      <c r="AR35" s="316" t="n">
        <v>84.3</v>
      </c>
      <c r="AS35" s="380">
        <f>AR35-AR23</f>
        <v/>
      </c>
      <c r="AT35" s="111" t="n"/>
      <c r="AU35" s="316" t="n">
        <v>78.8</v>
      </c>
      <c r="AV35" s="380">
        <f>AU35-AU23</f>
        <v/>
      </c>
      <c r="AW35" s="111" t="n"/>
      <c r="AX35" s="377" t="n">
        <v>607</v>
      </c>
      <c r="AY35" s="111">
        <f>AX35/AX23-1</f>
        <v/>
      </c>
      <c r="AZ35" s="111" t="n"/>
      <c r="BA35" s="378" t="n"/>
      <c r="BB35" s="142" t="n"/>
      <c r="BC35" s="378" t="n"/>
      <c r="BD35" s="142" t="n"/>
      <c r="BE35" s="378" t="n"/>
      <c r="BF35" s="142" t="n"/>
      <c r="BG35" s="378" t="n"/>
      <c r="BH35" s="142" t="n"/>
      <c r="BI35" s="318" t="n"/>
      <c r="BJ35" s="142" t="n"/>
      <c r="BK35" s="318" t="n"/>
      <c r="BL35" s="142" t="n"/>
      <c r="BM35" s="318" t="n"/>
      <c r="BN35" s="142" t="n"/>
      <c r="BO35" s="318" t="n"/>
      <c r="BP35" s="318" t="n"/>
      <c r="BQ35" s="142" t="n"/>
      <c r="BR35" s="318" t="n"/>
      <c r="BS35" s="142" t="n"/>
      <c r="BT35" s="318" t="n"/>
      <c r="BU35" s="142" t="n"/>
      <c r="BV35" s="318" t="n"/>
      <c r="BW35" s="142" t="n"/>
      <c r="BX35" s="318" t="n"/>
      <c r="BY35" s="142" t="n"/>
      <c r="BZ35" s="318" t="n"/>
      <c r="CA35" s="142" t="n"/>
      <c r="CB35" s="318" t="n"/>
      <c r="CC35" s="142" t="n"/>
      <c r="CD35" s="318" t="n"/>
      <c r="CE35" s="142" t="n"/>
      <c r="CF35" s="318" t="n"/>
      <c r="CG35" s="317" t="n"/>
      <c r="CH35" s="318" t="n"/>
      <c r="CI35" s="317" t="n"/>
      <c r="CJ35" s="318" t="n"/>
      <c r="CK35" s="317" t="n"/>
      <c r="CL35" s="318" t="n"/>
      <c r="CM35" s="317" t="n"/>
      <c r="CN35" s="318" t="n"/>
      <c r="CO35" s="80" t="n"/>
      <c r="CP35" s="318" t="n"/>
      <c r="CQ35" s="80" t="n"/>
      <c r="CR35" s="318" t="n"/>
      <c r="CS35" s="80" t="n"/>
      <c r="CT35" s="318" t="n"/>
      <c r="CU35" s="80" t="n"/>
      <c r="CW35" s="318" t="n"/>
      <c r="CX35" s="142" t="n"/>
      <c r="CY35" s="318" t="n"/>
      <c r="CZ35" s="142" t="n"/>
      <c r="DA35" s="318" t="n"/>
      <c r="DB35" s="142" t="n"/>
      <c r="DC35" s="318" t="n"/>
      <c r="DD35" s="142" t="n"/>
      <c r="DE35" s="379" t="n"/>
      <c r="DF35" s="379" t="n"/>
      <c r="DG35" s="214" t="n"/>
    </row>
    <row r="36">
      <c r="A36" s="376" t="n">
        <v>42643</v>
      </c>
      <c r="B36" s="315" t="n">
        <v>19690.4</v>
      </c>
      <c r="C36" s="111">
        <f>B36/B24-1</f>
        <v/>
      </c>
      <c r="D36" s="111" t="n"/>
      <c r="E36" s="315" t="n">
        <v>11634.6</v>
      </c>
      <c r="F36" s="111">
        <f>E36/E24-1</f>
        <v/>
      </c>
      <c r="G36" s="111" t="n"/>
      <c r="H36" s="315" t="n">
        <v>7340.2</v>
      </c>
      <c r="I36" s="111">
        <f>H36/H24-1</f>
        <v/>
      </c>
      <c r="J36" s="111" t="n"/>
      <c r="K36" s="315" t="n">
        <v>715.6</v>
      </c>
      <c r="L36" s="111">
        <f>K36/K24-1</f>
        <v/>
      </c>
      <c r="M36" s="111" t="n"/>
      <c r="N36" s="315" t="n">
        <v>15972.7</v>
      </c>
      <c r="O36" s="111">
        <f>N36/N24-1</f>
        <v/>
      </c>
      <c r="P36" s="111" t="n"/>
      <c r="Q36" s="315" t="n">
        <v>9802.1</v>
      </c>
      <c r="R36" s="111">
        <f>Q36/Q24-1</f>
        <v/>
      </c>
      <c r="S36" s="111" t="n"/>
      <c r="T36" s="315" t="n">
        <v>5649.4</v>
      </c>
      <c r="U36" s="111">
        <f>T36/T24-1</f>
        <v/>
      </c>
      <c r="V36" s="111" t="n"/>
      <c r="W36" s="315" t="n">
        <v>521.2</v>
      </c>
      <c r="X36" s="111">
        <f>W36/W24-1</f>
        <v/>
      </c>
      <c r="Y36" s="111" t="n"/>
      <c r="Z36" s="315" t="n">
        <v>8179.9</v>
      </c>
      <c r="AA36" s="111">
        <f>Z36/Z24-1</f>
        <v/>
      </c>
      <c r="AB36" s="111" t="n"/>
      <c r="AC36" s="315" t="n">
        <v>6728</v>
      </c>
      <c r="AD36" s="111">
        <f>AC36/AC24-1</f>
        <v/>
      </c>
      <c r="AE36" s="111" t="n"/>
      <c r="AF36" s="315" t="n">
        <v>1120.8</v>
      </c>
      <c r="AG36" s="111">
        <f>AF36/AF24-1</f>
        <v/>
      </c>
      <c r="AH36" s="111" t="n"/>
      <c r="AI36" s="315" t="n">
        <v>331.2</v>
      </c>
      <c r="AJ36" s="111">
        <f>AI36/AI24-1</f>
        <v/>
      </c>
      <c r="AK36" s="111" t="n"/>
      <c r="AL36" s="316" t="n">
        <v>81.09999999999999</v>
      </c>
      <c r="AM36" s="380">
        <f>AL36-AL24</f>
        <v/>
      </c>
      <c r="AN36" s="111" t="n"/>
      <c r="AO36" s="316" t="n">
        <v>84.2</v>
      </c>
      <c r="AP36" s="380">
        <f>AO36-AO24</f>
        <v/>
      </c>
      <c r="AQ36" s="111" t="n"/>
      <c r="AR36" s="316" t="n">
        <v>77</v>
      </c>
      <c r="AS36" s="380">
        <f>AR36-AR24</f>
        <v/>
      </c>
      <c r="AT36" s="111" t="n"/>
      <c r="AU36" s="316" t="n">
        <v>72.8</v>
      </c>
      <c r="AV36" s="380">
        <f>AU36-AU24</f>
        <v/>
      </c>
      <c r="AW36" s="111" t="n"/>
      <c r="AX36" s="377" t="n">
        <v>613</v>
      </c>
      <c r="AY36" s="111">
        <f>AX36/AX24-1</f>
        <v/>
      </c>
      <c r="AZ36" s="111" t="n"/>
      <c r="BA36" s="378" t="n"/>
      <c r="BB36" s="142" t="n"/>
      <c r="BC36" s="378" t="n"/>
      <c r="BD36" s="142" t="n"/>
      <c r="BE36" s="378" t="n"/>
      <c r="BF36" s="142" t="n"/>
      <c r="BG36" s="378" t="n"/>
      <c r="BH36" s="142" t="n"/>
      <c r="BI36" s="318" t="n"/>
      <c r="BJ36" s="142" t="n"/>
      <c r="BK36" s="318" t="n"/>
      <c r="BL36" s="142" t="n"/>
      <c r="BM36" s="318" t="n"/>
      <c r="BN36" s="142" t="n"/>
      <c r="BO36" s="318" t="n"/>
      <c r="BP36" s="318" t="n"/>
      <c r="BQ36" s="142" t="n"/>
      <c r="BR36" s="318" t="n"/>
      <c r="BS36" s="142" t="n"/>
      <c r="BT36" s="318" t="n"/>
      <c r="BU36" s="142" t="n"/>
      <c r="BV36" s="318" t="n"/>
      <c r="BW36" s="142" t="n"/>
      <c r="BX36" s="318" t="n"/>
      <c r="BY36" s="142" t="n"/>
      <c r="BZ36" s="318" t="n"/>
      <c r="CA36" s="142" t="n"/>
      <c r="CB36" s="318" t="n"/>
      <c r="CC36" s="142" t="n"/>
      <c r="CD36" s="318" t="n"/>
      <c r="CE36" s="142" t="n"/>
      <c r="CF36" s="318" t="n"/>
      <c r="CG36" s="317" t="n"/>
      <c r="CH36" s="318" t="n"/>
      <c r="CI36" s="317" t="n"/>
      <c r="CJ36" s="318" t="n"/>
      <c r="CK36" s="317" t="n"/>
      <c r="CL36" s="318" t="n"/>
      <c r="CM36" s="317" t="n"/>
      <c r="CN36" s="318" t="n"/>
      <c r="CO36" s="80" t="n"/>
      <c r="CP36" s="318" t="n"/>
      <c r="CQ36" s="80" t="n"/>
      <c r="CR36" s="318" t="n"/>
      <c r="CS36" s="80" t="n"/>
      <c r="CT36" s="318" t="n"/>
      <c r="CU36" s="80" t="n"/>
      <c r="CW36" s="318" t="n"/>
      <c r="CX36" s="142" t="n"/>
      <c r="CY36" s="318" t="n"/>
      <c r="CZ36" s="142" t="n"/>
      <c r="DA36" s="318" t="n"/>
      <c r="DB36" s="142" t="n"/>
      <c r="DC36" s="318" t="n"/>
      <c r="DD36" s="142" t="n"/>
      <c r="DE36" s="379" t="n"/>
      <c r="DF36" s="379" t="n"/>
      <c r="DG36" s="214" t="n"/>
    </row>
    <row r="37">
      <c r="A37" s="376" t="n">
        <v>42674</v>
      </c>
      <c r="B37" s="315" t="n">
        <v>20166.8</v>
      </c>
      <c r="C37" s="111">
        <f>B37/B25-1</f>
        <v/>
      </c>
      <c r="D37" s="111" t="n"/>
      <c r="E37" s="315" t="n">
        <v>12118.7</v>
      </c>
      <c r="F37" s="111">
        <f>E37/E25-1</f>
        <v/>
      </c>
      <c r="G37" s="111" t="n"/>
      <c r="H37" s="315" t="n">
        <v>7296.1</v>
      </c>
      <c r="I37" s="111">
        <f>H37/H25-1</f>
        <v/>
      </c>
      <c r="J37" s="111" t="n"/>
      <c r="K37" s="315" t="n">
        <v>752</v>
      </c>
      <c r="L37" s="111">
        <f>K37/K25-1</f>
        <v/>
      </c>
      <c r="M37" s="111" t="n"/>
      <c r="N37" s="315" t="n">
        <v>16421.1</v>
      </c>
      <c r="O37" s="111">
        <f>N37/N25-1</f>
        <v/>
      </c>
      <c r="P37" s="111" t="n"/>
      <c r="Q37" s="315" t="n">
        <v>10355.1</v>
      </c>
      <c r="R37" s="111">
        <f>Q37/Q25-1</f>
        <v/>
      </c>
      <c r="S37" s="111" t="n"/>
      <c r="T37" s="315" t="n">
        <v>5519.1</v>
      </c>
      <c r="U37" s="111">
        <f>T37/T25-1</f>
        <v/>
      </c>
      <c r="V37" s="111" t="n"/>
      <c r="W37" s="315" t="n">
        <v>546.9</v>
      </c>
      <c r="X37" s="111">
        <f>W37/W25-1</f>
        <v/>
      </c>
      <c r="Y37" s="111" t="n"/>
      <c r="Z37" s="315" t="n">
        <v>8523.9</v>
      </c>
      <c r="AA37" s="111">
        <f>Z37/Z25-1</f>
        <v/>
      </c>
      <c r="AB37" s="111" t="n"/>
      <c r="AC37" s="315" t="n">
        <v>7091.3</v>
      </c>
      <c r="AD37" s="111">
        <f>AC37/AC25-1</f>
        <v/>
      </c>
      <c r="AE37" s="111" t="n"/>
      <c r="AF37" s="315" t="n">
        <v>1084.4</v>
      </c>
      <c r="AG37" s="111">
        <f>AF37/AF25-1</f>
        <v/>
      </c>
      <c r="AH37" s="111" t="n"/>
      <c r="AI37" s="315" t="n">
        <v>348.3</v>
      </c>
      <c r="AJ37" s="111">
        <f>AI37/AI25-1</f>
        <v/>
      </c>
      <c r="AK37" s="111" t="n"/>
      <c r="AL37" s="316" t="n">
        <v>81.40000000000001</v>
      </c>
      <c r="AM37" s="380">
        <f>AL37-AL25</f>
        <v/>
      </c>
      <c r="AN37" s="111" t="n"/>
      <c r="AO37" s="316" t="n">
        <v>85.40000000000001</v>
      </c>
      <c r="AP37" s="380">
        <f>AO37-AO25</f>
        <v/>
      </c>
      <c r="AQ37" s="111" t="n"/>
      <c r="AR37" s="316" t="n">
        <v>75.59999999999999</v>
      </c>
      <c r="AS37" s="380">
        <f>AR37-AR25</f>
        <v/>
      </c>
      <c r="AT37" s="111" t="n"/>
      <c r="AU37" s="316" t="n">
        <v>72.7</v>
      </c>
      <c r="AV37" s="380">
        <f>AU37-AU25</f>
        <v/>
      </c>
      <c r="AW37" s="111" t="n"/>
      <c r="AX37" s="377" t="n">
        <v>616</v>
      </c>
      <c r="AY37" s="111">
        <f>AX37/AX25-1</f>
        <v/>
      </c>
      <c r="AZ37" s="111" t="n"/>
      <c r="BA37" s="378" t="n"/>
      <c r="BB37" s="142" t="n"/>
      <c r="BC37" s="378" t="n"/>
      <c r="BD37" s="142" t="n"/>
      <c r="BE37" s="378" t="n"/>
      <c r="BF37" s="142" t="n"/>
      <c r="BG37" s="378" t="n"/>
      <c r="BH37" s="142" t="n"/>
      <c r="BI37" s="318" t="n"/>
      <c r="BJ37" s="142" t="n"/>
      <c r="BK37" s="318" t="n"/>
      <c r="BL37" s="142" t="n"/>
      <c r="BM37" s="318" t="n"/>
      <c r="BN37" s="142" t="n"/>
      <c r="BO37" s="318" t="n"/>
      <c r="BP37" s="318" t="n"/>
      <c r="BQ37" s="142" t="n"/>
      <c r="BR37" s="318" t="n"/>
      <c r="BS37" s="142" t="n"/>
      <c r="BT37" s="318" t="n"/>
      <c r="BU37" s="142" t="n"/>
      <c r="BV37" s="318" t="n"/>
      <c r="BW37" s="142" t="n"/>
      <c r="BX37" s="318" t="n"/>
      <c r="BY37" s="142" t="n"/>
      <c r="BZ37" s="318" t="n"/>
      <c r="CA37" s="142" t="n"/>
      <c r="CB37" s="318" t="n"/>
      <c r="CC37" s="142" t="n"/>
      <c r="CD37" s="318" t="n"/>
      <c r="CE37" s="142" t="n"/>
      <c r="CF37" s="318" t="n"/>
      <c r="CG37" s="317" t="n"/>
      <c r="CH37" s="318" t="n"/>
      <c r="CI37" s="317" t="n"/>
      <c r="CJ37" s="318" t="n"/>
      <c r="CK37" s="317" t="n"/>
      <c r="CL37" s="318" t="n"/>
      <c r="CM37" s="317" t="n"/>
      <c r="CN37" s="318" t="n"/>
      <c r="CO37" s="80" t="n"/>
      <c r="CP37" s="318" t="n"/>
      <c r="CQ37" s="80" t="n"/>
      <c r="CR37" s="318" t="n"/>
      <c r="CS37" s="80" t="n"/>
      <c r="CT37" s="318" t="n"/>
      <c r="CU37" s="80" t="n"/>
      <c r="CW37" s="318" t="n"/>
      <c r="CX37" s="142" t="n"/>
      <c r="CY37" s="318" t="n"/>
      <c r="CZ37" s="142" t="n"/>
      <c r="DA37" s="318" t="n"/>
      <c r="DB37" s="142" t="n"/>
      <c r="DC37" s="318" t="n"/>
      <c r="DD37" s="142" t="n"/>
      <c r="DE37" s="379" t="n"/>
      <c r="DF37" s="379" t="n"/>
      <c r="DG37" s="214" t="n"/>
    </row>
    <row r="38">
      <c r="A38" s="376" t="n">
        <v>42704</v>
      </c>
      <c r="B38" s="315" t="n">
        <v>18795.6</v>
      </c>
      <c r="C38" s="111">
        <f>B38/B26-1</f>
        <v/>
      </c>
      <c r="D38" s="111" t="n"/>
      <c r="E38" s="315" t="n">
        <v>11554.3</v>
      </c>
      <c r="F38" s="111">
        <f>E38/E26-1</f>
        <v/>
      </c>
      <c r="G38" s="111" t="n"/>
      <c r="H38" s="315" t="n">
        <v>6516.8</v>
      </c>
      <c r="I38" s="111">
        <f>H38/H26-1</f>
        <v/>
      </c>
      <c r="J38" s="111" t="n"/>
      <c r="K38" s="315" t="n">
        <v>724.5</v>
      </c>
      <c r="L38" s="111">
        <f>K38/K26-1</f>
        <v/>
      </c>
      <c r="M38" s="111" t="n"/>
      <c r="N38" s="315" t="n">
        <v>14976.5</v>
      </c>
      <c r="O38" s="111">
        <f>N38/N26-1</f>
        <v/>
      </c>
      <c r="P38" s="111" t="n"/>
      <c r="Q38" s="315" t="n">
        <v>9509.9</v>
      </c>
      <c r="R38" s="111">
        <f>Q38/Q26-1</f>
        <v/>
      </c>
      <c r="S38" s="111" t="n"/>
      <c r="T38" s="315" t="n">
        <v>4936.7</v>
      </c>
      <c r="U38" s="111">
        <f>T38/T26-1</f>
        <v/>
      </c>
      <c r="V38" s="111" t="n"/>
      <c r="W38" s="315" t="n">
        <v>529.9</v>
      </c>
      <c r="X38" s="111">
        <f>W38/W26-1</f>
        <v/>
      </c>
      <c r="Y38" s="111" t="n"/>
      <c r="Z38" s="315" t="n">
        <v>7736.7</v>
      </c>
      <c r="AA38" s="111">
        <f>Z38/Z26-1</f>
        <v/>
      </c>
      <c r="AB38" s="111" t="n"/>
      <c r="AC38" s="315" t="n">
        <v>6440</v>
      </c>
      <c r="AD38" s="111">
        <f>AC38/AC26-1</f>
        <v/>
      </c>
      <c r="AE38" s="111" t="n"/>
      <c r="AF38" s="315" t="n">
        <v>962.8</v>
      </c>
      <c r="AG38" s="111">
        <f>AF38/AF26-1</f>
        <v/>
      </c>
      <c r="AH38" s="111" t="n"/>
      <c r="AI38" s="315" t="n">
        <v>333.9</v>
      </c>
      <c r="AJ38" s="111">
        <f>AI38/AI26-1</f>
        <v/>
      </c>
      <c r="AK38" s="111" t="n"/>
      <c r="AL38" s="316" t="n">
        <v>79.7</v>
      </c>
      <c r="AM38" s="380">
        <f>AL38-AL26</f>
        <v/>
      </c>
      <c r="AN38" s="111" t="n"/>
      <c r="AO38" s="316" t="n">
        <v>82.3</v>
      </c>
      <c r="AP38" s="380">
        <f>AO38-AO26</f>
        <v/>
      </c>
      <c r="AQ38" s="111" t="n"/>
      <c r="AR38" s="316" t="n">
        <v>75.8</v>
      </c>
      <c r="AS38" s="380">
        <f>AR38-AR26</f>
        <v/>
      </c>
      <c r="AT38" s="111" t="n"/>
      <c r="AU38" s="316" t="n">
        <v>73.09999999999999</v>
      </c>
      <c r="AV38" s="380">
        <f>AU38-AU26</f>
        <v/>
      </c>
      <c r="AW38" s="111" t="n"/>
      <c r="AX38" s="377" t="n">
        <v>622</v>
      </c>
      <c r="AY38" s="111">
        <f>AX38/AX26-1</f>
        <v/>
      </c>
      <c r="AZ38" s="111" t="n"/>
      <c r="BA38" s="378" t="n"/>
      <c r="BB38" s="142" t="n"/>
      <c r="BC38" s="378" t="n"/>
      <c r="BD38" s="142" t="n"/>
      <c r="BE38" s="378" t="n"/>
      <c r="BF38" s="142" t="n"/>
      <c r="BG38" s="378" t="n"/>
      <c r="BH38" s="142" t="n"/>
      <c r="BI38" s="318" t="n"/>
      <c r="BJ38" s="142" t="n"/>
      <c r="BK38" s="318" t="n"/>
      <c r="BL38" s="142" t="n"/>
      <c r="BM38" s="318" t="n"/>
      <c r="BN38" s="142" t="n"/>
      <c r="BO38" s="318" t="n"/>
      <c r="BP38" s="318" t="n"/>
      <c r="BQ38" s="142" t="n"/>
      <c r="BR38" s="318" t="n"/>
      <c r="BS38" s="142" t="n"/>
      <c r="BT38" s="318" t="n"/>
      <c r="BU38" s="142" t="n"/>
      <c r="BV38" s="318" t="n"/>
      <c r="BW38" s="142" t="n"/>
      <c r="BX38" s="318" t="n"/>
      <c r="BY38" s="142" t="n"/>
      <c r="BZ38" s="318" t="n"/>
      <c r="CA38" s="142" t="n"/>
      <c r="CB38" s="318" t="n"/>
      <c r="CC38" s="142" t="n"/>
      <c r="CD38" s="318" t="n"/>
      <c r="CE38" s="142" t="n"/>
      <c r="CF38" s="318" t="n"/>
      <c r="CG38" s="317" t="n"/>
      <c r="CH38" s="318" t="n"/>
      <c r="CI38" s="317" t="n"/>
      <c r="CJ38" s="318" t="n"/>
      <c r="CK38" s="317" t="n"/>
      <c r="CL38" s="318" t="n"/>
      <c r="CM38" s="317" t="n"/>
      <c r="CN38" s="318" t="n"/>
      <c r="CO38" s="80" t="n"/>
      <c r="CP38" s="318" t="n"/>
      <c r="CQ38" s="80" t="n"/>
      <c r="CR38" s="318" t="n"/>
      <c r="CS38" s="80" t="n"/>
      <c r="CT38" s="318" t="n"/>
      <c r="CU38" s="80" t="n"/>
      <c r="CW38" s="318" t="n"/>
      <c r="CX38" s="142" t="n"/>
      <c r="CY38" s="318" t="n"/>
      <c r="CZ38" s="142" t="n"/>
      <c r="DA38" s="318" t="n"/>
      <c r="DB38" s="142" t="n"/>
      <c r="DC38" s="318" t="n"/>
      <c r="DD38" s="142" t="n"/>
      <c r="DE38" s="379" t="n"/>
      <c r="DF38" s="379" t="n"/>
      <c r="DG38" s="214" t="n"/>
    </row>
    <row r="39">
      <c r="A39" s="376" t="n">
        <v>42735</v>
      </c>
      <c r="B39" s="315" t="n">
        <v>19746.7</v>
      </c>
      <c r="C39" s="111">
        <f>B39/B27-1</f>
        <v/>
      </c>
      <c r="D39" s="111" t="n"/>
      <c r="E39" s="315" t="n">
        <v>11873</v>
      </c>
      <c r="F39" s="111">
        <f>E39/E27-1</f>
        <v/>
      </c>
      <c r="G39" s="111" t="n"/>
      <c r="H39" s="315" t="n">
        <v>7114.6</v>
      </c>
      <c r="I39" s="111">
        <f>H39/H27-1</f>
        <v/>
      </c>
      <c r="J39" s="111" t="n"/>
      <c r="K39" s="315" t="n">
        <v>759.1</v>
      </c>
      <c r="L39" s="111">
        <f>K39/K27-1</f>
        <v/>
      </c>
      <c r="M39" s="111" t="n"/>
      <c r="N39" s="315" t="n">
        <v>15688.9</v>
      </c>
      <c r="O39" s="111">
        <f>N39/N27-1</f>
        <v/>
      </c>
      <c r="P39" s="111" t="n"/>
      <c r="Q39" s="315" t="n">
        <v>9608.5</v>
      </c>
      <c r="R39" s="111">
        <f>Q39/Q27-1</f>
        <v/>
      </c>
      <c r="S39" s="111" t="n"/>
      <c r="T39" s="315" t="n">
        <v>5505.9</v>
      </c>
      <c r="U39" s="111">
        <f>T39/T27-1</f>
        <v/>
      </c>
      <c r="V39" s="111" t="n"/>
      <c r="W39" s="315" t="n">
        <v>574.5</v>
      </c>
      <c r="X39" s="111">
        <f>W39/W27-1</f>
        <v/>
      </c>
      <c r="Y39" s="111" t="n"/>
      <c r="Z39" s="315" t="n">
        <v>7908.8</v>
      </c>
      <c r="AA39" s="111">
        <f>Z39/Z27-1</f>
        <v/>
      </c>
      <c r="AB39" s="111" t="n"/>
      <c r="AC39" s="315" t="n">
        <v>6468.5</v>
      </c>
      <c r="AD39" s="111">
        <f>AC39/AC27-1</f>
        <v/>
      </c>
      <c r="AE39" s="111" t="n"/>
      <c r="AF39" s="315" t="n">
        <v>1075.2</v>
      </c>
      <c r="AG39" s="111">
        <f>AF39/AF27-1</f>
        <v/>
      </c>
      <c r="AH39" s="111" t="n"/>
      <c r="AI39" s="315" t="n">
        <v>365.1</v>
      </c>
      <c r="AJ39" s="111">
        <f>AI39/AI27-1</f>
        <v/>
      </c>
      <c r="AK39" s="111" t="n"/>
      <c r="AL39" s="316" t="n">
        <v>79.5</v>
      </c>
      <c r="AM39" s="380">
        <f>AL39-AL27</f>
        <v/>
      </c>
      <c r="AN39" s="111" t="n"/>
      <c r="AO39" s="316" t="n">
        <v>80.90000000000001</v>
      </c>
      <c r="AP39" s="380">
        <f>AO39-AO27</f>
        <v/>
      </c>
      <c r="AQ39" s="111" t="n"/>
      <c r="AR39" s="316" t="n">
        <v>77.40000000000001</v>
      </c>
      <c r="AS39" s="380">
        <f>AR39-AR27</f>
        <v/>
      </c>
      <c r="AT39" s="111" t="n"/>
      <c r="AU39" s="316" t="n">
        <v>75.7</v>
      </c>
      <c r="AV39" s="380">
        <f>AU39-AU27</f>
        <v/>
      </c>
      <c r="AW39" s="111" t="n"/>
      <c r="AX39" s="377" t="n">
        <v>625</v>
      </c>
      <c r="AY39" s="111">
        <f>AX39/AX27-1</f>
        <v/>
      </c>
      <c r="AZ39" s="111" t="n"/>
      <c r="BA39" s="378" t="n"/>
      <c r="BB39" s="142" t="n"/>
      <c r="BC39" s="378" t="n"/>
      <c r="BD39" s="142" t="n"/>
      <c r="BE39" s="378" t="n"/>
      <c r="BF39" s="142" t="n"/>
      <c r="BG39" s="378" t="n"/>
      <c r="BH39" s="142" t="n"/>
      <c r="BI39" s="318" t="n"/>
      <c r="BJ39" s="142" t="n"/>
      <c r="BK39" s="318" t="n"/>
      <c r="BL39" s="142" t="n"/>
      <c r="BM39" s="318" t="n"/>
      <c r="BN39" s="142" t="n"/>
      <c r="BO39" s="318" t="n"/>
      <c r="BP39" s="318" t="n"/>
      <c r="BQ39" s="142" t="n"/>
      <c r="BR39" s="318" t="n"/>
      <c r="BS39" s="142" t="n"/>
      <c r="BT39" s="318" t="n"/>
      <c r="BU39" s="142" t="n"/>
      <c r="BV39" s="318" t="n"/>
      <c r="BW39" s="142" t="n"/>
      <c r="BX39" s="318" t="n"/>
      <c r="BY39" s="142" t="n"/>
      <c r="BZ39" s="318" t="n"/>
      <c r="CA39" s="142" t="n"/>
      <c r="CB39" s="318" t="n"/>
      <c r="CC39" s="142" t="n"/>
      <c r="CD39" s="318" t="n"/>
      <c r="CE39" s="142" t="n"/>
      <c r="CF39" s="318" t="n"/>
      <c r="CG39" s="317" t="n"/>
      <c r="CH39" s="318" t="n"/>
      <c r="CI39" s="317" t="n"/>
      <c r="CJ39" s="318" t="n"/>
      <c r="CK39" s="317" t="n"/>
      <c r="CL39" s="318" t="n"/>
      <c r="CM39" s="317" t="n"/>
      <c r="CN39" s="318" t="n"/>
      <c r="CO39" s="80" t="n"/>
      <c r="CP39" s="318" t="n"/>
      <c r="CQ39" s="80" t="n"/>
      <c r="CR39" s="318" t="n"/>
      <c r="CS39" s="80" t="n"/>
      <c r="CT39" s="318" t="n"/>
      <c r="CU39" s="80" t="n"/>
      <c r="CW39" s="318" t="n"/>
      <c r="CX39" s="142" t="n"/>
      <c r="CY39" s="318" t="n"/>
      <c r="CZ39" s="142" t="n"/>
      <c r="DA39" s="318" t="n"/>
      <c r="DB39" s="142" t="n"/>
      <c r="DC39" s="318" t="n"/>
      <c r="DD39" s="142" t="n"/>
      <c r="DE39" s="379" t="n"/>
      <c r="DF39" s="379" t="n"/>
      <c r="DG39" s="214" t="n"/>
    </row>
    <row r="40" ht="13" customFormat="1" customHeight="1" s="200">
      <c r="A40" s="371" t="n">
        <v>42766</v>
      </c>
      <c r="B40" s="381" t="n">
        <v>20556.7</v>
      </c>
      <c r="C40" s="111">
        <f>B40/B28-1</f>
        <v/>
      </c>
      <c r="D40" s="111" t="n"/>
      <c r="E40" s="381" t="n">
        <v>12370.3</v>
      </c>
      <c r="F40" s="111">
        <f>E40/E28-1</f>
        <v/>
      </c>
      <c r="G40" s="111" t="n"/>
      <c r="H40" s="381" t="n">
        <v>7392.8</v>
      </c>
      <c r="I40" s="111">
        <f>H40/H28-1</f>
        <v/>
      </c>
      <c r="J40" s="111" t="n"/>
      <c r="K40" s="381" t="n">
        <v>793.5</v>
      </c>
      <c r="L40" s="111">
        <f>K40/K28-1</f>
        <v/>
      </c>
      <c r="M40" s="111" t="n"/>
      <c r="N40" s="381" t="n">
        <v>16803.9</v>
      </c>
      <c r="O40" s="111">
        <f>N40/N28-1</f>
        <v/>
      </c>
      <c r="P40" s="111" t="n"/>
      <c r="Q40" s="381" t="n">
        <v>10186.2</v>
      </c>
      <c r="R40" s="111">
        <f>Q40/Q28-1</f>
        <v/>
      </c>
      <c r="S40" s="111" t="n"/>
      <c r="T40" s="381" t="n">
        <v>6012.7</v>
      </c>
      <c r="U40" s="111">
        <f>T40/T28-1</f>
        <v/>
      </c>
      <c r="V40" s="111" t="n"/>
      <c r="W40" s="381" t="n">
        <v>605</v>
      </c>
      <c r="X40" s="111">
        <f>W40/W28-1</f>
        <v/>
      </c>
      <c r="Y40" s="111" t="n"/>
      <c r="Z40" s="381" t="n">
        <v>8411.200000000001</v>
      </c>
      <c r="AA40" s="111">
        <f>Z40/Z28-1</f>
        <v/>
      </c>
      <c r="AB40" s="111" t="n"/>
      <c r="AC40" s="381" t="n">
        <v>6838.5</v>
      </c>
      <c r="AD40" s="111">
        <f>AC40/AC28-1</f>
        <v/>
      </c>
      <c r="AE40" s="111" t="n"/>
      <c r="AF40" s="381" t="n">
        <v>1191.7</v>
      </c>
      <c r="AG40" s="111">
        <f>AF40/AF28-1</f>
        <v/>
      </c>
      <c r="AH40" s="111" t="n"/>
      <c r="AI40" s="381" t="n">
        <v>381</v>
      </c>
      <c r="AJ40" s="111">
        <f>AI40/AI28-1</f>
        <v/>
      </c>
      <c r="AK40" s="111" t="n"/>
      <c r="AL40" s="382" t="n">
        <v>81.7</v>
      </c>
      <c r="AM40" s="380">
        <f>AL40-AL28</f>
        <v/>
      </c>
      <c r="AN40" s="111" t="n"/>
      <c r="AO40" s="382" t="n">
        <v>82.3</v>
      </c>
      <c r="AP40" s="380">
        <f>AO40-AO28</f>
        <v/>
      </c>
      <c r="AQ40" s="111" t="n"/>
      <c r="AR40" s="382" t="n">
        <v>81.3</v>
      </c>
      <c r="AS40" s="380">
        <f>AR40-AR28</f>
        <v/>
      </c>
      <c r="AT40" s="111" t="n"/>
      <c r="AU40" s="382" t="n">
        <v>76.2</v>
      </c>
      <c r="AV40" s="380">
        <f>AU40-AU28</f>
        <v/>
      </c>
      <c r="AW40" s="111" t="n"/>
      <c r="AX40" s="383" t="n">
        <v>624</v>
      </c>
      <c r="AY40" s="111">
        <f>AX40/AX28-1</f>
        <v/>
      </c>
      <c r="AZ40" s="111" t="n"/>
      <c r="BA40" s="381" t="n"/>
      <c r="BB40" s="142" t="n"/>
      <c r="BC40" s="381" t="n"/>
      <c r="BD40" s="217" t="n"/>
      <c r="BE40" s="381" t="n"/>
      <c r="BF40" s="217" t="n"/>
      <c r="BG40" s="381" t="n"/>
      <c r="BH40" s="217" t="n"/>
      <c r="BI40" s="381" t="n"/>
      <c r="BJ40" s="217" t="n"/>
      <c r="BK40" s="381" t="n"/>
      <c r="BL40" s="217" t="n"/>
      <c r="BM40" s="381" t="n"/>
      <c r="BN40" s="217" t="n"/>
      <c r="BO40" s="381" t="n"/>
      <c r="BP40" s="381" t="n"/>
      <c r="BQ40" s="217" t="n"/>
      <c r="BR40" s="381" t="n"/>
      <c r="BS40" s="217" t="n"/>
      <c r="BT40" s="381" t="n"/>
      <c r="BU40" s="217" t="n"/>
      <c r="BV40" s="381" t="n"/>
      <c r="BW40" s="217" t="n"/>
      <c r="BX40" s="381" t="n"/>
      <c r="BY40" s="217" t="n"/>
      <c r="BZ40" s="381" t="n"/>
      <c r="CA40" s="217" t="n"/>
      <c r="CB40" s="381" t="n"/>
      <c r="CC40" s="217" t="n"/>
      <c r="CD40" s="381" t="n"/>
      <c r="CE40" s="217" t="n"/>
      <c r="CF40" s="381" t="n"/>
      <c r="CG40" s="381" t="n"/>
      <c r="CH40" s="381" t="n"/>
      <c r="CI40" s="381" t="n"/>
      <c r="CJ40" s="381" t="n"/>
      <c r="CK40" s="381" t="n"/>
      <c r="CL40" s="381" t="n"/>
      <c r="CM40" s="381" t="n"/>
      <c r="CN40" s="381" t="n"/>
      <c r="CO40" s="218" t="n"/>
      <c r="CP40" s="381" t="n"/>
      <c r="CQ40" s="218" t="n"/>
      <c r="CR40" s="381" t="n"/>
      <c r="CS40" s="218" t="n"/>
      <c r="CT40" s="381" t="n"/>
      <c r="CU40" s="218" t="n"/>
      <c r="CW40" s="381" t="n"/>
      <c r="CX40" s="217" t="n"/>
      <c r="CY40" s="381" t="n"/>
      <c r="CZ40" s="217" t="n"/>
      <c r="DA40" s="381" t="n"/>
      <c r="DB40" s="217" t="n"/>
      <c r="DC40" s="381" t="n"/>
      <c r="DD40" s="217" t="n"/>
      <c r="DE40" s="384" t="n"/>
      <c r="DF40" s="384" t="n"/>
    </row>
    <row r="41">
      <c r="A41" s="376" t="n">
        <v>42794</v>
      </c>
      <c r="B41" s="315" t="n">
        <v>18700.9</v>
      </c>
      <c r="C41" s="111">
        <f>B41/B29-1</f>
        <v/>
      </c>
      <c r="D41" s="111" t="n"/>
      <c r="E41" s="315" t="n">
        <v>11490.4</v>
      </c>
      <c r="F41" s="111">
        <f>E41/E29-1</f>
        <v/>
      </c>
      <c r="G41" s="111" t="n"/>
      <c r="H41" s="315" t="n">
        <v>6489.1</v>
      </c>
      <c r="I41" s="111">
        <f>H41/H29-1</f>
        <v/>
      </c>
      <c r="J41" s="111" t="n"/>
      <c r="K41" s="315" t="n">
        <v>721.5</v>
      </c>
      <c r="L41" s="111">
        <f>K41/K29-1</f>
        <v/>
      </c>
      <c r="M41" s="111" t="n"/>
      <c r="N41" s="315" t="n">
        <v>15605.5</v>
      </c>
      <c r="O41" s="111">
        <f>N41/N29-1</f>
        <v/>
      </c>
      <c r="P41" s="111" t="n"/>
      <c r="Q41" s="315" t="n">
        <v>9811.299999999999</v>
      </c>
      <c r="R41" s="111">
        <f>Q41/Q29-1</f>
        <v/>
      </c>
      <c r="S41" s="111" t="n"/>
      <c r="T41" s="315" t="n">
        <v>5239.2</v>
      </c>
      <c r="U41" s="111">
        <f>T41/T29-1</f>
        <v/>
      </c>
      <c r="V41" s="111" t="n"/>
      <c r="W41" s="315" t="n">
        <v>554.9</v>
      </c>
      <c r="X41" s="111">
        <f>W41/W29-1</f>
        <v/>
      </c>
      <c r="Y41" s="111" t="n"/>
      <c r="Z41" s="315" t="n">
        <v>7986.6</v>
      </c>
      <c r="AA41" s="111">
        <f>Z41/Z29-1</f>
        <v/>
      </c>
      <c r="AB41" s="111" t="n"/>
      <c r="AC41" s="315" t="n">
        <v>6557.8</v>
      </c>
      <c r="AD41" s="111">
        <f>AC41/AC29-1</f>
        <v/>
      </c>
      <c r="AE41" s="111" t="n"/>
      <c r="AF41" s="315" t="n">
        <v>1078.2</v>
      </c>
      <c r="AG41" s="111">
        <f>AF41/AF29-1</f>
        <v/>
      </c>
      <c r="AH41" s="111" t="n"/>
      <c r="AI41" s="315" t="n">
        <v>350.5</v>
      </c>
      <c r="AJ41" s="111">
        <f>AI41/AI29-1</f>
        <v/>
      </c>
      <c r="AK41" s="111" t="n"/>
      <c r="AL41" s="316" t="n">
        <v>83.40000000000001</v>
      </c>
      <c r="AM41" s="380">
        <f>AL41-AL29</f>
        <v/>
      </c>
      <c r="AN41" s="111" t="n"/>
      <c r="AO41" s="316" t="n">
        <v>85.40000000000001</v>
      </c>
      <c r="AP41" s="380">
        <f>AO41-AO29</f>
        <v/>
      </c>
      <c r="AQ41" s="111" t="n"/>
      <c r="AR41" s="316" t="n">
        <v>80.7</v>
      </c>
      <c r="AS41" s="380">
        <f>AR41-AR29</f>
        <v/>
      </c>
      <c r="AT41" s="111" t="n"/>
      <c r="AU41" s="316" t="n">
        <v>76.90000000000001</v>
      </c>
      <c r="AV41" s="380">
        <f>AU41-AU29</f>
        <v/>
      </c>
      <c r="AW41" s="111" t="n"/>
      <c r="AX41" s="377" t="n">
        <v>628</v>
      </c>
      <c r="AY41" s="111">
        <f>AX41/AX29-1</f>
        <v/>
      </c>
      <c r="AZ41" s="111" t="n"/>
      <c r="BA41" s="378" t="n"/>
      <c r="BB41" s="142" t="n"/>
      <c r="BC41" s="378" t="n"/>
      <c r="BD41" s="142" t="n"/>
      <c r="BE41" s="378" t="n"/>
      <c r="BF41" s="142" t="n"/>
      <c r="BG41" s="378" t="n"/>
      <c r="BH41" s="142" t="n"/>
      <c r="BI41" s="318" t="n"/>
      <c r="BJ41" s="142" t="n"/>
      <c r="BK41" s="318" t="n"/>
      <c r="BL41" s="142" t="n"/>
      <c r="BM41" s="318" t="n"/>
      <c r="BN41" s="142" t="n"/>
      <c r="BO41" s="318" t="n"/>
      <c r="BP41" s="318" t="n"/>
      <c r="BQ41" s="142" t="n"/>
      <c r="BR41" s="318" t="n"/>
      <c r="BS41" s="142" t="n"/>
      <c r="BT41" s="318" t="n"/>
      <c r="BU41" s="142" t="n"/>
      <c r="BV41" s="318" t="n"/>
      <c r="BW41" s="142" t="n"/>
      <c r="BX41" s="318" t="n"/>
      <c r="BY41" s="142" t="n"/>
      <c r="BZ41" s="318" t="n"/>
      <c r="CA41" s="142" t="n"/>
      <c r="CB41" s="318" t="n"/>
      <c r="CC41" s="142" t="n"/>
      <c r="CD41" s="318" t="n"/>
      <c r="CE41" s="142" t="n"/>
      <c r="CF41" s="318" t="n"/>
      <c r="CG41" s="317" t="n"/>
      <c r="CH41" s="318" t="n"/>
      <c r="CI41" s="317" t="n"/>
      <c r="CJ41" s="318" t="n"/>
      <c r="CK41" s="317" t="n"/>
      <c r="CL41" s="318" t="n"/>
      <c r="CM41" s="317" t="n"/>
      <c r="CN41" s="318" t="n"/>
      <c r="CO41" s="80" t="n"/>
      <c r="CP41" s="318" t="n"/>
      <c r="CQ41" s="80" t="n"/>
      <c r="CR41" s="318" t="n"/>
      <c r="CS41" s="80" t="n"/>
      <c r="CT41" s="318" t="n"/>
      <c r="CU41" s="80" t="n"/>
      <c r="CW41" s="318" t="n"/>
      <c r="CX41" s="142" t="n"/>
      <c r="CY41" s="318" t="n"/>
      <c r="CZ41" s="142" t="n"/>
      <c r="DA41" s="318" t="n"/>
      <c r="DB41" s="142" t="n"/>
      <c r="DC41" s="318" t="n"/>
      <c r="DD41" s="142" t="n"/>
      <c r="DE41" s="379" t="n"/>
      <c r="DF41" s="379" t="n"/>
      <c r="DG41" s="214" t="n"/>
    </row>
    <row r="42">
      <c r="A42" s="376" t="n">
        <v>42825</v>
      </c>
      <c r="B42" s="315" t="n">
        <v>20001.8</v>
      </c>
      <c r="C42" s="111">
        <f>B42/B30-1</f>
        <v/>
      </c>
      <c r="D42" s="111" t="n"/>
      <c r="E42" s="315" t="n">
        <v>12450.7</v>
      </c>
      <c r="F42" s="111">
        <f>E42/E30-1</f>
        <v/>
      </c>
      <c r="G42" s="111" t="n"/>
      <c r="H42" s="315" t="n">
        <v>6805.2</v>
      </c>
      <c r="I42" s="111">
        <f>H42/H30-1</f>
        <v/>
      </c>
      <c r="J42" s="111" t="n"/>
      <c r="K42" s="315" t="n">
        <v>745.8</v>
      </c>
      <c r="L42" s="111">
        <f>K42/K30-1</f>
        <v/>
      </c>
      <c r="M42" s="111" t="n"/>
      <c r="N42" s="315" t="n">
        <v>16201.7</v>
      </c>
      <c r="O42" s="111">
        <f>N42/N30-1</f>
        <v/>
      </c>
      <c r="P42" s="111" t="n"/>
      <c r="Q42" s="315" t="n">
        <v>10340.7</v>
      </c>
      <c r="R42" s="111">
        <f>Q42/Q30-1</f>
        <v/>
      </c>
      <c r="S42" s="111" t="n"/>
      <c r="T42" s="315" t="n">
        <v>5335</v>
      </c>
      <c r="U42" s="111">
        <f>T42/T30-1</f>
        <v/>
      </c>
      <c r="V42" s="111" t="n"/>
      <c r="W42" s="315" t="n">
        <v>526.1</v>
      </c>
      <c r="X42" s="111">
        <f>W42/W30-1</f>
        <v/>
      </c>
      <c r="Y42" s="111" t="n"/>
      <c r="Z42" s="315" t="n">
        <v>8407.4</v>
      </c>
      <c r="AA42" s="111">
        <f>Z42/Z30-1</f>
        <v/>
      </c>
      <c r="AB42" s="111" t="n"/>
      <c r="AC42" s="315" t="n">
        <v>7003.1</v>
      </c>
      <c r="AD42" s="111">
        <f>AC42/AC30-1</f>
        <v/>
      </c>
      <c r="AE42" s="111" t="n"/>
      <c r="AF42" s="315" t="n">
        <v>1070.8</v>
      </c>
      <c r="AG42" s="111">
        <f>AF42/AF30-1</f>
        <v/>
      </c>
      <c r="AH42" s="111" t="n"/>
      <c r="AI42" s="315" t="n">
        <v>333.4</v>
      </c>
      <c r="AJ42" s="111">
        <f>AI42/AI30-1</f>
        <v/>
      </c>
      <c r="AK42" s="111" t="n"/>
      <c r="AL42" s="316" t="n">
        <v>81</v>
      </c>
      <c r="AM42" s="380">
        <f>AL42-AL30</f>
        <v/>
      </c>
      <c r="AN42" s="111" t="n"/>
      <c r="AO42" s="316" t="n">
        <v>83.09999999999999</v>
      </c>
      <c r="AP42" s="380">
        <f>AO42-AO30</f>
        <v/>
      </c>
      <c r="AQ42" s="111" t="n"/>
      <c r="AR42" s="316" t="n">
        <v>78.40000000000001</v>
      </c>
      <c r="AS42" s="380">
        <f>AR42-AR30</f>
        <v/>
      </c>
      <c r="AT42" s="111" t="n"/>
      <c r="AU42" s="316" t="n">
        <v>70.5</v>
      </c>
      <c r="AV42" s="380">
        <f>AU42-AU30</f>
        <v/>
      </c>
      <c r="AW42" s="111" t="n"/>
      <c r="AX42" s="377" t="n">
        <v>628</v>
      </c>
      <c r="AY42" s="111">
        <f>AX42/AX30-1</f>
        <v/>
      </c>
      <c r="AZ42" s="111" t="n"/>
      <c r="BA42" s="378" t="n"/>
      <c r="BB42" s="142" t="n"/>
      <c r="BC42" s="378" t="n"/>
      <c r="BD42" s="142" t="n"/>
      <c r="BE42" s="378" t="n"/>
      <c r="BF42" s="142" t="n"/>
      <c r="BG42" s="378" t="n"/>
      <c r="BH42" s="142" t="n"/>
      <c r="BI42" s="318" t="n"/>
      <c r="BJ42" s="142" t="n"/>
      <c r="BK42" s="318" t="n"/>
      <c r="BL42" s="142" t="n"/>
      <c r="BM42" s="318" t="n"/>
      <c r="BN42" s="142" t="n"/>
      <c r="BO42" s="318" t="n"/>
      <c r="BP42" s="318" t="n"/>
      <c r="BQ42" s="142" t="n"/>
      <c r="BR42" s="318" t="n"/>
      <c r="BS42" s="142" t="n"/>
      <c r="BT42" s="318" t="n"/>
      <c r="BU42" s="142" t="n"/>
      <c r="BV42" s="318" t="n"/>
      <c r="BW42" s="142" t="n"/>
      <c r="BX42" s="318" t="n"/>
      <c r="BY42" s="142" t="n"/>
      <c r="BZ42" s="318" t="n"/>
      <c r="CA42" s="142" t="n"/>
      <c r="CB42" s="318" t="n"/>
      <c r="CC42" s="142" t="n"/>
      <c r="CD42" s="318" t="n"/>
      <c r="CE42" s="142" t="n"/>
      <c r="CF42" s="318" t="n"/>
      <c r="CG42" s="317" t="n"/>
      <c r="CH42" s="318" t="n"/>
      <c r="CI42" s="317" t="n"/>
      <c r="CJ42" s="318" t="n"/>
      <c r="CK42" s="317" t="n"/>
      <c r="CL42" s="318" t="n"/>
      <c r="CM42" s="317" t="n"/>
      <c r="CN42" s="318" t="n"/>
      <c r="CO42" s="80" t="n"/>
      <c r="CP42" s="318" t="n"/>
      <c r="CQ42" s="80" t="n"/>
      <c r="CR42" s="318" t="n"/>
      <c r="CS42" s="80" t="n"/>
      <c r="CT42" s="318" t="n"/>
      <c r="CU42" s="80" t="n"/>
      <c r="CW42" s="318" t="n"/>
      <c r="CX42" s="142" t="n"/>
      <c r="CY42" s="318" t="n"/>
      <c r="CZ42" s="142" t="n"/>
      <c r="DA42" s="318" t="n"/>
      <c r="DB42" s="142" t="n"/>
      <c r="DC42" s="318" t="n"/>
      <c r="DD42" s="142" t="n"/>
      <c r="DE42" s="379" t="n"/>
      <c r="DF42" s="379" t="n"/>
      <c r="DG42" s="214" t="n"/>
    </row>
    <row r="43">
      <c r="A43" s="376" t="n">
        <v>42855</v>
      </c>
      <c r="B43" s="315" t="n">
        <v>19579.1</v>
      </c>
      <c r="C43" s="111">
        <f>B43/B31-1</f>
        <v/>
      </c>
      <c r="D43" s="111" t="n"/>
      <c r="E43" s="315" t="n">
        <v>11877</v>
      </c>
      <c r="F43" s="111">
        <f>E43/E31-1</f>
        <v/>
      </c>
      <c r="G43" s="111" t="n"/>
      <c r="H43" s="315" t="n">
        <v>6964.4</v>
      </c>
      <c r="I43" s="111">
        <f>H43/H31-1</f>
        <v/>
      </c>
      <c r="J43" s="111" t="n"/>
      <c r="K43" s="315" t="n">
        <v>737.7</v>
      </c>
      <c r="L43" s="111">
        <f>K43/K31-1</f>
        <v/>
      </c>
      <c r="M43" s="111" t="n"/>
      <c r="N43" s="315" t="n">
        <v>15832.5</v>
      </c>
      <c r="O43" s="111">
        <f>N43/N31-1</f>
        <v/>
      </c>
      <c r="P43" s="111" t="n"/>
      <c r="Q43" s="315" t="n">
        <v>9813.1</v>
      </c>
      <c r="R43" s="111">
        <f>Q43/Q31-1</f>
        <v/>
      </c>
      <c r="S43" s="111" t="n"/>
      <c r="T43" s="315" t="n">
        <v>5460.4</v>
      </c>
      <c r="U43" s="111">
        <f>T43/T31-1</f>
        <v/>
      </c>
      <c r="V43" s="111" t="n"/>
      <c r="W43" s="315" t="n">
        <v>559.1</v>
      </c>
      <c r="X43" s="111">
        <f>W43/W31-1</f>
        <v/>
      </c>
      <c r="Y43" s="111" t="n"/>
      <c r="Z43" s="315" t="n">
        <v>8170.6</v>
      </c>
      <c r="AA43" s="111">
        <f>Z43/Z31-1</f>
        <v/>
      </c>
      <c r="AB43" s="111" t="n"/>
      <c r="AC43" s="315" t="n">
        <v>6760.5</v>
      </c>
      <c r="AD43" s="111">
        <f>AC43/AC31-1</f>
        <v/>
      </c>
      <c r="AE43" s="111" t="n"/>
      <c r="AF43" s="315" t="n">
        <v>1052.5</v>
      </c>
      <c r="AG43" s="111">
        <f>AF43/AF31-1</f>
        <v/>
      </c>
      <c r="AH43" s="111" t="n"/>
      <c r="AI43" s="315" t="n">
        <v>357.6</v>
      </c>
      <c r="AJ43" s="111">
        <f>AI43/AI31-1</f>
        <v/>
      </c>
      <c r="AK43" s="111" t="n"/>
      <c r="AL43" s="316" t="n">
        <v>80.90000000000001</v>
      </c>
      <c r="AM43" s="380">
        <f>AL43-AL31</f>
        <v/>
      </c>
      <c r="AN43" s="111" t="n"/>
      <c r="AO43" s="316" t="n">
        <v>82.59999999999999</v>
      </c>
      <c r="AP43" s="380">
        <f>AO43-AO31</f>
        <v/>
      </c>
      <c r="AQ43" s="111" t="n"/>
      <c r="AR43" s="316" t="n">
        <v>78.40000000000001</v>
      </c>
      <c r="AS43" s="380">
        <f>AR43-AR31</f>
        <v/>
      </c>
      <c r="AT43" s="111" t="n"/>
      <c r="AU43" s="316" t="n">
        <v>75.8</v>
      </c>
      <c r="AV43" s="380">
        <f>AU43-AU31</f>
        <v/>
      </c>
      <c r="AW43" s="111" t="n"/>
      <c r="AX43" s="377" t="n">
        <v>631</v>
      </c>
      <c r="AY43" s="111">
        <f>AX43/AX31-1</f>
        <v/>
      </c>
      <c r="AZ43" s="111" t="n"/>
      <c r="BA43" s="378" t="n"/>
      <c r="BB43" s="142" t="n"/>
      <c r="BC43" s="378" t="n"/>
      <c r="BD43" s="142" t="n"/>
      <c r="BE43" s="378" t="n"/>
      <c r="BF43" s="142" t="n"/>
      <c r="BG43" s="378" t="n"/>
      <c r="BH43" s="142" t="n"/>
      <c r="BI43" s="318" t="n"/>
      <c r="BJ43" s="142" t="n"/>
      <c r="BK43" s="318" t="n"/>
      <c r="BL43" s="142" t="n"/>
      <c r="BM43" s="318" t="n"/>
      <c r="BN43" s="142" t="n"/>
      <c r="BO43" s="318" t="n"/>
      <c r="BP43" s="318" t="n"/>
      <c r="BQ43" s="142" t="n"/>
      <c r="BR43" s="318" t="n"/>
      <c r="BS43" s="142" t="n"/>
      <c r="BT43" s="318" t="n"/>
      <c r="BU43" s="142" t="n"/>
      <c r="BV43" s="318" t="n"/>
      <c r="BW43" s="142" t="n"/>
      <c r="BX43" s="318" t="n"/>
      <c r="BY43" s="142" t="n"/>
      <c r="BZ43" s="318" t="n"/>
      <c r="CA43" s="142" t="n"/>
      <c r="CB43" s="318" t="n"/>
      <c r="CC43" s="142" t="n"/>
      <c r="CD43" s="318" t="n"/>
      <c r="CE43" s="142" t="n"/>
      <c r="CF43" s="318" t="n"/>
      <c r="CG43" s="317" t="n"/>
      <c r="CH43" s="318" t="n"/>
      <c r="CI43" s="317" t="n"/>
      <c r="CJ43" s="318" t="n"/>
      <c r="CK43" s="317" t="n"/>
      <c r="CL43" s="318" t="n"/>
      <c r="CM43" s="317" t="n"/>
      <c r="CN43" s="318" t="n"/>
      <c r="CO43" s="80" t="n"/>
      <c r="CP43" s="318" t="n"/>
      <c r="CQ43" s="80" t="n"/>
      <c r="CR43" s="318" t="n"/>
      <c r="CS43" s="80" t="n"/>
      <c r="CT43" s="318" t="n"/>
      <c r="CU43" s="80" t="n"/>
      <c r="CW43" s="318" t="n"/>
      <c r="CX43" s="142" t="n"/>
      <c r="CY43" s="318" t="n"/>
      <c r="CZ43" s="142" t="n"/>
      <c r="DA43" s="318" t="n"/>
      <c r="DB43" s="142" t="n"/>
      <c r="DC43" s="318" t="n"/>
      <c r="DD43" s="142" t="n"/>
      <c r="DE43" s="379" t="n"/>
      <c r="DF43" s="379" t="n"/>
      <c r="DG43" s="214" t="n"/>
    </row>
    <row r="44">
      <c r="A44" s="376" t="n">
        <v>42886</v>
      </c>
      <c r="B44" s="315" t="n">
        <v>20385.3</v>
      </c>
      <c r="C44" s="111">
        <f>B44/B32-1</f>
        <v/>
      </c>
      <c r="D44" s="111" t="n"/>
      <c r="E44" s="315" t="n">
        <v>12141.4</v>
      </c>
      <c r="F44" s="111">
        <f>E44/E32-1</f>
        <v/>
      </c>
      <c r="G44" s="111" t="n"/>
      <c r="H44" s="315" t="n">
        <v>7493.9</v>
      </c>
      <c r="I44" s="111">
        <f>H44/H32-1</f>
        <v/>
      </c>
      <c r="J44" s="111" t="n"/>
      <c r="K44" s="315" t="n">
        <v>749.9</v>
      </c>
      <c r="L44" s="111">
        <f>K44/K32-1</f>
        <v/>
      </c>
      <c r="M44" s="111" t="n"/>
      <c r="N44" s="315" t="n">
        <v>16048.1</v>
      </c>
      <c r="O44" s="111">
        <f>N44/N32-1</f>
        <v/>
      </c>
      <c r="P44" s="111" t="n"/>
      <c r="Q44" s="315" t="n">
        <v>9919.200000000001</v>
      </c>
      <c r="R44" s="111">
        <f>Q44/Q32-1</f>
        <v/>
      </c>
      <c r="S44" s="111" t="n"/>
      <c r="T44" s="315" t="n">
        <v>5579.5</v>
      </c>
      <c r="U44" s="111">
        <f>T44/T32-1</f>
        <v/>
      </c>
      <c r="V44" s="111" t="n"/>
      <c r="W44" s="315" t="n">
        <v>549.4</v>
      </c>
      <c r="X44" s="111">
        <f>W44/W32-1</f>
        <v/>
      </c>
      <c r="Y44" s="111" t="n"/>
      <c r="Z44" s="315" t="n">
        <v>8236.799999999999</v>
      </c>
      <c r="AA44" s="111">
        <f>Z44/Z32-1</f>
        <v/>
      </c>
      <c r="AB44" s="111" t="n"/>
      <c r="AC44" s="315" t="n">
        <v>6857.7</v>
      </c>
      <c r="AD44" s="111">
        <f>AC44/AC32-1</f>
        <v/>
      </c>
      <c r="AE44" s="111" t="n"/>
      <c r="AF44" s="315" t="n">
        <v>1027.9</v>
      </c>
      <c r="AG44" s="111">
        <f>AF44/AF32-1</f>
        <v/>
      </c>
      <c r="AH44" s="111" t="n"/>
      <c r="AI44" s="315" t="n">
        <v>351.2</v>
      </c>
      <c r="AJ44" s="111">
        <f>AI44/AI32-1</f>
        <v/>
      </c>
      <c r="AK44" s="111" t="n"/>
      <c r="AL44" s="316" t="n">
        <v>78.7</v>
      </c>
      <c r="AM44" s="380">
        <f>AL44-AL32</f>
        <v/>
      </c>
      <c r="AN44" s="111" t="n"/>
      <c r="AO44" s="316" t="n">
        <v>81.7</v>
      </c>
      <c r="AP44" s="380">
        <f>AO44-AO32</f>
        <v/>
      </c>
      <c r="AQ44" s="111" t="n"/>
      <c r="AR44" s="316" t="n">
        <v>74.5</v>
      </c>
      <c r="AS44" s="380">
        <f>AR44-AR32</f>
        <v/>
      </c>
      <c r="AT44" s="111" t="n"/>
      <c r="AU44" s="316" t="n">
        <v>73.3</v>
      </c>
      <c r="AV44" s="380">
        <f>AU44-AU32</f>
        <v/>
      </c>
      <c r="AW44" s="111" t="n"/>
      <c r="AX44" s="377" t="n">
        <v>629</v>
      </c>
      <c r="AY44" s="111">
        <f>AX44/AX32-1</f>
        <v/>
      </c>
      <c r="AZ44" s="111" t="n"/>
      <c r="BA44" s="378" t="n"/>
      <c r="BB44" s="142" t="n"/>
      <c r="BC44" s="378" t="n"/>
      <c r="BD44" s="142" t="n"/>
      <c r="BE44" s="378" t="n"/>
      <c r="BF44" s="142" t="n"/>
      <c r="BG44" s="378" t="n"/>
      <c r="BH44" s="142" t="n"/>
      <c r="BI44" s="318" t="n"/>
      <c r="BJ44" s="142" t="n"/>
      <c r="BK44" s="318" t="n"/>
      <c r="BL44" s="142" t="n"/>
      <c r="BM44" s="318" t="n"/>
      <c r="BN44" s="142" t="n"/>
      <c r="BO44" s="318" t="n"/>
      <c r="BP44" s="318" t="n"/>
      <c r="BQ44" s="142" t="n"/>
      <c r="BR44" s="318" t="n"/>
      <c r="BS44" s="142" t="n"/>
      <c r="BT44" s="318" t="n"/>
      <c r="BU44" s="142" t="n"/>
      <c r="BV44" s="318" t="n"/>
      <c r="BW44" s="142" t="n"/>
      <c r="BX44" s="318" t="n"/>
      <c r="BY44" s="142" t="n"/>
      <c r="BZ44" s="318" t="n"/>
      <c r="CA44" s="142" t="n"/>
      <c r="CB44" s="318" t="n"/>
      <c r="CC44" s="142" t="n"/>
      <c r="CD44" s="318" t="n"/>
      <c r="CE44" s="142" t="n"/>
      <c r="CF44" s="318" t="n"/>
      <c r="CG44" s="317" t="n"/>
      <c r="CH44" s="318" t="n"/>
      <c r="CI44" s="317" t="n"/>
      <c r="CJ44" s="318" t="n"/>
      <c r="CK44" s="317" t="n"/>
      <c r="CL44" s="318" t="n"/>
      <c r="CM44" s="317" t="n"/>
      <c r="CN44" s="318" t="n"/>
      <c r="CO44" s="80" t="n"/>
      <c r="CP44" s="318" t="n"/>
      <c r="CQ44" s="80" t="n"/>
      <c r="CR44" s="318" t="n"/>
      <c r="CS44" s="80" t="n"/>
      <c r="CT44" s="318" t="n"/>
      <c r="CU44" s="80" t="n"/>
      <c r="CW44" s="318" t="n"/>
      <c r="CX44" s="142" t="n"/>
      <c r="CY44" s="318" t="n"/>
      <c r="CZ44" s="142" t="n"/>
      <c r="DA44" s="318" t="n"/>
      <c r="DB44" s="142" t="n"/>
      <c r="DC44" s="318" t="n"/>
      <c r="DD44" s="142" t="n"/>
      <c r="DE44" s="379" t="n"/>
      <c r="DF44" s="379" t="n"/>
      <c r="DG44" s="214" t="n"/>
    </row>
    <row r="45">
      <c r="A45" s="376" t="n">
        <v>42916</v>
      </c>
      <c r="B45" s="315" t="n">
        <v>19737.4</v>
      </c>
      <c r="C45" s="111">
        <f>B45/B33-1</f>
        <v/>
      </c>
      <c r="D45" s="111" t="n"/>
      <c r="E45" s="315" t="n">
        <v>11385.9</v>
      </c>
      <c r="F45" s="111">
        <f>E45/E33-1</f>
        <v/>
      </c>
      <c r="G45" s="111" t="n"/>
      <c r="H45" s="315" t="n">
        <v>7626.6</v>
      </c>
      <c r="I45" s="111">
        <f>H45/H33-1</f>
        <v/>
      </c>
      <c r="J45" s="111" t="n"/>
      <c r="K45" s="315" t="n">
        <v>724.9</v>
      </c>
      <c r="L45" s="111">
        <f>K45/K33-1</f>
        <v/>
      </c>
      <c r="M45" s="111" t="n"/>
      <c r="N45" s="315" t="n">
        <v>15916.5</v>
      </c>
      <c r="O45" s="111">
        <f>N45/N33-1</f>
        <v/>
      </c>
      <c r="P45" s="111" t="n"/>
      <c r="Q45" s="315" t="n">
        <v>9571.5</v>
      </c>
      <c r="R45" s="111">
        <f>Q45/Q33-1</f>
        <v/>
      </c>
      <c r="S45" s="111" t="n"/>
      <c r="T45" s="315" t="n">
        <v>5786.8</v>
      </c>
      <c r="U45" s="111">
        <f>T45/T33-1</f>
        <v/>
      </c>
      <c r="V45" s="111" t="n"/>
      <c r="W45" s="315" t="n">
        <v>558.2</v>
      </c>
      <c r="X45" s="111">
        <f>W45/W33-1</f>
        <v/>
      </c>
      <c r="Y45" s="111" t="n"/>
      <c r="Z45" s="315" t="n">
        <v>7986</v>
      </c>
      <c r="AA45" s="111">
        <f>Z45/Z33-1</f>
        <v/>
      </c>
      <c r="AB45" s="111" t="n"/>
      <c r="AC45" s="315" t="n">
        <v>6585.3</v>
      </c>
      <c r="AD45" s="111">
        <f>AC45/AC33-1</f>
        <v/>
      </c>
      <c r="AE45" s="111" t="n"/>
      <c r="AF45" s="315" t="n">
        <v>1044.6</v>
      </c>
      <c r="AG45" s="111">
        <f>AF45/AF33-1</f>
        <v/>
      </c>
      <c r="AH45" s="111" t="n"/>
      <c r="AI45" s="315" t="n">
        <v>356.1</v>
      </c>
      <c r="AJ45" s="111">
        <f>AI45/AI33-1</f>
        <v/>
      </c>
      <c r="AK45" s="111" t="n"/>
      <c r="AL45" s="316" t="n">
        <v>80.59999999999999</v>
      </c>
      <c r="AM45" s="380">
        <f>AL45-AL33</f>
        <v/>
      </c>
      <c r="AN45" s="111" t="n"/>
      <c r="AO45" s="316" t="n">
        <v>84.09999999999999</v>
      </c>
      <c r="AP45" s="380">
        <f>AO45-AO33</f>
        <v/>
      </c>
      <c r="AQ45" s="111" t="n"/>
      <c r="AR45" s="316" t="n">
        <v>75.90000000000001</v>
      </c>
      <c r="AS45" s="380">
        <f>AR45-AR33</f>
        <v/>
      </c>
      <c r="AT45" s="111" t="n"/>
      <c r="AU45" s="316" t="n">
        <v>77</v>
      </c>
      <c r="AV45" s="380">
        <f>AU45-AU33</f>
        <v/>
      </c>
      <c r="AW45" s="111" t="n"/>
      <c r="AX45" s="377" t="n">
        <v>628</v>
      </c>
      <c r="AY45" s="111">
        <f>AX45/AX33-1</f>
        <v/>
      </c>
      <c r="AZ45" s="111" t="n"/>
      <c r="BA45" s="378" t="n"/>
      <c r="BB45" s="142" t="n"/>
      <c r="BC45" s="378" t="n"/>
      <c r="BD45" s="142" t="n"/>
      <c r="BE45" s="378" t="n"/>
      <c r="BF45" s="142" t="n"/>
      <c r="BG45" s="378" t="n"/>
      <c r="BH45" s="142" t="n"/>
      <c r="BI45" s="318" t="n"/>
      <c r="BJ45" s="142" t="n"/>
      <c r="BK45" s="318" t="n"/>
      <c r="BL45" s="142" t="n"/>
      <c r="BM45" s="318" t="n"/>
      <c r="BN45" s="142" t="n"/>
      <c r="BO45" s="318" t="n"/>
      <c r="BP45" s="318" t="n"/>
      <c r="BQ45" s="142" t="n"/>
      <c r="BR45" s="318" t="n"/>
      <c r="BS45" s="142" t="n"/>
      <c r="BT45" s="318" t="n"/>
      <c r="BU45" s="142" t="n"/>
      <c r="BV45" s="318" t="n"/>
      <c r="BW45" s="142" t="n"/>
      <c r="BX45" s="318" t="n"/>
      <c r="BY45" s="142" t="n"/>
      <c r="BZ45" s="318" t="n"/>
      <c r="CA45" s="142" t="n"/>
      <c r="CB45" s="318" t="n"/>
      <c r="CC45" s="142" t="n"/>
      <c r="CD45" s="318" t="n"/>
      <c r="CE45" s="142" t="n"/>
      <c r="CF45" s="318" t="n"/>
      <c r="CG45" s="317" t="n"/>
      <c r="CH45" s="318" t="n"/>
      <c r="CI45" s="317" t="n"/>
      <c r="CJ45" s="318" t="n"/>
      <c r="CK45" s="317" t="n"/>
      <c r="CL45" s="318" t="n"/>
      <c r="CM45" s="317" t="n"/>
      <c r="CN45" s="318" t="n"/>
      <c r="CO45" s="80" t="n"/>
      <c r="CP45" s="318" t="n"/>
      <c r="CQ45" s="80" t="n"/>
      <c r="CR45" s="318" t="n"/>
      <c r="CS45" s="80" t="n"/>
      <c r="CT45" s="318" t="n"/>
      <c r="CU45" s="80" t="n"/>
      <c r="CW45" s="318" t="n"/>
      <c r="CX45" s="142" t="n"/>
      <c r="CY45" s="318" t="n"/>
      <c r="CZ45" s="142" t="n"/>
      <c r="DA45" s="318" t="n"/>
      <c r="DB45" s="142" t="n"/>
      <c r="DC45" s="318" t="n"/>
      <c r="DD45" s="142" t="n"/>
      <c r="DE45" s="379" t="n"/>
      <c r="DF45" s="379" t="n"/>
      <c r="DG45" s="214" t="n"/>
    </row>
    <row r="46">
      <c r="A46" s="376" t="n">
        <v>42947</v>
      </c>
      <c r="B46" s="315" t="n">
        <v>21281.2</v>
      </c>
      <c r="C46" s="111">
        <f>B46/B34-1</f>
        <v/>
      </c>
      <c r="D46" s="111" t="n"/>
      <c r="E46" s="315" t="n">
        <v>12344.7</v>
      </c>
      <c r="F46" s="111">
        <f>E46/E34-1</f>
        <v/>
      </c>
      <c r="G46" s="111" t="n"/>
      <c r="H46" s="315" t="n">
        <v>8156.2</v>
      </c>
      <c r="I46" s="111">
        <f>H46/H34-1</f>
        <v/>
      </c>
      <c r="J46" s="111" t="n"/>
      <c r="K46" s="315" t="n">
        <v>780.4</v>
      </c>
      <c r="L46" s="111">
        <f>K46/K34-1</f>
        <v/>
      </c>
      <c r="M46" s="111" t="n"/>
      <c r="N46" s="315" t="n">
        <v>17437.6</v>
      </c>
      <c r="O46" s="111">
        <f>N46/N34-1</f>
        <v/>
      </c>
      <c r="P46" s="111" t="n"/>
      <c r="Q46" s="315" t="n">
        <v>10310.3</v>
      </c>
      <c r="R46" s="111">
        <f>Q46/Q34-1</f>
        <v/>
      </c>
      <c r="S46" s="111" t="n"/>
      <c r="T46" s="315" t="n">
        <v>6478.7</v>
      </c>
      <c r="U46" s="111">
        <f>T46/T34-1</f>
        <v/>
      </c>
      <c r="V46" s="111" t="n"/>
      <c r="W46" s="315" t="n">
        <v>648.6</v>
      </c>
      <c r="X46" s="111">
        <f>W46/W34-1</f>
        <v/>
      </c>
      <c r="Y46" s="111" t="n"/>
      <c r="Z46" s="315" t="n">
        <v>8638.200000000001</v>
      </c>
      <c r="AA46" s="111">
        <f>Z46/Z34-1</f>
        <v/>
      </c>
      <c r="AB46" s="111" t="n"/>
      <c r="AC46" s="315" t="n">
        <v>7031.9</v>
      </c>
      <c r="AD46" s="111">
        <f>AC46/AC34-1</f>
        <v/>
      </c>
      <c r="AE46" s="111" t="n"/>
      <c r="AF46" s="315" t="n">
        <v>1190.6</v>
      </c>
      <c r="AG46" s="111">
        <f>AF46/AF34-1</f>
        <v/>
      </c>
      <c r="AH46" s="111" t="n"/>
      <c r="AI46" s="315" t="n">
        <v>415.7</v>
      </c>
      <c r="AJ46" s="111">
        <f>AI46/AI34-1</f>
        <v/>
      </c>
      <c r="AK46" s="111" t="n"/>
      <c r="AL46" s="316" t="n">
        <v>81.90000000000001</v>
      </c>
      <c r="AM46" s="380">
        <f>AL46-AL34</f>
        <v/>
      </c>
      <c r="AN46" s="111" t="n"/>
      <c r="AO46" s="316" t="n">
        <v>83.5</v>
      </c>
      <c r="AP46" s="380">
        <f>AO46-AO34</f>
        <v/>
      </c>
      <c r="AQ46" s="111" t="n"/>
      <c r="AR46" s="316" t="n">
        <v>79.40000000000001</v>
      </c>
      <c r="AS46" s="380">
        <f>AR46-AR34</f>
        <v/>
      </c>
      <c r="AT46" s="111" t="n"/>
      <c r="AU46" s="316" t="n">
        <v>83.09999999999999</v>
      </c>
      <c r="AV46" s="380">
        <f>AU46-AU34</f>
        <v/>
      </c>
      <c r="AW46" s="111" t="n"/>
      <c r="AX46" s="377" t="n">
        <v>636</v>
      </c>
      <c r="AY46" s="111">
        <f>AX46/AX34-1</f>
        <v/>
      </c>
      <c r="AZ46" s="111" t="n"/>
      <c r="BA46" s="378" t="n"/>
      <c r="BB46" s="142" t="n"/>
      <c r="BC46" s="378" t="n"/>
      <c r="BD46" s="142" t="n"/>
      <c r="BE46" s="378" t="n"/>
      <c r="BF46" s="142" t="n"/>
      <c r="BG46" s="378" t="n"/>
      <c r="BH46" s="142" t="n"/>
      <c r="BI46" s="318" t="n"/>
      <c r="BJ46" s="142" t="n"/>
      <c r="BK46" s="318" t="n"/>
      <c r="BL46" s="142" t="n"/>
      <c r="BM46" s="318" t="n"/>
      <c r="BN46" s="142" t="n"/>
      <c r="BO46" s="318" t="n"/>
      <c r="BP46" s="318" t="n"/>
      <c r="BQ46" s="142" t="n"/>
      <c r="BR46" s="318" t="n"/>
      <c r="BS46" s="142" t="n"/>
      <c r="BT46" s="318" t="n"/>
      <c r="BU46" s="142" t="n"/>
      <c r="BV46" s="318" t="n"/>
      <c r="BW46" s="142" t="n"/>
      <c r="BX46" s="318" t="n"/>
      <c r="BY46" s="142" t="n"/>
      <c r="BZ46" s="318" t="n"/>
      <c r="CA46" s="142" t="n"/>
      <c r="CB46" s="318" t="n"/>
      <c r="CC46" s="142" t="n"/>
      <c r="CD46" s="318" t="n"/>
      <c r="CE46" s="142" t="n"/>
      <c r="CF46" s="318" t="n"/>
      <c r="CG46" s="317" t="n"/>
      <c r="CH46" s="318" t="n"/>
      <c r="CI46" s="317" t="n"/>
      <c r="CJ46" s="318" t="n"/>
      <c r="CK46" s="317" t="n"/>
      <c r="CL46" s="318" t="n"/>
      <c r="CM46" s="317" t="n"/>
      <c r="CN46" s="318" t="n"/>
      <c r="CO46" s="80" t="n"/>
      <c r="CP46" s="318" t="n"/>
      <c r="CQ46" s="80" t="n"/>
      <c r="CR46" s="318" t="n"/>
      <c r="CS46" s="80" t="n"/>
      <c r="CT46" s="318" t="n"/>
      <c r="CU46" s="80" t="n"/>
      <c r="CW46" s="318" t="n"/>
      <c r="CX46" s="142" t="n"/>
      <c r="CY46" s="318" t="n"/>
      <c r="CZ46" s="142" t="n"/>
      <c r="DA46" s="318" t="n"/>
      <c r="DB46" s="142" t="n"/>
      <c r="DC46" s="318" t="n"/>
      <c r="DD46" s="142" t="n"/>
      <c r="DE46" s="379" t="n"/>
      <c r="DF46" s="379" t="n"/>
      <c r="DG46" s="214" t="n"/>
    </row>
    <row r="47">
      <c r="A47" s="376" t="n">
        <v>42978</v>
      </c>
      <c r="B47" s="315" t="n">
        <v>21767.1</v>
      </c>
      <c r="C47" s="111">
        <f>B47/B35-1</f>
        <v/>
      </c>
      <c r="D47" s="111" t="n"/>
      <c r="E47" s="315" t="n">
        <v>12858.6</v>
      </c>
      <c r="F47" s="111">
        <f>E47/E35-1</f>
        <v/>
      </c>
      <c r="G47" s="111" t="n"/>
      <c r="H47" s="315" t="n">
        <v>8132.1</v>
      </c>
      <c r="I47" s="111">
        <f>H47/H35-1</f>
        <v/>
      </c>
      <c r="J47" s="111" t="n"/>
      <c r="K47" s="315" t="n">
        <v>776.4</v>
      </c>
      <c r="L47" s="111">
        <f>K47/K35-1</f>
        <v/>
      </c>
      <c r="M47" s="111" t="n"/>
      <c r="N47" s="315" t="n">
        <v>18050.1</v>
      </c>
      <c r="O47" s="111">
        <f>N47/N35-1</f>
        <v/>
      </c>
      <c r="P47" s="111" t="n"/>
      <c r="Q47" s="315" t="n">
        <v>10800</v>
      </c>
      <c r="R47" s="111">
        <f>Q47/Q35-1</f>
        <v/>
      </c>
      <c r="S47" s="111" t="n"/>
      <c r="T47" s="315" t="n">
        <v>6584.2</v>
      </c>
      <c r="U47" s="111">
        <f>T47/T35-1</f>
        <v/>
      </c>
      <c r="V47" s="111" t="n"/>
      <c r="W47" s="315" t="n">
        <v>665.8</v>
      </c>
      <c r="X47" s="111">
        <f>W47/W35-1</f>
        <v/>
      </c>
      <c r="Y47" s="111" t="n"/>
      <c r="Z47" s="315" t="n">
        <v>9042.799999999999</v>
      </c>
      <c r="AA47" s="111">
        <f>Z47/Z35-1</f>
        <v/>
      </c>
      <c r="AB47" s="111" t="n"/>
      <c r="AC47" s="315" t="n">
        <v>7373</v>
      </c>
      <c r="AD47" s="111">
        <f>AC47/AC35-1</f>
        <v/>
      </c>
      <c r="AE47" s="111" t="n"/>
      <c r="AF47" s="315" t="n">
        <v>1239.6</v>
      </c>
      <c r="AG47" s="111">
        <f>AF47/AF35-1</f>
        <v/>
      </c>
      <c r="AH47" s="111" t="n"/>
      <c r="AI47" s="315" t="n">
        <v>430.2</v>
      </c>
      <c r="AJ47" s="111">
        <f>AI47/AI35-1</f>
        <v/>
      </c>
      <c r="AK47" s="111" t="n"/>
      <c r="AL47" s="316" t="n">
        <v>82.90000000000001</v>
      </c>
      <c r="AM47" s="380">
        <f>AL47-AL35</f>
        <v/>
      </c>
      <c r="AN47" s="111" t="n"/>
      <c r="AO47" s="316" t="n">
        <v>84</v>
      </c>
      <c r="AP47" s="380">
        <f>AO47-AO35</f>
        <v/>
      </c>
      <c r="AQ47" s="111" t="n"/>
      <c r="AR47" s="316" t="n">
        <v>81</v>
      </c>
      <c r="AS47" s="380">
        <f>AR47-AR35</f>
        <v/>
      </c>
      <c r="AT47" s="111" t="n"/>
      <c r="AU47" s="316" t="n">
        <v>85.8</v>
      </c>
      <c r="AV47" s="380">
        <f>AU47-AU35</f>
        <v/>
      </c>
      <c r="AW47" s="111" t="n"/>
      <c r="AX47" s="377" t="n">
        <v>637</v>
      </c>
      <c r="AY47" s="111">
        <f>AX47/AX35-1</f>
        <v/>
      </c>
      <c r="AZ47" s="111" t="n"/>
      <c r="BA47" s="378" t="n"/>
      <c r="BB47" s="142" t="n"/>
      <c r="BC47" s="378" t="n"/>
      <c r="BD47" s="142" t="n"/>
      <c r="BE47" s="378" t="n"/>
      <c r="BF47" s="142" t="n"/>
      <c r="BG47" s="378" t="n"/>
      <c r="BH47" s="142" t="n"/>
      <c r="BI47" s="318" t="n"/>
      <c r="BJ47" s="142" t="n"/>
      <c r="BK47" s="318" t="n"/>
      <c r="BL47" s="142" t="n"/>
      <c r="BM47" s="318" t="n"/>
      <c r="BN47" s="142" t="n"/>
      <c r="BO47" s="318" t="n"/>
      <c r="BP47" s="318" t="n"/>
      <c r="BQ47" s="142" t="n"/>
      <c r="BR47" s="318" t="n"/>
      <c r="BS47" s="142" t="n"/>
      <c r="BT47" s="318" t="n"/>
      <c r="BU47" s="142" t="n"/>
      <c r="BV47" s="318" t="n"/>
      <c r="BW47" s="142" t="n"/>
      <c r="BX47" s="318" t="n"/>
      <c r="BY47" s="142" t="n"/>
      <c r="BZ47" s="318" t="n"/>
      <c r="CA47" s="142" t="n"/>
      <c r="CB47" s="318" t="n"/>
      <c r="CC47" s="142" t="n"/>
      <c r="CD47" s="318" t="n"/>
      <c r="CE47" s="142" t="n"/>
      <c r="CF47" s="318" t="n"/>
      <c r="CG47" s="317" t="n"/>
      <c r="CH47" s="318" t="n"/>
      <c r="CI47" s="317" t="n"/>
      <c r="CJ47" s="318" t="n"/>
      <c r="CK47" s="317" t="n"/>
      <c r="CL47" s="318" t="n"/>
      <c r="CM47" s="317" t="n"/>
      <c r="CN47" s="318" t="n"/>
      <c r="CO47" s="80" t="n"/>
      <c r="CP47" s="318" t="n"/>
      <c r="CQ47" s="80" t="n"/>
      <c r="CR47" s="318" t="n"/>
      <c r="CS47" s="80" t="n"/>
      <c r="CT47" s="318" t="n"/>
      <c r="CU47" s="80" t="n"/>
      <c r="CW47" s="318" t="n"/>
      <c r="CX47" s="142" t="n"/>
      <c r="CY47" s="318" t="n"/>
      <c r="CZ47" s="142" t="n"/>
      <c r="DA47" s="318" t="n"/>
      <c r="DB47" s="142" t="n"/>
      <c r="DC47" s="318" t="n"/>
      <c r="DD47" s="142" t="n"/>
      <c r="DE47" s="379" t="n"/>
      <c r="DF47" s="379" t="n"/>
      <c r="DG47" s="214" t="n"/>
    </row>
    <row r="48">
      <c r="A48" s="376" t="n">
        <v>43008</v>
      </c>
      <c r="B48" s="315" t="n">
        <v>21254.2</v>
      </c>
      <c r="C48" s="111">
        <f>B48/B36-1</f>
        <v/>
      </c>
      <c r="D48" s="111" t="n"/>
      <c r="E48" s="315" t="n">
        <v>12637.3</v>
      </c>
      <c r="F48" s="111">
        <f>E48/E36-1</f>
        <v/>
      </c>
      <c r="G48" s="111" t="n"/>
      <c r="H48" s="315" t="n">
        <v>7882.9</v>
      </c>
      <c r="I48" s="111">
        <f>H48/H36-1</f>
        <v/>
      </c>
      <c r="J48" s="111" t="n"/>
      <c r="K48" s="315" t="n">
        <v>734</v>
      </c>
      <c r="L48" s="111">
        <f>K48/K36-1</f>
        <v/>
      </c>
      <c r="M48" s="111" t="n"/>
      <c r="N48" s="315" t="n">
        <v>16972.4</v>
      </c>
      <c r="O48" s="111">
        <f>N48/N36-1</f>
        <v/>
      </c>
      <c r="P48" s="111" t="n"/>
      <c r="Q48" s="315" t="n">
        <v>10279.9</v>
      </c>
      <c r="R48" s="111">
        <f>Q48/Q36-1</f>
        <v/>
      </c>
      <c r="S48" s="111" t="n"/>
      <c r="T48" s="315" t="n">
        <v>6114.2</v>
      </c>
      <c r="U48" s="111">
        <f>T48/T36-1</f>
        <v/>
      </c>
      <c r="V48" s="111" t="n"/>
      <c r="W48" s="315" t="n">
        <v>578.4</v>
      </c>
      <c r="X48" s="111">
        <f>W48/W36-1</f>
        <v/>
      </c>
      <c r="Y48" s="111" t="n"/>
      <c r="Z48" s="315" t="n">
        <v>8494.4</v>
      </c>
      <c r="AA48" s="111">
        <f>Z48/Z36-1</f>
        <v/>
      </c>
      <c r="AB48" s="111" t="n"/>
      <c r="AC48" s="315" t="n">
        <v>7011</v>
      </c>
      <c r="AD48" s="111">
        <f>AC48/AC36-1</f>
        <v/>
      </c>
      <c r="AE48" s="111" t="n"/>
      <c r="AF48" s="315" t="n">
        <v>1117.1</v>
      </c>
      <c r="AG48" s="111">
        <f>AF48/AF36-1</f>
        <v/>
      </c>
      <c r="AH48" s="111" t="n"/>
      <c r="AI48" s="315" t="n">
        <v>366.4</v>
      </c>
      <c r="AJ48" s="111">
        <f>AI48/AI36-1</f>
        <v/>
      </c>
      <c r="AK48" s="111" t="n"/>
      <c r="AL48" s="316" t="n">
        <v>79.90000000000001</v>
      </c>
      <c r="AM48" s="380">
        <f>AL48-AL36</f>
        <v/>
      </c>
      <c r="AN48" s="111" t="n"/>
      <c r="AO48" s="316" t="n">
        <v>81.3</v>
      </c>
      <c r="AP48" s="380">
        <f>AO48-AO36</f>
        <v/>
      </c>
      <c r="AQ48" s="111" t="n"/>
      <c r="AR48" s="316" t="n">
        <v>77.59999999999999</v>
      </c>
      <c r="AS48" s="380">
        <f>AR48-AR36</f>
        <v/>
      </c>
      <c r="AT48" s="111" t="n"/>
      <c r="AU48" s="316" t="n">
        <v>78.8</v>
      </c>
      <c r="AV48" s="380">
        <f>AU48-AU36</f>
        <v/>
      </c>
      <c r="AW48" s="111" t="n"/>
      <c r="AX48" s="377" t="n">
        <v>643</v>
      </c>
      <c r="AY48" s="111">
        <f>AX48/AX36-1</f>
        <v/>
      </c>
      <c r="AZ48" s="111" t="n"/>
      <c r="BA48" s="378" t="n"/>
      <c r="BB48" s="142" t="n"/>
      <c r="BC48" s="378" t="n"/>
      <c r="BD48" s="142" t="n"/>
      <c r="BE48" s="378" t="n"/>
      <c r="BF48" s="142" t="n"/>
      <c r="BG48" s="378" t="n"/>
      <c r="BH48" s="142" t="n"/>
      <c r="BI48" s="318" t="n"/>
      <c r="BJ48" s="142" t="n"/>
      <c r="BK48" s="318" t="n"/>
      <c r="BL48" s="142" t="n"/>
      <c r="BM48" s="318" t="n"/>
      <c r="BN48" s="142" t="n"/>
      <c r="BO48" s="318" t="n"/>
      <c r="BP48" s="318" t="n"/>
      <c r="BQ48" s="142" t="n"/>
      <c r="BR48" s="318" t="n"/>
      <c r="BS48" s="142" t="n"/>
      <c r="BT48" s="318" t="n"/>
      <c r="BU48" s="142" t="n"/>
      <c r="BV48" s="318" t="n"/>
      <c r="BW48" s="142" t="n"/>
      <c r="BX48" s="318" t="n"/>
      <c r="BY48" s="142" t="n"/>
      <c r="BZ48" s="318" t="n"/>
      <c r="CA48" s="142" t="n"/>
      <c r="CB48" s="318" t="n"/>
      <c r="CC48" s="142" t="n"/>
      <c r="CD48" s="318" t="n"/>
      <c r="CE48" s="142" t="n"/>
      <c r="CF48" s="318" t="n"/>
      <c r="CG48" s="317" t="n"/>
      <c r="CH48" s="318" t="n"/>
      <c r="CI48" s="317" t="n"/>
      <c r="CJ48" s="318" t="n"/>
      <c r="CK48" s="317" t="n"/>
      <c r="CL48" s="318" t="n"/>
      <c r="CM48" s="317" t="n"/>
      <c r="CN48" s="318" t="n"/>
      <c r="CO48" s="80" t="n"/>
      <c r="CP48" s="318" t="n"/>
      <c r="CQ48" s="80" t="n"/>
      <c r="CR48" s="318" t="n"/>
      <c r="CS48" s="80" t="n"/>
      <c r="CT48" s="318" t="n"/>
      <c r="CU48" s="80" t="n"/>
      <c r="CW48" s="318" t="n"/>
      <c r="CX48" s="142" t="n"/>
      <c r="CY48" s="318" t="n"/>
      <c r="CZ48" s="142" t="n"/>
      <c r="DA48" s="318" t="n"/>
      <c r="DB48" s="142" t="n"/>
      <c r="DC48" s="318" t="n"/>
      <c r="DD48" s="142" t="n"/>
      <c r="DE48" s="385" t="n"/>
      <c r="DF48" s="385" t="n"/>
      <c r="DG48" s="214" t="n"/>
    </row>
    <row r="49">
      <c r="A49" s="376" t="n">
        <v>43039</v>
      </c>
      <c r="B49" s="315" t="n">
        <v>21915.8</v>
      </c>
      <c r="C49" s="111">
        <f>B49/B37-1</f>
        <v/>
      </c>
      <c r="D49" s="111" t="n"/>
      <c r="E49" s="315" t="n">
        <v>13022.4</v>
      </c>
      <c r="F49" s="111">
        <f>E49/E37-1</f>
        <v/>
      </c>
      <c r="G49" s="111" t="n"/>
      <c r="H49" s="315" t="n">
        <v>8116.2</v>
      </c>
      <c r="I49" s="111">
        <f>H49/H37-1</f>
        <v/>
      </c>
      <c r="J49" s="111" t="n"/>
      <c r="K49" s="315" t="n">
        <v>777.2</v>
      </c>
      <c r="L49" s="111">
        <f>K49/K37-1</f>
        <v/>
      </c>
      <c r="M49" s="111" t="n"/>
      <c r="N49" s="315" t="n">
        <v>17746.6</v>
      </c>
      <c r="O49" s="111">
        <f>N49/N37-1</f>
        <v/>
      </c>
      <c r="P49" s="111" t="n"/>
      <c r="Q49" s="315" t="n">
        <v>10882.2</v>
      </c>
      <c r="R49" s="111">
        <f>Q49/Q37-1</f>
        <v/>
      </c>
      <c r="S49" s="111" t="n"/>
      <c r="T49" s="315" t="n">
        <v>6243.4</v>
      </c>
      <c r="U49" s="111">
        <f>T49/T37-1</f>
        <v/>
      </c>
      <c r="V49" s="111" t="n"/>
      <c r="W49" s="315" t="n">
        <v>620.9</v>
      </c>
      <c r="X49" s="111">
        <f>W49/W37-1</f>
        <v/>
      </c>
      <c r="Y49" s="111" t="n"/>
      <c r="Z49" s="315" t="n">
        <v>8986.6</v>
      </c>
      <c r="AA49" s="111">
        <f>Z49/Z37-1</f>
        <v/>
      </c>
      <c r="AB49" s="111" t="n"/>
      <c r="AC49" s="315" t="n">
        <v>7432.8</v>
      </c>
      <c r="AD49" s="111">
        <f>AC49/AC37-1</f>
        <v/>
      </c>
      <c r="AE49" s="111" t="n"/>
      <c r="AF49" s="315" t="n">
        <v>1159.1</v>
      </c>
      <c r="AG49" s="111">
        <f>AF49/AF37-1</f>
        <v/>
      </c>
      <c r="AH49" s="111" t="n"/>
      <c r="AI49" s="315" t="n">
        <v>394.8</v>
      </c>
      <c r="AJ49" s="111">
        <f>AI49/AI37-1</f>
        <v/>
      </c>
      <c r="AK49" s="111" t="n"/>
      <c r="AL49" s="316" t="n">
        <v>81</v>
      </c>
      <c r="AM49" s="380">
        <f>AL49-AL37</f>
        <v/>
      </c>
      <c r="AN49" s="111" t="n"/>
      <c r="AO49" s="316" t="n">
        <v>83.59999999999999</v>
      </c>
      <c r="AP49" s="380">
        <f>AO49-AO37</f>
        <v/>
      </c>
      <c r="AQ49" s="111" t="n"/>
      <c r="AR49" s="316" t="n">
        <v>76.90000000000001</v>
      </c>
      <c r="AS49" s="380">
        <f>AR49-AR37</f>
        <v/>
      </c>
      <c r="AT49" s="111" t="n"/>
      <c r="AU49" s="316" t="n">
        <v>79.90000000000001</v>
      </c>
      <c r="AV49" s="380">
        <f>AU49-AU37</f>
        <v/>
      </c>
      <c r="AW49" s="111" t="n"/>
      <c r="AX49" s="377" t="n">
        <v>643</v>
      </c>
      <c r="AY49" s="111">
        <f>AX49/AX37-1</f>
        <v/>
      </c>
      <c r="AZ49" s="111" t="n"/>
      <c r="BA49" s="378" t="n"/>
      <c r="BB49" s="142" t="n"/>
      <c r="BC49" s="378" t="n"/>
      <c r="BD49" s="142" t="n"/>
      <c r="BE49" s="378" t="n"/>
      <c r="BF49" s="142" t="n"/>
      <c r="BG49" s="378" t="n"/>
      <c r="BH49" s="142" t="n"/>
      <c r="BI49" s="318" t="n"/>
      <c r="BJ49" s="142" t="n"/>
      <c r="BK49" s="318" t="n"/>
      <c r="BL49" s="142" t="n"/>
      <c r="BM49" s="318" t="n"/>
      <c r="BN49" s="142" t="n"/>
      <c r="BO49" s="318" t="n"/>
      <c r="BP49" s="318" t="n"/>
      <c r="BQ49" s="142" t="n"/>
      <c r="BR49" s="318" t="n"/>
      <c r="BS49" s="142" t="n"/>
      <c r="BT49" s="318" t="n"/>
      <c r="BU49" s="142" t="n"/>
      <c r="BV49" s="318" t="n"/>
      <c r="BW49" s="142" t="n"/>
      <c r="BX49" s="318" t="n"/>
      <c r="BY49" s="142" t="n"/>
      <c r="BZ49" s="318" t="n"/>
      <c r="CA49" s="142" t="n"/>
      <c r="CB49" s="318" t="n"/>
      <c r="CC49" s="142" t="n"/>
      <c r="CD49" s="318" t="n"/>
      <c r="CE49" s="142" t="n"/>
      <c r="CF49" s="318" t="n"/>
      <c r="CG49" s="317" t="n"/>
      <c r="CH49" s="318" t="n"/>
      <c r="CI49" s="317" t="n"/>
      <c r="CJ49" s="318" t="n"/>
      <c r="CK49" s="317" t="n"/>
      <c r="CL49" s="318" t="n"/>
      <c r="CM49" s="317" t="n"/>
      <c r="CN49" s="318" t="n"/>
      <c r="CO49" s="80" t="n"/>
      <c r="CP49" s="318" t="n"/>
      <c r="CQ49" s="80" t="n"/>
      <c r="CR49" s="318" t="n"/>
      <c r="CS49" s="80" t="n"/>
      <c r="CT49" s="318" t="n"/>
      <c r="CU49" s="80" t="n"/>
      <c r="CW49" s="318" t="n"/>
      <c r="CX49" s="142" t="n"/>
      <c r="CY49" s="318" t="n"/>
      <c r="CZ49" s="142" t="n"/>
      <c r="DA49" s="318" t="n"/>
      <c r="DB49" s="142" t="n"/>
      <c r="DC49" s="318" t="n"/>
      <c r="DD49" s="142" t="n"/>
      <c r="DE49" s="385" t="n"/>
      <c r="DF49" s="385" t="n"/>
      <c r="DG49" s="214" t="n"/>
    </row>
    <row r="50">
      <c r="A50" s="376" t="n">
        <v>43069</v>
      </c>
      <c r="B50" s="315" t="n">
        <v>21009.7</v>
      </c>
      <c r="C50" s="111">
        <f>B50/B38-1</f>
        <v/>
      </c>
      <c r="D50" s="111" t="n"/>
      <c r="E50" s="315" t="n">
        <v>12752.3</v>
      </c>
      <c r="F50" s="111">
        <f>E50/E38-1</f>
        <v/>
      </c>
      <c r="G50" s="111" t="n"/>
      <c r="H50" s="315" t="n">
        <v>7496.8</v>
      </c>
      <c r="I50" s="111">
        <f>H50/H38-1</f>
        <v/>
      </c>
      <c r="J50" s="111" t="n"/>
      <c r="K50" s="315" t="n">
        <v>760.6</v>
      </c>
      <c r="L50" s="111">
        <f>K50/K38-1</f>
        <v/>
      </c>
      <c r="M50" s="111" t="n"/>
      <c r="N50" s="315" t="n">
        <v>17105.3</v>
      </c>
      <c r="O50" s="111">
        <f>N50/N38-1</f>
        <v/>
      </c>
      <c r="P50" s="111" t="n"/>
      <c r="Q50" s="315" t="n">
        <v>10648.6</v>
      </c>
      <c r="R50" s="111">
        <f>Q50/Q38-1</f>
        <v/>
      </c>
      <c r="S50" s="111" t="n"/>
      <c r="T50" s="315" t="n">
        <v>5826.2</v>
      </c>
      <c r="U50" s="111">
        <f>T50/T38-1</f>
        <v/>
      </c>
      <c r="V50" s="111" t="n"/>
      <c r="W50" s="315" t="n">
        <v>630.5</v>
      </c>
      <c r="X50" s="111">
        <f>W50/W38-1</f>
        <v/>
      </c>
      <c r="Y50" s="111" t="n"/>
      <c r="Z50" s="315" t="n">
        <v>8668.700000000001</v>
      </c>
      <c r="AA50" s="111">
        <f>Z50/Z38-1</f>
        <v/>
      </c>
      <c r="AB50" s="111" t="n"/>
      <c r="AC50" s="315" t="n">
        <v>7157.5</v>
      </c>
      <c r="AD50" s="111">
        <f>AC50/AC38-1</f>
        <v/>
      </c>
      <c r="AE50" s="111" t="n"/>
      <c r="AF50" s="315" t="n">
        <v>1110.3</v>
      </c>
      <c r="AG50" s="111">
        <f>AF50/AF38-1</f>
        <v/>
      </c>
      <c r="AH50" s="111" t="n"/>
      <c r="AI50" s="315" t="n">
        <v>400.9</v>
      </c>
      <c r="AJ50" s="111">
        <f>AI50/AI38-1</f>
        <v/>
      </c>
      <c r="AK50" s="111" t="n"/>
      <c r="AL50" s="316" t="n">
        <v>81.40000000000001</v>
      </c>
      <c r="AM50" s="380">
        <f>AL50-AL38</f>
        <v/>
      </c>
      <c r="AN50" s="111" t="n"/>
      <c r="AO50" s="316" t="n">
        <v>83.5</v>
      </c>
      <c r="AP50" s="380">
        <f>AO50-AO38</f>
        <v/>
      </c>
      <c r="AQ50" s="111" t="n"/>
      <c r="AR50" s="316" t="n">
        <v>77.7</v>
      </c>
      <c r="AS50" s="380">
        <f>AR50-AR38</f>
        <v/>
      </c>
      <c r="AT50" s="111" t="n"/>
      <c r="AU50" s="316" t="n">
        <v>82.90000000000001</v>
      </c>
      <c r="AV50" s="380">
        <f>AU50-AU38</f>
        <v/>
      </c>
      <c r="AW50" s="111" t="n"/>
      <c r="AX50" s="377" t="n">
        <v>646</v>
      </c>
      <c r="AY50" s="111">
        <f>AX50/AX38-1</f>
        <v/>
      </c>
      <c r="AZ50" s="111" t="n"/>
      <c r="BA50" s="378" t="n"/>
      <c r="BB50" s="142" t="n"/>
      <c r="BC50" s="378" t="n"/>
      <c r="BD50" s="142" t="n"/>
      <c r="BE50" s="378" t="n"/>
      <c r="BF50" s="142" t="n"/>
      <c r="BG50" s="378" t="n"/>
      <c r="BH50" s="142" t="n"/>
      <c r="BI50" s="318" t="n"/>
      <c r="BJ50" s="142" t="n"/>
      <c r="BK50" s="318" t="n"/>
      <c r="BL50" s="142" t="n"/>
      <c r="BM50" s="318" t="n"/>
      <c r="BN50" s="142" t="n"/>
      <c r="BO50" s="318" t="n"/>
      <c r="BP50" s="318" t="n"/>
      <c r="BQ50" s="142" t="n"/>
      <c r="BR50" s="318" t="n"/>
      <c r="BS50" s="142" t="n"/>
      <c r="BT50" s="318" t="n"/>
      <c r="BU50" s="142" t="n"/>
      <c r="BV50" s="318" t="n"/>
      <c r="BW50" s="142" t="n"/>
      <c r="BX50" s="318" t="n"/>
      <c r="BY50" s="142" t="n"/>
      <c r="BZ50" s="318" t="n"/>
      <c r="CA50" s="142" t="n"/>
      <c r="CB50" s="318" t="n"/>
      <c r="CC50" s="142" t="n"/>
      <c r="CD50" s="318" t="n"/>
      <c r="CE50" s="142" t="n"/>
      <c r="CF50" s="318" t="n"/>
      <c r="CG50" s="317" t="n"/>
      <c r="CH50" s="318" t="n"/>
      <c r="CI50" s="317" t="n"/>
      <c r="CJ50" s="318" t="n"/>
      <c r="CK50" s="317" t="n"/>
      <c r="CL50" s="318" t="n"/>
      <c r="CM50" s="317" t="n"/>
      <c r="CN50" s="318" t="n"/>
      <c r="CO50" s="80" t="n"/>
      <c r="CP50" s="318" t="n"/>
      <c r="CQ50" s="80" t="n"/>
      <c r="CR50" s="318" t="n"/>
      <c r="CS50" s="80" t="n"/>
      <c r="CT50" s="318" t="n"/>
      <c r="CU50" s="80" t="n"/>
      <c r="CW50" s="318" t="n"/>
      <c r="CX50" s="142" t="n"/>
      <c r="CY50" s="318" t="n"/>
      <c r="CZ50" s="142" t="n"/>
      <c r="DA50" s="318" t="n"/>
      <c r="DB50" s="142" t="n"/>
      <c r="DC50" s="318" t="n"/>
      <c r="DD50" s="142" t="n"/>
      <c r="DE50" s="385" t="n"/>
      <c r="DF50" s="385" t="n"/>
      <c r="DG50" s="214" t="n"/>
    </row>
    <row r="51">
      <c r="A51" s="376" t="n">
        <v>43100</v>
      </c>
      <c r="B51" s="315" t="n">
        <v>21607.6</v>
      </c>
      <c r="C51" s="111">
        <f>B51/B39-1</f>
        <v/>
      </c>
      <c r="D51" s="111" t="n"/>
      <c r="E51" s="315" t="n">
        <v>12648</v>
      </c>
      <c r="F51" s="111">
        <f>E51/E39-1</f>
        <v/>
      </c>
      <c r="G51" s="111" t="n"/>
      <c r="H51" s="315" t="n">
        <v>8188</v>
      </c>
      <c r="I51" s="111">
        <f>H51/H39-1</f>
        <v/>
      </c>
      <c r="J51" s="111" t="n"/>
      <c r="K51" s="315" t="n">
        <v>771.6</v>
      </c>
      <c r="L51" s="111">
        <f>K51/K39-1</f>
        <v/>
      </c>
      <c r="M51" s="111" t="n"/>
      <c r="N51" s="315" t="n">
        <v>17355.5</v>
      </c>
      <c r="O51" s="111">
        <f>N51/N39-1</f>
        <v/>
      </c>
      <c r="P51" s="111" t="n"/>
      <c r="Q51" s="315" t="n">
        <v>10303.8</v>
      </c>
      <c r="R51" s="111">
        <f>Q51/Q39-1</f>
        <v/>
      </c>
      <c r="S51" s="111" t="n"/>
      <c r="T51" s="315" t="n">
        <v>6410.9</v>
      </c>
      <c r="U51" s="111">
        <f>T51/T39-1</f>
        <v/>
      </c>
      <c r="V51" s="111" t="n"/>
      <c r="W51" s="315" t="n">
        <v>640.8</v>
      </c>
      <c r="X51" s="111">
        <f>W51/W39-1</f>
        <v/>
      </c>
      <c r="Y51" s="111" t="n"/>
      <c r="Z51" s="315" t="n">
        <v>8545.6</v>
      </c>
      <c r="AA51" s="111">
        <f>Z51/Z39-1</f>
        <v/>
      </c>
      <c r="AB51" s="111" t="n"/>
      <c r="AC51" s="315" t="n">
        <v>6914.4</v>
      </c>
      <c r="AD51" s="111">
        <f>AC51/AC39-1</f>
        <v/>
      </c>
      <c r="AE51" s="111" t="n"/>
      <c r="AF51" s="315" t="n">
        <v>1219.1</v>
      </c>
      <c r="AG51" s="111">
        <f>AF51/AF39-1</f>
        <v/>
      </c>
      <c r="AH51" s="111" t="n"/>
      <c r="AI51" s="315" t="n">
        <v>412.1</v>
      </c>
      <c r="AJ51" s="111">
        <f>AI51/AI39-1</f>
        <v/>
      </c>
      <c r="AK51" s="111" t="n"/>
      <c r="AL51" s="316" t="n">
        <v>80.3</v>
      </c>
      <c r="AM51" s="380">
        <f>AL51-AL39</f>
        <v/>
      </c>
      <c r="AN51" s="111" t="n"/>
      <c r="AO51" s="316" t="n">
        <v>81.5</v>
      </c>
      <c r="AP51" s="380">
        <f>AO51-AO39</f>
        <v/>
      </c>
      <c r="AQ51" s="111" t="n"/>
      <c r="AR51" s="316" t="n">
        <v>78.3</v>
      </c>
      <c r="AS51" s="380">
        <f>AR51-AR39</f>
        <v/>
      </c>
      <c r="AT51" s="111" t="n"/>
      <c r="AU51" s="316" t="n">
        <v>83</v>
      </c>
      <c r="AV51" s="380">
        <f>AU51-AU39</f>
        <v/>
      </c>
      <c r="AW51" s="111" t="n"/>
      <c r="AX51" s="377" t="n">
        <v>655</v>
      </c>
      <c r="AY51" s="111">
        <f>AX51/AX39-1</f>
        <v/>
      </c>
      <c r="AZ51" s="111" t="n"/>
      <c r="BA51" s="378" t="n"/>
      <c r="BB51" s="142" t="n"/>
      <c r="BC51" s="378" t="n"/>
      <c r="BD51" s="142" t="n"/>
      <c r="BE51" s="378" t="n"/>
      <c r="BF51" s="142" t="n"/>
      <c r="BG51" s="378" t="n"/>
      <c r="BH51" s="142" t="n"/>
      <c r="BI51" s="318" t="n"/>
      <c r="BJ51" s="142" t="n"/>
      <c r="BK51" s="318" t="n"/>
      <c r="BL51" s="142" t="n"/>
      <c r="BM51" s="318" t="n"/>
      <c r="BN51" s="142" t="n"/>
      <c r="BO51" s="318" t="n"/>
      <c r="BP51" s="318" t="n"/>
      <c r="BQ51" s="142" t="n"/>
      <c r="BR51" s="318" t="n"/>
      <c r="BS51" s="142" t="n"/>
      <c r="BT51" s="318" t="n"/>
      <c r="BU51" s="142" t="n"/>
      <c r="BV51" s="318" t="n"/>
      <c r="BW51" s="142" t="n"/>
      <c r="BX51" s="318" t="n"/>
      <c r="BY51" s="142" t="n"/>
      <c r="BZ51" s="318" t="n"/>
      <c r="CA51" s="142" t="n"/>
      <c r="CB51" s="318" t="n"/>
      <c r="CC51" s="142" t="n"/>
      <c r="CD51" s="318" t="n"/>
      <c r="CE51" s="142" t="n"/>
      <c r="CF51" s="318" t="n"/>
      <c r="CG51" s="317" t="n"/>
      <c r="CH51" s="318" t="n"/>
      <c r="CI51" s="317" t="n"/>
      <c r="CJ51" s="318" t="n"/>
      <c r="CK51" s="317" t="n"/>
      <c r="CL51" s="318" t="n"/>
      <c r="CM51" s="317" t="n"/>
      <c r="CN51" s="318" t="n"/>
      <c r="CO51" s="80" t="n"/>
      <c r="CP51" s="318" t="n"/>
      <c r="CQ51" s="80" t="n"/>
      <c r="CR51" s="318" t="n"/>
      <c r="CS51" s="80" t="n"/>
      <c r="CT51" s="318" t="n"/>
      <c r="CU51" s="80" t="n"/>
      <c r="CW51" s="318" t="n"/>
      <c r="CX51" s="142" t="n"/>
      <c r="CY51" s="318" t="n"/>
      <c r="CZ51" s="142" t="n"/>
      <c r="DA51" s="318" t="n"/>
      <c r="DB51" s="142" t="n"/>
      <c r="DC51" s="318" t="n"/>
      <c r="DD51" s="142" t="n"/>
      <c r="DE51" s="385" t="n"/>
      <c r="DF51" s="385" t="n"/>
      <c r="DG51" s="214" t="n"/>
    </row>
    <row r="52" ht="13" customFormat="1" customHeight="1" s="200">
      <c r="A52" s="371" t="n">
        <v>43131</v>
      </c>
      <c r="B52" s="381" t="n">
        <v>22115.5</v>
      </c>
      <c r="C52" s="111">
        <f>B52/B40-1</f>
        <v/>
      </c>
      <c r="D52" s="111" t="n"/>
      <c r="E52" s="381" t="n">
        <v>13024</v>
      </c>
      <c r="F52" s="111">
        <f>E52/E40-1</f>
        <v/>
      </c>
      <c r="G52" s="111" t="n"/>
      <c r="H52" s="381" t="n">
        <v>8313.6</v>
      </c>
      <c r="I52" s="111">
        <f>H52/H40-1</f>
        <v/>
      </c>
      <c r="J52" s="111" t="n"/>
      <c r="K52" s="381" t="n">
        <v>777.9</v>
      </c>
      <c r="L52" s="111">
        <f>K52/K40-1</f>
        <v/>
      </c>
      <c r="M52" s="111" t="n"/>
      <c r="N52" s="381" t="n">
        <v>17468.3</v>
      </c>
      <c r="O52" s="111">
        <f>N52/N40-1</f>
        <v/>
      </c>
      <c r="P52" s="111" t="n"/>
      <c r="Q52" s="381" t="n">
        <v>10456.5</v>
      </c>
      <c r="R52" s="111">
        <f>Q52/Q40-1</f>
        <v/>
      </c>
      <c r="S52" s="111" t="n"/>
      <c r="T52" s="381" t="n">
        <v>6395</v>
      </c>
      <c r="U52" s="111">
        <f>T52/T40-1</f>
        <v/>
      </c>
      <c r="V52" s="111" t="n"/>
      <c r="W52" s="381" t="n">
        <v>616.8</v>
      </c>
      <c r="X52" s="111">
        <f>W52/W40-1</f>
        <v/>
      </c>
      <c r="Y52" s="111" t="n"/>
      <c r="Z52" s="381" t="n">
        <v>8590.299999999999</v>
      </c>
      <c r="AA52" s="111">
        <f>Z52/Z40-1</f>
        <v/>
      </c>
      <c r="AB52" s="111" t="n"/>
      <c r="AC52" s="381" t="n">
        <v>6980.8</v>
      </c>
      <c r="AD52" s="111">
        <f>AC52/AC40-1</f>
        <v/>
      </c>
      <c r="AE52" s="111" t="n"/>
      <c r="AF52" s="381" t="n">
        <v>1218.8</v>
      </c>
      <c r="AG52" s="111">
        <f>AF52/AF40-1</f>
        <v/>
      </c>
      <c r="AH52" s="111" t="n"/>
      <c r="AI52" s="381" t="n">
        <v>390.7</v>
      </c>
      <c r="AJ52" s="111">
        <f>AI52/AI40-1</f>
        <v/>
      </c>
      <c r="AK52" s="111" t="n"/>
      <c r="AL52" s="382" t="n">
        <v>79</v>
      </c>
      <c r="AM52" s="380">
        <f>AL52-AL40</f>
        <v/>
      </c>
      <c r="AN52" s="111" t="n"/>
      <c r="AO52" s="382" t="n">
        <v>80.3</v>
      </c>
      <c r="AP52" s="380">
        <f>AO52-AO40</f>
        <v/>
      </c>
      <c r="AQ52" s="111" t="n"/>
      <c r="AR52" s="382" t="n">
        <v>76.90000000000001</v>
      </c>
      <c r="AS52" s="380">
        <f>AR52-AR40</f>
        <v/>
      </c>
      <c r="AT52" s="111" t="n"/>
      <c r="AU52" s="382" t="n">
        <v>79.3</v>
      </c>
      <c r="AV52" s="380">
        <f>AU52-AU40</f>
        <v/>
      </c>
      <c r="AW52" s="111" t="n"/>
      <c r="AX52" s="383" t="n">
        <v>655</v>
      </c>
      <c r="AY52" s="111">
        <f>AX52/AX40-1</f>
        <v/>
      </c>
      <c r="AZ52" s="111" t="n"/>
      <c r="BA52" s="381" t="n"/>
      <c r="BB52" s="142" t="n"/>
      <c r="BC52" s="381" t="n"/>
      <c r="BD52" s="217" t="n"/>
      <c r="BE52" s="381" t="n"/>
      <c r="BF52" s="217" t="n"/>
      <c r="BG52" s="381" t="n"/>
      <c r="BH52" s="217" t="n"/>
      <c r="BI52" s="381" t="n"/>
      <c r="BJ52" s="217" t="n"/>
      <c r="BK52" s="381" t="n"/>
      <c r="BL52" s="217" t="n"/>
      <c r="BM52" s="381" t="n"/>
      <c r="BN52" s="217" t="n"/>
      <c r="BO52" s="381" t="n"/>
      <c r="BP52" s="381" t="n"/>
      <c r="BQ52" s="217" t="n"/>
      <c r="BR52" s="381" t="n"/>
      <c r="BS52" s="217" t="n"/>
      <c r="BT52" s="381" t="n"/>
      <c r="BU52" s="217" t="n"/>
      <c r="BV52" s="381" t="n"/>
      <c r="BW52" s="217" t="n"/>
      <c r="BX52" s="381" t="n"/>
      <c r="BY52" s="217" t="n"/>
      <c r="BZ52" s="381" t="n"/>
      <c r="CA52" s="217" t="n"/>
      <c r="CB52" s="381" t="n"/>
      <c r="CC52" s="217" t="n"/>
      <c r="CD52" s="381" t="n"/>
      <c r="CE52" s="217" t="n"/>
      <c r="CF52" s="381" t="n"/>
      <c r="CG52" s="381" t="n"/>
      <c r="CH52" s="381" t="n"/>
      <c r="CI52" s="381" t="n"/>
      <c r="CJ52" s="381" t="n"/>
      <c r="CK52" s="381" t="n"/>
      <c r="CL52" s="381" t="n"/>
      <c r="CM52" s="381" t="n"/>
      <c r="CN52" s="381" t="n"/>
      <c r="CO52" s="218" t="n"/>
      <c r="CP52" s="381" t="n"/>
      <c r="CQ52" s="218" t="n"/>
      <c r="CR52" s="381" t="n"/>
      <c r="CS52" s="218" t="n"/>
      <c r="CT52" s="381" t="n"/>
      <c r="CU52" s="218" t="n"/>
      <c r="CW52" s="381" t="n"/>
      <c r="CX52" s="217" t="n"/>
      <c r="CY52" s="381" t="n"/>
      <c r="CZ52" s="217" t="n"/>
      <c r="DA52" s="381" t="n"/>
      <c r="DB52" s="217" t="n"/>
      <c r="DC52" s="381" t="n"/>
      <c r="DD52" s="217" t="n"/>
      <c r="DE52" s="384" t="n"/>
      <c r="DF52" s="384" t="n"/>
    </row>
    <row r="53">
      <c r="A53" s="376" t="n">
        <v>43159</v>
      </c>
      <c r="B53" s="315" t="n">
        <v>20901.3</v>
      </c>
      <c r="C53" s="111">
        <f>B53/B41-1</f>
        <v/>
      </c>
      <c r="D53" s="111" t="n"/>
      <c r="E53" s="315" t="n">
        <v>12660</v>
      </c>
      <c r="F53" s="111">
        <f>E53/E41-1</f>
        <v/>
      </c>
      <c r="G53" s="111" t="n"/>
      <c r="H53" s="315" t="n">
        <v>7419.4</v>
      </c>
      <c r="I53" s="111">
        <f>H53/H41-1</f>
        <v/>
      </c>
      <c r="J53" s="111" t="n"/>
      <c r="K53" s="315" t="n">
        <v>821.9</v>
      </c>
      <c r="L53" s="111">
        <f>K53/K41-1</f>
        <v/>
      </c>
      <c r="M53" s="111" t="n"/>
      <c r="N53" s="315" t="n">
        <v>17268.5</v>
      </c>
      <c r="O53" s="111">
        <f>N53/N41-1</f>
        <v/>
      </c>
      <c r="P53" s="111" t="n"/>
      <c r="Q53" s="315" t="n">
        <v>10721.3</v>
      </c>
      <c r="R53" s="111">
        <f>Q53/Q41-1</f>
        <v/>
      </c>
      <c r="S53" s="111" t="n"/>
      <c r="T53" s="315" t="n">
        <v>5888.6</v>
      </c>
      <c r="U53" s="111">
        <f>T53/T41-1</f>
        <v/>
      </c>
      <c r="V53" s="111" t="n"/>
      <c r="W53" s="315" t="n">
        <v>658.6</v>
      </c>
      <c r="X53" s="111">
        <f>W53/W41-1</f>
        <v/>
      </c>
      <c r="Y53" s="111" t="n"/>
      <c r="Z53" s="315" t="n">
        <v>8768.9</v>
      </c>
      <c r="AA53" s="111">
        <f>Z53/Z41-1</f>
        <v/>
      </c>
      <c r="AB53" s="111" t="n"/>
      <c r="AC53" s="315" t="n">
        <v>7158.6</v>
      </c>
      <c r="AD53" s="111">
        <f>AC53/AC41-1</f>
        <v/>
      </c>
      <c r="AE53" s="111" t="n"/>
      <c r="AF53" s="315" t="n">
        <v>1180.4</v>
      </c>
      <c r="AG53" s="111">
        <f>AF53/AF41-1</f>
        <v/>
      </c>
      <c r="AH53" s="111" t="n"/>
      <c r="AI53" s="315" t="n">
        <v>429.9</v>
      </c>
      <c r="AJ53" s="111">
        <f>AI53/AI41-1</f>
        <v/>
      </c>
      <c r="AK53" s="111" t="n"/>
      <c r="AL53" s="316" t="n">
        <v>82.59999999999999</v>
      </c>
      <c r="AM53" s="380">
        <f>AL53-AL41</f>
        <v/>
      </c>
      <c r="AN53" s="111" t="n"/>
      <c r="AO53" s="316" t="n">
        <v>84.7</v>
      </c>
      <c r="AP53" s="380">
        <f>AO53-AO41</f>
        <v/>
      </c>
      <c r="AQ53" s="111" t="n"/>
      <c r="AR53" s="316" t="n">
        <v>79.40000000000001</v>
      </c>
      <c r="AS53" s="380">
        <f>AR53-AR41</f>
        <v/>
      </c>
      <c r="AT53" s="111" t="n"/>
      <c r="AU53" s="316" t="n">
        <v>80.09999999999999</v>
      </c>
      <c r="AV53" s="380">
        <f>AU53-AU41</f>
        <v/>
      </c>
      <c r="AW53" s="111" t="n"/>
      <c r="AX53" s="377" t="n">
        <v>654</v>
      </c>
      <c r="AY53" s="111">
        <f>AX53/AX41-1</f>
        <v/>
      </c>
      <c r="AZ53" s="111" t="n"/>
      <c r="BA53" s="378" t="n"/>
      <c r="BB53" s="142" t="n"/>
      <c r="BC53" s="378" t="n"/>
      <c r="BD53" s="142" t="n"/>
      <c r="BE53" s="378" t="n"/>
      <c r="BF53" s="142" t="n"/>
      <c r="BG53" s="378" t="n"/>
      <c r="BH53" s="142" t="n"/>
      <c r="BI53" s="318" t="n"/>
      <c r="BJ53" s="142" t="n"/>
      <c r="BK53" s="318" t="n"/>
      <c r="BL53" s="142" t="n"/>
      <c r="BM53" s="318" t="n"/>
      <c r="BN53" s="142" t="n"/>
      <c r="BO53" s="318" t="n"/>
      <c r="BP53" s="318" t="n"/>
      <c r="BQ53" s="142" t="n"/>
      <c r="BR53" s="318" t="n"/>
      <c r="BS53" s="142" t="n"/>
      <c r="BT53" s="318" t="n"/>
      <c r="BU53" s="142" t="n"/>
      <c r="BV53" s="318" t="n"/>
      <c r="BW53" s="142" t="n"/>
      <c r="BX53" s="318" t="n"/>
      <c r="BY53" s="142" t="n"/>
      <c r="BZ53" s="318" t="n"/>
      <c r="CA53" s="142" t="n"/>
      <c r="CB53" s="318" t="n"/>
      <c r="CC53" s="142" t="n"/>
      <c r="CD53" s="318" t="n"/>
      <c r="CE53" s="142" t="n"/>
      <c r="CF53" s="318" t="n"/>
      <c r="CG53" s="317" t="n"/>
      <c r="CH53" s="318" t="n"/>
      <c r="CI53" s="317" t="n"/>
      <c r="CJ53" s="318" t="n"/>
      <c r="CK53" s="317" t="n"/>
      <c r="CL53" s="318" t="n"/>
      <c r="CM53" s="317" t="n"/>
      <c r="CN53" s="318" t="n"/>
      <c r="CO53" s="80" t="n"/>
      <c r="CP53" s="318" t="n"/>
      <c r="CQ53" s="80" t="n"/>
      <c r="CR53" s="318" t="n"/>
      <c r="CS53" s="80" t="n"/>
      <c r="CT53" s="318" t="n"/>
      <c r="CU53" s="80" t="n"/>
      <c r="CW53" s="318" t="n"/>
      <c r="CX53" s="142" t="n"/>
      <c r="CY53" s="318" t="n"/>
      <c r="CZ53" s="142" t="n"/>
      <c r="DA53" s="318" t="n"/>
      <c r="DB53" s="142" t="n"/>
      <c r="DC53" s="318" t="n"/>
      <c r="DD53" s="142" t="n"/>
      <c r="DE53" s="385" t="n"/>
      <c r="DF53" s="385" t="n"/>
      <c r="DG53" s="214" t="n"/>
    </row>
    <row r="54">
      <c r="A54" s="376" t="n">
        <v>43190</v>
      </c>
      <c r="B54" s="315" t="n">
        <v>22711.3</v>
      </c>
      <c r="C54" s="111">
        <f>B54/B42-1</f>
        <v/>
      </c>
      <c r="D54" s="111" t="n"/>
      <c r="E54" s="315" t="n">
        <v>13579.7</v>
      </c>
      <c r="F54" s="111">
        <f>E54/E42-1</f>
        <v/>
      </c>
      <c r="G54" s="111" t="n"/>
      <c r="H54" s="315" t="n">
        <v>8358.200000000001</v>
      </c>
      <c r="I54" s="111">
        <f>H54/H42-1</f>
        <v/>
      </c>
      <c r="J54" s="111" t="n"/>
      <c r="K54" s="315" t="n">
        <v>773.4</v>
      </c>
      <c r="L54" s="111">
        <f>K54/K42-1</f>
        <v/>
      </c>
      <c r="M54" s="111" t="n"/>
      <c r="N54" s="315" t="n">
        <v>18573</v>
      </c>
      <c r="O54" s="111">
        <f>N54/N42-1</f>
        <v/>
      </c>
      <c r="P54" s="111" t="n"/>
      <c r="Q54" s="315" t="n">
        <v>11386.8</v>
      </c>
      <c r="R54" s="111">
        <f>Q54/Q42-1</f>
        <v/>
      </c>
      <c r="S54" s="111" t="n"/>
      <c r="T54" s="315" t="n">
        <v>6576.5</v>
      </c>
      <c r="U54" s="111">
        <f>T54/T42-1</f>
        <v/>
      </c>
      <c r="V54" s="111" t="n"/>
      <c r="W54" s="315" t="n">
        <v>609.8</v>
      </c>
      <c r="X54" s="111">
        <f>W54/W42-1</f>
        <v/>
      </c>
      <c r="Y54" s="111" t="n"/>
      <c r="Z54" s="315" t="n">
        <v>9358.799999999999</v>
      </c>
      <c r="AA54" s="111">
        <f>Z54/Z42-1</f>
        <v/>
      </c>
      <c r="AB54" s="111" t="n"/>
      <c r="AC54" s="315" t="n">
        <v>7682.9</v>
      </c>
      <c r="AD54" s="111">
        <f>AC54/AC42-1</f>
        <v/>
      </c>
      <c r="AE54" s="111" t="n"/>
      <c r="AF54" s="315" t="n">
        <v>1293.2</v>
      </c>
      <c r="AG54" s="111">
        <f>AF54/AF42-1</f>
        <v/>
      </c>
      <c r="AH54" s="111" t="n"/>
      <c r="AI54" s="315" t="n">
        <v>382.7</v>
      </c>
      <c r="AJ54" s="111">
        <f>AI54/AI42-1</f>
        <v/>
      </c>
      <c r="AK54" s="111" t="n"/>
      <c r="AL54" s="316" t="n">
        <v>81.8</v>
      </c>
      <c r="AM54" s="380">
        <f>AL54-AL42</f>
        <v/>
      </c>
      <c r="AN54" s="111" t="n"/>
      <c r="AO54" s="316" t="n">
        <v>83.90000000000001</v>
      </c>
      <c r="AP54" s="380">
        <f>AO54-AO42</f>
        <v/>
      </c>
      <c r="AQ54" s="111" t="n"/>
      <c r="AR54" s="316" t="n">
        <v>78.7</v>
      </c>
      <c r="AS54" s="380">
        <f>AR54-AR42</f>
        <v/>
      </c>
      <c r="AT54" s="111" t="n"/>
      <c r="AU54" s="316" t="n">
        <v>78.8</v>
      </c>
      <c r="AV54" s="380">
        <f>AU54-AU42</f>
        <v/>
      </c>
      <c r="AW54" s="111" t="n"/>
      <c r="AX54" s="377" t="n">
        <v>659</v>
      </c>
      <c r="AY54" s="111">
        <f>AX54/AX42-1</f>
        <v/>
      </c>
      <c r="AZ54" s="111" t="n"/>
      <c r="BA54" s="378" t="n"/>
      <c r="BB54" s="142" t="n"/>
      <c r="BC54" s="378" t="n"/>
      <c r="BD54" s="142" t="n"/>
      <c r="BE54" s="378" t="n"/>
      <c r="BF54" s="142" t="n"/>
      <c r="BG54" s="378" t="n"/>
      <c r="BH54" s="142" t="n"/>
      <c r="BI54" s="318" t="n"/>
      <c r="BJ54" s="142" t="n"/>
      <c r="BK54" s="318" t="n"/>
      <c r="BL54" s="142" t="n"/>
      <c r="BM54" s="318" t="n"/>
      <c r="BN54" s="142" t="n"/>
      <c r="BO54" s="318" t="n"/>
      <c r="BP54" s="318" t="n"/>
      <c r="BQ54" s="142" t="n"/>
      <c r="BR54" s="318" t="n"/>
      <c r="BS54" s="142" t="n"/>
      <c r="BT54" s="318" t="n"/>
      <c r="BU54" s="142" t="n"/>
      <c r="BV54" s="318" t="n"/>
      <c r="BW54" s="142" t="n"/>
      <c r="BX54" s="318" t="n"/>
      <c r="BY54" s="142" t="n"/>
      <c r="BZ54" s="318" t="n"/>
      <c r="CA54" s="142" t="n"/>
      <c r="CB54" s="318" t="n"/>
      <c r="CC54" s="142" t="n"/>
      <c r="CD54" s="318" t="n"/>
      <c r="CE54" s="142" t="n"/>
      <c r="CF54" s="318" t="n"/>
      <c r="CG54" s="317" t="n"/>
      <c r="CH54" s="318" t="n"/>
      <c r="CI54" s="317" t="n"/>
      <c r="CJ54" s="318" t="n"/>
      <c r="CK54" s="317" t="n"/>
      <c r="CL54" s="318" t="n"/>
      <c r="CM54" s="317" t="n"/>
      <c r="CN54" s="318" t="n"/>
      <c r="CO54" s="80" t="n"/>
      <c r="CP54" s="318" t="n"/>
      <c r="CQ54" s="80" t="n"/>
      <c r="CR54" s="318" t="n"/>
      <c r="CS54" s="80" t="n"/>
      <c r="CT54" s="318" t="n"/>
      <c r="CU54" s="80" t="n"/>
      <c r="CW54" s="318" t="n"/>
      <c r="CX54" s="142" t="n"/>
      <c r="CY54" s="318" t="n"/>
      <c r="CZ54" s="142" t="n"/>
      <c r="DA54" s="318" t="n"/>
      <c r="DB54" s="142" t="n"/>
      <c r="DC54" s="318" t="n"/>
      <c r="DD54" s="142" t="n"/>
      <c r="DE54" s="385" t="n"/>
      <c r="DF54" s="385" t="n"/>
      <c r="DG54" s="214" t="n"/>
    </row>
    <row r="55">
      <c r="A55" s="376" t="n">
        <v>43220</v>
      </c>
      <c r="B55" s="315" t="n">
        <v>22569.7</v>
      </c>
      <c r="C55" s="111">
        <f>B55/B43-1</f>
        <v/>
      </c>
      <c r="D55" s="111" t="n"/>
      <c r="E55" s="315" t="n">
        <v>13126.7</v>
      </c>
      <c r="F55" s="111">
        <f>E55/E43-1</f>
        <v/>
      </c>
      <c r="G55" s="111" t="n"/>
      <c r="H55" s="315" t="n">
        <v>8655</v>
      </c>
      <c r="I55" s="111">
        <f>H55/H43-1</f>
        <v/>
      </c>
      <c r="J55" s="111" t="n"/>
      <c r="K55" s="315" t="n">
        <v>788.1</v>
      </c>
      <c r="L55" s="111">
        <f>K55/K43-1</f>
        <v/>
      </c>
      <c r="M55" s="111" t="n"/>
      <c r="N55" s="315" t="n">
        <v>18393.8</v>
      </c>
      <c r="O55" s="111">
        <f>N55/N43-1</f>
        <v/>
      </c>
      <c r="P55" s="111" t="n"/>
      <c r="Q55" s="315" t="n">
        <v>10939.3</v>
      </c>
      <c r="R55" s="111">
        <f>Q55/Q43-1</f>
        <v/>
      </c>
      <c r="S55" s="111" t="n"/>
      <c r="T55" s="315" t="n">
        <v>6805.2</v>
      </c>
      <c r="U55" s="111">
        <f>T55/T43-1</f>
        <v/>
      </c>
      <c r="V55" s="111" t="n"/>
      <c r="W55" s="315" t="n">
        <v>649.3</v>
      </c>
      <c r="X55" s="111">
        <f>W55/W43-1</f>
        <v/>
      </c>
      <c r="Y55" s="111" t="n"/>
      <c r="Z55" s="315" t="n">
        <v>9159</v>
      </c>
      <c r="AA55" s="111">
        <f>Z55/Z43-1</f>
        <v/>
      </c>
      <c r="AB55" s="111" t="n"/>
      <c r="AC55" s="315" t="n">
        <v>7449.9</v>
      </c>
      <c r="AD55" s="111">
        <f>AC55/AC43-1</f>
        <v/>
      </c>
      <c r="AE55" s="111" t="n"/>
      <c r="AF55" s="315" t="n">
        <v>1290</v>
      </c>
      <c r="AG55" s="111">
        <f>AF55/AF43-1</f>
        <v/>
      </c>
      <c r="AH55" s="111" t="n"/>
      <c r="AI55" s="315" t="n">
        <v>419.2</v>
      </c>
      <c r="AJ55" s="111">
        <f>AI55/AI43-1</f>
        <v/>
      </c>
      <c r="AK55" s="111" t="n"/>
      <c r="AL55" s="316" t="n">
        <v>81.5</v>
      </c>
      <c r="AM55" s="380">
        <f>AL55-AL43</f>
        <v/>
      </c>
      <c r="AN55" s="111" t="n"/>
      <c r="AO55" s="316" t="n">
        <v>83.3</v>
      </c>
      <c r="AP55" s="380">
        <f>AO55-AO43</f>
        <v/>
      </c>
      <c r="AQ55" s="111" t="n"/>
      <c r="AR55" s="316" t="n">
        <v>78.59999999999999</v>
      </c>
      <c r="AS55" s="380">
        <f>AR55-AR43</f>
        <v/>
      </c>
      <c r="AT55" s="111" t="n"/>
      <c r="AU55" s="316" t="n">
        <v>82.40000000000001</v>
      </c>
      <c r="AV55" s="380">
        <f>AU55-AU43</f>
        <v/>
      </c>
      <c r="AW55" s="111" t="n"/>
      <c r="AX55" s="377" t="n">
        <v>658</v>
      </c>
      <c r="AY55" s="111">
        <f>AX55/AX43-1</f>
        <v/>
      </c>
      <c r="AZ55" s="111" t="n"/>
      <c r="BA55" s="378" t="n"/>
      <c r="BB55" s="142" t="n"/>
      <c r="BC55" s="378" t="n"/>
      <c r="BD55" s="142" t="n"/>
      <c r="BE55" s="378" t="n"/>
      <c r="BF55" s="142" t="n"/>
      <c r="BG55" s="378" t="n"/>
      <c r="BH55" s="142" t="n"/>
      <c r="BI55" s="318" t="n"/>
      <c r="BJ55" s="142" t="n"/>
      <c r="BK55" s="318" t="n"/>
      <c r="BL55" s="142" t="n"/>
      <c r="BM55" s="318" t="n"/>
      <c r="BN55" s="142" t="n"/>
      <c r="BO55" s="318" t="n"/>
      <c r="BP55" s="318" t="n"/>
      <c r="BQ55" s="142" t="n"/>
      <c r="BR55" s="318" t="n"/>
      <c r="BS55" s="142" t="n"/>
      <c r="BT55" s="318" t="n"/>
      <c r="BU55" s="142" t="n"/>
      <c r="BV55" s="318" t="n"/>
      <c r="BW55" s="142" t="n"/>
      <c r="BX55" s="318" t="n"/>
      <c r="BY55" s="142" t="n"/>
      <c r="BZ55" s="318" t="n"/>
      <c r="CA55" s="142" t="n"/>
      <c r="CB55" s="318" t="n"/>
      <c r="CC55" s="142" t="n"/>
      <c r="CD55" s="318" t="n"/>
      <c r="CE55" s="142" t="n"/>
      <c r="CF55" s="318" t="n"/>
      <c r="CG55" s="317" t="n"/>
      <c r="CH55" s="318" t="n"/>
      <c r="CI55" s="317" t="n"/>
      <c r="CJ55" s="318" t="n"/>
      <c r="CK55" s="317" t="n"/>
      <c r="CL55" s="318" t="n"/>
      <c r="CM55" s="317" t="n"/>
      <c r="CN55" s="318" t="n"/>
      <c r="CO55" s="80" t="n"/>
      <c r="CP55" s="318" t="n"/>
      <c r="CQ55" s="80" t="n"/>
      <c r="CR55" s="318" t="n"/>
      <c r="CS55" s="80" t="n"/>
      <c r="CT55" s="318" t="n"/>
      <c r="CU55" s="80" t="n"/>
      <c r="CW55" s="318" t="n"/>
      <c r="CX55" s="142" t="n"/>
      <c r="CY55" s="318" t="n"/>
      <c r="CZ55" s="142" t="n"/>
      <c r="DA55" s="318" t="n"/>
      <c r="DB55" s="142" t="n"/>
      <c r="DC55" s="318" t="n"/>
      <c r="DD55" s="142" t="n"/>
      <c r="DE55" s="385" t="n"/>
      <c r="DF55" s="385" t="n"/>
      <c r="DG55" s="214" t="n"/>
    </row>
    <row r="56">
      <c r="A56" s="376" t="n">
        <v>43251</v>
      </c>
      <c r="B56" s="315" t="n">
        <v>22949</v>
      </c>
      <c r="C56" s="111">
        <f>B56/B44-1</f>
        <v/>
      </c>
      <c r="D56" s="111" t="n"/>
      <c r="E56" s="315" t="n">
        <v>13420.9</v>
      </c>
      <c r="F56" s="111">
        <f>E56/E44-1</f>
        <v/>
      </c>
      <c r="G56" s="111" t="n"/>
      <c r="H56" s="315" t="n">
        <v>8713.9</v>
      </c>
      <c r="I56" s="111">
        <f>H56/H44-1</f>
        <v/>
      </c>
      <c r="J56" s="111" t="n"/>
      <c r="K56" s="315" t="n">
        <v>814.3</v>
      </c>
      <c r="L56" s="111">
        <f>K56/K44-1</f>
        <v/>
      </c>
      <c r="M56" s="111" t="n"/>
      <c r="N56" s="315" t="n">
        <v>17905.1</v>
      </c>
      <c r="O56" s="111">
        <f>N56/N44-1</f>
        <v/>
      </c>
      <c r="P56" s="111" t="n"/>
      <c r="Q56" s="315" t="n">
        <v>10710.5</v>
      </c>
      <c r="R56" s="111">
        <f>Q56/Q44-1</f>
        <v/>
      </c>
      <c r="S56" s="111" t="n"/>
      <c r="T56" s="315" t="n">
        <v>6547.2</v>
      </c>
      <c r="U56" s="111">
        <f>T56/T44-1</f>
        <v/>
      </c>
      <c r="V56" s="111" t="n"/>
      <c r="W56" s="315" t="n">
        <v>647.4</v>
      </c>
      <c r="X56" s="111">
        <f>W56/W44-1</f>
        <v/>
      </c>
      <c r="Y56" s="111" t="n"/>
      <c r="Z56" s="315" t="n">
        <v>8901</v>
      </c>
      <c r="AA56" s="111">
        <f>Z56/Z44-1</f>
        <v/>
      </c>
      <c r="AB56" s="111" t="n"/>
      <c r="AC56" s="315" t="n">
        <v>7264.5</v>
      </c>
      <c r="AD56" s="111">
        <f>AC56/AC44-1</f>
        <v/>
      </c>
      <c r="AE56" s="111" t="n"/>
      <c r="AF56" s="315" t="n">
        <v>1228.2</v>
      </c>
      <c r="AG56" s="111">
        <f>AF56/AF44-1</f>
        <v/>
      </c>
      <c r="AH56" s="111" t="n"/>
      <c r="AI56" s="315" t="n">
        <v>408.3</v>
      </c>
      <c r="AJ56" s="111">
        <f>AI56/AI44-1</f>
        <v/>
      </c>
      <c r="AK56" s="111" t="n"/>
      <c r="AL56" s="316" t="n">
        <v>78</v>
      </c>
      <c r="AM56" s="380">
        <f>AL56-AL44</f>
        <v/>
      </c>
      <c r="AN56" s="111" t="n"/>
      <c r="AO56" s="316" t="n">
        <v>79.8</v>
      </c>
      <c r="AP56" s="380">
        <f>AO56-AO44</f>
        <v/>
      </c>
      <c r="AQ56" s="111" t="n"/>
      <c r="AR56" s="316" t="n">
        <v>75.09999999999999</v>
      </c>
      <c r="AS56" s="380">
        <f>AR56-AR44</f>
        <v/>
      </c>
      <c r="AT56" s="111" t="n"/>
      <c r="AU56" s="316" t="n">
        <v>79.5</v>
      </c>
      <c r="AV56" s="380">
        <f>AU56-AU44</f>
        <v/>
      </c>
      <c r="AW56" s="111" t="n"/>
      <c r="AX56" s="377" t="n">
        <v>661</v>
      </c>
      <c r="AY56" s="111">
        <f>AX56/AX44-1</f>
        <v/>
      </c>
      <c r="AZ56" s="111" t="n"/>
      <c r="BA56" s="378" t="n"/>
      <c r="BB56" s="142" t="n"/>
      <c r="BC56" s="378" t="n"/>
      <c r="BD56" s="142" t="n"/>
      <c r="BE56" s="378" t="n"/>
      <c r="BF56" s="142" t="n"/>
      <c r="BG56" s="378" t="n"/>
      <c r="BH56" s="142" t="n"/>
      <c r="BI56" s="318" t="n"/>
      <c r="BJ56" s="142" t="n"/>
      <c r="BK56" s="318" t="n"/>
      <c r="BL56" s="142" t="n"/>
      <c r="BM56" s="318" t="n"/>
      <c r="BN56" s="142" t="n"/>
      <c r="BO56" s="318" t="n"/>
      <c r="BP56" s="318" t="n"/>
      <c r="BQ56" s="142" t="n"/>
      <c r="BR56" s="318" t="n"/>
      <c r="BS56" s="142" t="n"/>
      <c r="BT56" s="318" t="n"/>
      <c r="BU56" s="142" t="n"/>
      <c r="BV56" s="318" t="n"/>
      <c r="BW56" s="142" t="n"/>
      <c r="BX56" s="318" t="n"/>
      <c r="BY56" s="142" t="n"/>
      <c r="BZ56" s="318" t="n"/>
      <c r="CA56" s="142" t="n"/>
      <c r="CB56" s="318" t="n"/>
      <c r="CC56" s="142" t="n"/>
      <c r="CD56" s="318" t="n"/>
      <c r="CE56" s="142" t="n"/>
      <c r="CF56" s="318" t="n"/>
      <c r="CG56" s="317" t="n"/>
      <c r="CH56" s="318" t="n"/>
      <c r="CI56" s="317" t="n"/>
      <c r="CJ56" s="318" t="n"/>
      <c r="CK56" s="317" t="n"/>
      <c r="CL56" s="318" t="n"/>
      <c r="CM56" s="317" t="n"/>
      <c r="CN56" s="318" t="n"/>
      <c r="CO56" s="80" t="n"/>
      <c r="CP56" s="318" t="n"/>
      <c r="CQ56" s="80" t="n"/>
      <c r="CR56" s="318" t="n"/>
      <c r="CS56" s="80" t="n"/>
      <c r="CT56" s="318" t="n"/>
      <c r="CU56" s="80" t="n"/>
      <c r="CW56" s="318" t="n"/>
      <c r="CX56" s="142" t="n"/>
      <c r="CY56" s="318" t="n"/>
      <c r="CZ56" s="142" t="n"/>
      <c r="DA56" s="318" t="n"/>
      <c r="DB56" s="142" t="n"/>
      <c r="DC56" s="318" t="n"/>
      <c r="DD56" s="142" t="n"/>
      <c r="DE56" s="385" t="n"/>
      <c r="DF56" s="385" t="n"/>
      <c r="DG56" s="214" t="n"/>
    </row>
    <row r="57">
      <c r="A57" s="376" t="n">
        <v>43281</v>
      </c>
      <c r="B57" s="315" t="n">
        <v>22505.2</v>
      </c>
      <c r="C57" s="111">
        <f>B57/B45-1</f>
        <v/>
      </c>
      <c r="D57" s="111" t="n"/>
      <c r="E57" s="315" t="n">
        <v>13055.8</v>
      </c>
      <c r="F57" s="111">
        <f>E57/E45-1</f>
        <v/>
      </c>
      <c r="G57" s="111" t="n"/>
      <c r="H57" s="315" t="n">
        <v>8639.1</v>
      </c>
      <c r="I57" s="111">
        <f>H57/H45-1</f>
        <v/>
      </c>
      <c r="J57" s="111" t="n"/>
      <c r="K57" s="315" t="n">
        <v>810.4</v>
      </c>
      <c r="L57" s="111">
        <f>K57/K45-1</f>
        <v/>
      </c>
      <c r="M57" s="111" t="n"/>
      <c r="N57" s="315" t="n">
        <v>18030.4</v>
      </c>
      <c r="O57" s="111">
        <f>N57/N45-1</f>
        <v/>
      </c>
      <c r="P57" s="111" t="n"/>
      <c r="Q57" s="315" t="n">
        <v>10705.4</v>
      </c>
      <c r="R57" s="111">
        <f>Q57/Q45-1</f>
        <v/>
      </c>
      <c r="S57" s="111" t="n"/>
      <c r="T57" s="315" t="n">
        <v>6675.5</v>
      </c>
      <c r="U57" s="111">
        <f>T57/T45-1</f>
        <v/>
      </c>
      <c r="V57" s="111" t="n"/>
      <c r="W57" s="315" t="n">
        <v>649.5</v>
      </c>
      <c r="X57" s="111">
        <f>W57/W45-1</f>
        <v/>
      </c>
      <c r="Y57" s="111" t="n"/>
      <c r="Z57" s="315" t="n">
        <v>8949</v>
      </c>
      <c r="AA57" s="111">
        <f>Z57/Z45-1</f>
        <v/>
      </c>
      <c r="AB57" s="111" t="n"/>
      <c r="AC57" s="315" t="n">
        <v>7273.1</v>
      </c>
      <c r="AD57" s="111">
        <f>AC57/AC45-1</f>
        <v/>
      </c>
      <c r="AE57" s="111" t="n"/>
      <c r="AF57" s="315" t="n">
        <v>1263.1</v>
      </c>
      <c r="AG57" s="111">
        <f>AF57/AF45-1</f>
        <v/>
      </c>
      <c r="AH57" s="111" t="n"/>
      <c r="AI57" s="315" t="n">
        <v>412.8</v>
      </c>
      <c r="AJ57" s="111">
        <f>AI57/AI45-1</f>
        <v/>
      </c>
      <c r="AK57" s="111" t="n"/>
      <c r="AL57" s="316" t="n">
        <v>80.09999999999999</v>
      </c>
      <c r="AM57" s="380">
        <f>AL57-AL45</f>
        <v/>
      </c>
      <c r="AN57" s="111" t="n"/>
      <c r="AO57" s="316" t="n">
        <v>82</v>
      </c>
      <c r="AP57" s="380">
        <f>AO57-AO45</f>
        <v/>
      </c>
      <c r="AQ57" s="111" t="n"/>
      <c r="AR57" s="316" t="n">
        <v>77.3</v>
      </c>
      <c r="AS57" s="380">
        <f>AR57-AR45</f>
        <v/>
      </c>
      <c r="AT57" s="111" t="n"/>
      <c r="AU57" s="316" t="n">
        <v>80.2</v>
      </c>
      <c r="AV57" s="380">
        <f>AU57-AU45</f>
        <v/>
      </c>
      <c r="AW57" s="111" t="n"/>
      <c r="AX57" s="377" t="n">
        <v>662</v>
      </c>
      <c r="AY57" s="111">
        <f>AX57/AX45-1</f>
        <v/>
      </c>
      <c r="AZ57" s="111" t="n"/>
      <c r="BA57" s="378" t="n"/>
      <c r="BB57" s="142" t="n"/>
      <c r="BC57" s="378" t="n"/>
      <c r="BD57" s="142" t="n"/>
      <c r="BE57" s="378" t="n"/>
      <c r="BF57" s="142" t="n"/>
      <c r="BG57" s="378" t="n"/>
      <c r="BH57" s="142" t="n"/>
      <c r="BI57" s="318" t="n"/>
      <c r="BJ57" s="142" t="n"/>
      <c r="BK57" s="318" t="n"/>
      <c r="BL57" s="142" t="n"/>
      <c r="BM57" s="318" t="n"/>
      <c r="BN57" s="142" t="n"/>
      <c r="BO57" s="318" t="n"/>
      <c r="BP57" s="318" t="n"/>
      <c r="BQ57" s="142" t="n"/>
      <c r="BR57" s="318" t="n"/>
      <c r="BS57" s="142" t="n"/>
      <c r="BT57" s="318" t="n"/>
      <c r="BU57" s="142" t="n"/>
      <c r="BV57" s="318" t="n"/>
      <c r="BW57" s="142" t="n"/>
      <c r="BX57" s="318" t="n"/>
      <c r="BY57" s="142" t="n"/>
      <c r="BZ57" s="318" t="n"/>
      <c r="CA57" s="142" t="n"/>
      <c r="CB57" s="318" t="n"/>
      <c r="CC57" s="142" t="n"/>
      <c r="CD57" s="318" t="n"/>
      <c r="CE57" s="142" t="n"/>
      <c r="CF57" s="318" t="n"/>
      <c r="CG57" s="317" t="n"/>
      <c r="CH57" s="318" t="n"/>
      <c r="CI57" s="317" t="n"/>
      <c r="CJ57" s="318" t="n"/>
      <c r="CK57" s="317" t="n"/>
      <c r="CL57" s="318" t="n"/>
      <c r="CM57" s="317" t="n"/>
      <c r="CN57" s="318" t="n"/>
      <c r="CO57" s="80" t="n"/>
      <c r="CP57" s="318" t="n"/>
      <c r="CQ57" s="80" t="n"/>
      <c r="CR57" s="318" t="n"/>
      <c r="CS57" s="80" t="n"/>
      <c r="CT57" s="318" t="n"/>
      <c r="CU57" s="80" t="n"/>
      <c r="CW57" s="318" t="n"/>
      <c r="CX57" s="142" t="n"/>
      <c r="CY57" s="318" t="n"/>
      <c r="CZ57" s="142" t="n"/>
      <c r="DA57" s="318" t="n"/>
      <c r="DB57" s="142" t="n"/>
      <c r="DC57" s="318" t="n"/>
      <c r="DD57" s="142" t="n"/>
      <c r="DE57" s="385" t="n"/>
      <c r="DF57" s="385" t="n"/>
      <c r="DG57" s="214" t="n"/>
    </row>
    <row r="58">
      <c r="A58" s="376" t="n">
        <v>43312</v>
      </c>
      <c r="B58" s="315" t="n">
        <v>23825.7</v>
      </c>
      <c r="C58" s="111">
        <f>B58/B46-1</f>
        <v/>
      </c>
      <c r="D58" s="111" t="n"/>
      <c r="E58" s="315" t="n">
        <v>13561</v>
      </c>
      <c r="F58" s="111">
        <f>E58/E46-1</f>
        <v/>
      </c>
      <c r="G58" s="111" t="n"/>
      <c r="H58" s="315" t="n">
        <v>9410.200000000001</v>
      </c>
      <c r="I58" s="111">
        <f>H58/H46-1</f>
        <v/>
      </c>
      <c r="J58" s="111" t="n"/>
      <c r="K58" s="315" t="n">
        <v>854.5</v>
      </c>
      <c r="L58" s="111">
        <f>K58/K46-1</f>
        <v/>
      </c>
      <c r="M58" s="111" t="n"/>
      <c r="N58" s="315" t="n">
        <v>19188</v>
      </c>
      <c r="O58" s="111">
        <f>N58/N46-1</f>
        <v/>
      </c>
      <c r="P58" s="111" t="n"/>
      <c r="Q58" s="315" t="n">
        <v>11199.9</v>
      </c>
      <c r="R58" s="111">
        <f>Q58/Q46-1</f>
        <v/>
      </c>
      <c r="S58" s="111" t="n"/>
      <c r="T58" s="315" t="n">
        <v>7285</v>
      </c>
      <c r="U58" s="111">
        <f>T58/T46-1</f>
        <v/>
      </c>
      <c r="V58" s="111" t="n"/>
      <c r="W58" s="315" t="n">
        <v>703.1</v>
      </c>
      <c r="X58" s="111">
        <f>W58/W46-1</f>
        <v/>
      </c>
      <c r="Y58" s="111" t="n"/>
      <c r="Z58" s="315" t="n">
        <v>9399.4</v>
      </c>
      <c r="AA58" s="111">
        <f>Z58/Z46-1</f>
        <v/>
      </c>
      <c r="AB58" s="111" t="n"/>
      <c r="AC58" s="315" t="n">
        <v>7576.1</v>
      </c>
      <c r="AD58" s="111">
        <f>AC58/AC46-1</f>
        <v/>
      </c>
      <c r="AE58" s="111" t="n"/>
      <c r="AF58" s="315" t="n">
        <v>1368.5</v>
      </c>
      <c r="AG58" s="111">
        <f>AF58/AF46-1</f>
        <v/>
      </c>
      <c r="AH58" s="111" t="n"/>
      <c r="AI58" s="315" t="n">
        <v>454.7</v>
      </c>
      <c r="AJ58" s="111">
        <f>AI58/AI46-1</f>
        <v/>
      </c>
      <c r="AK58" s="111" t="n"/>
      <c r="AL58" s="316" t="n">
        <v>80.5</v>
      </c>
      <c r="AM58" s="380">
        <f>AL58-AL46</f>
        <v/>
      </c>
      <c r="AN58" s="111" t="n"/>
      <c r="AO58" s="316" t="n">
        <v>82.59999999999999</v>
      </c>
      <c r="AP58" s="380">
        <f>AO58-AO46</f>
        <v/>
      </c>
      <c r="AQ58" s="111" t="n"/>
      <c r="AR58" s="316" t="n">
        <v>77.40000000000001</v>
      </c>
      <c r="AS58" s="380">
        <f>AR58-AR46</f>
        <v/>
      </c>
      <c r="AT58" s="111" t="n"/>
      <c r="AU58" s="316" t="n">
        <v>82.3</v>
      </c>
      <c r="AV58" s="380">
        <f>AU58-AU46</f>
        <v/>
      </c>
      <c r="AW58" s="111" t="n"/>
      <c r="AX58" s="377" t="n">
        <v>663</v>
      </c>
      <c r="AY58" s="111">
        <f>AX58/AX46-1</f>
        <v/>
      </c>
      <c r="AZ58" s="111" t="n"/>
      <c r="BA58" s="378" t="n"/>
      <c r="BB58" s="142" t="n"/>
      <c r="BC58" s="378" t="n"/>
      <c r="BD58" s="142" t="n"/>
      <c r="BE58" s="378" t="n"/>
      <c r="BF58" s="142" t="n"/>
      <c r="BG58" s="378" t="n"/>
      <c r="BH58" s="142" t="n"/>
      <c r="BI58" s="318" t="n"/>
      <c r="BJ58" s="142" t="n"/>
      <c r="BK58" s="318" t="n"/>
      <c r="BL58" s="142" t="n"/>
      <c r="BM58" s="318" t="n"/>
      <c r="BN58" s="142" t="n"/>
      <c r="BO58" s="318" t="n"/>
      <c r="BP58" s="318" t="n"/>
      <c r="BQ58" s="142" t="n"/>
      <c r="BR58" s="318" t="n"/>
      <c r="BS58" s="142" t="n"/>
      <c r="BT58" s="318" t="n"/>
      <c r="BU58" s="142" t="n"/>
      <c r="BV58" s="318" t="n"/>
      <c r="BW58" s="142" t="n"/>
      <c r="BX58" s="318" t="n"/>
      <c r="BY58" s="142" t="n"/>
      <c r="BZ58" s="318" t="n"/>
      <c r="CA58" s="142" t="n"/>
      <c r="CB58" s="318" t="n"/>
      <c r="CC58" s="142" t="n"/>
      <c r="CD58" s="318" t="n"/>
      <c r="CE58" s="142" t="n"/>
      <c r="CF58" s="318" t="n"/>
      <c r="CG58" s="317" t="n"/>
      <c r="CH58" s="318" t="n"/>
      <c r="CI58" s="317" t="n"/>
      <c r="CJ58" s="318" t="n"/>
      <c r="CK58" s="317" t="n"/>
      <c r="CL58" s="318" t="n"/>
      <c r="CM58" s="317" t="n"/>
      <c r="CN58" s="318" t="n"/>
      <c r="CO58" s="80" t="n"/>
      <c r="CP58" s="318" t="n"/>
      <c r="CQ58" s="80" t="n"/>
      <c r="CR58" s="318" t="n"/>
      <c r="CS58" s="80" t="n"/>
      <c r="CT58" s="318" t="n"/>
      <c r="CU58" s="80" t="n"/>
      <c r="CW58" s="318" t="n"/>
      <c r="CX58" s="142" t="n"/>
      <c r="CY58" s="318" t="n"/>
      <c r="CZ58" s="142" t="n"/>
      <c r="DA58" s="318" t="n"/>
      <c r="DB58" s="142" t="n"/>
      <c r="DC58" s="318" t="n"/>
      <c r="DD58" s="142" t="n"/>
      <c r="DE58" s="385" t="n"/>
      <c r="DF58" s="385" t="n"/>
      <c r="DG58" s="214" t="n"/>
    </row>
    <row r="59">
      <c r="A59" s="376" t="n">
        <v>43343</v>
      </c>
      <c r="B59" s="315" t="n">
        <v>23847.2</v>
      </c>
      <c r="C59" s="111">
        <f>B59/B47-1</f>
        <v/>
      </c>
      <c r="D59" s="111" t="n"/>
      <c r="E59" s="315" t="n">
        <v>13668</v>
      </c>
      <c r="F59" s="111">
        <f>E59/E47-1</f>
        <v/>
      </c>
      <c r="G59" s="111" t="n"/>
      <c r="H59" s="315" t="n">
        <v>9313.299999999999</v>
      </c>
      <c r="I59" s="111">
        <f>H59/H47-1</f>
        <v/>
      </c>
      <c r="J59" s="111" t="n"/>
      <c r="K59" s="315" t="n">
        <v>865.9</v>
      </c>
      <c r="L59" s="111">
        <f>K59/K47-1</f>
        <v/>
      </c>
      <c r="M59" s="111" t="n"/>
      <c r="N59" s="315" t="n">
        <v>20053.3</v>
      </c>
      <c r="O59" s="111">
        <f>N59/N47-1</f>
        <v/>
      </c>
      <c r="P59" s="111" t="n"/>
      <c r="Q59" s="315" t="n">
        <v>11802.8</v>
      </c>
      <c r="R59" s="111">
        <f>Q59/Q47-1</f>
        <v/>
      </c>
      <c r="S59" s="111" t="n"/>
      <c r="T59" s="315" t="n">
        <v>7499.9</v>
      </c>
      <c r="U59" s="111">
        <f>T59/T47-1</f>
        <v/>
      </c>
      <c r="V59" s="111" t="n"/>
      <c r="W59" s="315" t="n">
        <v>750.7</v>
      </c>
      <c r="X59" s="111">
        <f>W59/W47-1</f>
        <v/>
      </c>
      <c r="Y59" s="111" t="n"/>
      <c r="Z59" s="315" t="n">
        <v>9895.799999999999</v>
      </c>
      <c r="AA59" s="111">
        <f>Z59/Z47-1</f>
        <v/>
      </c>
      <c r="AB59" s="111" t="n"/>
      <c r="AC59" s="315" t="n">
        <v>7990.4</v>
      </c>
      <c r="AD59" s="111">
        <f>AC59/AC47-1</f>
        <v/>
      </c>
      <c r="AE59" s="111" t="n"/>
      <c r="AF59" s="315" t="n">
        <v>1424.5</v>
      </c>
      <c r="AG59" s="111">
        <f>AF59/AF47-1</f>
        <v/>
      </c>
      <c r="AH59" s="111" t="n"/>
      <c r="AI59" s="315" t="n">
        <v>480.9</v>
      </c>
      <c r="AJ59" s="111">
        <f>AI59/AI47-1</f>
        <v/>
      </c>
      <c r="AK59" s="111" t="n"/>
      <c r="AL59" s="316" t="n">
        <v>84.09999999999999</v>
      </c>
      <c r="AM59" s="380">
        <f>AL59-AL47</f>
        <v/>
      </c>
      <c r="AN59" s="111" t="n"/>
      <c r="AO59" s="316" t="n">
        <v>86.40000000000001</v>
      </c>
      <c r="AP59" s="380">
        <f>AO59-AO47</f>
        <v/>
      </c>
      <c r="AQ59" s="111" t="n"/>
      <c r="AR59" s="316" t="n">
        <v>80.5</v>
      </c>
      <c r="AS59" s="380">
        <f>AR59-AR47</f>
        <v/>
      </c>
      <c r="AT59" s="111" t="n"/>
      <c r="AU59" s="316" t="n">
        <v>86.7</v>
      </c>
      <c r="AV59" s="380">
        <f>AU59-AU47</f>
        <v/>
      </c>
      <c r="AW59" s="111" t="n"/>
      <c r="AX59" s="377" t="n">
        <v>668</v>
      </c>
      <c r="AY59" s="111">
        <f>AX59/AX47-1</f>
        <v/>
      </c>
      <c r="AZ59" s="111" t="n"/>
      <c r="BA59" s="378" t="n"/>
      <c r="BB59" s="142" t="n"/>
      <c r="BC59" s="378" t="n"/>
      <c r="BD59" s="142" t="n"/>
      <c r="BE59" s="378" t="n"/>
      <c r="BF59" s="142" t="n"/>
      <c r="BG59" s="378" t="n"/>
      <c r="BH59" s="142" t="n"/>
      <c r="BI59" s="318" t="n"/>
      <c r="BJ59" s="142" t="n"/>
      <c r="BK59" s="318" t="n"/>
      <c r="BL59" s="142" t="n"/>
      <c r="BM59" s="318" t="n"/>
      <c r="BN59" s="142" t="n"/>
      <c r="BO59" s="318" t="n"/>
      <c r="BP59" s="318" t="n"/>
      <c r="BQ59" s="142" t="n"/>
      <c r="BR59" s="318" t="n"/>
      <c r="BS59" s="142" t="n"/>
      <c r="BT59" s="318" t="n"/>
      <c r="BU59" s="142" t="n"/>
      <c r="BV59" s="318" t="n"/>
      <c r="BW59" s="142" t="n"/>
      <c r="BX59" s="318" t="n"/>
      <c r="BY59" s="142" t="n"/>
      <c r="BZ59" s="318" t="n"/>
      <c r="CA59" s="142" t="n"/>
      <c r="CB59" s="318" t="n"/>
      <c r="CC59" s="142" t="n"/>
      <c r="CD59" s="318" t="n"/>
      <c r="CE59" s="142" t="n"/>
      <c r="CF59" s="318" t="n"/>
      <c r="CG59" s="317" t="n"/>
      <c r="CH59" s="318" t="n"/>
      <c r="CI59" s="317" t="n"/>
      <c r="CJ59" s="318" t="n"/>
      <c r="CK59" s="317" t="n"/>
      <c r="CL59" s="318" t="n"/>
      <c r="CM59" s="317" t="n"/>
      <c r="CN59" s="318" t="n"/>
      <c r="CO59" s="80" t="n"/>
      <c r="CP59" s="318" t="n"/>
      <c r="CQ59" s="80" t="n"/>
      <c r="CR59" s="318" t="n"/>
      <c r="CS59" s="80" t="n"/>
      <c r="CT59" s="318" t="n"/>
      <c r="CU59" s="80" t="n"/>
      <c r="CW59" s="318" t="n"/>
      <c r="CX59" s="142" t="n"/>
      <c r="CY59" s="318" t="n"/>
      <c r="CZ59" s="142" t="n"/>
      <c r="DA59" s="318" t="n"/>
      <c r="DB59" s="142" t="n"/>
      <c r="DC59" s="318" t="n"/>
      <c r="DD59" s="142" t="n"/>
      <c r="DE59" s="385" t="n"/>
      <c r="DF59" s="385" t="n"/>
      <c r="DG59" s="386" t="n"/>
    </row>
    <row r="60">
      <c r="A60" s="376" t="n">
        <v>43373</v>
      </c>
      <c r="B60" s="315" t="n">
        <v>22591.7</v>
      </c>
      <c r="C60" s="111">
        <f>B60/B48-1</f>
        <v/>
      </c>
      <c r="D60" s="111" t="n"/>
      <c r="E60" s="315" t="n">
        <v>13055.1</v>
      </c>
      <c r="F60" s="111">
        <f>E60/E48-1</f>
        <v/>
      </c>
      <c r="G60" s="111" t="n"/>
      <c r="H60" s="315" t="n">
        <v>8807.9</v>
      </c>
      <c r="I60" s="111">
        <f>H60/H48-1</f>
        <v/>
      </c>
      <c r="J60" s="111" t="n"/>
      <c r="K60" s="315" t="n">
        <v>728.8</v>
      </c>
      <c r="L60" s="111">
        <f>K60/K48-1</f>
        <v/>
      </c>
      <c r="M60" s="111" t="n"/>
      <c r="N60" s="315" t="n">
        <v>18139.8</v>
      </c>
      <c r="O60" s="111">
        <f>N60/N48-1</f>
        <v/>
      </c>
      <c r="P60" s="111" t="n"/>
      <c r="Q60" s="315" t="n">
        <v>10723</v>
      </c>
      <c r="R60" s="111">
        <f>Q60/Q48-1</f>
        <v/>
      </c>
      <c r="S60" s="111" t="n"/>
      <c r="T60" s="315" t="n">
        <v>6829.2</v>
      </c>
      <c r="U60" s="111">
        <f>T60/T48-1</f>
        <v/>
      </c>
      <c r="V60" s="111" t="n"/>
      <c r="W60" s="315" t="n">
        <v>587.6</v>
      </c>
      <c r="X60" s="111">
        <f>W60/W48-1</f>
        <v/>
      </c>
      <c r="Y60" s="111" t="n"/>
      <c r="Z60" s="315" t="n">
        <v>8911</v>
      </c>
      <c r="AA60" s="111">
        <f>Z60/Z48-1</f>
        <v/>
      </c>
      <c r="AB60" s="111" t="n"/>
      <c r="AC60" s="315" t="n">
        <v>7273.6</v>
      </c>
      <c r="AD60" s="111">
        <f>AC60/AC48-1</f>
        <v/>
      </c>
      <c r="AE60" s="111" t="n"/>
      <c r="AF60" s="315" t="n">
        <v>1260.8</v>
      </c>
      <c r="AG60" s="111">
        <f>AF60/AF48-1</f>
        <v/>
      </c>
      <c r="AH60" s="111" t="n"/>
      <c r="AI60" s="315" t="n">
        <v>376.6</v>
      </c>
      <c r="AJ60" s="111">
        <f>AI60/AI48-1</f>
        <v/>
      </c>
      <c r="AK60" s="111" t="n"/>
      <c r="AL60" s="316" t="n">
        <v>80.3</v>
      </c>
      <c r="AM60" s="380">
        <f>AL60-AL48</f>
        <v/>
      </c>
      <c r="AN60" s="111" t="n"/>
      <c r="AO60" s="316" t="n">
        <v>82.09999999999999</v>
      </c>
      <c r="AP60" s="380">
        <f>AO60-AO48</f>
        <v/>
      </c>
      <c r="AQ60" s="111" t="n"/>
      <c r="AR60" s="316" t="n">
        <v>77.5</v>
      </c>
      <c r="AS60" s="380">
        <f>AR60-AR48</f>
        <v/>
      </c>
      <c r="AT60" s="111" t="n"/>
      <c r="AU60" s="316" t="n">
        <v>80.59999999999999</v>
      </c>
      <c r="AV60" s="380">
        <f>AU60-AU48</f>
        <v/>
      </c>
      <c r="AW60" s="111" t="n"/>
      <c r="AX60" s="377" t="n">
        <v>673</v>
      </c>
      <c r="AY60" s="111">
        <f>AX60/AX48-1</f>
        <v/>
      </c>
      <c r="AZ60" s="111" t="n"/>
      <c r="BA60" s="378" t="n"/>
      <c r="BB60" s="142" t="n"/>
      <c r="BC60" s="378" t="n"/>
      <c r="BD60" s="142" t="n"/>
      <c r="BE60" s="378" t="n"/>
      <c r="BF60" s="142" t="n"/>
      <c r="BG60" s="378" t="n"/>
      <c r="BH60" s="142" t="n"/>
      <c r="BI60" s="318" t="n"/>
      <c r="BJ60" s="142" t="n"/>
      <c r="BK60" s="318" t="n"/>
      <c r="BL60" s="142" t="n"/>
      <c r="BM60" s="318" t="n"/>
      <c r="BN60" s="142" t="n"/>
      <c r="BO60" s="318" t="n"/>
      <c r="BP60" s="318" t="n"/>
      <c r="BQ60" s="142" t="n"/>
      <c r="BR60" s="318" t="n"/>
      <c r="BS60" s="142" t="n"/>
      <c r="BT60" s="318" t="n"/>
      <c r="BU60" s="142" t="n"/>
      <c r="BV60" s="318" t="n"/>
      <c r="BW60" s="142" t="n"/>
      <c r="BX60" s="318" t="n"/>
      <c r="BY60" s="142" t="n"/>
      <c r="BZ60" s="318" t="n"/>
      <c r="CA60" s="142" t="n"/>
      <c r="CB60" s="318" t="n"/>
      <c r="CC60" s="142" t="n"/>
      <c r="CD60" s="318" t="n"/>
      <c r="CE60" s="142" t="n"/>
      <c r="CF60" s="318" t="n"/>
      <c r="CG60" s="317" t="n"/>
      <c r="CH60" s="318" t="n"/>
      <c r="CI60" s="317" t="n"/>
      <c r="CJ60" s="318" t="n"/>
      <c r="CK60" s="317" t="n"/>
      <c r="CL60" s="318" t="n"/>
      <c r="CM60" s="317" t="n"/>
      <c r="CN60" s="318" t="n"/>
      <c r="CO60" s="80" t="n"/>
      <c r="CP60" s="318" t="n"/>
      <c r="CQ60" s="80" t="n"/>
      <c r="CR60" s="318" t="n"/>
      <c r="CS60" s="80" t="n"/>
      <c r="CT60" s="318" t="n"/>
      <c r="CU60" s="80" t="n"/>
      <c r="CW60" s="318" t="n"/>
      <c r="CX60" s="142" t="n"/>
      <c r="CY60" s="318" t="n"/>
      <c r="CZ60" s="142" t="n"/>
      <c r="DA60" s="318" t="n"/>
      <c r="DB60" s="142" t="n"/>
      <c r="DC60" s="318" t="n"/>
      <c r="DD60" s="142" t="n"/>
      <c r="DE60" s="385" t="n"/>
      <c r="DF60" s="385" t="n"/>
      <c r="DG60" s="318" t="n"/>
    </row>
    <row r="61">
      <c r="A61" s="376" t="n">
        <v>43404</v>
      </c>
      <c r="B61" s="315" t="n">
        <v>23619.7</v>
      </c>
      <c r="C61" s="111">
        <f>B61/B49-1</f>
        <v/>
      </c>
      <c r="D61" s="111" t="n"/>
      <c r="E61" s="315" t="n">
        <v>13920</v>
      </c>
      <c r="F61" s="111">
        <f>E61/E49-1</f>
        <v/>
      </c>
      <c r="G61" s="111" t="n"/>
      <c r="H61" s="315" t="n">
        <v>8818.4</v>
      </c>
      <c r="I61" s="111">
        <f>H61/H49-1</f>
        <v/>
      </c>
      <c r="J61" s="111" t="n"/>
      <c r="K61" s="315" t="n">
        <v>881.3</v>
      </c>
      <c r="L61" s="111">
        <f>K61/K49-1</f>
        <v/>
      </c>
      <c r="M61" s="111" t="n"/>
      <c r="N61" s="315" t="n">
        <v>19129.2</v>
      </c>
      <c r="O61" s="111">
        <f>N61/N49-1</f>
        <v/>
      </c>
      <c r="P61" s="111" t="n"/>
      <c r="Q61" s="315" t="n">
        <v>11742</v>
      </c>
      <c r="R61" s="111">
        <f>Q61/Q49-1</f>
        <v/>
      </c>
      <c r="S61" s="111" t="n"/>
      <c r="T61" s="315" t="n">
        <v>6700.6</v>
      </c>
      <c r="U61" s="111">
        <f>T61/T49-1</f>
        <v/>
      </c>
      <c r="V61" s="111" t="n"/>
      <c r="W61" s="315" t="n">
        <v>686.6</v>
      </c>
      <c r="X61" s="111">
        <f>W61/W49-1</f>
        <v/>
      </c>
      <c r="Y61" s="111" t="n"/>
      <c r="Z61" s="315" t="n">
        <v>9695.700000000001</v>
      </c>
      <c r="AA61" s="111">
        <f>Z61/Z49-1</f>
        <v/>
      </c>
      <c r="AB61" s="111" t="n"/>
      <c r="AC61" s="315" t="n">
        <v>7979.4</v>
      </c>
      <c r="AD61" s="111">
        <f>AC61/AC49-1</f>
        <v/>
      </c>
      <c r="AE61" s="111" t="n"/>
      <c r="AF61" s="315" t="n">
        <v>1287.5</v>
      </c>
      <c r="AG61" s="111">
        <f>AF61/AF49-1</f>
        <v/>
      </c>
      <c r="AH61" s="111" t="n"/>
      <c r="AI61" s="315" t="n">
        <v>428.8</v>
      </c>
      <c r="AJ61" s="111">
        <f>AI61/AI49-1</f>
        <v/>
      </c>
      <c r="AK61" s="111" t="n"/>
      <c r="AL61" s="316" t="n">
        <v>81</v>
      </c>
      <c r="AM61" s="380">
        <f>AL61-AL49</f>
        <v/>
      </c>
      <c r="AN61" s="111" t="n"/>
      <c r="AO61" s="316" t="n">
        <v>84.40000000000001</v>
      </c>
      <c r="AP61" s="380">
        <f>AO61-AO49</f>
        <v/>
      </c>
      <c r="AQ61" s="111" t="n"/>
      <c r="AR61" s="316" t="n">
        <v>76</v>
      </c>
      <c r="AS61" s="380">
        <f>AR61-AR49</f>
        <v/>
      </c>
      <c r="AT61" s="111" t="n"/>
      <c r="AU61" s="316" t="n">
        <v>77.90000000000001</v>
      </c>
      <c r="AV61" s="380">
        <f>AU61-AU49</f>
        <v/>
      </c>
      <c r="AW61" s="111" t="n"/>
      <c r="AX61" s="377" t="n">
        <v>679</v>
      </c>
      <c r="AY61" s="111">
        <f>AX61/AX49-1</f>
        <v/>
      </c>
      <c r="AZ61" s="111" t="n"/>
      <c r="BA61" s="378" t="n"/>
      <c r="BB61" s="142" t="n"/>
      <c r="BC61" s="378" t="n"/>
      <c r="BD61" s="142" t="n"/>
      <c r="BE61" s="378" t="n"/>
      <c r="BF61" s="142" t="n"/>
      <c r="BG61" s="378" t="n"/>
      <c r="BH61" s="142" t="n"/>
      <c r="BI61" s="318" t="n"/>
      <c r="BJ61" s="142" t="n"/>
      <c r="BK61" s="318" t="n"/>
      <c r="BL61" s="142" t="n"/>
      <c r="BM61" s="318" t="n"/>
      <c r="BN61" s="142" t="n"/>
      <c r="BO61" s="318" t="n"/>
      <c r="BP61" s="318" t="n"/>
      <c r="BQ61" s="142" t="n"/>
      <c r="BR61" s="318" t="n"/>
      <c r="BS61" s="142" t="n"/>
      <c r="BT61" s="318" t="n"/>
      <c r="BU61" s="142" t="n"/>
      <c r="BV61" s="318" t="n"/>
      <c r="BW61" s="142" t="n"/>
      <c r="BX61" s="318" t="n"/>
      <c r="BY61" s="142" t="n"/>
      <c r="BZ61" s="318" t="n"/>
      <c r="CA61" s="142" t="n"/>
      <c r="CB61" s="318" t="n"/>
      <c r="CC61" s="142" t="n"/>
      <c r="CD61" s="318" t="n"/>
      <c r="CE61" s="142" t="n"/>
      <c r="CF61" s="318" t="n"/>
      <c r="CG61" s="317" t="n"/>
      <c r="CH61" s="318" t="n"/>
      <c r="CI61" s="317" t="n"/>
      <c r="CJ61" s="318" t="n"/>
      <c r="CK61" s="317" t="n"/>
      <c r="CL61" s="318" t="n"/>
      <c r="CM61" s="317" t="n"/>
      <c r="CN61" s="318" t="n"/>
      <c r="CO61" s="80" t="n"/>
      <c r="CP61" s="318" t="n"/>
      <c r="CQ61" s="80" t="n"/>
      <c r="CR61" s="318" t="n"/>
      <c r="CS61" s="80" t="n"/>
      <c r="CT61" s="318" t="n"/>
      <c r="CU61" s="80" t="n"/>
      <c r="CW61" s="318" t="n"/>
      <c r="CX61" s="142" t="n"/>
      <c r="CY61" s="318" t="n"/>
      <c r="CZ61" s="142" t="n"/>
      <c r="DA61" s="318" t="n"/>
      <c r="DB61" s="142" t="n"/>
      <c r="DC61" s="318" t="n"/>
      <c r="DD61" s="142" t="n"/>
      <c r="DE61" s="385" t="n"/>
      <c r="DF61" s="385" t="n"/>
      <c r="DG61" s="386" t="n"/>
    </row>
    <row r="62">
      <c r="A62" s="376" t="n">
        <v>43434</v>
      </c>
      <c r="B62" s="315" t="n">
        <v>22559.6</v>
      </c>
      <c r="C62" s="111">
        <f>B62/B50-1</f>
        <v/>
      </c>
      <c r="D62" s="111" t="n"/>
      <c r="E62" s="315" t="n">
        <v>13352.9</v>
      </c>
      <c r="F62" s="111">
        <f>E62/E50-1</f>
        <v/>
      </c>
      <c r="G62" s="111" t="n"/>
      <c r="H62" s="315" t="n">
        <v>8358.799999999999</v>
      </c>
      <c r="I62" s="111">
        <f>H62/H50-1</f>
        <v/>
      </c>
      <c r="J62" s="111" t="n"/>
      <c r="K62" s="315" t="n">
        <v>848</v>
      </c>
      <c r="L62" s="111">
        <f>K62/K50-1</f>
        <v/>
      </c>
      <c r="M62" s="111" t="n"/>
      <c r="N62" s="315" t="n">
        <v>17958.2</v>
      </c>
      <c r="O62" s="111">
        <f>N62/N50-1</f>
        <v/>
      </c>
      <c r="P62" s="111" t="n"/>
      <c r="Q62" s="315" t="n">
        <v>10845.6</v>
      </c>
      <c r="R62" s="111">
        <f>Q62/Q50-1</f>
        <v/>
      </c>
      <c r="S62" s="111" t="n"/>
      <c r="T62" s="315" t="n">
        <v>6434.5</v>
      </c>
      <c r="U62" s="111">
        <f>T62/T50-1</f>
        <v/>
      </c>
      <c r="V62" s="111" t="n"/>
      <c r="W62" s="315" t="n">
        <v>678.2</v>
      </c>
      <c r="X62" s="111">
        <f>W62/W50-1</f>
        <v/>
      </c>
      <c r="Y62" s="111" t="n"/>
      <c r="Z62" s="315" t="n">
        <v>9015.700000000001</v>
      </c>
      <c r="AA62" s="111">
        <f>Z62/Z50-1</f>
        <v/>
      </c>
      <c r="AB62" s="111" t="n"/>
      <c r="AC62" s="315" t="n">
        <v>7332.6</v>
      </c>
      <c r="AD62" s="111">
        <f>AC62/AC50-1</f>
        <v/>
      </c>
      <c r="AE62" s="111" t="n"/>
      <c r="AF62" s="315" t="n">
        <v>1260</v>
      </c>
      <c r="AG62" s="111">
        <f>AF62/AF50-1</f>
        <v/>
      </c>
      <c r="AH62" s="111" t="n"/>
      <c r="AI62" s="315" t="n">
        <v>423.2</v>
      </c>
      <c r="AJ62" s="111">
        <f>AI62/AI50-1</f>
        <v/>
      </c>
      <c r="AK62" s="111" t="n"/>
      <c r="AL62" s="316" t="n">
        <v>79.59999999999999</v>
      </c>
      <c r="AM62" s="380">
        <f>AL62-AL50</f>
        <v/>
      </c>
      <c r="AN62" s="111" t="n"/>
      <c r="AO62" s="316" t="n">
        <v>81.2</v>
      </c>
      <c r="AP62" s="380">
        <f>AO62-AO50</f>
        <v/>
      </c>
      <c r="AQ62" s="111" t="n"/>
      <c r="AR62" s="316" t="n">
        <v>77</v>
      </c>
      <c r="AS62" s="380">
        <f>AR62-AR50</f>
        <v/>
      </c>
      <c r="AT62" s="111" t="n"/>
      <c r="AU62" s="316" t="n">
        <v>80</v>
      </c>
      <c r="AV62" s="380">
        <f>AU62-AU50</f>
        <v/>
      </c>
      <c r="AW62" s="111" t="n"/>
      <c r="AX62" s="377" t="n">
        <v>680</v>
      </c>
      <c r="AY62" s="111">
        <f>AX62/AX50-1</f>
        <v/>
      </c>
      <c r="AZ62" s="111" t="n"/>
      <c r="BA62" s="378" t="n"/>
      <c r="BB62" s="142" t="n"/>
      <c r="BC62" s="378" t="n"/>
      <c r="BD62" s="142" t="n"/>
      <c r="BE62" s="378" t="n"/>
      <c r="BF62" s="142" t="n"/>
      <c r="BG62" s="378" t="n"/>
      <c r="BH62" s="142" t="n"/>
      <c r="BI62" s="318" t="n"/>
      <c r="BJ62" s="142" t="n"/>
      <c r="BK62" s="318" t="n"/>
      <c r="BL62" s="142" t="n"/>
      <c r="BM62" s="318" t="n"/>
      <c r="BN62" s="142" t="n"/>
      <c r="BO62" s="318" t="n"/>
      <c r="BP62" s="318" t="n"/>
      <c r="BQ62" s="142" t="n"/>
      <c r="BR62" s="318" t="n"/>
      <c r="BS62" s="142" t="n"/>
      <c r="BT62" s="318" t="n"/>
      <c r="BU62" s="142" t="n"/>
      <c r="BV62" s="318" t="n"/>
      <c r="BW62" s="142" t="n"/>
      <c r="BX62" s="318" t="n"/>
      <c r="BY62" s="142" t="n"/>
      <c r="BZ62" s="318" t="n"/>
      <c r="CA62" s="142" t="n"/>
      <c r="CB62" s="318" t="n"/>
      <c r="CC62" s="142" t="n"/>
      <c r="CD62" s="318" t="n"/>
      <c r="CE62" s="142" t="n"/>
      <c r="CF62" s="318" t="n"/>
      <c r="CG62" s="317" t="n"/>
      <c r="CH62" s="318" t="n"/>
      <c r="CI62" s="317" t="n"/>
      <c r="CJ62" s="318" t="n"/>
      <c r="CK62" s="317" t="n"/>
      <c r="CL62" s="318" t="n"/>
      <c r="CM62" s="317" t="n"/>
      <c r="CN62" s="318" t="n"/>
      <c r="CO62" s="80" t="n"/>
      <c r="CP62" s="318" t="n"/>
      <c r="CQ62" s="80" t="n"/>
      <c r="CR62" s="318" t="n"/>
      <c r="CS62" s="80" t="n"/>
      <c r="CT62" s="318" t="n"/>
      <c r="CU62" s="80" t="n"/>
      <c r="CW62" s="318" t="n"/>
      <c r="CX62" s="142" t="n"/>
      <c r="CY62" s="318" t="n"/>
      <c r="CZ62" s="142" t="n"/>
      <c r="DA62" s="318" t="n"/>
      <c r="DB62" s="142" t="n"/>
      <c r="DC62" s="318" t="n"/>
      <c r="DD62" s="142" t="n"/>
      <c r="DE62" s="385" t="n"/>
      <c r="DF62" s="385" t="n"/>
      <c r="DG62" s="318" t="n"/>
    </row>
    <row r="63">
      <c r="A63" s="376" t="n">
        <v>43465</v>
      </c>
      <c r="B63" s="315" t="n">
        <v>23351</v>
      </c>
      <c r="C63" s="111">
        <f>B63/B51-1</f>
        <v/>
      </c>
      <c r="D63" s="111" t="n"/>
      <c r="E63" s="315" t="n">
        <v>13704.8</v>
      </c>
      <c r="F63" s="111">
        <f>E63/E51-1</f>
        <v/>
      </c>
      <c r="G63" s="111" t="n"/>
      <c r="H63" s="315" t="n">
        <v>8762.9</v>
      </c>
      <c r="I63" s="111">
        <f>H63/H51-1</f>
        <v/>
      </c>
      <c r="J63" s="111" t="n"/>
      <c r="K63" s="315" t="n">
        <v>883.3</v>
      </c>
      <c r="L63" s="111">
        <f>K63/K51-1</f>
        <v/>
      </c>
      <c r="M63" s="111" t="n"/>
      <c r="N63" s="315" t="n">
        <v>18354.7</v>
      </c>
      <c r="O63" s="111">
        <f>N63/N51-1</f>
        <v/>
      </c>
      <c r="P63" s="111" t="n"/>
      <c r="Q63" s="315" t="n">
        <v>10814.5</v>
      </c>
      <c r="R63" s="111">
        <f>Q63/Q51-1</f>
        <v/>
      </c>
      <c r="S63" s="111" t="n"/>
      <c r="T63" s="315" t="n">
        <v>6821.8</v>
      </c>
      <c r="U63" s="111">
        <f>T63/T51-1</f>
        <v/>
      </c>
      <c r="V63" s="111" t="n"/>
      <c r="W63" s="315" t="n">
        <v>718.5</v>
      </c>
      <c r="X63" s="111">
        <f>W63/W51-1</f>
        <v/>
      </c>
      <c r="Y63" s="111" t="n"/>
      <c r="Z63" s="315" t="n">
        <v>9040.4</v>
      </c>
      <c r="AA63" s="111">
        <f>Z63/Z51-1</f>
        <v/>
      </c>
      <c r="AB63" s="111" t="n"/>
      <c r="AC63" s="315" t="n">
        <v>7257.6</v>
      </c>
      <c r="AD63" s="111">
        <f>AC63/AC51-1</f>
        <v/>
      </c>
      <c r="AE63" s="111" t="n"/>
      <c r="AF63" s="315" t="n">
        <v>1331.9</v>
      </c>
      <c r="AG63" s="111">
        <f>AF63/AF51-1</f>
        <v/>
      </c>
      <c r="AH63" s="111" t="n"/>
      <c r="AI63" s="315" t="n">
        <v>450.8</v>
      </c>
      <c r="AJ63" s="111">
        <f>AI63/AI51-1</f>
        <v/>
      </c>
      <c r="AK63" s="111" t="n"/>
      <c r="AL63" s="316" t="n">
        <v>78.59999999999999</v>
      </c>
      <c r="AM63" s="380">
        <f>AL63-AL51</f>
        <v/>
      </c>
      <c r="AN63" s="111" t="n"/>
      <c r="AO63" s="316" t="n">
        <v>78.90000000000001</v>
      </c>
      <c r="AP63" s="380">
        <f>AO63-AO51</f>
        <v/>
      </c>
      <c r="AQ63" s="111" t="n"/>
      <c r="AR63" s="316" t="n">
        <v>77.8</v>
      </c>
      <c r="AS63" s="380">
        <f>AR63-AR51</f>
        <v/>
      </c>
      <c r="AT63" s="111" t="n"/>
      <c r="AU63" s="316" t="n">
        <v>81.3</v>
      </c>
      <c r="AV63" s="380">
        <f>AU63-AU51</f>
        <v/>
      </c>
      <c r="AW63" s="111" t="n"/>
      <c r="AX63" s="377" t="n">
        <v>684</v>
      </c>
      <c r="AY63" s="111">
        <f>AX63/AX51-1</f>
        <v/>
      </c>
      <c r="AZ63" s="111" t="n"/>
      <c r="BA63" s="378" t="n"/>
      <c r="BB63" s="142" t="n"/>
      <c r="BC63" s="378" t="n"/>
      <c r="BD63" s="142" t="n"/>
      <c r="BE63" s="378" t="n"/>
      <c r="BF63" s="142" t="n"/>
      <c r="BG63" s="378" t="n"/>
      <c r="BH63" s="142" t="n"/>
      <c r="BI63" s="318" t="n"/>
      <c r="BJ63" s="142" t="n"/>
      <c r="BK63" s="318" t="n"/>
      <c r="BL63" s="142" t="n"/>
      <c r="BM63" s="318" t="n"/>
      <c r="BN63" s="142" t="n"/>
      <c r="BO63" s="318" t="n"/>
      <c r="BP63" s="318" t="n"/>
      <c r="BQ63" s="142" t="n"/>
      <c r="BR63" s="318" t="n"/>
      <c r="BS63" s="142" t="n"/>
      <c r="BT63" s="318" t="n"/>
      <c r="BU63" s="142" t="n"/>
      <c r="BV63" s="318" t="n"/>
      <c r="BW63" s="142" t="n"/>
      <c r="BX63" s="318" t="n"/>
      <c r="BY63" s="142" t="n"/>
      <c r="BZ63" s="318" t="n"/>
      <c r="CA63" s="142" t="n"/>
      <c r="CB63" s="318" t="n"/>
      <c r="CC63" s="142" t="n"/>
      <c r="CD63" s="318" t="n"/>
      <c r="CE63" s="142" t="n"/>
      <c r="CF63" s="318" t="n"/>
      <c r="CG63" s="317" t="n"/>
      <c r="CH63" s="318" t="n"/>
      <c r="CI63" s="317" t="n"/>
      <c r="CJ63" s="318" t="n"/>
      <c r="CK63" s="317" t="n"/>
      <c r="CL63" s="318" t="n"/>
      <c r="CM63" s="317" t="n"/>
      <c r="CN63" s="318" t="n"/>
      <c r="CO63" s="80" t="n"/>
      <c r="CP63" s="318" t="n"/>
      <c r="CQ63" s="80" t="n"/>
      <c r="CR63" s="318" t="n"/>
      <c r="CS63" s="80" t="n"/>
      <c r="CT63" s="318" t="n"/>
      <c r="CU63" s="80" t="n"/>
      <c r="CW63" s="318" t="n"/>
      <c r="CX63" s="142" t="n"/>
      <c r="CY63" s="318" t="n"/>
      <c r="CZ63" s="142" t="n"/>
      <c r="DA63" s="318" t="n"/>
      <c r="DB63" s="142" t="n"/>
      <c r="DC63" s="318" t="n"/>
      <c r="DD63" s="142" t="n"/>
      <c r="DE63" s="385" t="n"/>
      <c r="DF63" s="385" t="n"/>
      <c r="DG63" s="318" t="n"/>
    </row>
    <row r="64" ht="13" customFormat="1" customHeight="1" s="200">
      <c r="A64" s="371" t="n">
        <v>43496</v>
      </c>
      <c r="B64" s="381" t="n">
        <v>23688.7</v>
      </c>
      <c r="C64" s="111">
        <f>B64/B52-1</f>
        <v/>
      </c>
      <c r="D64" s="111" t="n"/>
      <c r="E64" s="381" t="n">
        <v>13761.8</v>
      </c>
      <c r="F64" s="111">
        <f>E64/E52-1</f>
        <v/>
      </c>
      <c r="G64" s="111" t="n"/>
      <c r="H64" s="381" t="n">
        <v>9006.6</v>
      </c>
      <c r="I64" s="111">
        <f>H64/H52-1</f>
        <v/>
      </c>
      <c r="J64" s="111" t="n"/>
      <c r="K64" s="381" t="n">
        <v>920.4</v>
      </c>
      <c r="L64" s="111">
        <f>K64/K52-1</f>
        <v/>
      </c>
      <c r="M64" s="111" t="n"/>
      <c r="N64" s="381" t="n">
        <v>18930.6</v>
      </c>
      <c r="O64" s="111">
        <f>N64/N52-1</f>
        <v/>
      </c>
      <c r="P64" s="111" t="n"/>
      <c r="Q64" s="381" t="n">
        <v>10960.5</v>
      </c>
      <c r="R64" s="111">
        <f>Q64/Q52-1</f>
        <v/>
      </c>
      <c r="S64" s="111" t="n"/>
      <c r="T64" s="381" t="n">
        <v>7216.3</v>
      </c>
      <c r="U64" s="111">
        <f>T64/T52-1</f>
        <v/>
      </c>
      <c r="V64" s="111" t="n"/>
      <c r="W64" s="381" t="n">
        <v>753.7</v>
      </c>
      <c r="X64" s="111">
        <f>W64/W52-1</f>
        <v/>
      </c>
      <c r="Y64" s="111" t="n"/>
      <c r="Z64" s="381" t="n">
        <v>9156.5</v>
      </c>
      <c r="AA64" s="111">
        <f>Z64/Z52-1</f>
        <v/>
      </c>
      <c r="AB64" s="111" t="n"/>
      <c r="AC64" s="381" t="n">
        <v>7243.8</v>
      </c>
      <c r="AD64" s="111">
        <f>AC64/AC52-1</f>
        <v/>
      </c>
      <c r="AE64" s="111" t="n"/>
      <c r="AF64" s="381" t="n">
        <v>1441.1</v>
      </c>
      <c r="AG64" s="111">
        <f>AF64/AF52-1</f>
        <v/>
      </c>
      <c r="AH64" s="111" t="n"/>
      <c r="AI64" s="381" t="n">
        <v>471.6</v>
      </c>
      <c r="AJ64" s="111">
        <f>AI64/AI52-1</f>
        <v/>
      </c>
      <c r="AK64" s="111" t="n"/>
      <c r="AL64" s="382" t="n">
        <v>79.90000000000001</v>
      </c>
      <c r="AM64" s="380">
        <f>AL64-AL52</f>
        <v/>
      </c>
      <c r="AN64" s="111" t="n"/>
      <c r="AO64" s="382" t="n">
        <v>79.59999999999999</v>
      </c>
      <c r="AP64" s="380">
        <f>AO64-AO52</f>
        <v/>
      </c>
      <c r="AQ64" s="111" t="n"/>
      <c r="AR64" s="382" t="n">
        <v>80.09999999999999</v>
      </c>
      <c r="AS64" s="380">
        <f>AR64-AR52</f>
        <v/>
      </c>
      <c r="AT64" s="111" t="n"/>
      <c r="AU64" s="382" t="n">
        <v>81.90000000000001</v>
      </c>
      <c r="AV64" s="380">
        <f>AU64-AU52</f>
        <v/>
      </c>
      <c r="AW64" s="111" t="n"/>
      <c r="AX64" s="383" t="n">
        <v>671</v>
      </c>
      <c r="AY64" s="111">
        <f>AX64/AX52-1</f>
        <v/>
      </c>
      <c r="AZ64" s="111" t="n"/>
      <c r="BA64" s="381" t="n"/>
      <c r="BB64" s="142" t="n"/>
      <c r="BC64" s="381" t="n"/>
      <c r="BD64" s="217" t="n"/>
      <c r="BE64" s="381" t="n"/>
      <c r="BF64" s="217" t="n"/>
      <c r="BG64" s="381" t="n"/>
      <c r="BH64" s="217" t="n"/>
      <c r="BI64" s="381" t="n"/>
      <c r="BJ64" s="217" t="n"/>
      <c r="BK64" s="381" t="n"/>
      <c r="BL64" s="217" t="n"/>
      <c r="BM64" s="381" t="n"/>
      <c r="BN64" s="217" t="n"/>
      <c r="BO64" s="381" t="n"/>
      <c r="BP64" s="381" t="n"/>
      <c r="BQ64" s="217" t="n"/>
      <c r="BR64" s="381" t="n"/>
      <c r="BS64" s="217" t="n"/>
      <c r="BT64" s="381" t="n"/>
      <c r="BU64" s="217" t="n"/>
      <c r="BV64" s="381" t="n"/>
      <c r="BW64" s="217" t="n"/>
      <c r="BX64" s="381" t="n"/>
      <c r="BY64" s="217" t="n"/>
      <c r="BZ64" s="381" t="n"/>
      <c r="CA64" s="217" t="n"/>
      <c r="CB64" s="381" t="n"/>
      <c r="CC64" s="217" t="n"/>
      <c r="CD64" s="381" t="n"/>
      <c r="CE64" s="217" t="n"/>
      <c r="CF64" s="381" t="n"/>
      <c r="CG64" s="381" t="n"/>
      <c r="CH64" s="381" t="n"/>
      <c r="CI64" s="381" t="n"/>
      <c r="CJ64" s="381" t="n"/>
      <c r="CK64" s="381" t="n"/>
      <c r="CL64" s="381" t="n"/>
      <c r="CM64" s="381" t="n"/>
      <c r="CN64" s="381" t="n"/>
      <c r="CO64" s="218" t="n"/>
      <c r="CP64" s="381" t="n"/>
      <c r="CQ64" s="218" t="n"/>
      <c r="CR64" s="381" t="n"/>
      <c r="CS64" s="218" t="n"/>
      <c r="CT64" s="381" t="n"/>
      <c r="CU64" s="218" t="n"/>
      <c r="CW64" s="381" t="n"/>
      <c r="CX64" s="217" t="n"/>
      <c r="CY64" s="381" t="n"/>
      <c r="CZ64" s="217" t="n"/>
      <c r="DA64" s="381" t="n"/>
      <c r="DB64" s="217" t="n"/>
      <c r="DC64" s="381" t="n"/>
      <c r="DD64" s="217" t="n"/>
      <c r="DE64" s="384" t="n"/>
      <c r="DF64" s="384" t="n"/>
    </row>
    <row r="65">
      <c r="A65" s="376" t="n">
        <v>43524</v>
      </c>
      <c r="B65" s="315" t="n">
        <v>22259.9</v>
      </c>
      <c r="C65" s="111">
        <f>B65/B53-1</f>
        <v/>
      </c>
      <c r="D65" s="111" t="n"/>
      <c r="E65" s="315" t="n">
        <v>13251.6</v>
      </c>
      <c r="F65" s="111">
        <f>E65/E53-1</f>
        <v/>
      </c>
      <c r="G65" s="111" t="n"/>
      <c r="H65" s="315" t="n">
        <v>8105.5</v>
      </c>
      <c r="I65" s="111">
        <f>H65/H53-1</f>
        <v/>
      </c>
      <c r="J65" s="111" t="n"/>
      <c r="K65" s="315" t="n">
        <v>902.8</v>
      </c>
      <c r="L65" s="111">
        <f>K65/K53-1</f>
        <v/>
      </c>
      <c r="M65" s="111" t="n"/>
      <c r="N65" s="315" t="n">
        <v>18700.6</v>
      </c>
      <c r="O65" s="111">
        <f>N65/N53-1</f>
        <v/>
      </c>
      <c r="P65" s="111" t="n"/>
      <c r="Q65" s="315" t="n">
        <v>11410.8</v>
      </c>
      <c r="R65" s="111">
        <f>Q65/Q53-1</f>
        <v/>
      </c>
      <c r="S65" s="111" t="n"/>
      <c r="T65" s="315" t="n">
        <v>6545.3</v>
      </c>
      <c r="U65" s="111">
        <f>T65/T53-1</f>
        <v/>
      </c>
      <c r="V65" s="111" t="n"/>
      <c r="W65" s="315" t="n">
        <v>744.5</v>
      </c>
      <c r="X65" s="111">
        <f>W65/W53-1</f>
        <v/>
      </c>
      <c r="Y65" s="111" t="n"/>
      <c r="Z65" s="315" t="n">
        <v>9385.299999999999</v>
      </c>
      <c r="AA65" s="111">
        <f>Z65/Z53-1</f>
        <v/>
      </c>
      <c r="AB65" s="111" t="n"/>
      <c r="AC65" s="315" t="n">
        <v>7551.4</v>
      </c>
      <c r="AD65" s="111">
        <f>AC65/AC53-1</f>
        <v/>
      </c>
      <c r="AE65" s="111" t="n"/>
      <c r="AF65" s="315" t="n">
        <v>1357.7</v>
      </c>
      <c r="AG65" s="111">
        <f>AF65/AF53-1</f>
        <v/>
      </c>
      <c r="AH65" s="111" t="n"/>
      <c r="AI65" s="315" t="n">
        <v>476.1</v>
      </c>
      <c r="AJ65" s="111">
        <f>AI65/AI53-1</f>
        <v/>
      </c>
      <c r="AK65" s="111" t="n"/>
      <c r="AL65" s="316" t="n">
        <v>84</v>
      </c>
      <c r="AM65" s="380">
        <f>AL65-AL53</f>
        <v/>
      </c>
      <c r="AN65" s="111" t="n"/>
      <c r="AO65" s="316" t="n">
        <v>86.09999999999999</v>
      </c>
      <c r="AP65" s="380">
        <f>AO65-AO53</f>
        <v/>
      </c>
      <c r="AQ65" s="111" t="n"/>
      <c r="AR65" s="316" t="n">
        <v>80.8</v>
      </c>
      <c r="AS65" s="380">
        <f>AR65-AR53</f>
        <v/>
      </c>
      <c r="AT65" s="111" t="n"/>
      <c r="AU65" s="316" t="n">
        <v>82.5</v>
      </c>
      <c r="AV65" s="380">
        <f>AU65-AU53</f>
        <v/>
      </c>
      <c r="AW65" s="111" t="n"/>
      <c r="AX65" s="377" t="n">
        <v>673</v>
      </c>
      <c r="AY65" s="111">
        <f>AX65/AX53-1</f>
        <v/>
      </c>
      <c r="AZ65" s="111" t="n"/>
      <c r="BA65" s="378" t="n"/>
      <c r="BB65" s="142" t="n"/>
      <c r="BC65" s="378" t="n"/>
      <c r="BD65" s="142" t="n"/>
      <c r="BE65" s="378" t="n"/>
      <c r="BF65" s="142" t="n"/>
      <c r="BG65" s="378" t="n"/>
      <c r="BH65" s="142" t="n"/>
      <c r="BI65" s="318" t="n"/>
      <c r="BJ65" s="142" t="n"/>
      <c r="BK65" s="318" t="n"/>
      <c r="BL65" s="142" t="n"/>
      <c r="BM65" s="318" t="n"/>
      <c r="BN65" s="142" t="n"/>
      <c r="BO65" s="318" t="n"/>
      <c r="BP65" s="318" t="n"/>
      <c r="BQ65" s="142" t="n"/>
      <c r="BR65" s="318" t="n"/>
      <c r="BS65" s="142" t="n"/>
      <c r="BT65" s="318" t="n"/>
      <c r="BU65" s="142" t="n"/>
      <c r="BV65" s="318" t="n"/>
      <c r="BW65" s="142" t="n"/>
      <c r="BX65" s="318" t="n"/>
      <c r="BY65" s="142" t="n"/>
      <c r="BZ65" s="318" t="n"/>
      <c r="CA65" s="142" t="n"/>
      <c r="CB65" s="318" t="n"/>
      <c r="CC65" s="142" t="n"/>
      <c r="CD65" s="318" t="n"/>
      <c r="CE65" s="142" t="n"/>
      <c r="CF65" s="318" t="n"/>
      <c r="CG65" s="317" t="n"/>
      <c r="CH65" s="318" t="n"/>
      <c r="CI65" s="317" t="n"/>
      <c r="CJ65" s="318" t="n"/>
      <c r="CK65" s="317" t="n"/>
      <c r="CL65" s="318" t="n"/>
      <c r="CM65" s="317" t="n"/>
      <c r="CN65" s="318" t="n"/>
      <c r="CO65" s="80" t="n"/>
      <c r="CP65" s="318" t="n"/>
      <c r="CQ65" s="80" t="n"/>
      <c r="CR65" s="318" t="n"/>
      <c r="CS65" s="80" t="n"/>
      <c r="CT65" s="318" t="n"/>
      <c r="CU65" s="80" t="n"/>
      <c r="CW65" s="318" t="n"/>
      <c r="CX65" s="142" t="n"/>
      <c r="CY65" s="318" t="n"/>
      <c r="CZ65" s="142" t="n"/>
      <c r="DA65" s="318" t="n"/>
      <c r="DB65" s="142" t="n"/>
      <c r="DC65" s="318" t="n"/>
      <c r="DD65" s="142" t="n"/>
      <c r="DE65" s="385" t="n"/>
      <c r="DF65" s="385" t="n"/>
      <c r="DG65" s="318" t="n"/>
    </row>
    <row r="66">
      <c r="A66" s="376" t="n">
        <v>43555</v>
      </c>
      <c r="B66" s="315" t="n">
        <v>23695.1</v>
      </c>
      <c r="C66" s="111">
        <f>B66/B54-1</f>
        <v/>
      </c>
      <c r="D66" s="111" t="n"/>
      <c r="E66" s="315" t="n">
        <v>13717.7</v>
      </c>
      <c r="F66" s="111">
        <f>E66/E54-1</f>
        <v/>
      </c>
      <c r="G66" s="111" t="n"/>
      <c r="H66" s="315" t="n">
        <v>9069</v>
      </c>
      <c r="I66" s="111">
        <f>H66/H54-1</f>
        <v/>
      </c>
      <c r="J66" s="111" t="n"/>
      <c r="K66" s="315" t="n">
        <v>908.4</v>
      </c>
      <c r="L66" s="111">
        <f>K66/K54-1</f>
        <v/>
      </c>
      <c r="M66" s="111" t="n"/>
      <c r="N66" s="315" t="n">
        <v>19117.4</v>
      </c>
      <c r="O66" s="111">
        <f>N66/N54-1</f>
        <v/>
      </c>
      <c r="P66" s="111" t="n"/>
      <c r="Q66" s="315" t="n">
        <v>11237.8</v>
      </c>
      <c r="R66" s="111">
        <f>Q66/Q54-1</f>
        <v/>
      </c>
      <c r="S66" s="111" t="n"/>
      <c r="T66" s="315" t="n">
        <v>7140.2</v>
      </c>
      <c r="U66" s="111">
        <f>T66/T54-1</f>
        <v/>
      </c>
      <c r="V66" s="111" t="n"/>
      <c r="W66" s="315" t="n">
        <v>739.4</v>
      </c>
      <c r="X66" s="111">
        <f>W66/W54-1</f>
        <v/>
      </c>
      <c r="Y66" s="111" t="n"/>
      <c r="Z66" s="315" t="n">
        <v>9478.5</v>
      </c>
      <c r="AA66" s="111">
        <f>Z66/Z54-1</f>
        <v/>
      </c>
      <c r="AB66" s="111" t="n"/>
      <c r="AC66" s="315" t="n">
        <v>7534</v>
      </c>
      <c r="AD66" s="111">
        <f>AC66/AC54-1</f>
        <v/>
      </c>
      <c r="AE66" s="111" t="n"/>
      <c r="AF66" s="315" t="n">
        <v>1475.3</v>
      </c>
      <c r="AG66" s="111">
        <f>AF66/AF54-1</f>
        <v/>
      </c>
      <c r="AH66" s="111" t="n"/>
      <c r="AI66" s="315" t="n">
        <v>469.2</v>
      </c>
      <c r="AJ66" s="111">
        <f>AI66/AI54-1</f>
        <v/>
      </c>
      <c r="AK66" s="111" t="n"/>
      <c r="AL66" s="316" t="n">
        <v>80.7</v>
      </c>
      <c r="AM66" s="380">
        <f>AL66-AL54</f>
        <v/>
      </c>
      <c r="AN66" s="111" t="n"/>
      <c r="AO66" s="316" t="n">
        <v>81.90000000000001</v>
      </c>
      <c r="AP66" s="380">
        <f>AO66-AO54</f>
        <v/>
      </c>
      <c r="AQ66" s="111" t="n"/>
      <c r="AR66" s="316" t="n">
        <v>78.7</v>
      </c>
      <c r="AS66" s="380">
        <f>AR66-AR54</f>
        <v/>
      </c>
      <c r="AT66" s="111" t="n"/>
      <c r="AU66" s="316" t="n">
        <v>81.40000000000001</v>
      </c>
      <c r="AV66" s="380">
        <f>AU66-AU54</f>
        <v/>
      </c>
      <c r="AW66" s="111" t="n"/>
      <c r="AX66" s="377" t="n">
        <v>676</v>
      </c>
      <c r="AY66" s="111">
        <f>AX66/AX54-1</f>
        <v/>
      </c>
      <c r="AZ66" s="111" t="n"/>
      <c r="BA66" s="378" t="n"/>
      <c r="BB66" s="142" t="n"/>
      <c r="BC66" s="378" t="n"/>
      <c r="BD66" s="142" t="n"/>
      <c r="BE66" s="378" t="n"/>
      <c r="BF66" s="142" t="n"/>
      <c r="BG66" s="378" t="n"/>
      <c r="BH66" s="142" t="n"/>
      <c r="BI66" s="318" t="n"/>
      <c r="BJ66" s="142" t="n"/>
      <c r="BK66" s="318" t="n"/>
      <c r="BL66" s="142" t="n"/>
      <c r="BM66" s="318" t="n"/>
      <c r="BN66" s="142" t="n"/>
      <c r="BO66" s="318" t="n"/>
      <c r="BP66" s="318" t="n"/>
      <c r="BQ66" s="142" t="n"/>
      <c r="BR66" s="318" t="n"/>
      <c r="BS66" s="142" t="n"/>
      <c r="BT66" s="318" t="n"/>
      <c r="BU66" s="142" t="n"/>
      <c r="BV66" s="318" t="n"/>
      <c r="BW66" s="142" t="n"/>
      <c r="BX66" s="318" t="n"/>
      <c r="BY66" s="142" t="n"/>
      <c r="BZ66" s="318" t="n"/>
      <c r="CA66" s="142" t="n"/>
      <c r="CB66" s="318" t="n"/>
      <c r="CC66" s="142" t="n"/>
      <c r="CD66" s="318" t="n"/>
      <c r="CE66" s="142" t="n"/>
      <c r="CF66" s="318" t="n"/>
      <c r="CG66" s="317" t="n"/>
      <c r="CH66" s="318" t="n"/>
      <c r="CI66" s="317" t="n"/>
      <c r="CJ66" s="318" t="n"/>
      <c r="CK66" s="317" t="n"/>
      <c r="CL66" s="318" t="n"/>
      <c r="CM66" s="317" t="n"/>
      <c r="CN66" s="318" t="n"/>
      <c r="CO66" s="80" t="n"/>
      <c r="CP66" s="318" t="n"/>
      <c r="CQ66" s="80" t="n"/>
      <c r="CR66" s="318" t="n"/>
      <c r="CS66" s="80" t="n"/>
      <c r="CT66" s="318" t="n"/>
      <c r="CU66" s="80" t="n"/>
      <c r="CW66" s="318" t="n"/>
      <c r="CX66" s="142" t="n"/>
      <c r="CY66" s="318" t="n"/>
      <c r="CZ66" s="142" t="n"/>
      <c r="DA66" s="318" t="n"/>
      <c r="DB66" s="142" t="n"/>
      <c r="DC66" s="318" t="n"/>
      <c r="DD66" s="142" t="n"/>
      <c r="DE66" s="385" t="n"/>
      <c r="DF66" s="385" t="n"/>
      <c r="DG66" s="318" t="n"/>
    </row>
    <row r="67">
      <c r="A67" s="376" t="n">
        <v>43585</v>
      </c>
      <c r="B67" s="315" t="n">
        <v>23743.8</v>
      </c>
      <c r="C67" s="111">
        <f>B67/B55-1</f>
        <v/>
      </c>
      <c r="D67" s="111" t="n"/>
      <c r="E67" s="315" t="n">
        <v>13280.5</v>
      </c>
      <c r="F67" s="111">
        <f>E67/E55-1</f>
        <v/>
      </c>
      <c r="G67" s="111" t="n"/>
      <c r="H67" s="315" t="n">
        <v>9489.4</v>
      </c>
      <c r="I67" s="111">
        <f>H67/H55-1</f>
        <v/>
      </c>
      <c r="J67" s="111" t="n"/>
      <c r="K67" s="315" t="n">
        <v>973.9</v>
      </c>
      <c r="L67" s="111">
        <f>K67/K55-1</f>
        <v/>
      </c>
      <c r="M67" s="111" t="n"/>
      <c r="N67" s="315" t="n">
        <v>19224.8</v>
      </c>
      <c r="O67" s="111">
        <f>N67/N55-1</f>
        <v/>
      </c>
      <c r="P67" s="111" t="n"/>
      <c r="Q67" s="315" t="n">
        <v>10961.3</v>
      </c>
      <c r="R67" s="111">
        <f>Q67/Q55-1</f>
        <v/>
      </c>
      <c r="S67" s="111" t="n"/>
      <c r="T67" s="315" t="n">
        <v>7473</v>
      </c>
      <c r="U67" s="111">
        <f>T67/T55-1</f>
        <v/>
      </c>
      <c r="V67" s="111" t="n"/>
      <c r="W67" s="315" t="n">
        <v>790.5</v>
      </c>
      <c r="X67" s="111">
        <f>W67/W55-1</f>
        <v/>
      </c>
      <c r="Y67" s="111" t="n"/>
      <c r="Z67" s="315" t="n">
        <v>9350.1</v>
      </c>
      <c r="AA67" s="111">
        <f>Z67/Z55-1</f>
        <v/>
      </c>
      <c r="AB67" s="111" t="n"/>
      <c r="AC67" s="315" t="n">
        <v>7371.7</v>
      </c>
      <c r="AD67" s="111">
        <f>AC67/AC55-1</f>
        <v/>
      </c>
      <c r="AE67" s="111" t="n"/>
      <c r="AF67" s="315" t="n">
        <v>1477</v>
      </c>
      <c r="AG67" s="111">
        <f>AF67/AF55-1</f>
        <v/>
      </c>
      <c r="AH67" s="111" t="n"/>
      <c r="AI67" s="315" t="n">
        <v>501.4</v>
      </c>
      <c r="AJ67" s="111">
        <f>AI67/AI55-1</f>
        <v/>
      </c>
      <c r="AK67" s="111" t="n"/>
      <c r="AL67" s="316" t="n">
        <v>81</v>
      </c>
      <c r="AM67" s="380">
        <f>AL67-AL55</f>
        <v/>
      </c>
      <c r="AN67" s="111" t="n"/>
      <c r="AO67" s="316" t="n">
        <v>82.5</v>
      </c>
      <c r="AP67" s="380">
        <f>AO67-AO55</f>
        <v/>
      </c>
      <c r="AQ67" s="111" t="n"/>
      <c r="AR67" s="316" t="n">
        <v>78.8</v>
      </c>
      <c r="AS67" s="380">
        <f>AR67-AR55</f>
        <v/>
      </c>
      <c r="AT67" s="111" t="n"/>
      <c r="AU67" s="316" t="n">
        <v>81.2</v>
      </c>
      <c r="AV67" s="380">
        <f>AU67-AU55</f>
        <v/>
      </c>
      <c r="AW67" s="111" t="n"/>
      <c r="AX67" s="377" t="n">
        <v>672</v>
      </c>
      <c r="AY67" s="111">
        <f>AX67/AX55-1</f>
        <v/>
      </c>
      <c r="AZ67" s="111" t="n"/>
      <c r="BA67" s="378" t="n"/>
      <c r="BB67" s="142" t="n"/>
      <c r="BC67" s="378" t="n"/>
      <c r="BD67" s="142" t="n"/>
      <c r="BE67" s="378" t="n"/>
      <c r="BF67" s="142" t="n"/>
      <c r="BG67" s="378" t="n"/>
      <c r="BH67" s="142" t="n"/>
      <c r="BI67" s="318" t="n"/>
      <c r="BJ67" s="142" t="n"/>
      <c r="BK67" s="318" t="n"/>
      <c r="BL67" s="142" t="n"/>
      <c r="BM67" s="318" t="n"/>
      <c r="BN67" s="142" t="n"/>
      <c r="BO67" s="318" t="n"/>
      <c r="BP67" s="318" t="n"/>
      <c r="BQ67" s="142" t="n"/>
      <c r="BR67" s="318" t="n"/>
      <c r="BS67" s="142" t="n"/>
      <c r="BT67" s="318" t="n"/>
      <c r="BU67" s="142" t="n"/>
      <c r="BV67" s="318" t="n"/>
      <c r="BW67" s="142" t="n"/>
      <c r="BX67" s="318" t="n"/>
      <c r="BY67" s="142" t="n"/>
      <c r="BZ67" s="318" t="n"/>
      <c r="CA67" s="142" t="n"/>
      <c r="CB67" s="318" t="n"/>
      <c r="CC67" s="142" t="n"/>
      <c r="CD67" s="318" t="n"/>
      <c r="CE67" s="142" t="n"/>
      <c r="CF67" s="318" t="n"/>
      <c r="CG67" s="317" t="n"/>
      <c r="CH67" s="318" t="n"/>
      <c r="CI67" s="317" t="n"/>
      <c r="CJ67" s="318" t="n"/>
      <c r="CK67" s="317" t="n"/>
      <c r="CL67" s="318" t="n"/>
      <c r="CM67" s="317" t="n"/>
      <c r="CN67" s="318" t="n"/>
      <c r="CO67" s="80" t="n"/>
      <c r="CP67" s="318" t="n"/>
      <c r="CQ67" s="80" t="n"/>
      <c r="CR67" s="318" t="n"/>
      <c r="CS67" s="80" t="n"/>
      <c r="CT67" s="318" t="n"/>
      <c r="CU67" s="80" t="n"/>
      <c r="CW67" s="318" t="n"/>
      <c r="CX67" s="142" t="n"/>
      <c r="CY67" s="318" t="n"/>
      <c r="CZ67" s="142" t="n"/>
      <c r="DA67" s="318" t="n"/>
      <c r="DB67" s="142" t="n"/>
      <c r="DC67" s="318" t="n"/>
      <c r="DD67" s="142" t="n"/>
      <c r="DE67" s="385" t="n"/>
      <c r="DF67" s="385" t="n"/>
      <c r="DG67" s="318" t="n"/>
    </row>
    <row r="68">
      <c r="A68" s="376" t="n">
        <v>43616</v>
      </c>
      <c r="B68" s="315" t="n">
        <v>24215.9</v>
      </c>
      <c r="C68" s="111">
        <f>B68/B56-1</f>
        <v/>
      </c>
      <c r="D68" s="111" t="n"/>
      <c r="E68" s="315" t="n">
        <v>13723.8</v>
      </c>
      <c r="F68" s="111">
        <f>E68/E56-1</f>
        <v/>
      </c>
      <c r="G68" s="111" t="n"/>
      <c r="H68" s="315" t="n">
        <v>9506.4</v>
      </c>
      <c r="I68" s="111">
        <f>H68/H56-1</f>
        <v/>
      </c>
      <c r="J68" s="111" t="n"/>
      <c r="K68" s="315" t="n">
        <v>985.6</v>
      </c>
      <c r="L68" s="111">
        <f>K68/K56-1</f>
        <v/>
      </c>
      <c r="M68" s="111" t="n"/>
      <c r="N68" s="315" t="n">
        <v>19399.9</v>
      </c>
      <c r="O68" s="111">
        <f>N68/N56-1</f>
        <v/>
      </c>
      <c r="P68" s="111" t="n"/>
      <c r="Q68" s="315" t="n">
        <v>11179.4</v>
      </c>
      <c r="R68" s="111">
        <f>Q68/Q56-1</f>
        <v/>
      </c>
      <c r="S68" s="111" t="n"/>
      <c r="T68" s="315" t="n">
        <v>7440.2</v>
      </c>
      <c r="U68" s="111">
        <f>T68/T56-1</f>
        <v/>
      </c>
      <c r="V68" s="111" t="n"/>
      <c r="W68" s="315" t="n">
        <v>780.4</v>
      </c>
      <c r="X68" s="111">
        <f>W68/W56-1</f>
        <v/>
      </c>
      <c r="Y68" s="111" t="n"/>
      <c r="Z68" s="315" t="n">
        <v>9494.299999999999</v>
      </c>
      <c r="AA68" s="111">
        <f>Z68/Z56-1</f>
        <v/>
      </c>
      <c r="AB68" s="111" t="n"/>
      <c r="AC68" s="315" t="n">
        <v>7572.6</v>
      </c>
      <c r="AD68" s="111">
        <f>AC68/AC56-1</f>
        <v/>
      </c>
      <c r="AE68" s="111" t="n"/>
      <c r="AF68" s="315" t="n">
        <v>1426.5</v>
      </c>
      <c r="AG68" s="111">
        <f>AF68/AF56-1</f>
        <v/>
      </c>
      <c r="AH68" s="111" t="n"/>
      <c r="AI68" s="315" t="n">
        <v>495.2</v>
      </c>
      <c r="AJ68" s="111">
        <f>AI68/AI56-1</f>
        <v/>
      </c>
      <c r="AK68" s="111" t="n"/>
      <c r="AL68" s="316" t="n">
        <v>80.09999999999999</v>
      </c>
      <c r="AM68" s="380">
        <f>AL68-AL56</f>
        <v/>
      </c>
      <c r="AN68" s="111" t="n"/>
      <c r="AO68" s="316" t="n">
        <v>81.5</v>
      </c>
      <c r="AP68" s="380">
        <f>AO68-AO56</f>
        <v/>
      </c>
      <c r="AQ68" s="111" t="n"/>
      <c r="AR68" s="316" t="n">
        <v>78.3</v>
      </c>
      <c r="AS68" s="380">
        <f>AR68-AR56</f>
        <v/>
      </c>
      <c r="AT68" s="111" t="n"/>
      <c r="AU68" s="316" t="n">
        <v>79.2</v>
      </c>
      <c r="AV68" s="380">
        <f>AU68-AU56</f>
        <v/>
      </c>
      <c r="AW68" s="111" t="n"/>
      <c r="AX68" s="377" t="n">
        <v>675</v>
      </c>
      <c r="AY68" s="111">
        <f>AX68/AX56-1</f>
        <v/>
      </c>
      <c r="AZ68" s="111" t="n"/>
      <c r="BA68" s="378" t="n"/>
      <c r="BB68" s="142" t="n"/>
      <c r="BC68" s="378" t="n"/>
      <c r="BD68" s="142" t="n"/>
      <c r="BE68" s="378" t="n"/>
      <c r="BF68" s="142" t="n"/>
      <c r="BG68" s="378" t="n"/>
      <c r="BH68" s="142" t="n"/>
      <c r="BI68" s="318" t="n"/>
      <c r="BJ68" s="142" t="n"/>
      <c r="BK68" s="318" t="n"/>
      <c r="BL68" s="142" t="n"/>
      <c r="BM68" s="318" t="n"/>
      <c r="BN68" s="142" t="n"/>
      <c r="BO68" s="318" t="n"/>
      <c r="BP68" s="318" t="n"/>
      <c r="BQ68" s="142" t="n"/>
      <c r="BR68" s="318" t="n"/>
      <c r="BS68" s="142" t="n"/>
      <c r="BT68" s="318" t="n"/>
      <c r="BU68" s="142" t="n"/>
      <c r="BV68" s="318" t="n"/>
      <c r="BW68" s="142" t="n"/>
      <c r="BX68" s="318" t="n"/>
      <c r="BY68" s="142" t="n"/>
      <c r="BZ68" s="318" t="n"/>
      <c r="CA68" s="142" t="n"/>
      <c r="CB68" s="318" t="n"/>
      <c r="CC68" s="142" t="n"/>
      <c r="CD68" s="318" t="n"/>
      <c r="CE68" s="142" t="n"/>
      <c r="CF68" s="318" t="n"/>
      <c r="CG68" s="317" t="n"/>
      <c r="CH68" s="318" t="n"/>
      <c r="CI68" s="317" t="n"/>
      <c r="CJ68" s="318" t="n"/>
      <c r="CK68" s="317" t="n"/>
      <c r="CL68" s="318" t="n"/>
      <c r="CM68" s="317" t="n"/>
      <c r="CN68" s="318" t="n"/>
      <c r="CO68" s="80" t="n"/>
      <c r="CP68" s="318" t="n"/>
      <c r="CQ68" s="80" t="n"/>
      <c r="CR68" s="318" t="n"/>
      <c r="CS68" s="80" t="n"/>
      <c r="CT68" s="318" t="n"/>
      <c r="CU68" s="80" t="n"/>
      <c r="CW68" s="318" t="n"/>
      <c r="CX68" s="142" t="n"/>
      <c r="CY68" s="318" t="n"/>
      <c r="CZ68" s="142" t="n"/>
      <c r="DA68" s="318" t="n"/>
      <c r="DB68" s="142" t="n"/>
      <c r="DC68" s="318" t="n"/>
      <c r="DD68" s="142" t="n"/>
      <c r="DE68" s="385" t="n"/>
      <c r="DF68" s="385" t="n"/>
      <c r="DG68" s="318" t="n"/>
    </row>
    <row r="69">
      <c r="A69" s="376" t="n">
        <v>43646</v>
      </c>
      <c r="B69" s="315" t="n">
        <v>23449.5</v>
      </c>
      <c r="C69" s="111">
        <f>B69/B57-1</f>
        <v/>
      </c>
      <c r="D69" s="111" t="n"/>
      <c r="E69" s="315" t="n">
        <v>13206.1</v>
      </c>
      <c r="F69" s="111">
        <f>E69/E57-1</f>
        <v/>
      </c>
      <c r="G69" s="111" t="n"/>
      <c r="H69" s="315" t="n">
        <v>9284.6</v>
      </c>
      <c r="I69" s="111">
        <f>H69/H57-1</f>
        <v/>
      </c>
      <c r="J69" s="111" t="n"/>
      <c r="K69" s="315" t="n">
        <v>958.8</v>
      </c>
      <c r="L69" s="111">
        <f>K69/K57-1</f>
        <v/>
      </c>
      <c r="M69" s="111" t="n"/>
      <c r="N69" s="315" t="n">
        <v>18889.5</v>
      </c>
      <c r="O69" s="111">
        <f>N69/N57-1</f>
        <v/>
      </c>
      <c r="P69" s="111" t="n"/>
      <c r="Q69" s="315" t="n">
        <v>10842.5</v>
      </c>
      <c r="R69" s="111">
        <f>Q69/Q57-1</f>
        <v/>
      </c>
      <c r="S69" s="111" t="n"/>
      <c r="T69" s="315" t="n">
        <v>7287.1</v>
      </c>
      <c r="U69" s="111">
        <f>T69/T57-1</f>
        <v/>
      </c>
      <c r="V69" s="111" t="n"/>
      <c r="W69" s="315" t="n">
        <v>759.9</v>
      </c>
      <c r="X69" s="111">
        <f>W69/W57-1</f>
        <v/>
      </c>
      <c r="Y69" s="111" t="n"/>
      <c r="Z69" s="315" t="n">
        <v>9192.4</v>
      </c>
      <c r="AA69" s="111">
        <f>Z69/Z57-1</f>
        <v/>
      </c>
      <c r="AB69" s="111" t="n"/>
      <c r="AC69" s="315" t="n">
        <v>7320.4</v>
      </c>
      <c r="AD69" s="111">
        <f>AC69/AC57-1</f>
        <v/>
      </c>
      <c r="AE69" s="111" t="n"/>
      <c r="AF69" s="315" t="n">
        <v>1383</v>
      </c>
      <c r="AG69" s="111">
        <f>AF69/AF57-1</f>
        <v/>
      </c>
      <c r="AH69" s="111" t="n"/>
      <c r="AI69" s="315" t="n">
        <v>489</v>
      </c>
      <c r="AJ69" s="111">
        <f>AI69/AI57-1</f>
        <v/>
      </c>
      <c r="AK69" s="111" t="n"/>
      <c r="AL69" s="316" t="n">
        <v>80.59999999999999</v>
      </c>
      <c r="AM69" s="380">
        <f>AL69-AL57</f>
        <v/>
      </c>
      <c r="AN69" s="111" t="n"/>
      <c r="AO69" s="316" t="n">
        <v>82.09999999999999</v>
      </c>
      <c r="AP69" s="380">
        <f>AO69-AO57</f>
        <v/>
      </c>
      <c r="AQ69" s="111" t="n"/>
      <c r="AR69" s="316" t="n">
        <v>78.5</v>
      </c>
      <c r="AS69" s="380">
        <f>AR69-AR57</f>
        <v/>
      </c>
      <c r="AT69" s="111" t="n"/>
      <c r="AU69" s="316" t="n">
        <v>79.3</v>
      </c>
      <c r="AV69" s="380">
        <f>AU69-AU57</f>
        <v/>
      </c>
      <c r="AW69" s="111" t="n"/>
      <c r="AX69" s="377" t="n">
        <v>676</v>
      </c>
      <c r="AY69" s="111">
        <f>AX69/AX57-1</f>
        <v/>
      </c>
      <c r="AZ69" s="111" t="n"/>
      <c r="BA69" s="378" t="n"/>
      <c r="BB69" s="142" t="n"/>
      <c r="BC69" s="378" t="n"/>
      <c r="BD69" s="142" t="n"/>
      <c r="BE69" s="378" t="n"/>
      <c r="BF69" s="142" t="n"/>
      <c r="BG69" s="378" t="n"/>
      <c r="BH69" s="142" t="n"/>
      <c r="BI69" s="318" t="n"/>
      <c r="BJ69" s="142" t="n"/>
      <c r="BK69" s="318" t="n"/>
      <c r="BL69" s="142" t="n"/>
      <c r="BM69" s="318" t="n"/>
      <c r="BN69" s="142" t="n"/>
      <c r="BO69" s="318" t="n"/>
      <c r="BP69" s="318" t="n"/>
      <c r="BQ69" s="142" t="n"/>
      <c r="BR69" s="318" t="n"/>
      <c r="BS69" s="142" t="n"/>
      <c r="BT69" s="318" t="n"/>
      <c r="BU69" s="142" t="n"/>
      <c r="BV69" s="318" t="n"/>
      <c r="BW69" s="142" t="n"/>
      <c r="BX69" s="318" t="n"/>
      <c r="BY69" s="142" t="n"/>
      <c r="BZ69" s="318" t="n"/>
      <c r="CA69" s="142" t="n"/>
      <c r="CB69" s="318" t="n"/>
      <c r="CC69" s="142" t="n"/>
      <c r="CD69" s="318" t="n"/>
      <c r="CE69" s="142" t="n"/>
      <c r="CF69" s="318" t="n"/>
      <c r="CG69" s="317" t="n"/>
      <c r="CH69" s="318" t="n"/>
      <c r="CI69" s="317" t="n"/>
      <c r="CJ69" s="318" t="n"/>
      <c r="CK69" s="317" t="n"/>
      <c r="CL69" s="318" t="n"/>
      <c r="CM69" s="317" t="n"/>
      <c r="CN69" s="318" t="n"/>
      <c r="CO69" s="80" t="n"/>
      <c r="CP69" s="318" t="n"/>
      <c r="CQ69" s="80" t="n"/>
      <c r="CR69" s="318" t="n"/>
      <c r="CS69" s="80" t="n"/>
      <c r="CT69" s="318" t="n"/>
      <c r="CU69" s="80" t="n"/>
      <c r="CW69" s="318" t="n"/>
      <c r="CX69" s="142" t="n"/>
      <c r="CY69" s="318" t="n"/>
      <c r="CZ69" s="142" t="n"/>
      <c r="DA69" s="318" t="n"/>
      <c r="DB69" s="142" t="n"/>
      <c r="DC69" s="318" t="n"/>
      <c r="DD69" s="142" t="n"/>
      <c r="DE69" s="385" t="n"/>
      <c r="DF69" s="385" t="n"/>
      <c r="DG69" s="318" t="n"/>
    </row>
    <row r="70" ht="15" customHeight="1">
      <c r="A70" s="376" t="n">
        <v>43677</v>
      </c>
      <c r="B70" s="315" t="n">
        <v>25165.9</v>
      </c>
      <c r="C70" s="111">
        <f>B70/B58-1</f>
        <v/>
      </c>
      <c r="D70" s="111" t="n"/>
      <c r="E70" s="315" t="n">
        <v>14569.8</v>
      </c>
      <c r="F70" s="111">
        <f>E70/E58-1</f>
        <v/>
      </c>
      <c r="G70" s="111" t="n"/>
      <c r="H70" s="315" t="n">
        <v>9603.700000000001</v>
      </c>
      <c r="I70" s="111">
        <f>H70/H58-1</f>
        <v/>
      </c>
      <c r="J70" s="111" t="n"/>
      <c r="K70" s="315" t="n">
        <v>992.5</v>
      </c>
      <c r="L70" s="111">
        <f>K70/K58-1</f>
        <v/>
      </c>
      <c r="M70" s="111" t="n"/>
      <c r="N70" s="315" t="n">
        <v>20418.4</v>
      </c>
      <c r="O70" s="111">
        <f>N70/N58-1</f>
        <v/>
      </c>
      <c r="P70" s="111" t="n"/>
      <c r="Q70" s="315" t="n">
        <v>12103.7</v>
      </c>
      <c r="R70" s="111">
        <f>Q70/Q58-1</f>
        <v/>
      </c>
      <c r="S70" s="111" t="n"/>
      <c r="T70" s="315" t="n">
        <v>7520.8</v>
      </c>
      <c r="U70" s="111">
        <f>T70/T58-1</f>
        <v/>
      </c>
      <c r="V70" s="111" t="n"/>
      <c r="W70" s="315" t="n">
        <v>793.8</v>
      </c>
      <c r="X70" s="111">
        <f>W70/W58-1</f>
        <v/>
      </c>
      <c r="Y70" s="111" t="n"/>
      <c r="Z70" s="315" t="n">
        <v>10051.2</v>
      </c>
      <c r="AA70" s="111">
        <f>Z70/Z58-1</f>
        <v/>
      </c>
      <c r="AB70" s="111" t="n"/>
      <c r="AC70" s="315" t="n">
        <v>8092.4</v>
      </c>
      <c r="AD70" s="111">
        <f>AC70/AC58-1</f>
        <v/>
      </c>
      <c r="AE70" s="111" t="n"/>
      <c r="AF70" s="315" t="n">
        <v>1440.7</v>
      </c>
      <c r="AG70" s="111">
        <f>AF70/AF58-1</f>
        <v/>
      </c>
      <c r="AH70" s="111" t="n"/>
      <c r="AI70" s="315" t="n">
        <v>518.1</v>
      </c>
      <c r="AJ70" s="111">
        <f>AI70/AI58-1</f>
        <v/>
      </c>
      <c r="AK70" s="111" t="n"/>
      <c r="AL70" s="316" t="n">
        <v>81.09999999999999</v>
      </c>
      <c r="AM70" s="380">
        <f>AL70-AL58</f>
        <v/>
      </c>
      <c r="AN70" s="111" t="n"/>
      <c r="AO70" s="316" t="n">
        <v>83.09999999999999</v>
      </c>
      <c r="AP70" s="380">
        <f>AO70-AO58</f>
        <v/>
      </c>
      <c r="AQ70" s="111" t="n"/>
      <c r="AR70" s="316" t="n">
        <v>78.3</v>
      </c>
      <c r="AS70" s="380">
        <f>AR70-AR58</f>
        <v/>
      </c>
      <c r="AT70" s="111" t="n"/>
      <c r="AU70" s="316" t="n">
        <v>80</v>
      </c>
      <c r="AV70" s="380">
        <f>AU70-AU58</f>
        <v/>
      </c>
      <c r="AW70" s="111" t="n"/>
      <c r="AX70" s="377" t="n">
        <v>679</v>
      </c>
      <c r="AY70" s="111">
        <f>AX70/AX58-1</f>
        <v/>
      </c>
      <c r="AZ70" s="111" t="n"/>
      <c r="BA70" s="378" t="n"/>
      <c r="BB70" s="142" t="n"/>
      <c r="BC70" s="378" t="n"/>
      <c r="BD70" s="142" t="n"/>
      <c r="BE70" s="378" t="n"/>
      <c r="BF70" s="142" t="n"/>
      <c r="BG70" s="378" t="n"/>
      <c r="BH70" s="142" t="n"/>
      <c r="BI70" s="318" t="n"/>
      <c r="BJ70" s="142" t="n"/>
      <c r="BK70" s="318" t="n"/>
      <c r="BL70" s="142" t="n"/>
      <c r="BM70" s="318" t="n"/>
      <c r="BN70" s="142" t="n"/>
      <c r="BO70" s="318" t="n"/>
      <c r="BP70" s="318" t="n"/>
      <c r="BQ70" s="142" t="n"/>
      <c r="BR70" s="318" t="n"/>
      <c r="BS70" s="142" t="n"/>
      <c r="BT70" s="318" t="n"/>
      <c r="BU70" s="142" t="n"/>
      <c r="BV70" s="318" t="n"/>
      <c r="BW70" s="142" t="n"/>
      <c r="BX70" s="318" t="n"/>
      <c r="BY70" s="142" t="n"/>
      <c r="BZ70" s="318" t="n"/>
      <c r="CA70" s="142" t="n"/>
      <c r="CB70" s="318" t="n"/>
      <c r="CC70" s="142" t="n"/>
      <c r="CD70" s="318" t="n"/>
      <c r="CE70" s="142" t="n"/>
      <c r="CF70" s="318" t="n"/>
      <c r="CG70" s="317" t="n"/>
      <c r="CH70" s="318" t="n"/>
      <c r="CI70" s="317" t="n"/>
      <c r="CJ70" s="318" t="n"/>
      <c r="CK70" s="317" t="n"/>
      <c r="CL70" s="318" t="n"/>
      <c r="CM70" s="317" t="n"/>
      <c r="CN70" s="318" t="n"/>
      <c r="CO70" s="80" t="n"/>
      <c r="CP70" s="318" t="n"/>
      <c r="CQ70" s="80" t="n"/>
      <c r="CR70" s="318" t="n"/>
      <c r="CS70" s="80" t="n"/>
      <c r="CT70" s="318" t="n"/>
      <c r="CU70" s="80" t="n"/>
      <c r="CW70" s="318" t="n"/>
      <c r="CX70" s="142" t="n"/>
      <c r="CY70" s="318" t="n"/>
      <c r="CZ70" s="142" t="n"/>
      <c r="DA70" s="318" t="n"/>
      <c r="DB70" s="142" t="n"/>
      <c r="DC70" s="318" t="n"/>
      <c r="DD70" s="142" t="n"/>
      <c r="DE70" s="385" t="n"/>
      <c r="DF70" s="385" t="n"/>
      <c r="DG70" s="318" t="n"/>
    </row>
    <row r="71">
      <c r="A71" s="376" t="n">
        <v>43708</v>
      </c>
      <c r="B71" s="315" t="n">
        <v>25175.8</v>
      </c>
      <c r="C71" s="111">
        <f>B71/B59-1</f>
        <v/>
      </c>
      <c r="D71" s="111" t="n"/>
      <c r="E71" s="315" t="n">
        <v>14668.4</v>
      </c>
      <c r="F71" s="111">
        <f>E71/E59-1</f>
        <v/>
      </c>
      <c r="G71" s="111" t="n"/>
      <c r="H71" s="315" t="n">
        <v>9580.1</v>
      </c>
      <c r="I71" s="111">
        <f>H71/H59-1</f>
        <v/>
      </c>
      <c r="J71" s="111" t="n"/>
      <c r="K71" s="315" t="n">
        <v>927.3</v>
      </c>
      <c r="L71" s="111">
        <f>K71/K59-1</f>
        <v/>
      </c>
      <c r="M71" s="111" t="n"/>
      <c r="N71" s="315" t="n">
        <v>21296.8</v>
      </c>
      <c r="O71" s="111">
        <f>N71/N59-1</f>
        <v/>
      </c>
      <c r="P71" s="111" t="n"/>
      <c r="Q71" s="315" t="n">
        <v>12635.7</v>
      </c>
      <c r="R71" s="111">
        <f>Q71/Q59-1</f>
        <v/>
      </c>
      <c r="S71" s="111" t="n"/>
      <c r="T71" s="315" t="n">
        <v>7944.4</v>
      </c>
      <c r="U71" s="111">
        <f>T71/T59-1</f>
        <v/>
      </c>
      <c r="V71" s="111" t="n"/>
      <c r="W71" s="315" t="n">
        <v>716.7</v>
      </c>
      <c r="X71" s="111">
        <f>W71/W59-1</f>
        <v/>
      </c>
      <c r="Y71" s="111" t="n"/>
      <c r="Z71" s="315" t="n">
        <v>10480</v>
      </c>
      <c r="AA71" s="111">
        <f>Z71/Z59-1</f>
        <v/>
      </c>
      <c r="AB71" s="111" t="n"/>
      <c r="AC71" s="315" t="n">
        <v>8473.799999999999</v>
      </c>
      <c r="AD71" s="111">
        <f>AC71/AC59-1</f>
        <v/>
      </c>
      <c r="AE71" s="111" t="n"/>
      <c r="AF71" s="315" t="n">
        <v>1530.4</v>
      </c>
      <c r="AG71" s="111">
        <f>AF71/AF59-1</f>
        <v/>
      </c>
      <c r="AH71" s="111" t="n"/>
      <c r="AI71" s="315" t="n">
        <v>475.7</v>
      </c>
      <c r="AJ71" s="111">
        <f>AI71/AI59-1</f>
        <v/>
      </c>
      <c r="AK71" s="111" t="n"/>
      <c r="AL71" s="316" t="n">
        <v>84.59999999999999</v>
      </c>
      <c r="AM71" s="380">
        <f>AL71-AL59</f>
        <v/>
      </c>
      <c r="AN71" s="111" t="n"/>
      <c r="AO71" s="316" t="n">
        <v>86.09999999999999</v>
      </c>
      <c r="AP71" s="380">
        <f>AO71-AO59</f>
        <v/>
      </c>
      <c r="AQ71" s="111" t="n"/>
      <c r="AR71" s="316" t="n">
        <v>82.90000000000001</v>
      </c>
      <c r="AS71" s="380">
        <f>AR71-AR59</f>
        <v/>
      </c>
      <c r="AT71" s="111" t="n"/>
      <c r="AU71" s="316" t="n">
        <v>77.3</v>
      </c>
      <c r="AV71" s="380">
        <f>AU71-AU59</f>
        <v/>
      </c>
      <c r="AW71" s="111" t="n"/>
      <c r="AX71" s="377" t="n">
        <v>678</v>
      </c>
      <c r="AY71" s="111">
        <f>AX71/AX59-1</f>
        <v/>
      </c>
      <c r="AZ71" s="111" t="n"/>
      <c r="BA71" s="378" t="n"/>
      <c r="BB71" s="142" t="n"/>
      <c r="BC71" s="378" t="n"/>
      <c r="BD71" s="142" t="n"/>
      <c r="BE71" s="378" t="n"/>
      <c r="BF71" s="142" t="n"/>
      <c r="BG71" s="378" t="n"/>
      <c r="BH71" s="142" t="n"/>
      <c r="BI71" s="318" t="n"/>
      <c r="BJ71" s="142" t="n"/>
      <c r="BK71" s="318" t="n"/>
      <c r="BL71" s="142" t="n"/>
      <c r="BM71" s="318" t="n"/>
      <c r="BN71" s="142" t="n"/>
      <c r="BO71" s="318" t="n"/>
      <c r="BP71" s="318" t="n"/>
      <c r="BQ71" s="142" t="n"/>
      <c r="BR71" s="318" t="n"/>
      <c r="BS71" s="142" t="n"/>
      <c r="BT71" s="318" t="n"/>
      <c r="BU71" s="142" t="n"/>
      <c r="BV71" s="318" t="n"/>
      <c r="BW71" s="142" t="n"/>
      <c r="BX71" s="318" t="n"/>
      <c r="BY71" s="142" t="n"/>
      <c r="BZ71" s="318" t="n"/>
      <c r="CA71" s="142" t="n"/>
      <c r="CB71" s="318" t="n"/>
      <c r="CC71" s="142" t="n"/>
      <c r="CD71" s="318" t="n"/>
      <c r="CE71" s="142" t="n"/>
      <c r="CF71" s="318" t="n"/>
      <c r="CG71" s="317" t="n"/>
      <c r="CH71" s="318" t="n"/>
      <c r="CI71" s="317" t="n"/>
      <c r="CJ71" s="318" t="n"/>
      <c r="CK71" s="317" t="n"/>
      <c r="CL71" s="318" t="n"/>
      <c r="CM71" s="317" t="n"/>
      <c r="CN71" s="318" t="n"/>
      <c r="CO71" s="80" t="n"/>
      <c r="CP71" s="318" t="n"/>
      <c r="CQ71" s="80" t="n"/>
      <c r="CR71" s="318" t="n"/>
      <c r="CS71" s="80" t="n"/>
      <c r="CT71" s="318" t="n"/>
      <c r="CU71" s="80" t="n"/>
      <c r="CW71" s="318" t="n"/>
      <c r="CX71" s="142" t="n"/>
      <c r="CY71" s="318" t="n"/>
      <c r="CZ71" s="142" t="n"/>
      <c r="DA71" s="318" t="n"/>
      <c r="DB71" s="142" t="n"/>
      <c r="DC71" s="318" t="n"/>
      <c r="DD71" s="142" t="n"/>
      <c r="DE71" s="385" t="n"/>
      <c r="DF71" s="385" t="n"/>
      <c r="DG71" s="318" t="n"/>
    </row>
    <row r="72">
      <c r="A72" s="376" t="n">
        <v>43738</v>
      </c>
      <c r="B72" s="315" t="n">
        <v>23682.6</v>
      </c>
      <c r="C72" s="111">
        <f>B72/B60-1</f>
        <v/>
      </c>
      <c r="D72" s="111" t="n"/>
      <c r="E72" s="315" t="n">
        <v>13994.5</v>
      </c>
      <c r="F72" s="111">
        <f>E72/E60-1</f>
        <v/>
      </c>
      <c r="G72" s="111" t="n"/>
      <c r="H72" s="315" t="n">
        <v>8893.5</v>
      </c>
      <c r="I72" s="111">
        <f>H72/H60-1</f>
        <v/>
      </c>
      <c r="J72" s="111" t="n"/>
      <c r="K72" s="315" t="n">
        <v>794.6</v>
      </c>
      <c r="L72" s="111">
        <f>K72/K60-1</f>
        <v/>
      </c>
      <c r="M72" s="111" t="n"/>
      <c r="N72" s="315" t="n">
        <v>19082.7</v>
      </c>
      <c r="O72" s="111">
        <f>N72/N60-1</f>
        <v/>
      </c>
      <c r="P72" s="111" t="n"/>
      <c r="Q72" s="315" t="n">
        <v>11446.2</v>
      </c>
      <c r="R72" s="111">
        <f>Q72/Q60-1</f>
        <v/>
      </c>
      <c r="S72" s="111" t="n"/>
      <c r="T72" s="315" t="n">
        <v>7091.5</v>
      </c>
      <c r="U72" s="111">
        <f>T72/T60-1</f>
        <v/>
      </c>
      <c r="V72" s="111" t="n"/>
      <c r="W72" s="315" t="n">
        <v>545</v>
      </c>
      <c r="X72" s="111">
        <f>W72/W60-1</f>
        <v/>
      </c>
      <c r="Y72" s="111" t="n"/>
      <c r="Z72" s="315" t="n">
        <v>9401.4</v>
      </c>
      <c r="AA72" s="111">
        <f>Z72/Z60-1</f>
        <v/>
      </c>
      <c r="AB72" s="111" t="n"/>
      <c r="AC72" s="315" t="n">
        <v>7689</v>
      </c>
      <c r="AD72" s="111">
        <f>AC72/AC60-1</f>
        <v/>
      </c>
      <c r="AE72" s="111" t="n"/>
      <c r="AF72" s="315" t="n">
        <v>1358.9</v>
      </c>
      <c r="AG72" s="111">
        <f>AF72/AF60-1</f>
        <v/>
      </c>
      <c r="AH72" s="111" t="n"/>
      <c r="AI72" s="315" t="n">
        <v>353.5</v>
      </c>
      <c r="AJ72" s="111">
        <f>AI72/AI60-1</f>
        <v/>
      </c>
      <c r="AK72" s="111" t="n"/>
      <c r="AL72" s="316" t="n">
        <v>80.59999999999999</v>
      </c>
      <c r="AM72" s="380">
        <f>AL72-AL60</f>
        <v/>
      </c>
      <c r="AN72" s="111" t="n"/>
      <c r="AO72" s="316" t="n">
        <v>81.8</v>
      </c>
      <c r="AP72" s="380">
        <f>AO72-AO60</f>
        <v/>
      </c>
      <c r="AQ72" s="111" t="n"/>
      <c r="AR72" s="316" t="n">
        <v>79.7</v>
      </c>
      <c r="AS72" s="380">
        <f>AR72-AR60</f>
        <v/>
      </c>
      <c r="AT72" s="111" t="n"/>
      <c r="AU72" s="316" t="n">
        <v>68.59999999999999</v>
      </c>
      <c r="AV72" s="380">
        <f>AU72-AU60</f>
        <v/>
      </c>
      <c r="AW72" s="111" t="n"/>
      <c r="AX72" s="377" t="n">
        <v>680</v>
      </c>
      <c r="AY72" s="111">
        <f>AX72/AX60-1</f>
        <v/>
      </c>
      <c r="AZ72" s="111" t="n"/>
      <c r="BA72" s="378" t="n"/>
      <c r="BB72" s="142" t="n"/>
      <c r="BC72" s="378" t="n"/>
      <c r="BD72" s="142" t="n"/>
      <c r="BE72" s="378" t="n"/>
      <c r="BF72" s="142" t="n"/>
      <c r="BG72" s="378" t="n"/>
      <c r="BH72" s="142" t="n"/>
      <c r="BI72" s="318" t="n"/>
      <c r="BJ72" s="142" t="n"/>
      <c r="BK72" s="318" t="n"/>
      <c r="BL72" s="142" t="n"/>
      <c r="BM72" s="318" t="n"/>
      <c r="BN72" s="142" t="n"/>
      <c r="BO72" s="318" t="n"/>
      <c r="BP72" s="318" t="n"/>
      <c r="BQ72" s="142" t="n"/>
      <c r="BR72" s="318" t="n"/>
      <c r="BS72" s="142" t="n"/>
      <c r="BT72" s="318" t="n"/>
      <c r="BU72" s="142" t="n"/>
      <c r="BV72" s="318" t="n"/>
      <c r="BW72" s="142" t="n"/>
      <c r="BX72" s="318" t="n"/>
      <c r="BY72" s="142" t="n"/>
      <c r="BZ72" s="318" t="n"/>
      <c r="CA72" s="142" t="n"/>
      <c r="CB72" s="318" t="n"/>
      <c r="CC72" s="142" t="n"/>
      <c r="CD72" s="318" t="n"/>
      <c r="CE72" s="142" t="n"/>
      <c r="CF72" s="318" t="n"/>
      <c r="CG72" s="317" t="n"/>
      <c r="CH72" s="318" t="n"/>
      <c r="CI72" s="317" t="n"/>
      <c r="CJ72" s="318" t="n"/>
      <c r="CK72" s="317" t="n"/>
      <c r="CL72" s="318" t="n"/>
      <c r="CM72" s="317" t="n"/>
      <c r="CN72" s="318" t="n"/>
      <c r="CO72" s="80" t="n"/>
      <c r="CP72" s="318" t="n"/>
      <c r="CQ72" s="80" t="n"/>
      <c r="CR72" s="318" t="n"/>
      <c r="CS72" s="80" t="n"/>
      <c r="CT72" s="318" t="n"/>
      <c r="CU72" s="80" t="n"/>
      <c r="CW72" s="318" t="n"/>
      <c r="CX72" s="142" t="n"/>
      <c r="CY72" s="318" t="n"/>
      <c r="CZ72" s="142" t="n"/>
      <c r="DA72" s="318" t="n"/>
      <c r="DB72" s="142" t="n"/>
      <c r="DC72" s="318" t="n"/>
      <c r="DD72" s="142" t="n"/>
      <c r="DE72" s="385" t="n"/>
      <c r="DF72" s="385" t="n"/>
      <c r="DG72" s="318" t="n"/>
    </row>
    <row r="73">
      <c r="A73" s="376" t="n">
        <v>43769</v>
      </c>
      <c r="B73" s="315" t="n">
        <v>24101.3</v>
      </c>
      <c r="C73" s="111">
        <f>B73/B61-1</f>
        <v/>
      </c>
      <c r="D73" s="111" t="n"/>
      <c r="E73" s="315" t="n">
        <v>14314.4</v>
      </c>
      <c r="F73" s="111">
        <f>E73/E61-1</f>
        <v/>
      </c>
      <c r="G73" s="111" t="n"/>
      <c r="H73" s="315" t="n">
        <v>8938.799999999999</v>
      </c>
      <c r="I73" s="111">
        <f>H73/H61-1</f>
        <v/>
      </c>
      <c r="J73" s="111" t="n"/>
      <c r="K73" s="315" t="n">
        <v>848.2</v>
      </c>
      <c r="L73" s="111">
        <f>K73/K61-1</f>
        <v/>
      </c>
      <c r="M73" s="111" t="n"/>
      <c r="N73" s="315" t="n">
        <v>19678.6</v>
      </c>
      <c r="O73" s="111">
        <f>N73/N61-1</f>
        <v/>
      </c>
      <c r="P73" s="111" t="n"/>
      <c r="Q73" s="315" t="n">
        <v>12077.3</v>
      </c>
      <c r="R73" s="111">
        <f>Q73/Q61-1</f>
        <v/>
      </c>
      <c r="S73" s="111" t="n"/>
      <c r="T73" s="315" t="n">
        <v>7011.2</v>
      </c>
      <c r="U73" s="111">
        <f>T73/T61-1</f>
        <v/>
      </c>
      <c r="V73" s="111" t="n"/>
      <c r="W73" s="315" t="n">
        <v>590.1</v>
      </c>
      <c r="X73" s="111">
        <f>W73/W61-1</f>
        <v/>
      </c>
      <c r="Y73" s="111" t="n"/>
      <c r="Z73" s="315" t="n">
        <v>9814.5</v>
      </c>
      <c r="AA73" s="111">
        <f>Z73/Z61-1</f>
        <v/>
      </c>
      <c r="AB73" s="111" t="n"/>
      <c r="AC73" s="315" t="n">
        <v>8082.2</v>
      </c>
      <c r="AD73" s="111">
        <f>AC73/AC61-1</f>
        <v/>
      </c>
      <c r="AE73" s="111" t="n"/>
      <c r="AF73" s="315" t="n">
        <v>1357.1</v>
      </c>
      <c r="AG73" s="111">
        <f>AF73/AF61-1</f>
        <v/>
      </c>
      <c r="AH73" s="111" t="n"/>
      <c r="AI73" s="315" t="n">
        <v>375.2</v>
      </c>
      <c r="AJ73" s="111">
        <f>AI73/AI61-1</f>
        <v/>
      </c>
      <c r="AK73" s="111" t="n"/>
      <c r="AL73" s="316" t="n">
        <v>81.59999999999999</v>
      </c>
      <c r="AM73" s="380">
        <f>AL73-AL61</f>
        <v/>
      </c>
      <c r="AN73" s="111" t="n"/>
      <c r="AO73" s="316" t="n">
        <v>84.40000000000001</v>
      </c>
      <c r="AP73" s="380">
        <f>AO73-AO61</f>
        <v/>
      </c>
      <c r="AQ73" s="111" t="n"/>
      <c r="AR73" s="316" t="n">
        <v>78.40000000000001</v>
      </c>
      <c r="AS73" s="380">
        <f>AR73-AR61</f>
        <v/>
      </c>
      <c r="AT73" s="111" t="n"/>
      <c r="AU73" s="316" t="n">
        <v>69.59999999999999</v>
      </c>
      <c r="AV73" s="380">
        <f>AU73-AU61</f>
        <v/>
      </c>
      <c r="AW73" s="111" t="n"/>
      <c r="AX73" s="377" t="n">
        <v>680</v>
      </c>
      <c r="AY73" s="111">
        <f>AX73/AX61-1</f>
        <v/>
      </c>
      <c r="AZ73" s="111" t="n"/>
      <c r="BA73" s="378" t="n"/>
      <c r="BB73" s="142" t="n"/>
      <c r="BC73" s="378" t="n"/>
      <c r="BD73" s="142" t="n"/>
      <c r="BE73" s="378" t="n"/>
      <c r="BF73" s="142" t="n"/>
      <c r="BG73" s="378" t="n"/>
      <c r="BH73" s="142" t="n"/>
      <c r="BI73" s="318" t="n"/>
      <c r="BJ73" s="142" t="n"/>
      <c r="BK73" s="318" t="n"/>
      <c r="BL73" s="142" t="n"/>
      <c r="BM73" s="318" t="n"/>
      <c r="BN73" s="142" t="n"/>
      <c r="BO73" s="318" t="n"/>
      <c r="BP73" s="318" t="n"/>
      <c r="BQ73" s="142" t="n"/>
      <c r="BR73" s="318" t="n"/>
      <c r="BS73" s="142" t="n"/>
      <c r="BT73" s="318" t="n"/>
      <c r="BU73" s="142" t="n"/>
      <c r="BV73" s="318" t="n"/>
      <c r="BW73" s="142" t="n"/>
      <c r="BX73" s="318" t="n"/>
      <c r="BY73" s="142" t="n"/>
      <c r="BZ73" s="318" t="n"/>
      <c r="CA73" s="142" t="n"/>
      <c r="CB73" s="318" t="n"/>
      <c r="CC73" s="142" t="n"/>
      <c r="CD73" s="318" t="n"/>
      <c r="CE73" s="142" t="n"/>
      <c r="CF73" s="318" t="n"/>
      <c r="CG73" s="317" t="n"/>
      <c r="CH73" s="318" t="n"/>
      <c r="CI73" s="317" t="n"/>
      <c r="CJ73" s="318" t="n"/>
      <c r="CK73" s="317" t="n"/>
      <c r="CL73" s="318" t="n"/>
      <c r="CM73" s="317" t="n"/>
      <c r="CN73" s="318" t="n"/>
      <c r="CO73" s="80" t="n"/>
      <c r="CP73" s="318" t="n"/>
      <c r="CQ73" s="80" t="n"/>
      <c r="CR73" s="318" t="n"/>
      <c r="CS73" s="80" t="n"/>
      <c r="CT73" s="318" t="n"/>
      <c r="CU73" s="80" t="n"/>
      <c r="CW73" s="318" t="n"/>
      <c r="CX73" s="142" t="n"/>
      <c r="CY73" s="318" t="n"/>
      <c r="CZ73" s="142" t="n"/>
      <c r="DA73" s="318" t="n"/>
      <c r="DB73" s="142" t="n"/>
      <c r="DC73" s="318" t="n"/>
      <c r="DD73" s="142" t="n"/>
      <c r="DE73" s="385" t="n"/>
      <c r="DF73" s="385" t="n"/>
      <c r="DG73" s="318" t="n"/>
    </row>
    <row r="74">
      <c r="A74" s="376" t="n">
        <v>43799</v>
      </c>
      <c r="B74" s="315" t="n">
        <v>23458.8</v>
      </c>
      <c r="C74" s="111">
        <f>B74/B62-1</f>
        <v/>
      </c>
      <c r="D74" s="111" t="n"/>
      <c r="E74" s="315" t="n">
        <v>14006.1</v>
      </c>
      <c r="F74" s="111">
        <f>E74/E62-1</f>
        <v/>
      </c>
      <c r="G74" s="111" t="n"/>
      <c r="H74" s="315" t="n">
        <v>8684.1</v>
      </c>
      <c r="I74" s="111">
        <f>H74/H62-1</f>
        <v/>
      </c>
      <c r="J74" s="111" t="n"/>
      <c r="K74" s="315" t="n">
        <v>768.7</v>
      </c>
      <c r="L74" s="111">
        <f>K74/K62-1</f>
        <v/>
      </c>
      <c r="M74" s="111" t="n"/>
      <c r="N74" s="315" t="n">
        <v>18654.2</v>
      </c>
      <c r="O74" s="111">
        <f>N74/N62-1</f>
        <v/>
      </c>
      <c r="P74" s="111" t="n"/>
      <c r="Q74" s="315" t="n">
        <v>11344.1</v>
      </c>
      <c r="R74" s="111">
        <f>Q74/Q62-1</f>
        <v/>
      </c>
      <c r="S74" s="111" t="n"/>
      <c r="T74" s="315" t="n">
        <v>6753.6</v>
      </c>
      <c r="U74" s="111">
        <f>T74/T62-1</f>
        <v/>
      </c>
      <c r="V74" s="111" t="n"/>
      <c r="W74" s="315" t="n">
        <v>556.5</v>
      </c>
      <c r="X74" s="111">
        <f>W74/W62-1</f>
        <v/>
      </c>
      <c r="Y74" s="111" t="n"/>
      <c r="Z74" s="315" t="n">
        <v>9301</v>
      </c>
      <c r="AA74" s="111">
        <f>Z74/Z62-1</f>
        <v/>
      </c>
      <c r="AB74" s="111" t="n"/>
      <c r="AC74" s="315" t="n">
        <v>7578.8</v>
      </c>
      <c r="AD74" s="111">
        <f>AC74/AC62-1</f>
        <v/>
      </c>
      <c r="AE74" s="111" t="n"/>
      <c r="AF74" s="315" t="n">
        <v>1368.2</v>
      </c>
      <c r="AG74" s="111">
        <f>AF74/AF62-1</f>
        <v/>
      </c>
      <c r="AH74" s="111" t="n"/>
      <c r="AI74" s="315" t="n">
        <v>353.9</v>
      </c>
      <c r="AJ74" s="111">
        <f>AI74/AI62-1</f>
        <v/>
      </c>
      <c r="AK74" s="111" t="n"/>
      <c r="AL74" s="316" t="n">
        <v>79.5</v>
      </c>
      <c r="AM74" s="380">
        <f>AL74-AL62</f>
        <v/>
      </c>
      <c r="AN74" s="111" t="n"/>
      <c r="AO74" s="316" t="n">
        <v>81</v>
      </c>
      <c r="AP74" s="380">
        <f>AO74-AO62</f>
        <v/>
      </c>
      <c r="AQ74" s="111" t="n"/>
      <c r="AR74" s="316" t="n">
        <v>77.8</v>
      </c>
      <c r="AS74" s="380">
        <f>AR74-AR62</f>
        <v/>
      </c>
      <c r="AT74" s="111" t="n"/>
      <c r="AU74" s="316" t="n">
        <v>72.40000000000001</v>
      </c>
      <c r="AV74" s="380">
        <f>AU74-AU62</f>
        <v/>
      </c>
      <c r="AW74" s="111" t="n"/>
      <c r="AX74" s="377" t="n">
        <v>686</v>
      </c>
      <c r="AY74" s="111">
        <f>AX74/AX62-1</f>
        <v/>
      </c>
      <c r="AZ74" s="111" t="n"/>
      <c r="BA74" s="378" t="n"/>
      <c r="BB74" s="142" t="n"/>
      <c r="BC74" s="378" t="n"/>
      <c r="BD74" s="142" t="n"/>
      <c r="BE74" s="378" t="n"/>
      <c r="BF74" s="142" t="n"/>
      <c r="BG74" s="378" t="n"/>
      <c r="BH74" s="142" t="n"/>
      <c r="BI74" s="318" t="n"/>
      <c r="BJ74" s="142" t="n"/>
      <c r="BK74" s="318" t="n"/>
      <c r="BL74" s="142" t="n"/>
      <c r="BM74" s="318" t="n"/>
      <c r="BN74" s="142" t="n"/>
      <c r="BO74" s="318" t="n"/>
      <c r="BP74" s="318" t="n"/>
      <c r="BQ74" s="142" t="n"/>
      <c r="BR74" s="318" t="n"/>
      <c r="BS74" s="142" t="n"/>
      <c r="BT74" s="318" t="n"/>
      <c r="BU74" s="142" t="n"/>
      <c r="BV74" s="318" t="n"/>
      <c r="BW74" s="142" t="n"/>
      <c r="BX74" s="318" t="n"/>
      <c r="BY74" s="142" t="n"/>
      <c r="BZ74" s="318" t="n"/>
      <c r="CA74" s="142" t="n"/>
      <c r="CB74" s="318" t="n"/>
      <c r="CC74" s="142" t="n"/>
      <c r="CD74" s="318" t="n"/>
      <c r="CE74" s="142" t="n"/>
      <c r="CF74" s="318" t="n"/>
      <c r="CG74" s="317" t="n"/>
      <c r="CH74" s="318" t="n"/>
      <c r="CI74" s="317" t="n"/>
      <c r="CJ74" s="318" t="n"/>
      <c r="CK74" s="317" t="n"/>
      <c r="CL74" s="318" t="n"/>
      <c r="CM74" s="317" t="n"/>
      <c r="CN74" s="318" t="n"/>
      <c r="CO74" s="80" t="n"/>
      <c r="CP74" s="318" t="n"/>
      <c r="CQ74" s="80" t="n"/>
      <c r="CR74" s="318" t="n"/>
      <c r="CS74" s="80" t="n"/>
      <c r="CT74" s="318" t="n"/>
      <c r="CU74" s="80" t="n"/>
      <c r="CW74" s="318" t="n"/>
      <c r="CX74" s="142" t="n"/>
      <c r="CY74" s="318" t="n"/>
      <c r="CZ74" s="142" t="n"/>
      <c r="DA74" s="318" t="n"/>
      <c r="DB74" s="142" t="n"/>
      <c r="DC74" s="318" t="n"/>
      <c r="DD74" s="142" t="n"/>
      <c r="DE74" s="385" t="n"/>
      <c r="DF74" s="385" t="n"/>
      <c r="DG74" s="318" t="n"/>
    </row>
    <row r="75">
      <c r="A75" s="376" t="n">
        <v>43830</v>
      </c>
      <c r="B75" s="315" t="n">
        <v>24425.5</v>
      </c>
      <c r="C75" s="111">
        <f>B75/B63-1</f>
        <v/>
      </c>
      <c r="D75" s="111" t="n"/>
      <c r="E75" s="315" t="n">
        <v>14484.8</v>
      </c>
      <c r="F75" s="111">
        <f>E75/E63-1</f>
        <v/>
      </c>
      <c r="G75" s="111" t="n"/>
      <c r="H75" s="315" t="n">
        <v>9133.1</v>
      </c>
      <c r="I75" s="111">
        <f>H75/H63-1</f>
        <v/>
      </c>
      <c r="J75" s="111" t="n"/>
      <c r="K75" s="315" t="n">
        <v>807.6</v>
      </c>
      <c r="L75" s="111">
        <f>K75/K63-1</f>
        <v/>
      </c>
      <c r="M75" s="111" t="n"/>
      <c r="N75" s="315" t="n">
        <v>19278.5</v>
      </c>
      <c r="O75" s="111">
        <f>N75/N63-1</f>
        <v/>
      </c>
      <c r="P75" s="111" t="n"/>
      <c r="Q75" s="315" t="n">
        <v>11523.7</v>
      </c>
      <c r="R75" s="111">
        <f>Q75/Q63-1</f>
        <v/>
      </c>
      <c r="S75" s="111" t="n"/>
      <c r="T75" s="315" t="n">
        <v>7160.8</v>
      </c>
      <c r="U75" s="111">
        <f>T75/T63-1</f>
        <v/>
      </c>
      <c r="V75" s="111" t="n"/>
      <c r="W75" s="315" t="n">
        <v>594</v>
      </c>
      <c r="X75" s="111">
        <f>W75/W63-1</f>
        <v/>
      </c>
      <c r="Y75" s="111" t="n"/>
      <c r="Z75" s="315" t="n">
        <v>9491</v>
      </c>
      <c r="AA75" s="111">
        <f>Z75/Z63-1</f>
        <v/>
      </c>
      <c r="AB75" s="111" t="n"/>
      <c r="AC75" s="315" t="n">
        <v>7649.7</v>
      </c>
      <c r="AD75" s="111">
        <f>AC75/AC63-1</f>
        <v/>
      </c>
      <c r="AE75" s="111" t="n"/>
      <c r="AF75" s="315" t="n">
        <v>1461.2</v>
      </c>
      <c r="AG75" s="111">
        <f>AF75/AF63-1</f>
        <v/>
      </c>
      <c r="AH75" s="111" t="n"/>
      <c r="AI75" s="315" t="n">
        <v>380.1</v>
      </c>
      <c r="AJ75" s="111">
        <f>AI75/AI63-1</f>
        <v/>
      </c>
      <c r="AK75" s="111" t="n"/>
      <c r="AL75" s="316" t="n">
        <v>78.90000000000001</v>
      </c>
      <c r="AM75" s="380">
        <f>AL75-AL63</f>
        <v/>
      </c>
      <c r="AN75" s="111" t="n"/>
      <c r="AO75" s="316" t="n">
        <v>79.59999999999999</v>
      </c>
      <c r="AP75" s="380">
        <f>AO75-AO63</f>
        <v/>
      </c>
      <c r="AQ75" s="111" t="n"/>
      <c r="AR75" s="316" t="n">
        <v>78.40000000000001</v>
      </c>
      <c r="AS75" s="380">
        <f>AR75-AR63</f>
        <v/>
      </c>
      <c r="AT75" s="111" t="n"/>
      <c r="AU75" s="316" t="n">
        <v>73.5</v>
      </c>
      <c r="AV75" s="380">
        <f>AU75-AU63</f>
        <v/>
      </c>
      <c r="AW75" s="111" t="n"/>
      <c r="AX75" s="377" t="n">
        <v>698</v>
      </c>
      <c r="AY75" s="111">
        <f>AX75/AX63-1</f>
        <v/>
      </c>
      <c r="AZ75" s="111" t="n"/>
      <c r="BA75" s="378" t="n"/>
      <c r="BB75" s="142" t="n"/>
      <c r="BC75" s="378" t="n"/>
      <c r="BD75" s="142" t="n"/>
      <c r="BE75" s="378" t="n"/>
      <c r="BF75" s="142" t="n"/>
      <c r="BG75" s="378" t="n"/>
      <c r="BH75" s="142" t="n"/>
      <c r="BI75" s="318" t="n"/>
      <c r="BJ75" s="142" t="n"/>
      <c r="BK75" s="318" t="n"/>
      <c r="BL75" s="142" t="n"/>
      <c r="BM75" s="318" t="n"/>
      <c r="BN75" s="142" t="n"/>
      <c r="BO75" s="318" t="n"/>
      <c r="BP75" s="318" t="n"/>
      <c r="BQ75" s="142" t="n"/>
      <c r="BR75" s="318" t="n"/>
      <c r="BS75" s="142" t="n"/>
      <c r="BT75" s="318" t="n"/>
      <c r="BU75" s="142" t="n"/>
      <c r="BV75" s="318" t="n"/>
      <c r="BW75" s="142" t="n"/>
      <c r="BX75" s="318" t="n"/>
      <c r="BY75" s="142" t="n"/>
      <c r="BZ75" s="318" t="n"/>
      <c r="CA75" s="142" t="n"/>
      <c r="CB75" s="318" t="n"/>
      <c r="CC75" s="142" t="n"/>
      <c r="CD75" s="318" t="n"/>
      <c r="CE75" s="142" t="n"/>
      <c r="CF75" s="318" t="n"/>
      <c r="CG75" s="317" t="n"/>
      <c r="CH75" s="318" t="n"/>
      <c r="CI75" s="317" t="n"/>
      <c r="CJ75" s="318" t="n"/>
      <c r="CK75" s="317" t="n"/>
      <c r="CL75" s="318" t="n"/>
      <c r="CM75" s="317" t="n"/>
      <c r="CN75" s="318" t="n"/>
      <c r="CO75" s="80" t="n"/>
      <c r="CP75" s="318" t="n"/>
      <c r="CQ75" s="80" t="n"/>
      <c r="CR75" s="318" t="n"/>
      <c r="CS75" s="80" t="n"/>
      <c r="CT75" s="318" t="n"/>
      <c r="CU75" s="80" t="n"/>
      <c r="CW75" s="318" t="n"/>
      <c r="CX75" s="142" t="n"/>
      <c r="CY75" s="318" t="n"/>
      <c r="CZ75" s="142" t="n"/>
      <c r="DA75" s="318" t="n"/>
      <c r="DB75" s="142" t="n"/>
      <c r="DC75" s="318" t="n"/>
      <c r="DD75" s="142" t="n"/>
      <c r="DE75" s="385" t="n"/>
      <c r="DF75" s="385" t="n"/>
      <c r="DG75" s="318" t="n"/>
    </row>
    <row r="76" ht="13" customFormat="1" customHeight="1" s="200">
      <c r="A76" s="371" t="n">
        <v>43861</v>
      </c>
      <c r="B76" s="381" t="n">
        <v>24658.3</v>
      </c>
      <c r="C76" s="111">
        <f>B76/B64-1</f>
        <v/>
      </c>
      <c r="D76" s="111" t="n"/>
      <c r="E76" s="381" t="n">
        <v>14640.1</v>
      </c>
      <c r="F76" s="111">
        <f>E76/E64-1</f>
        <v/>
      </c>
      <c r="G76" s="111" t="n"/>
      <c r="H76" s="381" t="n">
        <v>9170.799999999999</v>
      </c>
      <c r="I76" s="111">
        <f>H76/H64-1</f>
        <v/>
      </c>
      <c r="J76" s="111" t="n"/>
      <c r="K76" s="381" t="n">
        <v>847.3</v>
      </c>
      <c r="L76" s="111">
        <f>K76/K64-1</f>
        <v/>
      </c>
      <c r="M76" s="111" t="n"/>
      <c r="N76" s="381" t="n">
        <v>18880</v>
      </c>
      <c r="O76" s="111">
        <f>N76/N64-1</f>
        <v/>
      </c>
      <c r="P76" s="111" t="n"/>
      <c r="Q76" s="381" t="n">
        <v>11176.6</v>
      </c>
      <c r="R76" s="111">
        <f>Q76/Q64-1</f>
        <v/>
      </c>
      <c r="S76" s="111" t="n"/>
      <c r="T76" s="381" t="n">
        <v>7106</v>
      </c>
      <c r="U76" s="111">
        <f>T76/T64-1</f>
        <v/>
      </c>
      <c r="V76" s="111" t="n"/>
      <c r="W76" s="381" t="n">
        <v>597.3</v>
      </c>
      <c r="X76" s="111">
        <f>W76/W64-1</f>
        <v/>
      </c>
      <c r="Y76" s="111" t="n"/>
      <c r="Z76" s="381" t="n">
        <v>9188.799999999999</v>
      </c>
      <c r="AA76" s="111">
        <f>Z76/Z64-1</f>
        <v/>
      </c>
      <c r="AB76" s="111" t="n"/>
      <c r="AC76" s="381" t="n">
        <v>7334</v>
      </c>
      <c r="AD76" s="111">
        <f>AC76/AC64-1</f>
        <v/>
      </c>
      <c r="AE76" s="111" t="n"/>
      <c r="AF76" s="381" t="n">
        <v>1471.2</v>
      </c>
      <c r="AG76" s="111">
        <f>AF76/AF64-1</f>
        <v/>
      </c>
      <c r="AH76" s="111" t="n"/>
      <c r="AI76" s="381" t="n">
        <v>383.6</v>
      </c>
      <c r="AJ76" s="111">
        <f>AI76/AI64-1</f>
        <v/>
      </c>
      <c r="AK76" s="111" t="n"/>
      <c r="AL76" s="382" t="n">
        <v>76.59999999999999</v>
      </c>
      <c r="AM76" s="380">
        <f>AL76-AL64</f>
        <v/>
      </c>
      <c r="AN76" s="111" t="n"/>
      <c r="AO76" s="382" t="n">
        <v>76.3</v>
      </c>
      <c r="AP76" s="380">
        <f>AO76-AO64</f>
        <v/>
      </c>
      <c r="AQ76" s="111" t="n"/>
      <c r="AR76" s="382" t="n">
        <v>77.5</v>
      </c>
      <c r="AS76" s="380">
        <f>AR76-AR64</f>
        <v/>
      </c>
      <c r="AT76" s="111" t="n"/>
      <c r="AU76" s="382" t="n">
        <v>70.5</v>
      </c>
      <c r="AV76" s="380">
        <f>AU76-AU64</f>
        <v/>
      </c>
      <c r="AW76" s="111" t="n"/>
      <c r="AX76" s="383" t="n">
        <v>700</v>
      </c>
      <c r="AY76" s="111">
        <f>AX76/AX64-1</f>
        <v/>
      </c>
      <c r="AZ76" s="111" t="n"/>
      <c r="BA76" s="381" t="n"/>
      <c r="BB76" s="142" t="n"/>
      <c r="BC76" s="381" t="n"/>
      <c r="BD76" s="217" t="n"/>
      <c r="BE76" s="381" t="n"/>
      <c r="BF76" s="217" t="n"/>
      <c r="BG76" s="381" t="n"/>
      <c r="BH76" s="217" t="n"/>
      <c r="BI76" s="381" t="n"/>
      <c r="BJ76" s="217" t="n"/>
      <c r="BK76" s="381" t="n"/>
      <c r="BL76" s="217" t="n"/>
      <c r="BM76" s="381" t="n"/>
      <c r="BN76" s="217" t="n"/>
      <c r="BO76" s="381" t="n"/>
      <c r="BP76" s="381" t="n"/>
      <c r="BQ76" s="217" t="n"/>
      <c r="BR76" s="381" t="n"/>
      <c r="BS76" s="217" t="n"/>
      <c r="BT76" s="381" t="n"/>
      <c r="BU76" s="217" t="n"/>
      <c r="BV76" s="381" t="n"/>
      <c r="BW76" s="217" t="n"/>
      <c r="BX76" s="381" t="n"/>
      <c r="BY76" s="217" t="n"/>
      <c r="BZ76" s="381" t="n"/>
      <c r="CA76" s="217" t="n"/>
      <c r="CB76" s="381" t="n"/>
      <c r="CC76" s="217" t="n"/>
      <c r="CD76" s="381" t="n"/>
      <c r="CE76" s="217" t="n"/>
      <c r="CF76" s="381" t="n"/>
      <c r="CG76" s="381" t="n"/>
      <c r="CH76" s="381" t="n"/>
      <c r="CI76" s="381" t="n"/>
      <c r="CJ76" s="381" t="n"/>
      <c r="CK76" s="381" t="n"/>
      <c r="CL76" s="381" t="n"/>
      <c r="CM76" s="381" t="n"/>
      <c r="CN76" s="381" t="n"/>
      <c r="CO76" s="218" t="n"/>
      <c r="CP76" s="381" t="n"/>
      <c r="CQ76" s="218" t="n"/>
      <c r="CR76" s="381" t="n"/>
      <c r="CS76" s="218" t="n"/>
      <c r="CT76" s="381" t="n"/>
      <c r="CU76" s="218" t="n"/>
      <c r="CW76" s="381" t="n"/>
      <c r="CX76" s="217" t="n"/>
      <c r="CY76" s="381" t="n"/>
      <c r="CZ76" s="217" t="n"/>
      <c r="DA76" s="381" t="n"/>
      <c r="DB76" s="217" t="n"/>
      <c r="DC76" s="381" t="n"/>
      <c r="DD76" s="217" t="n"/>
      <c r="DE76" s="384" t="n"/>
      <c r="DF76" s="384" t="n"/>
    </row>
    <row r="77">
      <c r="A77" s="376" t="n">
        <v>43890</v>
      </c>
      <c r="B77" s="315" t="n">
        <v>7101.4</v>
      </c>
      <c r="C77" s="111">
        <f>B77/B65-1</f>
        <v/>
      </c>
      <c r="D77" s="111" t="n"/>
      <c r="E77" s="315" t="n">
        <v>3660.9</v>
      </c>
      <c r="F77" s="111">
        <f>E77/E65-1</f>
        <v/>
      </c>
      <c r="G77" s="111" t="n"/>
      <c r="H77" s="315" t="n">
        <v>3285.7</v>
      </c>
      <c r="I77" s="111">
        <f>H77/H65-1</f>
        <v/>
      </c>
      <c r="J77" s="111" t="n"/>
      <c r="K77" s="315" t="n">
        <v>154.8</v>
      </c>
      <c r="L77" s="111">
        <f>K77/K65-1</f>
        <v/>
      </c>
      <c r="M77" s="111" t="n"/>
      <c r="N77" s="315" t="n">
        <v>3651.2</v>
      </c>
      <c r="O77" s="111">
        <f>N77/N65-1</f>
        <v/>
      </c>
      <c r="P77" s="111" t="n"/>
      <c r="Q77" s="315" t="n">
        <v>1839.6</v>
      </c>
      <c r="R77" s="111">
        <f>Q77/Q65-1</f>
        <v/>
      </c>
      <c r="S77" s="111" t="n"/>
      <c r="T77" s="315" t="n">
        <v>1754.8</v>
      </c>
      <c r="U77" s="111">
        <f>T77/T65-1</f>
        <v/>
      </c>
      <c r="V77" s="111" t="n"/>
      <c r="W77" s="315" t="n">
        <v>56.8</v>
      </c>
      <c r="X77" s="111">
        <f>W77/W65-1</f>
        <v/>
      </c>
      <c r="Y77" s="111" t="n"/>
      <c r="Z77" s="315" t="n">
        <v>1600.6</v>
      </c>
      <c r="AA77" s="111">
        <f>Z77/Z65-1</f>
        <v/>
      </c>
      <c r="AB77" s="111" t="n"/>
      <c r="AC77" s="315" t="n">
        <v>1255.3</v>
      </c>
      <c r="AD77" s="111">
        <f>AC77/AC65-1</f>
        <v/>
      </c>
      <c r="AE77" s="111" t="n"/>
      <c r="AF77" s="315" t="n">
        <v>309.3</v>
      </c>
      <c r="AG77" s="111">
        <f>AF77/AF65-1</f>
        <v/>
      </c>
      <c r="AH77" s="111" t="n"/>
      <c r="AI77" s="315" t="n">
        <v>36</v>
      </c>
      <c r="AJ77" s="111">
        <f>AI77/AI65-1</f>
        <v/>
      </c>
      <c r="AK77" s="111" t="n"/>
      <c r="AL77" s="316" t="n">
        <v>51.4</v>
      </c>
      <c r="AM77" s="380">
        <f>AL77-AL65</f>
        <v/>
      </c>
      <c r="AN77" s="111" t="n"/>
      <c r="AO77" s="316" t="n">
        <v>50.2</v>
      </c>
      <c r="AP77" s="380">
        <f>AO77-AO65</f>
        <v/>
      </c>
      <c r="AQ77" s="111" t="n"/>
      <c r="AR77" s="316" t="n">
        <v>53.4</v>
      </c>
      <c r="AS77" s="380">
        <f>AR77-AR65</f>
        <v/>
      </c>
      <c r="AT77" s="111" t="n"/>
      <c r="AU77" s="316" t="n">
        <v>36.7</v>
      </c>
      <c r="AV77" s="380">
        <f>AU77-AU65</f>
        <v/>
      </c>
      <c r="AW77" s="111" t="n"/>
      <c r="AX77" s="377" t="n">
        <v>699</v>
      </c>
      <c r="AY77" s="111">
        <f>AX77/AX65-1</f>
        <v/>
      </c>
      <c r="AZ77" s="111" t="n"/>
      <c r="BA77" s="378" t="n"/>
      <c r="BB77" s="142" t="n"/>
      <c r="BC77" s="378" t="n"/>
      <c r="BD77" s="142" t="n"/>
      <c r="BE77" s="378" t="n"/>
      <c r="BF77" s="142" t="n"/>
      <c r="BG77" s="378" t="n"/>
      <c r="BH77" s="142" t="n"/>
      <c r="BI77" s="318" t="n"/>
      <c r="BJ77" s="142" t="n"/>
      <c r="BK77" s="318" t="n"/>
      <c r="BL77" s="142" t="n"/>
      <c r="BM77" s="318" t="n"/>
      <c r="BN77" s="142" t="n"/>
      <c r="BO77" s="318" t="n"/>
      <c r="BP77" s="318" t="n"/>
      <c r="BQ77" s="142" t="n"/>
      <c r="BR77" s="318" t="n"/>
      <c r="BS77" s="142" t="n"/>
      <c r="BT77" s="318" t="n"/>
      <c r="BU77" s="142" t="n"/>
      <c r="BV77" s="318" t="n"/>
      <c r="BW77" s="142" t="n"/>
      <c r="BX77" s="318" t="n"/>
      <c r="BY77" s="142" t="n"/>
      <c r="BZ77" s="318" t="n"/>
      <c r="CA77" s="142" t="n"/>
      <c r="CB77" s="318" t="n"/>
      <c r="CC77" s="142" t="n"/>
      <c r="CD77" s="318" t="n"/>
      <c r="CE77" s="142" t="n"/>
      <c r="CF77" s="318" t="n"/>
      <c r="CG77" s="317" t="n"/>
      <c r="CH77" s="318" t="n"/>
      <c r="CI77" s="317" t="n"/>
      <c r="CJ77" s="318" t="n"/>
      <c r="CK77" s="317" t="n"/>
      <c r="CL77" s="318" t="n"/>
      <c r="CM77" s="317" t="n"/>
      <c r="CN77" s="318" t="n"/>
      <c r="CO77" s="80" t="n"/>
      <c r="CP77" s="318" t="n"/>
      <c r="CQ77" s="80" t="n"/>
      <c r="CR77" s="318" t="n"/>
      <c r="CS77" s="80" t="n"/>
      <c r="CT77" s="318" t="n"/>
      <c r="CU77" s="80" t="n"/>
      <c r="CW77" s="318" t="n"/>
      <c r="CX77" s="142" t="n"/>
      <c r="CY77" s="318" t="n"/>
      <c r="CZ77" s="142" t="n"/>
      <c r="DA77" s="318" t="n"/>
      <c r="DB77" s="142" t="n"/>
      <c r="DC77" s="318" t="n"/>
      <c r="DD77" s="142" t="n"/>
      <c r="DE77" s="385" t="n"/>
      <c r="DF77" s="385" t="n"/>
      <c r="DG77" s="318" t="n"/>
    </row>
    <row r="78">
      <c r="A78" s="376" t="n">
        <v>43921</v>
      </c>
      <c r="B78" s="315" t="n">
        <v>8909.200000000001</v>
      </c>
      <c r="C78" s="111">
        <f>B78/B66-1</f>
        <v/>
      </c>
      <c r="D78" s="111" t="n"/>
      <c r="E78" s="315" t="n">
        <v>6759.4</v>
      </c>
      <c r="F78" s="111">
        <f>E78/E66-1</f>
        <v/>
      </c>
      <c r="G78" s="111" t="n"/>
      <c r="H78" s="315" t="n">
        <v>2052.5</v>
      </c>
      <c r="I78" s="111">
        <f>H78/H66-1</f>
        <v/>
      </c>
      <c r="J78" s="111" t="n"/>
      <c r="K78" s="315" t="n">
        <v>97.3</v>
      </c>
      <c r="L78" s="111">
        <f>K78/K66-1</f>
        <v/>
      </c>
      <c r="M78" s="111" t="n"/>
      <c r="N78" s="315" t="n">
        <v>5061.6</v>
      </c>
      <c r="O78" s="111">
        <f>N78/N66-1</f>
        <v/>
      </c>
      <c r="P78" s="111" t="n"/>
      <c r="Q78" s="315" t="n">
        <v>4119.8</v>
      </c>
      <c r="R78" s="111">
        <f>Q78/Q66-1</f>
        <v/>
      </c>
      <c r="S78" s="111" t="n"/>
      <c r="T78" s="315" t="n">
        <v>924.5</v>
      </c>
      <c r="U78" s="111">
        <f>T78/T66-1</f>
        <v/>
      </c>
      <c r="V78" s="111" t="n"/>
      <c r="W78" s="315" t="n">
        <v>17.3</v>
      </c>
      <c r="X78" s="111">
        <f>W78/W66-1</f>
        <v/>
      </c>
      <c r="Y78" s="111" t="n"/>
      <c r="Z78" s="315" t="n">
        <v>2924.2</v>
      </c>
      <c r="AA78" s="111">
        <f>Z78/Z66-1</f>
        <v/>
      </c>
      <c r="AB78" s="111" t="n"/>
      <c r="AC78" s="315" t="n">
        <v>2765.7</v>
      </c>
      <c r="AD78" s="111">
        <f>AC78/AC66-1</f>
        <v/>
      </c>
      <c r="AE78" s="111" t="n"/>
      <c r="AF78" s="315" t="n">
        <v>146.7</v>
      </c>
      <c r="AG78" s="111">
        <f>AF78/AF66-1</f>
        <v/>
      </c>
      <c r="AH78" s="111" t="n"/>
      <c r="AI78" s="315" t="n">
        <v>11.8</v>
      </c>
      <c r="AJ78" s="111">
        <f>AI78/AI66-1</f>
        <v/>
      </c>
      <c r="AK78" s="111" t="n"/>
      <c r="AL78" s="316" t="n">
        <v>56.8</v>
      </c>
      <c r="AM78" s="380">
        <f>AL78-AL66</f>
        <v/>
      </c>
      <c r="AN78" s="111" t="n"/>
      <c r="AO78" s="316" t="n">
        <v>60.9</v>
      </c>
      <c r="AP78" s="380">
        <f>AO78-AO66</f>
        <v/>
      </c>
      <c r="AQ78" s="111" t="n"/>
      <c r="AR78" s="316" t="n">
        <v>45</v>
      </c>
      <c r="AS78" s="380">
        <f>AR78-AR66</f>
        <v/>
      </c>
      <c r="AT78" s="111" t="n"/>
      <c r="AU78" s="316" t="n">
        <v>17.7</v>
      </c>
      <c r="AV78" s="380">
        <f>AU78-AU66</f>
        <v/>
      </c>
      <c r="AW78" s="111" t="n"/>
      <c r="AX78" s="377" t="n">
        <v>699</v>
      </c>
      <c r="AY78" s="111">
        <f>AX78/AX66-1</f>
        <v/>
      </c>
      <c r="AZ78" s="111" t="n"/>
      <c r="BA78" s="378" t="n"/>
      <c r="BB78" s="142" t="n"/>
      <c r="BC78" s="378" t="n"/>
      <c r="BD78" s="142" t="n"/>
      <c r="BE78" s="378" t="n"/>
      <c r="BF78" s="142" t="n"/>
      <c r="BG78" s="378" t="n"/>
      <c r="BH78" s="142" t="n"/>
      <c r="BI78" s="318" t="n"/>
      <c r="BJ78" s="142" t="n"/>
      <c r="BK78" s="318" t="n"/>
      <c r="BL78" s="142" t="n"/>
      <c r="BM78" s="318" t="n"/>
      <c r="BN78" s="142" t="n"/>
      <c r="BO78" s="318" t="n"/>
      <c r="BP78" s="318" t="n"/>
      <c r="BQ78" s="142" t="n"/>
      <c r="BR78" s="318" t="n"/>
      <c r="BS78" s="142" t="n"/>
      <c r="BT78" s="318" t="n"/>
      <c r="BU78" s="142" t="n"/>
      <c r="BV78" s="318" t="n"/>
      <c r="BW78" s="142" t="n"/>
      <c r="BX78" s="318" t="n"/>
      <c r="BY78" s="142" t="n"/>
      <c r="BZ78" s="318" t="n"/>
      <c r="CA78" s="142" t="n"/>
      <c r="CB78" s="318" t="n"/>
      <c r="CC78" s="142" t="n"/>
      <c r="CD78" s="318" t="n"/>
      <c r="CE78" s="142" t="n"/>
      <c r="CF78" s="318" t="n"/>
      <c r="CG78" s="317" t="n"/>
      <c r="CH78" s="318" t="n"/>
      <c r="CI78" s="317" t="n"/>
      <c r="CJ78" s="318" t="n"/>
      <c r="CK78" s="317" t="n"/>
      <c r="CL78" s="318" t="n"/>
      <c r="CM78" s="317" t="n"/>
      <c r="CN78" s="318" t="n"/>
      <c r="CO78" s="80" t="n"/>
      <c r="CP78" s="318" t="n"/>
      <c r="CQ78" s="80" t="n"/>
      <c r="CR78" s="318" t="n"/>
      <c r="CS78" s="80" t="n"/>
      <c r="CT78" s="318" t="n"/>
      <c r="CU78" s="80" t="n"/>
      <c r="CW78" s="318" t="n"/>
      <c r="CX78" s="142" t="n"/>
      <c r="CY78" s="318" t="n"/>
      <c r="CZ78" s="142" t="n"/>
      <c r="DA78" s="318" t="n"/>
      <c r="DB78" s="142" t="n"/>
      <c r="DC78" s="318" t="n"/>
      <c r="DD78" s="142" t="n"/>
      <c r="DE78" s="385" t="n"/>
      <c r="DF78" s="385" t="n"/>
      <c r="DG78" s="318" t="n"/>
    </row>
    <row r="79">
      <c r="A79" s="376" t="n">
        <v>43951</v>
      </c>
      <c r="B79" s="315" t="n">
        <v>6128.4</v>
      </c>
      <c r="C79" s="111">
        <f>B79/B67-1</f>
        <v/>
      </c>
      <c r="D79" s="111" t="n"/>
      <c r="E79" s="315" t="n">
        <v>5849.2</v>
      </c>
      <c r="F79" s="111">
        <f>E79/E67-1</f>
        <v/>
      </c>
      <c r="G79" s="111" t="n"/>
      <c r="H79" s="315" t="n">
        <v>257.9</v>
      </c>
      <c r="I79" s="111">
        <f>H79/H67-1</f>
        <v/>
      </c>
      <c r="J79" s="111" t="n"/>
      <c r="K79" s="315" t="n">
        <v>21.3</v>
      </c>
      <c r="L79" s="111">
        <f>K79/K67-1</f>
        <v/>
      </c>
      <c r="M79" s="111" t="n"/>
      <c r="N79" s="315" t="n">
        <v>4008.1</v>
      </c>
      <c r="O79" s="111">
        <f>N79/N67-1</f>
        <v/>
      </c>
      <c r="P79" s="111" t="n"/>
      <c r="Q79" s="315" t="n">
        <v>3905.6</v>
      </c>
      <c r="R79" s="111">
        <f>Q79/Q67-1</f>
        <v/>
      </c>
      <c r="S79" s="111" t="n"/>
      <c r="T79" s="315" t="n">
        <v>101.7</v>
      </c>
      <c r="U79" s="111">
        <f>T79/T67-1</f>
        <v/>
      </c>
      <c r="V79" s="111" t="n"/>
      <c r="W79" s="315" t="n">
        <v>0.8</v>
      </c>
      <c r="X79" s="111">
        <f>W79/W67-1</f>
        <v/>
      </c>
      <c r="Y79" s="111" t="n"/>
      <c r="Z79" s="315" t="n">
        <v>2665</v>
      </c>
      <c r="AA79" s="111">
        <f>Z79/Z67-1</f>
        <v/>
      </c>
      <c r="AB79" s="111" t="n"/>
      <c r="AC79" s="315" t="n">
        <v>2649.1</v>
      </c>
      <c r="AD79" s="111">
        <f>AC79/AC67-1</f>
        <v/>
      </c>
      <c r="AE79" s="111" t="n"/>
      <c r="AF79" s="315" t="n">
        <v>15.3</v>
      </c>
      <c r="AG79" s="111">
        <f>AF79/AF67-1</f>
        <v/>
      </c>
      <c r="AH79" s="111" t="n"/>
      <c r="AI79" s="315" t="n">
        <v>0.6</v>
      </c>
      <c r="AJ79" s="111">
        <f>AI79/AI67-1</f>
        <v/>
      </c>
      <c r="AK79" s="111" t="n"/>
      <c r="AL79" s="316" t="n">
        <v>65.40000000000001</v>
      </c>
      <c r="AM79" s="380">
        <f>AL79-AL67</f>
        <v/>
      </c>
      <c r="AN79" s="111" t="n"/>
      <c r="AO79" s="316" t="n">
        <v>66.8</v>
      </c>
      <c r="AP79" s="380">
        <f>AO79-AO67</f>
        <v/>
      </c>
      <c r="AQ79" s="111" t="n"/>
      <c r="AR79" s="316" t="n">
        <v>39.4</v>
      </c>
      <c r="AS79" s="380">
        <f>AR79-AR67</f>
        <v/>
      </c>
      <c r="AT79" s="111" t="n"/>
      <c r="AU79" s="316" t="n">
        <v>3.8</v>
      </c>
      <c r="AV79" s="380">
        <f>AU79-AU67</f>
        <v/>
      </c>
      <c r="AW79" s="111" t="n"/>
      <c r="AX79" s="377" t="n">
        <v>699</v>
      </c>
      <c r="AY79" s="111">
        <f>AX79/AX67-1</f>
        <v/>
      </c>
      <c r="AZ79" s="111" t="n"/>
      <c r="BA79" s="378" t="n"/>
      <c r="BB79" s="142" t="n"/>
      <c r="BC79" s="378" t="n"/>
      <c r="BD79" s="142" t="n"/>
      <c r="BE79" s="378" t="n"/>
      <c r="BF79" s="142" t="n"/>
      <c r="BG79" s="378" t="n"/>
      <c r="BH79" s="142" t="n"/>
      <c r="BI79" s="318" t="n"/>
      <c r="BJ79" s="142" t="n"/>
      <c r="BK79" s="318" t="n"/>
      <c r="BL79" s="142" t="n"/>
      <c r="BM79" s="318" t="n"/>
      <c r="BN79" s="142" t="n"/>
      <c r="BO79" s="318" t="n"/>
      <c r="BP79" s="318" t="n"/>
      <c r="BQ79" s="142" t="n"/>
      <c r="BR79" s="318" t="n"/>
      <c r="BS79" s="142" t="n"/>
      <c r="BT79" s="318" t="n"/>
      <c r="BU79" s="142" t="n"/>
      <c r="BV79" s="318" t="n"/>
      <c r="BW79" s="142" t="n"/>
      <c r="BX79" s="318" t="n"/>
      <c r="BY79" s="142" t="n"/>
      <c r="BZ79" s="318" t="n"/>
      <c r="CA79" s="142" t="n"/>
      <c r="CB79" s="318" t="n"/>
      <c r="CC79" s="142" t="n"/>
      <c r="CD79" s="318" t="n"/>
      <c r="CE79" s="142" t="n"/>
      <c r="CF79" s="318" t="n"/>
      <c r="CG79" s="317" t="n"/>
      <c r="CH79" s="318" t="n"/>
      <c r="CI79" s="317" t="n"/>
      <c r="CJ79" s="318" t="n"/>
      <c r="CK79" s="317" t="n"/>
      <c r="CL79" s="318" t="n"/>
      <c r="CM79" s="317" t="n"/>
      <c r="CN79" s="318" t="n"/>
      <c r="CO79" s="80" t="n"/>
      <c r="CP79" s="318" t="n"/>
      <c r="CQ79" s="80" t="n"/>
      <c r="CR79" s="318" t="n"/>
      <c r="CS79" s="80" t="n"/>
      <c r="CT79" s="318" t="n"/>
      <c r="CU79" s="80" t="n"/>
      <c r="CW79" s="318" t="n"/>
      <c r="CX79" s="142" t="n"/>
      <c r="CY79" s="318" t="n"/>
      <c r="CZ79" s="142" t="n"/>
      <c r="DA79" s="318" t="n"/>
      <c r="DB79" s="142" t="n"/>
      <c r="DC79" s="318" t="n"/>
      <c r="DD79" s="142" t="n"/>
      <c r="DE79" s="385" t="n"/>
      <c r="DF79" s="385" t="n"/>
      <c r="DG79" s="318" t="n"/>
    </row>
    <row r="80">
      <c r="A80" s="376" t="n">
        <v>43982</v>
      </c>
      <c r="B80" s="315" t="n">
        <v>8889.200000000001</v>
      </c>
      <c r="C80" s="111">
        <f>B80/B68-1</f>
        <v/>
      </c>
      <c r="D80" s="111" t="n"/>
      <c r="E80" s="315" t="n">
        <v>8487.5</v>
      </c>
      <c r="F80" s="111">
        <f>E80/E68-1</f>
        <v/>
      </c>
      <c r="G80" s="111" t="n"/>
      <c r="H80" s="315" t="n">
        <v>376.5</v>
      </c>
      <c r="I80" s="111">
        <f>H80/H68-1</f>
        <v/>
      </c>
      <c r="J80" s="111" t="n"/>
      <c r="K80" s="315" t="n">
        <v>25.1</v>
      </c>
      <c r="L80" s="111">
        <f>K80/K68-1</f>
        <v/>
      </c>
      <c r="M80" s="111" t="n"/>
      <c r="N80" s="315" t="n">
        <v>5996.2</v>
      </c>
      <c r="O80" s="111">
        <f>N80/N68-1</f>
        <v/>
      </c>
      <c r="P80" s="111" t="n"/>
      <c r="Q80" s="315" t="n">
        <v>5821.6</v>
      </c>
      <c r="R80" s="111">
        <f>Q80/Q68-1</f>
        <v/>
      </c>
      <c r="S80" s="111" t="n"/>
      <c r="T80" s="315" t="n">
        <v>173.6</v>
      </c>
      <c r="U80" s="111">
        <f>T80/T68-1</f>
        <v/>
      </c>
      <c r="V80" s="111" t="n"/>
      <c r="W80" s="315" t="n">
        <v>1.1</v>
      </c>
      <c r="X80" s="111">
        <f>W80/W68-1</f>
        <v/>
      </c>
      <c r="Y80" s="111" t="n"/>
      <c r="Z80" s="315" t="n">
        <v>4070.2</v>
      </c>
      <c r="AA80" s="111">
        <f>Z80/Z68-1</f>
        <v/>
      </c>
      <c r="AB80" s="111" t="n"/>
      <c r="AC80" s="315" t="n">
        <v>4044.1</v>
      </c>
      <c r="AD80" s="111">
        <f>AC80/AC68-1</f>
        <v/>
      </c>
      <c r="AE80" s="111" t="n"/>
      <c r="AF80" s="315" t="n">
        <v>25.5</v>
      </c>
      <c r="AG80" s="111">
        <f>AF80/AF68-1</f>
        <v/>
      </c>
      <c r="AH80" s="111" t="n"/>
      <c r="AI80" s="315" t="n">
        <v>0.6</v>
      </c>
      <c r="AJ80" s="111">
        <f>AI80/AI68-1</f>
        <v/>
      </c>
      <c r="AK80" s="111" t="n"/>
      <c r="AL80" s="316" t="n">
        <v>67.5</v>
      </c>
      <c r="AM80" s="380">
        <f>AL80-AL68</f>
        <v/>
      </c>
      <c r="AN80" s="111" t="n"/>
      <c r="AO80" s="316" t="n">
        <v>68.59999999999999</v>
      </c>
      <c r="AP80" s="380">
        <f>AO80-AO68</f>
        <v/>
      </c>
      <c r="AQ80" s="111" t="n"/>
      <c r="AR80" s="316" t="n">
        <v>46.1</v>
      </c>
      <c r="AS80" s="380">
        <f>AR80-AR68</f>
        <v/>
      </c>
      <c r="AT80" s="111" t="n"/>
      <c r="AU80" s="316" t="n">
        <v>4.2</v>
      </c>
      <c r="AV80" s="380">
        <f>AU80-AU68</f>
        <v/>
      </c>
      <c r="AW80" s="111" t="n"/>
      <c r="AX80" s="377" t="n">
        <v>699</v>
      </c>
      <c r="AY80" s="111">
        <f>AX80/AX68-1</f>
        <v/>
      </c>
      <c r="AZ80" s="111" t="n"/>
      <c r="BA80" s="378" t="n"/>
      <c r="BB80" s="142" t="n"/>
      <c r="BC80" s="378" t="n"/>
      <c r="BD80" s="142" t="n"/>
      <c r="BE80" s="378" t="n"/>
      <c r="BF80" s="142" t="n"/>
      <c r="BG80" s="378" t="n"/>
      <c r="BH80" s="142" t="n"/>
      <c r="BI80" s="318" t="n"/>
      <c r="BJ80" s="142" t="n"/>
      <c r="BK80" s="318" t="n"/>
      <c r="BL80" s="142" t="n"/>
      <c r="BM80" s="318" t="n"/>
      <c r="BN80" s="142" t="n"/>
      <c r="BO80" s="318" t="n"/>
      <c r="BP80" s="318" t="n"/>
      <c r="BQ80" s="142" t="n"/>
      <c r="BR80" s="318" t="n"/>
      <c r="BS80" s="142" t="n"/>
      <c r="BT80" s="318" t="n"/>
      <c r="BU80" s="142" t="n"/>
      <c r="BV80" s="318" t="n"/>
      <c r="BW80" s="142" t="n"/>
      <c r="BX80" s="318" t="n"/>
      <c r="BY80" s="142" t="n"/>
      <c r="BZ80" s="318" t="n"/>
      <c r="CA80" s="142" t="n"/>
      <c r="CB80" s="318" t="n"/>
      <c r="CC80" s="142" t="n"/>
      <c r="CD80" s="318" t="n"/>
      <c r="CE80" s="142" t="n"/>
      <c r="CF80" s="318" t="n"/>
      <c r="CG80" s="317" t="n"/>
      <c r="CH80" s="318" t="n"/>
      <c r="CI80" s="317" t="n"/>
      <c r="CJ80" s="318" t="n"/>
      <c r="CK80" s="317" t="n"/>
      <c r="CL80" s="318" t="n"/>
      <c r="CM80" s="317" t="n"/>
      <c r="CN80" s="318" t="n"/>
      <c r="CO80" s="80" t="n"/>
      <c r="CP80" s="318" t="n"/>
      <c r="CQ80" s="80" t="n"/>
      <c r="CR80" s="318" t="n"/>
      <c r="CS80" s="80" t="n"/>
      <c r="CT80" s="318" t="n"/>
      <c r="CU80" s="80" t="n"/>
      <c r="CW80" s="318" t="n"/>
      <c r="CX80" s="142" t="n"/>
      <c r="CY80" s="318" t="n"/>
      <c r="CZ80" s="142" t="n"/>
      <c r="DA80" s="318" t="n"/>
      <c r="DB80" s="142" t="n"/>
      <c r="DC80" s="318" t="n"/>
      <c r="DD80" s="142" t="n"/>
      <c r="DE80" s="385" t="n"/>
      <c r="DF80" s="385" t="n"/>
      <c r="DG80" s="318" t="n"/>
    </row>
    <row r="81">
      <c r="A81" s="376" t="n">
        <v>44012</v>
      </c>
      <c r="B81" s="315" t="n">
        <v>9879.6</v>
      </c>
      <c r="C81" s="111">
        <f>B81/B69-1</f>
        <v/>
      </c>
      <c r="D81" s="111" t="n"/>
      <c r="E81" s="315" t="n">
        <v>9461.700000000001</v>
      </c>
      <c r="F81" s="111">
        <f>E81/E69-1</f>
        <v/>
      </c>
      <c r="G81" s="111" t="n"/>
      <c r="H81" s="315" t="n">
        <v>390</v>
      </c>
      <c r="I81" s="111">
        <f>H81/H69-1</f>
        <v/>
      </c>
      <c r="J81" s="111" t="n"/>
      <c r="K81" s="315" t="n">
        <v>27.8</v>
      </c>
      <c r="L81" s="111">
        <f>K81/K69-1</f>
        <v/>
      </c>
      <c r="M81" s="111" t="n"/>
      <c r="N81" s="315" t="n">
        <v>6624.9</v>
      </c>
      <c r="O81" s="111">
        <f>N81/N69-1</f>
        <v/>
      </c>
      <c r="P81" s="111" t="n"/>
      <c r="Q81" s="315" t="n">
        <v>6384.7</v>
      </c>
      <c r="R81" s="111">
        <f>Q81/Q69-1</f>
        <v/>
      </c>
      <c r="S81" s="111" t="n"/>
      <c r="T81" s="315" t="n">
        <v>239.4</v>
      </c>
      <c r="U81" s="111">
        <f>T81/T69-1</f>
        <v/>
      </c>
      <c r="V81" s="111" t="n"/>
      <c r="W81" s="315" t="n">
        <v>0.8</v>
      </c>
      <c r="X81" s="111">
        <f>W81/W69-1</f>
        <v/>
      </c>
      <c r="Y81" s="111" t="n"/>
      <c r="Z81" s="315" t="n">
        <v>4457</v>
      </c>
      <c r="AA81" s="111">
        <f>Z81/Z69-1</f>
        <v/>
      </c>
      <c r="AB81" s="111" t="n"/>
      <c r="AC81" s="315" t="n">
        <v>4420.5</v>
      </c>
      <c r="AD81" s="111">
        <f>AC81/AC69-1</f>
        <v/>
      </c>
      <c r="AE81" s="111" t="n"/>
      <c r="AF81" s="315" t="n">
        <v>35.9</v>
      </c>
      <c r="AG81" s="111">
        <f>AF81/AF69-1</f>
        <v/>
      </c>
      <c r="AH81" s="111" t="n"/>
      <c r="AI81" s="315" t="n">
        <v>0.6</v>
      </c>
      <c r="AJ81" s="111">
        <f>AI81/AI69-1</f>
        <v/>
      </c>
      <c r="AK81" s="111" t="n"/>
      <c r="AL81" s="316" t="n">
        <v>67.09999999999999</v>
      </c>
      <c r="AM81" s="380">
        <f>AL81-AL69</f>
        <v/>
      </c>
      <c r="AN81" s="111" t="n"/>
      <c r="AO81" s="316" t="n">
        <v>67.5</v>
      </c>
      <c r="AP81" s="380">
        <f>AO81-AO69</f>
        <v/>
      </c>
      <c r="AQ81" s="111" t="n"/>
      <c r="AR81" s="316" t="n">
        <v>61.4</v>
      </c>
      <c r="AS81" s="380">
        <f>AR81-AR69</f>
        <v/>
      </c>
      <c r="AT81" s="111" t="n"/>
      <c r="AU81" s="316" t="n">
        <v>2.8</v>
      </c>
      <c r="AV81" s="380">
        <f>AU81-AU69</f>
        <v/>
      </c>
      <c r="AW81" s="111" t="n"/>
      <c r="AX81" s="377" t="n">
        <v>700</v>
      </c>
      <c r="AY81" s="111">
        <f>AX81/AX69-1</f>
        <v/>
      </c>
      <c r="AZ81" s="111" t="n"/>
      <c r="BA81" s="378" t="n"/>
      <c r="BB81" s="142" t="n"/>
      <c r="BC81" s="378" t="n"/>
      <c r="BD81" s="142" t="n"/>
      <c r="BE81" s="378" t="n"/>
      <c r="BF81" s="142" t="n"/>
      <c r="BG81" s="378" t="n"/>
      <c r="BH81" s="142" t="n"/>
      <c r="BI81" s="318" t="n"/>
      <c r="BJ81" s="142" t="n"/>
      <c r="BK81" s="318" t="n"/>
      <c r="BL81" s="142" t="n"/>
      <c r="BM81" s="318" t="n"/>
      <c r="BN81" s="142" t="n"/>
      <c r="BO81" s="318" t="n"/>
      <c r="BP81" s="318" t="n"/>
      <c r="BQ81" s="142" t="n"/>
      <c r="BR81" s="318" t="n"/>
      <c r="BS81" s="142" t="n"/>
      <c r="BT81" s="318" t="n"/>
      <c r="BU81" s="142" t="n"/>
      <c r="BV81" s="318" t="n"/>
      <c r="BW81" s="142" t="n"/>
      <c r="BX81" s="318" t="n"/>
      <c r="BY81" s="142" t="n"/>
      <c r="BZ81" s="318" t="n"/>
      <c r="CA81" s="142" t="n"/>
      <c r="CB81" s="318" t="n"/>
      <c r="CC81" s="142" t="n"/>
      <c r="CD81" s="318" t="n"/>
      <c r="CE81" s="142" t="n"/>
      <c r="CF81" s="318" t="n"/>
      <c r="CG81" s="317" t="n"/>
      <c r="CH81" s="318" t="n"/>
      <c r="CI81" s="317" t="n"/>
      <c r="CJ81" s="318" t="n"/>
      <c r="CK81" s="317" t="n"/>
      <c r="CL81" s="318" t="n"/>
      <c r="CM81" s="317" t="n"/>
      <c r="CN81" s="318" t="n"/>
      <c r="CO81" s="80" t="n"/>
      <c r="CP81" s="318" t="n"/>
      <c r="CQ81" s="80" t="n"/>
      <c r="CR81" s="318" t="n"/>
      <c r="CS81" s="80" t="n"/>
      <c r="CT81" s="318" t="n"/>
      <c r="CU81" s="80" t="n"/>
      <c r="CW81" s="318" t="n"/>
      <c r="CX81" s="142" t="n"/>
      <c r="CY81" s="318" t="n"/>
      <c r="CZ81" s="142" t="n"/>
      <c r="DA81" s="318" t="n"/>
      <c r="DB81" s="142" t="n"/>
      <c r="DC81" s="318" t="n"/>
      <c r="DD81" s="142" t="n"/>
      <c r="DE81" s="385" t="n"/>
      <c r="DF81" s="385" t="n"/>
      <c r="DG81" s="318" t="n"/>
    </row>
    <row r="82">
      <c r="A82" s="376" t="n">
        <v>44043</v>
      </c>
      <c r="B82" s="315" t="n">
        <v>11963.3</v>
      </c>
      <c r="C82" s="111">
        <f>B82/B70-1</f>
        <v/>
      </c>
      <c r="D82" s="111" t="n"/>
      <c r="E82" s="315" t="n">
        <v>11545.6</v>
      </c>
      <c r="F82" s="111">
        <f>E82/E70-1</f>
        <v/>
      </c>
      <c r="G82" s="111" t="n"/>
      <c r="H82" s="315" t="n">
        <v>397.9</v>
      </c>
      <c r="I82" s="111">
        <f>H82/H70-1</f>
        <v/>
      </c>
      <c r="J82" s="111" t="n"/>
      <c r="K82" s="315" t="n">
        <v>19.8</v>
      </c>
      <c r="L82" s="111">
        <f>K82/K70-1</f>
        <v/>
      </c>
      <c r="M82" s="111" t="n"/>
      <c r="N82" s="315" t="n">
        <v>8573.799999999999</v>
      </c>
      <c r="O82" s="111">
        <f>N82/N70-1</f>
        <v/>
      </c>
      <c r="P82" s="111" t="n"/>
      <c r="Q82" s="315" t="n">
        <v>8342.700000000001</v>
      </c>
      <c r="R82" s="111">
        <f>Q82/Q70-1</f>
        <v/>
      </c>
      <c r="S82" s="111" t="n"/>
      <c r="T82" s="315" t="n">
        <v>229.3</v>
      </c>
      <c r="U82" s="111">
        <f>T82/T70-1</f>
        <v/>
      </c>
      <c r="V82" s="111" t="n"/>
      <c r="W82" s="315" t="n">
        <v>1.8</v>
      </c>
      <c r="X82" s="111">
        <f>W82/W70-1</f>
        <v/>
      </c>
      <c r="Y82" s="111" t="n"/>
      <c r="Z82" s="315" t="n">
        <v>5837.8</v>
      </c>
      <c r="AA82" s="111">
        <f>Z82/Z70-1</f>
        <v/>
      </c>
      <c r="AB82" s="111" t="n"/>
      <c r="AC82" s="315" t="n">
        <v>5798.6</v>
      </c>
      <c r="AD82" s="111">
        <f>AC82/AC70-1</f>
        <v/>
      </c>
      <c r="AE82" s="111" t="n"/>
      <c r="AF82" s="315" t="n">
        <v>37.5</v>
      </c>
      <c r="AG82" s="111">
        <f>AF82/AF70-1</f>
        <v/>
      </c>
      <c r="AH82" s="111" t="n"/>
      <c r="AI82" s="315" t="n">
        <v>1.7</v>
      </c>
      <c r="AJ82" s="111">
        <f>AI82/AI70-1</f>
        <v/>
      </c>
      <c r="AK82" s="111" t="n"/>
      <c r="AL82" s="316" t="n">
        <v>71.7</v>
      </c>
      <c r="AM82" s="380">
        <f>AL82-AL70</f>
        <v/>
      </c>
      <c r="AN82" s="111" t="n"/>
      <c r="AO82" s="316" t="n">
        <v>72.3</v>
      </c>
      <c r="AP82" s="380">
        <f>AO82-AO70</f>
        <v/>
      </c>
      <c r="AQ82" s="111" t="n"/>
      <c r="AR82" s="316" t="n">
        <v>57.6</v>
      </c>
      <c r="AS82" s="380">
        <f>AR82-AR70</f>
        <v/>
      </c>
      <c r="AT82" s="111" t="n"/>
      <c r="AU82" s="316" t="n">
        <v>9.199999999999999</v>
      </c>
      <c r="AV82" s="380">
        <f>AU82-AU70</f>
        <v/>
      </c>
      <c r="AW82" s="111" t="n"/>
      <c r="AX82" s="377" t="n">
        <v>699</v>
      </c>
      <c r="AY82" s="111">
        <f>AX82/AX70-1</f>
        <v/>
      </c>
      <c r="AZ82" s="111" t="n"/>
      <c r="BA82" s="378" t="n"/>
      <c r="BB82" s="142" t="n"/>
      <c r="BC82" s="378" t="n"/>
      <c r="BD82" s="142" t="n"/>
      <c r="BE82" s="378" t="n"/>
      <c r="BF82" s="142" t="n"/>
      <c r="BG82" s="378" t="n"/>
      <c r="BH82" s="142" t="n"/>
      <c r="BI82" s="318" t="n"/>
      <c r="BJ82" s="142" t="n"/>
      <c r="BK82" s="318" t="n"/>
      <c r="BL82" s="142" t="n"/>
      <c r="BM82" s="318" t="n"/>
      <c r="BN82" s="142" t="n"/>
      <c r="BO82" s="318" t="n"/>
      <c r="BP82" s="318" t="n"/>
      <c r="BQ82" s="142" t="n"/>
      <c r="BR82" s="318" t="n"/>
      <c r="BS82" s="142" t="n"/>
      <c r="BT82" s="318" t="n"/>
      <c r="BU82" s="142" t="n"/>
      <c r="BV82" s="318" t="n"/>
      <c r="BW82" s="142" t="n"/>
      <c r="BX82" s="318" t="n"/>
      <c r="BY82" s="142" t="n"/>
      <c r="BZ82" s="318" t="n"/>
      <c r="CA82" s="142" t="n"/>
      <c r="CB82" s="318" t="n"/>
      <c r="CC82" s="142" t="n"/>
      <c r="CD82" s="318" t="n"/>
      <c r="CE82" s="142" t="n"/>
      <c r="CF82" s="318" t="n"/>
      <c r="CG82" s="317" t="n"/>
      <c r="CH82" s="318" t="n"/>
      <c r="CI82" s="317" t="n"/>
      <c r="CJ82" s="318" t="n"/>
      <c r="CK82" s="317" t="n"/>
      <c r="CL82" s="318" t="n"/>
      <c r="CM82" s="317" t="n"/>
      <c r="CN82" s="318" t="n"/>
      <c r="CO82" s="80" t="n"/>
      <c r="CP82" s="318" t="n"/>
      <c r="CQ82" s="80" t="n"/>
      <c r="CR82" s="318" t="n"/>
      <c r="CS82" s="80" t="n"/>
      <c r="CT82" s="318" t="n"/>
      <c r="CU82" s="80" t="n"/>
      <c r="CW82" s="318" t="n"/>
      <c r="CX82" s="142" t="n"/>
      <c r="CY82" s="318" t="n"/>
      <c r="CZ82" s="142" t="n"/>
      <c r="DA82" s="318" t="n"/>
      <c r="DB82" s="142" t="n"/>
      <c r="DC82" s="318" t="n"/>
      <c r="DD82" s="142" t="n"/>
      <c r="DE82" s="385" t="n"/>
      <c r="DF82" s="385" t="n"/>
      <c r="DG82" s="318" t="n"/>
    </row>
    <row r="83">
      <c r="A83" s="376" t="n">
        <v>44074</v>
      </c>
      <c r="B83" s="315" t="n">
        <v>14765.1</v>
      </c>
      <c r="C83" s="111">
        <f>B83/B71-1</f>
        <v/>
      </c>
      <c r="D83" s="111" t="n"/>
      <c r="E83" s="315" t="n">
        <v>14171.6</v>
      </c>
      <c r="F83" s="111">
        <f>E83/E71-1</f>
        <v/>
      </c>
      <c r="G83" s="111" t="n"/>
      <c r="H83" s="315" t="n">
        <v>549.4</v>
      </c>
      <c r="I83" s="111">
        <f>H83/H71-1</f>
        <v/>
      </c>
      <c r="J83" s="111" t="n"/>
      <c r="K83" s="315" t="n">
        <v>44.1</v>
      </c>
      <c r="L83" s="111">
        <f>K83/K71-1</f>
        <v/>
      </c>
      <c r="M83" s="111" t="n"/>
      <c r="N83" s="315" t="n">
        <v>10769.1</v>
      </c>
      <c r="O83" s="111">
        <f>N83/N71-1</f>
        <v/>
      </c>
      <c r="P83" s="111" t="n"/>
      <c r="Q83" s="315" t="n">
        <v>10481.7</v>
      </c>
      <c r="R83" s="111">
        <f>Q83/Q71-1</f>
        <v/>
      </c>
      <c r="S83" s="111" t="n"/>
      <c r="T83" s="315" t="n">
        <v>282.2</v>
      </c>
      <c r="U83" s="111">
        <f>T83/T71-1</f>
        <v/>
      </c>
      <c r="V83" s="111" t="n"/>
      <c r="W83" s="315" t="n">
        <v>5.2</v>
      </c>
      <c r="X83" s="111">
        <f>W83/W71-1</f>
        <v/>
      </c>
      <c r="Y83" s="111" t="n"/>
      <c r="Z83" s="315" t="n">
        <v>7316.6</v>
      </c>
      <c r="AA83" s="111">
        <f>Z83/Z71-1</f>
        <v/>
      </c>
      <c r="AB83" s="111" t="n"/>
      <c r="AC83" s="315" t="n">
        <v>7267.6</v>
      </c>
      <c r="AD83" s="111">
        <f>AC83/AC71-1</f>
        <v/>
      </c>
      <c r="AE83" s="111" t="n"/>
      <c r="AF83" s="315" t="n">
        <v>45.2</v>
      </c>
      <c r="AG83" s="111">
        <f>AF83/AF71-1</f>
        <v/>
      </c>
      <c r="AH83" s="111" t="n"/>
      <c r="AI83" s="315" t="n">
        <v>3.9</v>
      </c>
      <c r="AJ83" s="111">
        <f>AI83/AI71-1</f>
        <v/>
      </c>
      <c r="AK83" s="111" t="n"/>
      <c r="AL83" s="316" t="n">
        <v>72.90000000000001</v>
      </c>
      <c r="AM83" s="380">
        <f>AL83-AL71</f>
        <v/>
      </c>
      <c r="AN83" s="111" t="n"/>
      <c r="AO83" s="316" t="n">
        <v>74</v>
      </c>
      <c r="AP83" s="380">
        <f>AO83-AO71</f>
        <v/>
      </c>
      <c r="AQ83" s="111" t="n"/>
      <c r="AR83" s="316" t="n">
        <v>51.4</v>
      </c>
      <c r="AS83" s="380">
        <f>AR83-AR71</f>
        <v/>
      </c>
      <c r="AT83" s="111" t="n"/>
      <c r="AU83" s="316" t="n">
        <v>11.9</v>
      </c>
      <c r="AV83" s="380">
        <f>AU83-AU71</f>
        <v/>
      </c>
      <c r="AW83" s="111" t="n"/>
      <c r="AX83" s="377" t="n">
        <v>700</v>
      </c>
      <c r="AY83" s="111">
        <f>AX83/AX71-1</f>
        <v/>
      </c>
      <c r="AZ83" s="111" t="n"/>
      <c r="BA83" s="378" t="n"/>
      <c r="BB83" s="142" t="n"/>
      <c r="BC83" s="378" t="n"/>
      <c r="BD83" s="142" t="n"/>
      <c r="BE83" s="378" t="n"/>
      <c r="BF83" s="142" t="n"/>
      <c r="BG83" s="378" t="n"/>
      <c r="BH83" s="142" t="n"/>
      <c r="BI83" s="318" t="n"/>
      <c r="BJ83" s="142" t="n"/>
      <c r="BK83" s="318" t="n"/>
      <c r="BL83" s="142" t="n"/>
      <c r="BM83" s="318" t="n"/>
      <c r="BN83" s="142" t="n"/>
      <c r="BO83" s="318" t="n"/>
      <c r="BP83" s="318" t="n"/>
      <c r="BQ83" s="142" t="n"/>
      <c r="BR83" s="318" t="n"/>
      <c r="BS83" s="142" t="n"/>
      <c r="BT83" s="318" t="n"/>
      <c r="BU83" s="142" t="n"/>
      <c r="BV83" s="318" t="n"/>
      <c r="BW83" s="142" t="n"/>
      <c r="BX83" s="318" t="n"/>
      <c r="BY83" s="142" t="n"/>
      <c r="BZ83" s="318" t="n"/>
      <c r="CA83" s="142" t="n"/>
      <c r="CB83" s="318" t="n"/>
      <c r="CC83" s="142" t="n"/>
      <c r="CD83" s="318" t="n"/>
      <c r="CE83" s="142" t="n"/>
      <c r="CF83" s="318" t="n"/>
      <c r="CG83" s="317" t="n"/>
      <c r="CH83" s="318" t="n"/>
      <c r="CI83" s="317" t="n"/>
      <c r="CJ83" s="318" t="n"/>
      <c r="CK83" s="317" t="n"/>
      <c r="CL83" s="318" t="n"/>
      <c r="CM83" s="317" t="n"/>
      <c r="CN83" s="318" t="n"/>
      <c r="CO83" s="80" t="n"/>
      <c r="CP83" s="318" t="n"/>
      <c r="CQ83" s="80" t="n"/>
      <c r="CR83" s="318" t="n"/>
      <c r="CS83" s="80" t="n"/>
      <c r="CT83" s="318" t="n"/>
      <c r="CU83" s="80" t="n"/>
      <c r="CW83" s="318" t="n"/>
      <c r="CX83" s="142" t="n"/>
      <c r="CY83" s="318" t="n"/>
      <c r="CZ83" s="142" t="n"/>
      <c r="DA83" s="318" t="n"/>
      <c r="DB83" s="142" t="n"/>
      <c r="DC83" s="318" t="n"/>
      <c r="DD83" s="142" t="n"/>
      <c r="DE83" s="385" t="n"/>
      <c r="DF83" s="385" t="n"/>
      <c r="DG83" s="318" t="n"/>
    </row>
    <row r="84">
      <c r="A84" s="376" t="n">
        <v>44104</v>
      </c>
      <c r="B84" s="315" t="n">
        <v>15460.9</v>
      </c>
      <c r="C84" s="111">
        <f>B84/B72-1</f>
        <v/>
      </c>
      <c r="D84" s="111" t="n"/>
      <c r="E84" s="315" t="n">
        <v>14825.1</v>
      </c>
      <c r="F84" s="111">
        <f>E84/E72-1</f>
        <v/>
      </c>
      <c r="G84" s="111" t="n"/>
      <c r="H84" s="315" t="n">
        <v>547.6</v>
      </c>
      <c r="I84" s="111">
        <f>H84/H72-1</f>
        <v/>
      </c>
      <c r="J84" s="111" t="n"/>
      <c r="K84" s="315" t="n">
        <v>88.3</v>
      </c>
      <c r="L84" s="111">
        <f>K84/K72-1</f>
        <v/>
      </c>
      <c r="M84" s="111" t="n"/>
      <c r="N84" s="315" t="n">
        <v>11702.5</v>
      </c>
      <c r="O84" s="111">
        <f>N84/N72-1</f>
        <v/>
      </c>
      <c r="P84" s="111" t="n"/>
      <c r="Q84" s="315" t="n">
        <v>11443.7</v>
      </c>
      <c r="R84" s="111">
        <f>Q84/Q72-1</f>
        <v/>
      </c>
      <c r="S84" s="111" t="n"/>
      <c r="T84" s="315" t="n">
        <v>244.3</v>
      </c>
      <c r="U84" s="111">
        <f>T84/T72-1</f>
        <v/>
      </c>
      <c r="V84" s="111" t="n"/>
      <c r="W84" s="315" t="n">
        <v>14.5</v>
      </c>
      <c r="X84" s="111">
        <f>W84/W72-1</f>
        <v/>
      </c>
      <c r="Y84" s="111" t="n"/>
      <c r="Z84" s="315" t="n">
        <v>7824</v>
      </c>
      <c r="AA84" s="111">
        <f>Z84/Z72-1</f>
        <v/>
      </c>
      <c r="AB84" s="111" t="n"/>
      <c r="AC84" s="315" t="n">
        <v>7775.7</v>
      </c>
      <c r="AD84" s="111">
        <f>AC84/AC72-1</f>
        <v/>
      </c>
      <c r="AE84" s="111" t="n"/>
      <c r="AF84" s="315" t="n">
        <v>39</v>
      </c>
      <c r="AG84" s="111">
        <f>AF84/AF72-1</f>
        <v/>
      </c>
      <c r="AH84" s="111" t="n"/>
      <c r="AI84" s="315" t="n">
        <v>9.4</v>
      </c>
      <c r="AJ84" s="111">
        <f>AI84/AI72-1</f>
        <v/>
      </c>
      <c r="AK84" s="111" t="n"/>
      <c r="AL84" s="316" t="n">
        <v>75.7</v>
      </c>
      <c r="AM84" s="380">
        <f>AL84-AL72</f>
        <v/>
      </c>
      <c r="AN84" s="111" t="n"/>
      <c r="AO84" s="316" t="n">
        <v>77.2</v>
      </c>
      <c r="AP84" s="380">
        <f>AO84-AO72</f>
        <v/>
      </c>
      <c r="AQ84" s="111" t="n"/>
      <c r="AR84" s="316" t="n">
        <v>44.6</v>
      </c>
      <c r="AS84" s="380">
        <f>AR84-AR72</f>
        <v/>
      </c>
      <c r="AT84" s="111" t="n"/>
      <c r="AU84" s="316" t="n">
        <v>16.4</v>
      </c>
      <c r="AV84" s="380">
        <f>AU84-AU72</f>
        <v/>
      </c>
      <c r="AW84" s="111" t="n"/>
      <c r="AX84" s="377" t="n">
        <v>702</v>
      </c>
      <c r="AY84" s="111">
        <f>AX84/AX72-1</f>
        <v/>
      </c>
      <c r="AZ84" s="111" t="n"/>
      <c r="BA84" s="378" t="n"/>
      <c r="BB84" s="142" t="n"/>
      <c r="BC84" s="378" t="n"/>
      <c r="BD84" s="142" t="n"/>
      <c r="BE84" s="378" t="n"/>
      <c r="BF84" s="142" t="n"/>
      <c r="BG84" s="378" t="n"/>
      <c r="BH84" s="142" t="n"/>
      <c r="BI84" s="318" t="n"/>
      <c r="BJ84" s="142" t="n"/>
      <c r="BK84" s="318" t="n"/>
      <c r="BL84" s="142" t="n"/>
      <c r="BM84" s="318" t="n"/>
      <c r="BN84" s="142" t="n"/>
      <c r="BO84" s="318" t="n"/>
      <c r="BP84" s="318" t="n"/>
      <c r="BQ84" s="142" t="n"/>
      <c r="BR84" s="318" t="n"/>
      <c r="BS84" s="142" t="n"/>
      <c r="BT84" s="318" t="n"/>
      <c r="BU84" s="142" t="n"/>
      <c r="BV84" s="318" t="n"/>
      <c r="BW84" s="142" t="n"/>
      <c r="BX84" s="318" t="n"/>
      <c r="BY84" s="142" t="n"/>
      <c r="BZ84" s="318" t="n"/>
      <c r="CA84" s="142" t="n"/>
      <c r="CB84" s="318" t="n"/>
      <c r="CC84" s="142" t="n"/>
      <c r="CD84" s="318" t="n"/>
      <c r="CE84" s="142" t="n"/>
      <c r="CF84" s="318" t="n"/>
      <c r="CG84" s="317" t="n"/>
      <c r="CH84" s="318" t="n"/>
      <c r="CI84" s="317" t="n"/>
      <c r="CJ84" s="318" t="n"/>
      <c r="CK84" s="317" t="n"/>
      <c r="CL84" s="318" t="n"/>
      <c r="CM84" s="317" t="n"/>
      <c r="CN84" s="318" t="n"/>
      <c r="CO84" s="80" t="n"/>
      <c r="CP84" s="318" t="n"/>
      <c r="CQ84" s="80" t="n"/>
      <c r="CR84" s="318" t="n"/>
      <c r="CS84" s="80" t="n"/>
      <c r="CT84" s="318" t="n"/>
      <c r="CU84" s="80" t="n"/>
      <c r="CW84" s="318" t="n"/>
      <c r="CX84" s="142" t="n"/>
      <c r="CY84" s="318" t="n"/>
      <c r="CZ84" s="142" t="n"/>
      <c r="DA84" s="318" t="n"/>
      <c r="DB84" s="142" t="n"/>
      <c r="DC84" s="318" t="n"/>
      <c r="DD84" s="142" t="n"/>
      <c r="DE84" s="385" t="n"/>
      <c r="DF84" s="385" t="n"/>
      <c r="DG84" s="318" t="n"/>
    </row>
    <row r="85">
      <c r="A85" s="376" t="n">
        <v>44135</v>
      </c>
      <c r="B85" s="315" t="n">
        <v>17067.3</v>
      </c>
      <c r="C85" s="111">
        <f>B85/B73-1</f>
        <v/>
      </c>
      <c r="D85" s="111" t="n"/>
      <c r="E85" s="315" t="n">
        <v>16279.9</v>
      </c>
      <c r="F85" s="111">
        <f>E85/E73-1</f>
        <v/>
      </c>
      <c r="G85" s="111" t="n"/>
      <c r="H85" s="315" t="n">
        <v>608.9</v>
      </c>
      <c r="I85" s="111">
        <f>H85/H73-1</f>
        <v/>
      </c>
      <c r="J85" s="111" t="n"/>
      <c r="K85" s="315" t="n">
        <v>178.5</v>
      </c>
      <c r="L85" s="111">
        <f>K85/K73-1</f>
        <v/>
      </c>
      <c r="M85" s="111" t="n"/>
      <c r="N85" s="315" t="n">
        <v>12735.9</v>
      </c>
      <c r="O85" s="111">
        <f>N85/N73-1</f>
        <v/>
      </c>
      <c r="P85" s="111" t="n"/>
      <c r="Q85" s="315" t="n">
        <v>12388.2</v>
      </c>
      <c r="R85" s="111">
        <f>Q85/Q73-1</f>
        <v/>
      </c>
      <c r="S85" s="111" t="n"/>
      <c r="T85" s="315" t="n">
        <v>271.3</v>
      </c>
      <c r="U85" s="111">
        <f>T85/T73-1</f>
        <v/>
      </c>
      <c r="V85" s="111" t="n"/>
      <c r="W85" s="315" t="n">
        <v>76.40000000000001</v>
      </c>
      <c r="X85" s="111">
        <f>W85/W73-1</f>
        <v/>
      </c>
      <c r="Y85" s="111" t="n"/>
      <c r="Z85" s="315" t="n">
        <v>8463.4</v>
      </c>
      <c r="AA85" s="111">
        <f>Z85/Z73-1</f>
        <v/>
      </c>
      <c r="AB85" s="111" t="n"/>
      <c r="AC85" s="315" t="n">
        <v>8372.299999999999</v>
      </c>
      <c r="AD85" s="111">
        <f>AC85/AC73-1</f>
        <v/>
      </c>
      <c r="AE85" s="111" t="n"/>
      <c r="AF85" s="315" t="n">
        <v>42.9</v>
      </c>
      <c r="AG85" s="111">
        <f>AF85/AF73-1</f>
        <v/>
      </c>
      <c r="AH85" s="111" t="n"/>
      <c r="AI85" s="315" t="n">
        <v>48.3</v>
      </c>
      <c r="AJ85" s="111">
        <f>AI85/AI73-1</f>
        <v/>
      </c>
      <c r="AK85" s="111" t="n"/>
      <c r="AL85" s="316" t="n">
        <v>74.59999999999999</v>
      </c>
      <c r="AM85" s="380">
        <f>AL85-AL73</f>
        <v/>
      </c>
      <c r="AN85" s="111" t="n"/>
      <c r="AO85" s="316" t="n">
        <v>76.09999999999999</v>
      </c>
      <c r="AP85" s="380">
        <f>AO85-AO73</f>
        <v/>
      </c>
      <c r="AQ85" s="111" t="n"/>
      <c r="AR85" s="316" t="n">
        <v>44.6</v>
      </c>
      <c r="AS85" s="380">
        <f>AR85-AR73</f>
        <v/>
      </c>
      <c r="AT85" s="111" t="n"/>
      <c r="AU85" s="316" t="n">
        <v>42.8</v>
      </c>
      <c r="AV85" s="380">
        <f>AU85-AU73</f>
        <v/>
      </c>
      <c r="AW85" s="111" t="n"/>
      <c r="AX85" s="377" t="n">
        <v>703</v>
      </c>
      <c r="AY85" s="111">
        <f>AX85/AX73-1</f>
        <v/>
      </c>
      <c r="AZ85" s="111" t="n"/>
      <c r="BA85" s="378" t="n"/>
      <c r="BB85" s="142" t="n"/>
      <c r="BC85" s="378" t="n"/>
      <c r="BD85" s="142" t="n"/>
      <c r="BE85" s="378" t="n"/>
      <c r="BF85" s="142" t="n"/>
      <c r="BG85" s="378" t="n"/>
      <c r="BH85" s="142" t="n"/>
      <c r="BI85" s="318" t="n"/>
      <c r="BJ85" s="142" t="n"/>
      <c r="BK85" s="318" t="n"/>
      <c r="BL85" s="142" t="n"/>
      <c r="BM85" s="318" t="n"/>
      <c r="BN85" s="142" t="n"/>
      <c r="BO85" s="318" t="n"/>
      <c r="BP85" s="318" t="n"/>
      <c r="BQ85" s="142" t="n"/>
      <c r="BR85" s="318" t="n"/>
      <c r="BS85" s="142" t="n"/>
      <c r="BT85" s="318" t="n"/>
      <c r="BU85" s="142" t="n"/>
      <c r="BV85" s="318" t="n"/>
      <c r="BW85" s="142" t="n"/>
      <c r="BX85" s="318" t="n"/>
      <c r="BY85" s="142" t="n"/>
      <c r="BZ85" s="318" t="n"/>
      <c r="CA85" s="142" t="n"/>
      <c r="CB85" s="318" t="n"/>
      <c r="CC85" s="142" t="n"/>
      <c r="CD85" s="318" t="n"/>
      <c r="CE85" s="142" t="n"/>
      <c r="CF85" s="318" t="n"/>
      <c r="CG85" s="317" t="n"/>
      <c r="CH85" s="318" t="n"/>
      <c r="CI85" s="317" t="n"/>
      <c r="CJ85" s="318" t="n"/>
      <c r="CK85" s="317" t="n"/>
      <c r="CL85" s="318" t="n"/>
      <c r="CM85" s="317" t="n"/>
      <c r="CN85" s="318" t="n"/>
      <c r="CO85" s="80" t="n"/>
      <c r="CP85" s="318" t="n"/>
      <c r="CQ85" s="80" t="n"/>
      <c r="CR85" s="318" t="n"/>
      <c r="CS85" s="80" t="n"/>
      <c r="CT85" s="318" t="n"/>
      <c r="CU85" s="80" t="n"/>
      <c r="CW85" s="318" t="n"/>
      <c r="CX85" s="142" t="n"/>
      <c r="CY85" s="318" t="n"/>
      <c r="CZ85" s="142" t="n"/>
      <c r="DA85" s="318" t="n"/>
      <c r="DB85" s="142" t="n"/>
      <c r="DC85" s="318" t="n"/>
      <c r="DD85" s="142" t="n"/>
      <c r="DE85" s="385" t="n"/>
      <c r="DF85" s="385" t="n"/>
      <c r="DG85" s="386" t="n"/>
    </row>
    <row r="86">
      <c r="A86" s="376" t="n">
        <v>44165</v>
      </c>
      <c r="B86" s="315" t="n">
        <v>15910.1</v>
      </c>
      <c r="C86" s="111">
        <f>B86/B74-1</f>
        <v/>
      </c>
      <c r="D86" s="111" t="n"/>
      <c r="E86" s="315" t="n">
        <v>15198.7</v>
      </c>
      <c r="F86" s="111">
        <f>E86/E74-1</f>
        <v/>
      </c>
      <c r="G86" s="111" t="n"/>
      <c r="H86" s="315" t="n">
        <v>538.4</v>
      </c>
      <c r="I86" s="111">
        <f>H86/H74-1</f>
        <v/>
      </c>
      <c r="J86" s="111" t="n"/>
      <c r="K86" s="315" t="n">
        <v>173</v>
      </c>
      <c r="L86" s="111">
        <f>K86/K74-1</f>
        <v/>
      </c>
      <c r="M86" s="111" t="n"/>
      <c r="N86" s="315" t="n">
        <v>11468.6</v>
      </c>
      <c r="O86" s="111">
        <f>N86/N74-1</f>
        <v/>
      </c>
      <c r="P86" s="111" t="n"/>
      <c r="Q86" s="315" t="n">
        <v>11160.8</v>
      </c>
      <c r="R86" s="111">
        <f>Q86/Q74-1</f>
        <v/>
      </c>
      <c r="S86" s="111" t="n"/>
      <c r="T86" s="315" t="n">
        <v>225.2</v>
      </c>
      <c r="U86" s="111">
        <f>T86/T74-1</f>
        <v/>
      </c>
      <c r="V86" s="111" t="n"/>
      <c r="W86" s="315" t="n">
        <v>82.59999999999999</v>
      </c>
      <c r="X86" s="111">
        <f>W86/W74-1</f>
        <v/>
      </c>
      <c r="Y86" s="111" t="n"/>
      <c r="Z86" s="315" t="n">
        <v>7554.2</v>
      </c>
      <c r="AA86" s="111">
        <f>Z86/Z74-1</f>
        <v/>
      </c>
      <c r="AB86" s="111" t="n"/>
      <c r="AC86" s="315" t="n">
        <v>7465.5</v>
      </c>
      <c r="AD86" s="111">
        <f>AC86/AC74-1</f>
        <v/>
      </c>
      <c r="AE86" s="111" t="n"/>
      <c r="AF86" s="315" t="n">
        <v>37.6</v>
      </c>
      <c r="AG86" s="111">
        <f>AF86/AF74-1</f>
        <v/>
      </c>
      <c r="AH86" s="111" t="n"/>
      <c r="AI86" s="315" t="n">
        <v>51.1</v>
      </c>
      <c r="AJ86" s="111">
        <f>AI86/AI74-1</f>
        <v/>
      </c>
      <c r="AK86" s="111" t="n"/>
      <c r="AL86" s="316" t="n">
        <v>72.09999999999999</v>
      </c>
      <c r="AM86" s="380">
        <f>AL86-AL74</f>
        <v/>
      </c>
      <c r="AN86" s="111" t="n"/>
      <c r="AO86" s="316" t="n">
        <v>73.40000000000001</v>
      </c>
      <c r="AP86" s="380">
        <f>AO86-AO74</f>
        <v/>
      </c>
      <c r="AQ86" s="111" t="n"/>
      <c r="AR86" s="316" t="n">
        <v>41.8</v>
      </c>
      <c r="AS86" s="380">
        <f>AR86-AR74</f>
        <v/>
      </c>
      <c r="AT86" s="111" t="n"/>
      <c r="AU86" s="316" t="n">
        <v>47.8</v>
      </c>
      <c r="AV86" s="380">
        <f>AU86-AU74</f>
        <v/>
      </c>
      <c r="AW86" s="111" t="n"/>
      <c r="AX86" s="377" t="n">
        <v>704</v>
      </c>
      <c r="AY86" s="111">
        <f>AX86/AX74-1</f>
        <v/>
      </c>
      <c r="AZ86" s="111" t="n"/>
      <c r="BA86" s="378" t="n"/>
      <c r="BB86" s="142" t="n"/>
      <c r="BC86" s="378" t="n"/>
      <c r="BD86" s="142" t="n"/>
      <c r="BE86" s="378" t="n"/>
      <c r="BF86" s="142" t="n"/>
      <c r="BG86" s="378" t="n"/>
      <c r="BH86" s="142" t="n"/>
      <c r="BI86" s="318" t="n"/>
      <c r="BJ86" s="142" t="n"/>
      <c r="BK86" s="318" t="n"/>
      <c r="BL86" s="142" t="n"/>
      <c r="BM86" s="318" t="n"/>
      <c r="BN86" s="142" t="n"/>
      <c r="BO86" s="318" t="n"/>
      <c r="BP86" s="318" t="n"/>
      <c r="BQ86" s="142" t="n"/>
      <c r="BR86" s="318" t="n"/>
      <c r="BS86" s="142" t="n"/>
      <c r="BT86" s="318" t="n"/>
      <c r="BU86" s="142" t="n"/>
      <c r="BV86" s="318" t="n"/>
      <c r="BW86" s="142" t="n"/>
      <c r="BX86" s="318" t="n"/>
      <c r="BY86" s="142" t="n"/>
      <c r="BZ86" s="318" t="n"/>
      <c r="CA86" s="142" t="n"/>
      <c r="CB86" s="318" t="n"/>
      <c r="CC86" s="142" t="n"/>
      <c r="CD86" s="318" t="n"/>
      <c r="CE86" s="142" t="n"/>
      <c r="CF86" s="318" t="n"/>
      <c r="CG86" s="317" t="n"/>
      <c r="CH86" s="318" t="n"/>
      <c r="CI86" s="317" t="n"/>
      <c r="CJ86" s="318" t="n"/>
      <c r="CK86" s="317" t="n"/>
      <c r="CL86" s="318" t="n"/>
      <c r="CM86" s="317" t="n"/>
      <c r="CN86" s="318" t="n"/>
      <c r="CO86" s="80" t="n"/>
      <c r="CP86" s="318" t="n"/>
      <c r="CQ86" s="80" t="n"/>
      <c r="CR86" s="318" t="n"/>
      <c r="CS86" s="80" t="n"/>
      <c r="CT86" s="318" t="n"/>
      <c r="CU86" s="80" t="n"/>
      <c r="CW86" s="318" t="n"/>
      <c r="CX86" s="142" t="n"/>
      <c r="CY86" s="318" t="n"/>
      <c r="CZ86" s="142" t="n"/>
      <c r="DA86" s="318" t="n"/>
      <c r="DB86" s="142" t="n"/>
      <c r="DC86" s="318" t="n"/>
      <c r="DD86" s="142" t="n"/>
      <c r="DE86" s="385" t="n"/>
      <c r="DF86" s="385" t="n"/>
      <c r="DG86" s="318" t="n"/>
    </row>
    <row r="87">
      <c r="A87" s="376" t="n">
        <v>44196</v>
      </c>
      <c r="B87" s="315" t="n">
        <v>15329.5</v>
      </c>
      <c r="C87" s="111">
        <f>B87/B75-1</f>
        <v/>
      </c>
      <c r="D87" s="111" t="n"/>
      <c r="E87" s="315" t="n">
        <v>14672.1</v>
      </c>
      <c r="F87" s="111">
        <f>E87/E75-1</f>
        <v/>
      </c>
      <c r="G87" s="111" t="n"/>
      <c r="H87" s="315" t="n">
        <v>467.9</v>
      </c>
      <c r="I87" s="111">
        <f>H87/H75-1</f>
        <v/>
      </c>
      <c r="J87" s="111" t="n"/>
      <c r="K87" s="315" t="n">
        <v>189.6</v>
      </c>
      <c r="L87" s="111">
        <f>K87/K75-1</f>
        <v/>
      </c>
      <c r="M87" s="111" t="n"/>
      <c r="N87" s="315" t="n">
        <v>10360.5</v>
      </c>
      <c r="O87" s="111">
        <f>N87/N75-1</f>
        <v/>
      </c>
      <c r="P87" s="111" t="n"/>
      <c r="Q87" s="315" t="n">
        <v>10055.2</v>
      </c>
      <c r="R87" s="111">
        <f>Q87/Q75-1</f>
        <v/>
      </c>
      <c r="S87" s="111" t="n"/>
      <c r="T87" s="315" t="n">
        <v>201.2</v>
      </c>
      <c r="U87" s="111">
        <f>T87/T75-1</f>
        <v/>
      </c>
      <c r="V87" s="111" t="n"/>
      <c r="W87" s="315" t="n">
        <v>104.1</v>
      </c>
      <c r="X87" s="111">
        <f>W87/W75-1</f>
        <v/>
      </c>
      <c r="Y87" s="111" t="n"/>
      <c r="Z87" s="315" t="n">
        <v>6789.8</v>
      </c>
      <c r="AA87" s="111">
        <f>Z87/Z75-1</f>
        <v/>
      </c>
      <c r="AB87" s="111" t="n"/>
      <c r="AC87" s="315" t="n">
        <v>6690.4</v>
      </c>
      <c r="AD87" s="111">
        <f>AC87/AC75-1</f>
        <v/>
      </c>
      <c r="AE87" s="111" t="n"/>
      <c r="AF87" s="315" t="n">
        <v>35.7</v>
      </c>
      <c r="AG87" s="111">
        <f>AF87/AF75-1</f>
        <v/>
      </c>
      <c r="AH87" s="111" t="n"/>
      <c r="AI87" s="315" t="n">
        <v>63.7</v>
      </c>
      <c r="AJ87" s="111">
        <f>AI87/AI75-1</f>
        <v/>
      </c>
      <c r="AK87" s="111" t="n"/>
      <c r="AL87" s="316" t="n">
        <v>67.59999999999999</v>
      </c>
      <c r="AM87" s="380">
        <f>AL87-AL75</f>
        <v/>
      </c>
      <c r="AN87" s="111" t="n"/>
      <c r="AO87" s="316" t="n">
        <v>68.5</v>
      </c>
      <c r="AP87" s="380">
        <f>AO87-AO75</f>
        <v/>
      </c>
      <c r="AQ87" s="111" t="n"/>
      <c r="AR87" s="316" t="n">
        <v>43</v>
      </c>
      <c r="AS87" s="380">
        <f>AR87-AR75</f>
        <v/>
      </c>
      <c r="AT87" s="111" t="n"/>
      <c r="AU87" s="316" t="n">
        <v>54.9</v>
      </c>
      <c r="AV87" s="380">
        <f>AU87-AU75</f>
        <v/>
      </c>
      <c r="AW87" s="111" t="n"/>
      <c r="AX87" s="377" t="n">
        <v>708</v>
      </c>
      <c r="AY87" s="111">
        <f>AX87/AX75-1</f>
        <v/>
      </c>
      <c r="AZ87" s="111" t="n"/>
      <c r="BA87" s="378" t="n"/>
      <c r="BB87" s="142" t="n"/>
      <c r="BC87" s="378" t="n"/>
      <c r="BD87" s="142" t="n"/>
      <c r="BE87" s="378" t="n"/>
      <c r="BF87" s="142" t="n"/>
      <c r="BG87" s="378" t="n"/>
      <c r="BH87" s="142" t="n"/>
      <c r="BI87" s="318" t="n"/>
      <c r="BJ87" s="142" t="n"/>
      <c r="BK87" s="318" t="n"/>
      <c r="BL87" s="142" t="n"/>
      <c r="BM87" s="318" t="n"/>
      <c r="BN87" s="142" t="n"/>
      <c r="BO87" s="318" t="n"/>
      <c r="BP87" s="318" t="n"/>
      <c r="BQ87" s="142" t="n"/>
      <c r="BR87" s="318" t="n"/>
      <c r="BS87" s="142" t="n"/>
      <c r="BT87" s="318" t="n"/>
      <c r="BU87" s="142" t="n"/>
      <c r="BV87" s="318" t="n"/>
      <c r="BW87" s="142" t="n"/>
      <c r="BX87" s="318" t="n"/>
      <c r="BY87" s="142" t="n"/>
      <c r="BZ87" s="318" t="n"/>
      <c r="CA87" s="142" t="n"/>
      <c r="CB87" s="318" t="n"/>
      <c r="CC87" s="142" t="n"/>
      <c r="CD87" s="318" t="n"/>
      <c r="CE87" s="142" t="n"/>
      <c r="CF87" s="318" t="n"/>
      <c r="CG87" s="317" t="n"/>
      <c r="CH87" s="318" t="n"/>
      <c r="CI87" s="317" t="n"/>
      <c r="CJ87" s="318" t="n"/>
      <c r="CK87" s="317" t="n"/>
      <c r="CL87" s="318" t="n"/>
      <c r="CM87" s="317" t="n"/>
      <c r="CN87" s="318" t="n"/>
      <c r="CO87" s="80" t="n"/>
      <c r="CP87" s="318" t="n"/>
      <c r="CQ87" s="80" t="n"/>
      <c r="CR87" s="318" t="n"/>
      <c r="CS87" s="80" t="n"/>
      <c r="CT87" s="318" t="n"/>
      <c r="CU87" s="80" t="n"/>
      <c r="CW87" s="318" t="n"/>
      <c r="CX87" s="142" t="n"/>
      <c r="CY87" s="318" t="n"/>
      <c r="CZ87" s="142" t="n"/>
      <c r="DA87" s="318" t="n"/>
      <c r="DB87" s="142" t="n"/>
      <c r="DC87" s="318" t="n"/>
      <c r="DD87" s="142" t="n"/>
      <c r="DE87" s="385" t="n"/>
      <c r="DF87" s="385" t="n"/>
      <c r="DG87" s="318" t="n"/>
    </row>
    <row r="88" customFormat="1" s="200">
      <c r="A88" s="371" t="n">
        <v>44227</v>
      </c>
      <c r="B88" s="381" t="n">
        <v>11061.7</v>
      </c>
      <c r="C88" s="111">
        <f>B88/B76-1</f>
        <v/>
      </c>
      <c r="D88" s="111" t="n"/>
      <c r="E88" s="381" t="n">
        <v>10481.9</v>
      </c>
      <c r="F88" s="111">
        <f>E88/E76-1</f>
        <v/>
      </c>
      <c r="G88" s="111" t="n"/>
      <c r="H88" s="381" t="n">
        <v>433.2</v>
      </c>
      <c r="I88" s="111">
        <f>H88/H76-1</f>
        <v/>
      </c>
      <c r="J88" s="111" t="n"/>
      <c r="K88" s="381" t="n">
        <v>146.6</v>
      </c>
      <c r="L88" s="111">
        <f>K88/K76-1</f>
        <v/>
      </c>
      <c r="M88" s="111" t="n"/>
      <c r="N88" s="381" t="n">
        <v>6679.5</v>
      </c>
      <c r="O88" s="111">
        <f>N88/N76-1</f>
        <v/>
      </c>
      <c r="P88" s="111" t="n"/>
      <c r="Q88" s="381" t="n">
        <v>6447.4</v>
      </c>
      <c r="R88" s="111">
        <f>Q88/Q76-1</f>
        <v/>
      </c>
      <c r="S88" s="111" t="n"/>
      <c r="T88" s="381" t="n">
        <v>167.5</v>
      </c>
      <c r="U88" s="111">
        <f>T88/T76-1</f>
        <v/>
      </c>
      <c r="V88" s="111" t="n"/>
      <c r="W88" s="381" t="n">
        <v>64.59999999999999</v>
      </c>
      <c r="X88" s="111">
        <f>W88/W76-1</f>
        <v/>
      </c>
      <c r="Y88" s="111" t="n"/>
      <c r="Z88" s="381" t="n">
        <v>4429.5</v>
      </c>
      <c r="AA88" s="111">
        <f>Z88/Z76-1</f>
        <v/>
      </c>
      <c r="AB88" s="111" t="n"/>
      <c r="AC88" s="381" t="n">
        <v>4358.4</v>
      </c>
      <c r="AD88" s="111">
        <f>AC88/AC76-1</f>
        <v/>
      </c>
      <c r="AE88" s="111" t="n"/>
      <c r="AF88" s="381" t="n">
        <v>30</v>
      </c>
      <c r="AG88" s="111">
        <f>AF88/AF76-1</f>
        <v/>
      </c>
      <c r="AH88" s="111" t="n"/>
      <c r="AI88" s="381" t="n">
        <v>41.1</v>
      </c>
      <c r="AJ88" s="111">
        <f>AI88/AI76-1</f>
        <v/>
      </c>
      <c r="AK88" s="111" t="n"/>
      <c r="AL88" s="382" t="n">
        <v>60.4</v>
      </c>
      <c r="AM88" s="380">
        <f>AL88-AL76</f>
        <v/>
      </c>
      <c r="AN88" s="111" t="n"/>
      <c r="AO88" s="382" t="n">
        <v>61.5</v>
      </c>
      <c r="AP88" s="380">
        <f>AO88-AO76</f>
        <v/>
      </c>
      <c r="AQ88" s="111" t="n"/>
      <c r="AR88" s="382" t="n">
        <v>38.7</v>
      </c>
      <c r="AS88" s="380">
        <f>AR88-AR76</f>
        <v/>
      </c>
      <c r="AT88" s="111" t="n"/>
      <c r="AU88" s="382" t="n">
        <v>44.1</v>
      </c>
      <c r="AV88" s="380">
        <f>AU88-AU76</f>
        <v/>
      </c>
      <c r="AW88" s="111" t="n"/>
      <c r="AX88" s="383" t="n">
        <v>712</v>
      </c>
      <c r="AY88" s="111">
        <f>AX88/AX76-1</f>
        <v/>
      </c>
      <c r="AZ88" s="111" t="n"/>
      <c r="BA88" s="381" t="n"/>
      <c r="BB88" s="217" t="n"/>
      <c r="BC88" s="381" t="n"/>
      <c r="BD88" s="217" t="n"/>
      <c r="BE88" s="381" t="n"/>
      <c r="BF88" s="217" t="n"/>
      <c r="BG88" s="381" t="n"/>
      <c r="BH88" s="217" t="n"/>
      <c r="BI88" s="381" t="n"/>
      <c r="BJ88" s="217" t="n"/>
      <c r="BK88" s="381" t="n"/>
      <c r="BL88" s="217" t="n"/>
      <c r="BM88" s="381" t="n"/>
      <c r="BN88" s="217" t="n"/>
      <c r="BO88" s="381" t="n"/>
      <c r="BP88" s="381" t="n"/>
      <c r="BQ88" s="217" t="n"/>
      <c r="BR88" s="381" t="n"/>
      <c r="BS88" s="217" t="n"/>
      <c r="BT88" s="381" t="n"/>
      <c r="BU88" s="217" t="n"/>
      <c r="BV88" s="381" t="n"/>
      <c r="BW88" s="217" t="n"/>
      <c r="BX88" s="381" t="n"/>
      <c r="BY88" s="217" t="n"/>
      <c r="BZ88" s="381" t="n"/>
      <c r="CA88" s="217" t="n"/>
      <c r="CB88" s="381" t="n"/>
      <c r="CC88" s="217" t="n"/>
      <c r="CD88" s="381" t="n"/>
      <c r="CE88" s="217" t="n"/>
      <c r="CF88" s="381" t="n"/>
      <c r="CG88" s="381" t="n"/>
      <c r="CH88" s="381" t="n"/>
      <c r="CI88" s="381" t="n"/>
      <c r="CJ88" s="381" t="n"/>
      <c r="CK88" s="381" t="n"/>
      <c r="CL88" s="381" t="n"/>
      <c r="CM88" s="381" t="n"/>
      <c r="CN88" s="381" t="n"/>
      <c r="CO88" s="218" t="n"/>
      <c r="CP88" s="381" t="n"/>
      <c r="CQ88" s="218" t="n"/>
      <c r="CR88" s="387" t="n"/>
      <c r="CS88" s="218" t="n"/>
      <c r="CT88" s="381" t="n"/>
      <c r="CU88" s="218" t="n"/>
      <c r="CW88" s="381" t="n"/>
      <c r="CX88" s="217" t="n"/>
      <c r="CY88" s="381" t="n"/>
      <c r="CZ88" s="217" t="n"/>
      <c r="DA88" s="381" t="n"/>
      <c r="DB88" s="217" t="n"/>
      <c r="DC88" s="381" t="n"/>
      <c r="DD88" s="217" t="n"/>
      <c r="DE88" s="384" t="n"/>
      <c r="DF88" s="384" t="n"/>
    </row>
    <row r="89">
      <c r="A89" s="376" t="n">
        <v>44255</v>
      </c>
      <c r="B89" s="315" t="n">
        <v>8582.200000000001</v>
      </c>
      <c r="C89" s="111">
        <f>B89/B77-1</f>
        <v/>
      </c>
      <c r="D89" s="111" t="n"/>
      <c r="E89" s="315" t="n">
        <v>8214.799999999999</v>
      </c>
      <c r="F89" s="111">
        <f>E89/E77-1</f>
        <v/>
      </c>
      <c r="G89" s="111" t="n"/>
      <c r="H89" s="315" t="n">
        <v>269.3</v>
      </c>
      <c r="I89" s="111">
        <f>H89/H77-1</f>
        <v/>
      </c>
      <c r="J89" s="111" t="n"/>
      <c r="K89" s="315" t="n">
        <v>98</v>
      </c>
      <c r="L89" s="111">
        <f>K89/K77-1</f>
        <v/>
      </c>
      <c r="M89" s="111" t="n"/>
      <c r="N89" s="315" t="n">
        <v>5289.4</v>
      </c>
      <c r="O89" s="111">
        <f>N89/N77-1</f>
        <v/>
      </c>
      <c r="P89" s="111" t="n"/>
      <c r="Q89" s="315" t="n">
        <v>5135.9</v>
      </c>
      <c r="R89" s="111">
        <f>Q89/Q77-1</f>
        <v/>
      </c>
      <c r="S89" s="111" t="n"/>
      <c r="T89" s="315" t="n">
        <v>112.2</v>
      </c>
      <c r="U89" s="111">
        <f>T89/T77-1</f>
        <v/>
      </c>
      <c r="V89" s="111" t="n"/>
      <c r="W89" s="315" t="n">
        <v>41.3</v>
      </c>
      <c r="X89" s="111">
        <f>W89/W77-1</f>
        <v/>
      </c>
      <c r="Y89" s="111" t="n"/>
      <c r="Z89" s="315" t="n">
        <v>3514.4</v>
      </c>
      <c r="AA89" s="111">
        <f>Z89/Z77-1</f>
        <v/>
      </c>
      <c r="AB89" s="111" t="n"/>
      <c r="AC89" s="315" t="n">
        <v>3470.3</v>
      </c>
      <c r="AD89" s="111">
        <f>AC89/AC77-1</f>
        <v/>
      </c>
      <c r="AE89" s="111" t="n"/>
      <c r="AF89" s="315" t="n">
        <v>18.1</v>
      </c>
      <c r="AG89" s="111">
        <f>AF89/AF77-1</f>
        <v/>
      </c>
      <c r="AH89" s="111" t="n"/>
      <c r="AI89" s="315" t="n">
        <v>26</v>
      </c>
      <c r="AJ89" s="111">
        <f>AI89/AI77-1</f>
        <v/>
      </c>
      <c r="AK89" s="111" t="n"/>
      <c r="AL89" s="316" t="n">
        <v>61.6</v>
      </c>
      <c r="AM89" s="380">
        <f>AL89-AL77</f>
        <v/>
      </c>
      <c r="AN89" s="111" t="n"/>
      <c r="AO89" s="316" t="n">
        <v>62.5</v>
      </c>
      <c r="AP89" s="380">
        <f>AO89-AO77</f>
        <v/>
      </c>
      <c r="AQ89" s="111" t="n"/>
      <c r="AR89" s="316" t="n">
        <v>41.6</v>
      </c>
      <c r="AS89" s="380">
        <f>AR89-AR77</f>
        <v/>
      </c>
      <c r="AT89" s="111" t="n"/>
      <c r="AU89" s="316" t="n">
        <v>42.2</v>
      </c>
      <c r="AV89" s="380">
        <f>AU89-AU77</f>
        <v/>
      </c>
      <c r="AW89" s="111" t="n"/>
      <c r="AX89" s="377" t="n">
        <v>716</v>
      </c>
      <c r="AY89" s="111">
        <f>AX89/AX77-1</f>
        <v/>
      </c>
      <c r="AZ89" s="111" t="n"/>
      <c r="BA89" s="378" t="n"/>
      <c r="BB89" s="142" t="n"/>
      <c r="BC89" s="378" t="n"/>
      <c r="BD89" s="142" t="n"/>
      <c r="BE89" s="378" t="n"/>
      <c r="BF89" s="142" t="n"/>
      <c r="BG89" s="378" t="n"/>
      <c r="BH89" s="142" t="n"/>
      <c r="BI89" s="318" t="n"/>
      <c r="BJ89" s="142" t="n"/>
      <c r="BK89" s="318" t="n"/>
      <c r="BL89" s="142" t="n"/>
      <c r="BM89" s="318" t="n"/>
      <c r="BN89" s="142" t="n"/>
      <c r="BO89" s="318" t="n"/>
      <c r="BP89" s="318" t="n"/>
      <c r="BQ89" s="142" t="n"/>
      <c r="BR89" s="318" t="n"/>
      <c r="BS89" s="142" t="n"/>
      <c r="BT89" s="318" t="n"/>
      <c r="BU89" s="142" t="n"/>
      <c r="BV89" s="318" t="n"/>
      <c r="BW89" s="142" t="n"/>
      <c r="BX89" s="318" t="n"/>
      <c r="BY89" s="142" t="n"/>
      <c r="BZ89" s="318" t="n"/>
      <c r="CA89" s="142" t="n"/>
      <c r="CB89" s="318" t="n"/>
      <c r="CC89" s="142" t="n"/>
      <c r="CD89" s="318" t="n"/>
      <c r="CE89" s="142" t="n"/>
      <c r="CF89" s="318" t="n"/>
      <c r="CG89" s="317" t="n"/>
      <c r="CH89" s="318" t="n"/>
      <c r="CI89" s="317" t="n"/>
      <c r="CJ89" s="318" t="n"/>
      <c r="CK89" s="317" t="n"/>
      <c r="CL89" s="318" t="n"/>
      <c r="CM89" s="317" t="n"/>
      <c r="CN89" s="318" t="n"/>
      <c r="CO89" s="80" t="n"/>
      <c r="CP89" s="318" t="n"/>
      <c r="CQ89" s="80" t="n"/>
      <c r="CR89" s="318" t="n"/>
      <c r="CS89" s="80" t="n"/>
      <c r="CT89" s="318" t="n"/>
      <c r="CU89" s="80" t="n"/>
      <c r="CW89" s="318" t="n"/>
      <c r="CX89" s="142" t="n"/>
      <c r="CY89" s="318" t="n"/>
      <c r="CZ89" s="142" t="n"/>
      <c r="DA89" s="318" t="n"/>
      <c r="DB89" s="142" t="n"/>
      <c r="DC89" s="318" t="n"/>
      <c r="DD89" s="142" t="n"/>
      <c r="DE89" s="385" t="n"/>
      <c r="DF89" s="385" t="n"/>
      <c r="DG89" s="318" t="n"/>
    </row>
    <row r="90">
      <c r="A90" s="376" t="n">
        <v>44286</v>
      </c>
      <c r="B90" s="315" t="n">
        <v>15969.6</v>
      </c>
      <c r="C90" s="111">
        <f>B90/B78-1</f>
        <v/>
      </c>
      <c r="D90" s="111" t="n"/>
      <c r="E90" s="315" t="n">
        <v>15385.7</v>
      </c>
      <c r="F90" s="111">
        <f>E90/E78-1</f>
        <v/>
      </c>
      <c r="G90" s="111" t="n"/>
      <c r="H90" s="315" t="n">
        <v>367.2</v>
      </c>
      <c r="I90" s="111">
        <f>H90/H78-1</f>
        <v/>
      </c>
      <c r="J90" s="111" t="n"/>
      <c r="K90" s="315" t="n">
        <v>216.7</v>
      </c>
      <c r="L90" s="111">
        <f>K90/K78-1</f>
        <v/>
      </c>
      <c r="M90" s="111" t="n"/>
      <c r="N90" s="315" t="n">
        <v>11564.8</v>
      </c>
      <c r="O90" s="111">
        <f>N90/N78-1</f>
        <v/>
      </c>
      <c r="P90" s="111" t="n"/>
      <c r="Q90" s="315" t="n">
        <v>11306.5</v>
      </c>
      <c r="R90" s="111">
        <f>Q90/Q78-1</f>
        <v/>
      </c>
      <c r="S90" s="111" t="n"/>
      <c r="T90" s="315" t="n">
        <v>150.6</v>
      </c>
      <c r="U90" s="111">
        <f>T90/T78-1</f>
        <v/>
      </c>
      <c r="V90" s="111" t="n"/>
      <c r="W90" s="315" t="n">
        <v>107.7</v>
      </c>
      <c r="X90" s="111">
        <f>W90/W78-1</f>
        <v/>
      </c>
      <c r="Y90" s="111" t="n"/>
      <c r="Z90" s="315" t="n">
        <v>7603.7</v>
      </c>
      <c r="AA90" s="111">
        <f>Z90/Z78-1</f>
        <v/>
      </c>
      <c r="AB90" s="111" t="n"/>
      <c r="AC90" s="315" t="n">
        <v>7509.7</v>
      </c>
      <c r="AD90" s="111">
        <f>AC90/AC78-1</f>
        <v/>
      </c>
      <c r="AE90" s="111" t="n"/>
      <c r="AF90" s="315" t="n">
        <v>26.2</v>
      </c>
      <c r="AG90" s="111">
        <f>AF90/AF78-1</f>
        <v/>
      </c>
      <c r="AH90" s="111" t="n"/>
      <c r="AI90" s="315" t="n">
        <v>67.7</v>
      </c>
      <c r="AJ90" s="111">
        <f>AI90/AI78-1</f>
        <v/>
      </c>
      <c r="AK90" s="111" t="n"/>
      <c r="AL90" s="316" t="n">
        <v>72.40000000000001</v>
      </c>
      <c r="AM90" s="380">
        <f>AL90-AL78</f>
        <v/>
      </c>
      <c r="AN90" s="111" t="n"/>
      <c r="AO90" s="316" t="n">
        <v>73.5</v>
      </c>
      <c r="AP90" s="380">
        <f>AO90-AO78</f>
        <v/>
      </c>
      <c r="AQ90" s="111" t="n"/>
      <c r="AR90" s="316" t="n">
        <v>41</v>
      </c>
      <c r="AS90" s="380">
        <f>AR90-AR78</f>
        <v/>
      </c>
      <c r="AT90" s="111" t="n"/>
      <c r="AU90" s="316" t="n">
        <v>49.7</v>
      </c>
      <c r="AV90" s="380">
        <f>AU90-AU78</f>
        <v/>
      </c>
      <c r="AW90" s="111" t="n"/>
      <c r="AX90" s="377" t="n">
        <v>719</v>
      </c>
      <c r="AY90" s="111">
        <f>AX90/AX78-1</f>
        <v/>
      </c>
      <c r="AZ90" s="111" t="n"/>
      <c r="BA90" s="378" t="n"/>
      <c r="BB90" s="142" t="n"/>
      <c r="BC90" s="378" t="n"/>
      <c r="BD90" s="142" t="n"/>
      <c r="BE90" s="378" t="n"/>
      <c r="BF90" s="142" t="n"/>
      <c r="BG90" s="378" t="n"/>
      <c r="BH90" s="142" t="n"/>
      <c r="BI90" s="318" t="n"/>
      <c r="BJ90" s="142" t="n"/>
      <c r="BK90" s="318" t="n"/>
      <c r="BL90" s="142" t="n"/>
      <c r="BM90" s="318" t="n"/>
      <c r="BN90" s="142" t="n"/>
      <c r="BO90" s="318" t="n"/>
      <c r="BP90" s="318" t="n"/>
      <c r="BQ90" s="142" t="n"/>
      <c r="BR90" s="318" t="n"/>
      <c r="BS90" s="142" t="n"/>
      <c r="BT90" s="318" t="n"/>
      <c r="BU90" s="142" t="n"/>
      <c r="BV90" s="318" t="n"/>
      <c r="BW90" s="142" t="n"/>
      <c r="BX90" s="318" t="n"/>
      <c r="BY90" s="142" t="n"/>
      <c r="BZ90" s="318" t="n"/>
      <c r="CA90" s="142" t="n"/>
      <c r="CB90" s="318" t="n"/>
      <c r="CC90" s="142" t="n"/>
      <c r="CD90" s="318" t="n"/>
      <c r="CE90" s="142" t="n"/>
      <c r="CF90" s="318" t="n"/>
      <c r="CG90" s="317" t="n"/>
      <c r="CH90" s="318" t="n"/>
      <c r="CI90" s="317" t="n"/>
      <c r="CJ90" s="318" t="n"/>
      <c r="CK90" s="317" t="n"/>
      <c r="CL90" s="318" t="n"/>
      <c r="CM90" s="317" t="n"/>
      <c r="CN90" s="318" t="n"/>
      <c r="CO90" s="80" t="n"/>
      <c r="CP90" s="318" t="n"/>
      <c r="CQ90" s="80" t="n"/>
      <c r="CR90" s="318" t="n"/>
      <c r="CS90" s="80" t="n"/>
      <c r="CT90" s="318" t="n"/>
      <c r="CU90" s="80" t="n"/>
      <c r="CW90" s="318" t="n"/>
      <c r="CX90" s="142" t="n"/>
      <c r="CY90" s="318" t="n"/>
      <c r="CZ90" s="142" t="n"/>
      <c r="DA90" s="318" t="n"/>
      <c r="DB90" s="142" t="n"/>
      <c r="DC90" s="318" t="n"/>
      <c r="DD90" s="142" t="n"/>
      <c r="DE90" s="385" t="n"/>
      <c r="DF90" s="385" t="n"/>
      <c r="DG90" s="386" t="n"/>
    </row>
    <row r="91">
      <c r="A91" s="376" t="n">
        <v>44316</v>
      </c>
      <c r="B91" s="315" t="n">
        <v>17103.4</v>
      </c>
      <c r="C91" s="111">
        <f>B91/B79-1</f>
        <v/>
      </c>
      <c r="D91" s="111" t="n"/>
      <c r="E91" s="315" t="n">
        <v>16497</v>
      </c>
      <c r="F91" s="111">
        <f>E91/E79-1</f>
        <v/>
      </c>
      <c r="G91" s="111" t="n"/>
      <c r="H91" s="315" t="n">
        <v>353.4</v>
      </c>
      <c r="I91" s="111">
        <f>H91/H79-1</f>
        <v/>
      </c>
      <c r="J91" s="111" t="n"/>
      <c r="K91" s="315" t="n">
        <v>253</v>
      </c>
      <c r="L91" s="111">
        <f>K91/K79-1</f>
        <v/>
      </c>
      <c r="M91" s="111" t="n"/>
      <c r="N91" s="315" t="n">
        <v>12736.3</v>
      </c>
      <c r="O91" s="111">
        <f>N91/N79-1</f>
        <v/>
      </c>
      <c r="P91" s="111" t="n"/>
      <c r="Q91" s="315" t="n">
        <v>12425.1</v>
      </c>
      <c r="R91" s="111">
        <f>Q91/Q79-1</f>
        <v/>
      </c>
      <c r="S91" s="111" t="n"/>
      <c r="T91" s="315" t="n">
        <v>148.9</v>
      </c>
      <c r="U91" s="111">
        <f>T91/T79-1</f>
        <v/>
      </c>
      <c r="V91" s="111" t="n"/>
      <c r="W91" s="315" t="n">
        <v>162.3</v>
      </c>
      <c r="X91" s="111">
        <f>W91/W79-1</f>
        <v/>
      </c>
      <c r="Y91" s="111" t="n"/>
      <c r="Z91" s="315" t="n">
        <v>8435</v>
      </c>
      <c r="AA91" s="111">
        <f>Z91/Z79-1</f>
        <v/>
      </c>
      <c r="AB91" s="111" t="n"/>
      <c r="AC91" s="315" t="n">
        <v>8311.799999999999</v>
      </c>
      <c r="AD91" s="111">
        <f>AC91/AC79-1</f>
        <v/>
      </c>
      <c r="AE91" s="111" t="n"/>
      <c r="AF91" s="315" t="n">
        <v>24.1</v>
      </c>
      <c r="AG91" s="111">
        <f>AF91/AF79-1</f>
        <v/>
      </c>
      <c r="AH91" s="111" t="n"/>
      <c r="AI91" s="315" t="n">
        <v>99.09999999999999</v>
      </c>
      <c r="AJ91" s="111">
        <f>AI91/AI79-1</f>
        <v/>
      </c>
      <c r="AK91" s="111" t="n"/>
      <c r="AL91" s="316" t="n">
        <v>74.5</v>
      </c>
      <c r="AM91" s="380">
        <f>AL91-AL79</f>
        <v/>
      </c>
      <c r="AN91" s="111" t="n"/>
      <c r="AO91" s="316" t="n">
        <v>75.3</v>
      </c>
      <c r="AP91" s="380">
        <f>AO91-AO79</f>
        <v/>
      </c>
      <c r="AQ91" s="111" t="n"/>
      <c r="AR91" s="316" t="n">
        <v>42.1</v>
      </c>
      <c r="AS91" s="380">
        <f>AR91-AR79</f>
        <v/>
      </c>
      <c r="AT91" s="111" t="n"/>
      <c r="AU91" s="316" t="n">
        <v>64.09999999999999</v>
      </c>
      <c r="AV91" s="380">
        <f>AU91-AU79</f>
        <v/>
      </c>
      <c r="AW91" s="111" t="n"/>
      <c r="AX91" s="377" t="n">
        <v>723</v>
      </c>
      <c r="AY91" s="111">
        <f>AX91/AX79-1</f>
        <v/>
      </c>
      <c r="AZ91" s="111" t="n"/>
      <c r="BA91" s="378" t="n"/>
      <c r="BB91" s="142" t="n"/>
      <c r="BC91" s="378" t="n"/>
      <c r="BD91" s="142" t="n"/>
      <c r="BE91" s="378" t="n"/>
      <c r="BF91" s="142" t="n"/>
      <c r="BG91" s="378" t="n"/>
      <c r="BH91" s="142" t="n"/>
      <c r="BI91" s="318" t="n"/>
      <c r="BJ91" s="142" t="n"/>
      <c r="BK91" s="318" t="n"/>
      <c r="BL91" s="142" t="n"/>
      <c r="BM91" s="318" t="n"/>
      <c r="BN91" s="142" t="n"/>
      <c r="BO91" s="318" t="n"/>
      <c r="BP91" s="318" t="n"/>
      <c r="BQ91" s="142" t="n"/>
      <c r="BR91" s="318" t="n"/>
      <c r="BS91" s="142" t="n"/>
      <c r="BT91" s="318" t="n"/>
      <c r="BU91" s="142" t="n"/>
      <c r="BV91" s="318" t="n"/>
      <c r="BW91" s="142" t="n"/>
      <c r="BX91" s="318" t="n"/>
      <c r="BY91" s="142" t="n"/>
      <c r="BZ91" s="318" t="n"/>
      <c r="CA91" s="142" t="n"/>
      <c r="CB91" s="318" t="n"/>
      <c r="CC91" s="142" t="n"/>
      <c r="CD91" s="318" t="n"/>
      <c r="CE91" s="142" t="n"/>
      <c r="CF91" s="318" t="n"/>
      <c r="CG91" s="317" t="n"/>
      <c r="CH91" s="318" t="n"/>
      <c r="CI91" s="317" t="n"/>
      <c r="CJ91" s="318" t="n"/>
      <c r="CK91" s="317" t="n"/>
      <c r="CL91" s="318" t="n"/>
      <c r="CM91" s="317" t="n"/>
      <c r="CN91" s="318" t="n"/>
      <c r="CO91" s="80" t="n"/>
      <c r="CP91" s="318" t="n"/>
      <c r="CQ91" s="80" t="n"/>
      <c r="CR91" s="318" t="n"/>
      <c r="CS91" s="80" t="n"/>
      <c r="CT91" s="318" t="n"/>
      <c r="CU91" s="80" t="n"/>
      <c r="CW91" s="318" t="n"/>
      <c r="CX91" s="142" t="n"/>
      <c r="CY91" s="318" t="n"/>
      <c r="CZ91" s="142" t="n"/>
      <c r="DA91" s="318" t="n"/>
      <c r="DB91" s="142" t="n"/>
      <c r="DC91" s="318" t="n"/>
      <c r="DD91" s="142" t="n"/>
      <c r="DE91" s="385" t="n"/>
      <c r="DF91" s="385" t="n"/>
      <c r="DG91" s="386" t="n"/>
    </row>
    <row r="92">
      <c r="A92" s="376" t="n">
        <v>44347</v>
      </c>
      <c r="B92" s="315" t="n">
        <v>16712.7</v>
      </c>
      <c r="C92" s="111">
        <f>B92/B80-1</f>
        <v/>
      </c>
      <c r="D92" s="111" t="n"/>
      <c r="E92" s="315" t="n">
        <v>16048.6</v>
      </c>
      <c r="F92" s="111">
        <f>E92/E80-1</f>
        <v/>
      </c>
      <c r="G92" s="111" t="n"/>
      <c r="H92" s="315" t="n">
        <v>369.1</v>
      </c>
      <c r="I92" s="111">
        <f>H92/H80-1</f>
        <v/>
      </c>
      <c r="J92" s="111" t="n"/>
      <c r="K92" s="315" t="n">
        <v>295</v>
      </c>
      <c r="L92" s="111">
        <f>K92/K80-1</f>
        <v/>
      </c>
      <c r="M92" s="111" t="n"/>
      <c r="N92" s="315" t="n">
        <v>12623.9</v>
      </c>
      <c r="O92" s="111">
        <f>N92/N80-1</f>
        <v/>
      </c>
      <c r="P92" s="111" t="n"/>
      <c r="Q92" s="315" t="n">
        <v>12283.4</v>
      </c>
      <c r="R92" s="111">
        <f>Q92/Q80-1</f>
        <v/>
      </c>
      <c r="S92" s="111" t="n"/>
      <c r="T92" s="315" t="n">
        <v>159.2</v>
      </c>
      <c r="U92" s="111">
        <f>T92/T80-1</f>
        <v/>
      </c>
      <c r="V92" s="111" t="n"/>
      <c r="W92" s="315" t="n">
        <v>181.4</v>
      </c>
      <c r="X92" s="111">
        <f>W92/W80-1</f>
        <v/>
      </c>
      <c r="Y92" s="111" t="n"/>
      <c r="Z92" s="315" t="n">
        <v>8323.6</v>
      </c>
      <c r="AA92" s="111">
        <f>Z92/Z80-1</f>
        <v/>
      </c>
      <c r="AB92" s="111" t="n"/>
      <c r="AC92" s="315" t="n">
        <v>8192.5</v>
      </c>
      <c r="AD92" s="111">
        <f>AC92/AC80-1</f>
        <v/>
      </c>
      <c r="AE92" s="111" t="n"/>
      <c r="AF92" s="315" t="n">
        <v>23.8</v>
      </c>
      <c r="AG92" s="111">
        <f>AF92/AF80-1</f>
        <v/>
      </c>
      <c r="AH92" s="111" t="n"/>
      <c r="AI92" s="315" t="n">
        <v>107.4</v>
      </c>
      <c r="AJ92" s="111">
        <f>AI92/AI80-1</f>
        <v/>
      </c>
      <c r="AK92" s="111" t="n"/>
      <c r="AL92" s="316" t="n">
        <v>75.5</v>
      </c>
      <c r="AM92" s="380">
        <f>AL92-AL80</f>
        <v/>
      </c>
      <c r="AN92" s="111" t="n"/>
      <c r="AO92" s="316" t="n">
        <v>76.5</v>
      </c>
      <c r="AP92" s="380">
        <f>AO92-AO80</f>
        <v/>
      </c>
      <c r="AQ92" s="111" t="n"/>
      <c r="AR92" s="316" t="n">
        <v>43.1</v>
      </c>
      <c r="AS92" s="380">
        <f>AR92-AR80</f>
        <v/>
      </c>
      <c r="AT92" s="111" t="n"/>
      <c r="AU92" s="316" t="n">
        <v>61.5</v>
      </c>
      <c r="AV92" s="380">
        <f>AU92-AU80</f>
        <v/>
      </c>
      <c r="AW92" s="111" t="n"/>
      <c r="AX92" s="377" t="n">
        <v>727</v>
      </c>
      <c r="AY92" s="111">
        <f>AX92/AX80-1</f>
        <v/>
      </c>
      <c r="AZ92" s="111" t="n"/>
      <c r="BA92" s="378" t="n"/>
      <c r="BB92" s="142" t="n"/>
      <c r="BC92" s="378" t="n"/>
      <c r="BD92" s="142" t="n"/>
      <c r="BE92" s="378" t="n"/>
      <c r="BF92" s="142" t="n"/>
      <c r="BG92" s="378" t="n"/>
      <c r="BH92" s="142" t="n"/>
      <c r="BI92" s="318" t="n"/>
      <c r="BJ92" s="142" t="n"/>
      <c r="BK92" s="318" t="n"/>
      <c r="BL92" s="142" t="n"/>
      <c r="BM92" s="318" t="n"/>
      <c r="BN92" s="142" t="n"/>
      <c r="BO92" s="318" t="n"/>
      <c r="BP92" s="318" t="n"/>
      <c r="BQ92" s="142" t="n"/>
      <c r="BR92" s="318" t="n"/>
      <c r="BS92" s="142" t="n"/>
      <c r="BT92" s="318" t="n"/>
      <c r="BU92" s="142" t="n"/>
      <c r="BV92" s="318" t="n"/>
      <c r="BW92" s="142" t="n"/>
      <c r="BX92" s="318" t="n"/>
      <c r="BY92" s="142" t="n"/>
      <c r="BZ92" s="318" t="n"/>
      <c r="CA92" s="142" t="n"/>
      <c r="CB92" s="318" t="n"/>
      <c r="CC92" s="142" t="n"/>
      <c r="CD92" s="318" t="n"/>
      <c r="CE92" s="142" t="n"/>
      <c r="CF92" s="318" t="n"/>
      <c r="CG92" s="317" t="n"/>
      <c r="CH92" s="318" t="n"/>
      <c r="CI92" s="317" t="n"/>
      <c r="CJ92" s="318" t="n"/>
      <c r="CK92" s="317" t="n"/>
      <c r="CL92" s="318" t="n"/>
      <c r="CM92" s="317" t="n"/>
      <c r="CN92" s="318" t="n"/>
      <c r="CO92" s="80" t="n"/>
      <c r="CP92" s="318" t="n"/>
      <c r="CQ92" s="80" t="n"/>
      <c r="CR92" s="318" t="n"/>
      <c r="CS92" s="80" t="n"/>
      <c r="CT92" s="318" t="n"/>
      <c r="CU92" s="80" t="n"/>
      <c r="CW92" s="318" t="n"/>
      <c r="CX92" s="142" t="n"/>
      <c r="CY92" s="318" t="n"/>
      <c r="CZ92" s="142" t="n"/>
      <c r="DA92" s="318" t="n"/>
      <c r="DB92" s="142" t="n"/>
      <c r="DC92" s="318" t="n"/>
      <c r="DD92" s="142" t="n"/>
      <c r="DE92" s="385" t="n"/>
      <c r="DF92" s="385" t="n"/>
      <c r="DG92" s="386" t="n"/>
    </row>
    <row r="93">
      <c r="A93" s="376" t="n">
        <v>44377</v>
      </c>
      <c r="B93" s="315" t="n">
        <v>13048.6</v>
      </c>
      <c r="C93" s="111">
        <f>B93/B81-1</f>
        <v/>
      </c>
      <c r="D93" s="111" t="n"/>
      <c r="E93" s="315" t="n">
        <v>12441.4</v>
      </c>
      <c r="F93" s="111">
        <f>E93/E81-1</f>
        <v/>
      </c>
      <c r="G93" s="111" t="n"/>
      <c r="H93" s="315" t="n">
        <v>322.8</v>
      </c>
      <c r="I93" s="111">
        <f>H93/H81-1</f>
        <v/>
      </c>
      <c r="J93" s="111" t="n"/>
      <c r="K93" s="315" t="n">
        <v>284.4</v>
      </c>
      <c r="L93" s="111">
        <f>K93/K81-1</f>
        <v/>
      </c>
      <c r="M93" s="111" t="n"/>
      <c r="N93" s="315" t="n">
        <v>9340.700000000001</v>
      </c>
      <c r="O93" s="111">
        <f>N93/N81-1</f>
        <v/>
      </c>
      <c r="P93" s="111" t="n"/>
      <c r="Q93" s="315" t="n">
        <v>9014.700000000001</v>
      </c>
      <c r="R93" s="111">
        <f>Q93/Q81-1</f>
        <v/>
      </c>
      <c r="S93" s="111" t="n"/>
      <c r="T93" s="315" t="n">
        <v>156.5</v>
      </c>
      <c r="U93" s="111">
        <f>T93/T81-1</f>
        <v/>
      </c>
      <c r="V93" s="111" t="n"/>
      <c r="W93" s="315" t="n">
        <v>169.6</v>
      </c>
      <c r="X93" s="111">
        <f>W93/W81-1</f>
        <v/>
      </c>
      <c r="Y93" s="111" t="n"/>
      <c r="Z93" s="315" t="n">
        <v>6285.6</v>
      </c>
      <c r="AA93" s="111">
        <f>Z93/Z81-1</f>
        <v/>
      </c>
      <c r="AB93" s="111" t="n"/>
      <c r="AC93" s="315" t="n">
        <v>6161.7</v>
      </c>
      <c r="AD93" s="111">
        <f>AC93/AC81-1</f>
        <v/>
      </c>
      <c r="AE93" s="111" t="n"/>
      <c r="AF93" s="315" t="n">
        <v>23.7</v>
      </c>
      <c r="AG93" s="111">
        <f>AF93/AF81-1</f>
        <v/>
      </c>
      <c r="AH93" s="111" t="n"/>
      <c r="AI93" s="315" t="n">
        <v>100.2</v>
      </c>
      <c r="AJ93" s="111">
        <f>AI93/AI81-1</f>
        <v/>
      </c>
      <c r="AK93" s="111" t="n"/>
      <c r="AL93" s="316" t="n">
        <v>71.59999999999999</v>
      </c>
      <c r="AM93" s="380">
        <f>AL93-AL81</f>
        <v/>
      </c>
      <c r="AN93" s="111" t="n"/>
      <c r="AO93" s="316" t="n">
        <v>72.5</v>
      </c>
      <c r="AP93" s="380">
        <f>AO93-AO81</f>
        <v/>
      </c>
      <c r="AQ93" s="111" t="n"/>
      <c r="AR93" s="316" t="n">
        <v>48.5</v>
      </c>
      <c r="AS93" s="380">
        <f>AR93-AR81</f>
        <v/>
      </c>
      <c r="AT93" s="111" t="n"/>
      <c r="AU93" s="316" t="n">
        <v>59.6</v>
      </c>
      <c r="AV93" s="380">
        <f>AU93-AU81</f>
        <v/>
      </c>
      <c r="AW93" s="111" t="n"/>
      <c r="AX93" s="377" t="n">
        <v>729</v>
      </c>
      <c r="AY93" s="111">
        <f>AX93/AX81-1</f>
        <v/>
      </c>
      <c r="AZ93" s="111" t="n"/>
      <c r="BA93" s="378" t="n"/>
      <c r="BB93" s="142" t="n"/>
      <c r="BC93" s="378" t="n"/>
      <c r="BD93" s="142" t="n"/>
      <c r="BE93" s="378" t="n"/>
      <c r="BF93" s="142" t="n"/>
      <c r="BG93" s="378" t="n"/>
      <c r="BH93" s="142" t="n"/>
      <c r="BI93" s="318" t="n"/>
      <c r="BJ93" s="142" t="n"/>
      <c r="BK93" s="318" t="n"/>
      <c r="BL93" s="142" t="n"/>
      <c r="BM93" s="318" t="n"/>
      <c r="BN93" s="142" t="n"/>
      <c r="BO93" s="318" t="n"/>
      <c r="BP93" s="318" t="n"/>
      <c r="BQ93" s="142" t="n"/>
      <c r="BR93" s="318" t="n"/>
      <c r="BS93" s="142" t="n"/>
      <c r="BT93" s="318" t="n"/>
      <c r="BU93" s="142" t="n"/>
      <c r="BV93" s="318" t="n"/>
      <c r="BW93" s="142" t="n"/>
      <c r="BX93" s="318" t="n"/>
      <c r="BY93" s="142" t="n"/>
      <c r="BZ93" s="318" t="n"/>
      <c r="CA93" s="142" t="n"/>
      <c r="CB93" s="318" t="n"/>
      <c r="CC93" s="142" t="n"/>
      <c r="CD93" s="318" t="n"/>
      <c r="CE93" s="142" t="n"/>
      <c r="CF93" s="318" t="n"/>
      <c r="CG93" s="317" t="n"/>
      <c r="CH93" s="318" t="n"/>
      <c r="CI93" s="317" t="n"/>
      <c r="CJ93" s="318" t="n"/>
      <c r="CK93" s="317" t="n"/>
      <c r="CL93" s="318" t="n"/>
      <c r="CM93" s="317" t="n"/>
      <c r="CN93" s="318" t="n"/>
      <c r="CO93" s="80" t="n"/>
      <c r="CP93" s="318" t="n"/>
      <c r="CQ93" s="80" t="n"/>
      <c r="CR93" s="318" t="n"/>
      <c r="CS93" s="80" t="n"/>
      <c r="CT93" s="318" t="n"/>
      <c r="CU93" s="80" t="n"/>
      <c r="CW93" s="318" t="n"/>
      <c r="CX93" s="142" t="n"/>
      <c r="CY93" s="318" t="n"/>
      <c r="CZ93" s="142" t="n"/>
      <c r="DA93" s="318" t="n"/>
      <c r="DB93" s="142" t="n"/>
      <c r="DC93" s="318" t="n"/>
      <c r="DD93" s="142" t="n"/>
      <c r="DE93" s="385" t="n"/>
      <c r="DF93" s="385" t="n"/>
      <c r="DG93" s="318" t="n"/>
    </row>
    <row r="94">
      <c r="A94" s="376" t="n">
        <v>44408</v>
      </c>
      <c r="B94" s="315" t="n">
        <v>16071.3</v>
      </c>
      <c r="C94" s="111">
        <f>B94/B82-1</f>
        <v/>
      </c>
      <c r="D94" s="111" t="n"/>
      <c r="E94" s="315" t="n">
        <v>15358.7</v>
      </c>
      <c r="F94" s="111">
        <f>E94/E82-1</f>
        <v/>
      </c>
      <c r="G94" s="111" t="n"/>
      <c r="H94" s="315" t="n">
        <v>393.9</v>
      </c>
      <c r="I94" s="111">
        <f>H94/H82-1</f>
        <v/>
      </c>
      <c r="J94" s="111" t="n"/>
      <c r="K94" s="315" t="n">
        <v>318.7</v>
      </c>
      <c r="L94" s="111">
        <f>K94/K82-1</f>
        <v/>
      </c>
      <c r="M94" s="111" t="n"/>
      <c r="N94" s="315" t="n">
        <v>11861.3</v>
      </c>
      <c r="O94" s="111">
        <f>N94/N82-1</f>
        <v/>
      </c>
      <c r="P94" s="111" t="n"/>
      <c r="Q94" s="315" t="n">
        <v>11464.9</v>
      </c>
      <c r="R94" s="111">
        <f>Q94/Q82-1</f>
        <v/>
      </c>
      <c r="S94" s="111" t="n"/>
      <c r="T94" s="315" t="n">
        <v>191.9</v>
      </c>
      <c r="U94" s="111">
        <f>T94/T82-1</f>
        <v/>
      </c>
      <c r="V94" s="111" t="n"/>
      <c r="W94" s="315" t="n">
        <v>204.5</v>
      </c>
      <c r="X94" s="111">
        <f>W94/W82-1</f>
        <v/>
      </c>
      <c r="Y94" s="111" t="n"/>
      <c r="Z94" s="315" t="n">
        <v>7761.6</v>
      </c>
      <c r="AA94" s="111">
        <f>Z94/Z82-1</f>
        <v/>
      </c>
      <c r="AB94" s="111" t="n"/>
      <c r="AC94" s="315" t="n">
        <v>7608.6</v>
      </c>
      <c r="AD94" s="111">
        <f>AC94/AC82-1</f>
        <v/>
      </c>
      <c r="AE94" s="111" t="n"/>
      <c r="AF94" s="315" t="n">
        <v>30.2</v>
      </c>
      <c r="AG94" s="111">
        <f>AF94/AF82-1</f>
        <v/>
      </c>
      <c r="AH94" s="111" t="n"/>
      <c r="AI94" s="315" t="n">
        <v>122.7</v>
      </c>
      <c r="AJ94" s="111">
        <f>AI94/AI82-1</f>
        <v/>
      </c>
      <c r="AK94" s="111" t="n"/>
      <c r="AL94" s="316" t="n">
        <v>73.8</v>
      </c>
      <c r="AM94" s="380">
        <f>AL94-AL82</f>
        <v/>
      </c>
      <c r="AN94" s="111" t="n"/>
      <c r="AO94" s="316" t="n">
        <v>74.59999999999999</v>
      </c>
      <c r="AP94" s="380">
        <f>AO94-AO82</f>
        <v/>
      </c>
      <c r="AQ94" s="111" t="n"/>
      <c r="AR94" s="316" t="n">
        <v>48.7</v>
      </c>
      <c r="AS94" s="380">
        <f>AR94-AR82</f>
        <v/>
      </c>
      <c r="AT94" s="111" t="n"/>
      <c r="AU94" s="316" t="n">
        <v>64.2</v>
      </c>
      <c r="AV94" s="380">
        <f>AU94-AU82</f>
        <v/>
      </c>
      <c r="AW94" s="111" t="n"/>
      <c r="AX94" s="377" t="n">
        <v>732</v>
      </c>
      <c r="AY94" s="111">
        <f>AX94/AX82-1</f>
        <v/>
      </c>
      <c r="AZ94" s="111" t="n"/>
      <c r="BA94" s="378" t="n"/>
      <c r="BB94" s="142" t="n"/>
      <c r="BC94" s="378" t="n"/>
      <c r="BD94" s="142" t="n"/>
      <c r="BE94" s="378" t="n"/>
      <c r="BF94" s="142" t="n"/>
      <c r="BG94" s="378" t="n"/>
      <c r="BH94" s="142" t="n"/>
      <c r="BI94" s="318" t="n"/>
      <c r="BJ94" s="142" t="n"/>
      <c r="BK94" s="318" t="n"/>
      <c r="BL94" s="142" t="n"/>
      <c r="BM94" s="318" t="n"/>
      <c r="BN94" s="142" t="n"/>
      <c r="BO94" s="318" t="n"/>
      <c r="BP94" s="318" t="n"/>
      <c r="BQ94" s="142" t="n"/>
      <c r="BR94" s="318" t="n"/>
      <c r="BS94" s="142" t="n"/>
      <c r="BT94" s="318" t="n"/>
      <c r="BU94" s="142" t="n"/>
      <c r="BV94" s="318" t="n"/>
      <c r="BW94" s="142" t="n"/>
      <c r="BX94" s="318" t="n"/>
      <c r="BY94" s="142" t="n"/>
      <c r="BZ94" s="318" t="n"/>
      <c r="CA94" s="142" t="n"/>
      <c r="CB94" s="318" t="n"/>
      <c r="CC94" s="142" t="n"/>
      <c r="CD94" s="318" t="n"/>
      <c r="CE94" s="142" t="n"/>
      <c r="CF94" s="318" t="n"/>
      <c r="CG94" s="317" t="n"/>
      <c r="CH94" s="318" t="n"/>
      <c r="CI94" s="317" t="n"/>
      <c r="CJ94" s="318" t="n"/>
      <c r="CK94" s="317" t="n"/>
      <c r="CL94" s="318" t="n"/>
      <c r="CM94" s="317" t="n"/>
      <c r="CN94" s="318" t="n"/>
      <c r="CO94" s="80" t="n"/>
      <c r="CP94" s="318" t="n"/>
      <c r="CQ94" s="80" t="n"/>
      <c r="CR94" s="318" t="n"/>
      <c r="CS94" s="80" t="n"/>
      <c r="CT94" s="318" t="n"/>
      <c r="CU94" s="80" t="n"/>
      <c r="CW94" s="318" t="n"/>
      <c r="CX94" s="142" t="n"/>
      <c r="CY94" s="318" t="n"/>
      <c r="CZ94" s="142" t="n"/>
      <c r="DA94" s="318" t="n"/>
      <c r="DB94" s="142" t="n"/>
      <c r="DC94" s="318" t="n"/>
      <c r="DD94" s="142" t="n"/>
      <c r="DE94" s="385" t="n"/>
      <c r="DF94" s="385" t="n"/>
      <c r="DG94" s="318" t="n"/>
    </row>
    <row r="95">
      <c r="A95" s="376" t="n">
        <v>44439</v>
      </c>
      <c r="B95" s="315" t="n">
        <v>8773</v>
      </c>
      <c r="C95" s="111">
        <f>B95/B83-1</f>
        <v/>
      </c>
      <c r="D95" s="111" t="n"/>
      <c r="E95" s="315" t="n">
        <v>8294.700000000001</v>
      </c>
      <c r="F95" s="111">
        <f>E95/E83-1</f>
        <v/>
      </c>
      <c r="G95" s="111" t="n"/>
      <c r="H95" s="315" t="n">
        <v>356.5</v>
      </c>
      <c r="I95" s="111">
        <f>H95/H83-1</f>
        <v/>
      </c>
      <c r="J95" s="111" t="n"/>
      <c r="K95" s="315" t="n">
        <v>121.8</v>
      </c>
      <c r="L95" s="111">
        <f>K95/K83-1</f>
        <v/>
      </c>
      <c r="M95" s="111" t="n"/>
      <c r="N95" s="315" t="n">
        <v>5051.6</v>
      </c>
      <c r="O95" s="111">
        <f>N95/N83-1</f>
        <v/>
      </c>
      <c r="P95" s="111" t="n"/>
      <c r="Q95" s="315" t="n">
        <v>4798</v>
      </c>
      <c r="R95" s="111">
        <f>Q95/Q83-1</f>
        <v/>
      </c>
      <c r="S95" s="111" t="n"/>
      <c r="T95" s="315" t="n">
        <v>204.4</v>
      </c>
      <c r="U95" s="111">
        <f>T95/T83-1</f>
        <v/>
      </c>
      <c r="V95" s="111" t="n"/>
      <c r="W95" s="315" t="n">
        <v>49.2</v>
      </c>
      <c r="X95" s="111">
        <f>W95/W83-1</f>
        <v/>
      </c>
      <c r="Y95" s="111" t="n"/>
      <c r="Z95" s="315" t="n">
        <v>3216.5</v>
      </c>
      <c r="AA95" s="111">
        <f>Z95/Z83-1</f>
        <v/>
      </c>
      <c r="AB95" s="111" t="n"/>
      <c r="AC95" s="315" t="n">
        <v>3156.4</v>
      </c>
      <c r="AD95" s="111">
        <f>AC95/AC83-1</f>
        <v/>
      </c>
      <c r="AE95" s="111" t="n"/>
      <c r="AF95" s="315" t="n">
        <v>33.1</v>
      </c>
      <c r="AG95" s="111">
        <f>AF95/AF83-1</f>
        <v/>
      </c>
      <c r="AH95" s="111" t="n"/>
      <c r="AI95" s="315" t="n">
        <v>27.1</v>
      </c>
      <c r="AJ95" s="111">
        <f>AI95/AI83-1</f>
        <v/>
      </c>
      <c r="AK95" s="111" t="n"/>
      <c r="AL95" s="316" t="n">
        <v>57.6</v>
      </c>
      <c r="AM95" s="380">
        <f>AL95-AL83</f>
        <v/>
      </c>
      <c r="AN95" s="111" t="n"/>
      <c r="AO95" s="316" t="n">
        <v>57.8</v>
      </c>
      <c r="AP95" s="380">
        <f>AO95-AO83</f>
        <v/>
      </c>
      <c r="AQ95" s="111" t="n"/>
      <c r="AR95" s="316" t="n">
        <v>57.3</v>
      </c>
      <c r="AS95" s="380">
        <f>AR95-AR83</f>
        <v/>
      </c>
      <c r="AT95" s="111" t="n"/>
      <c r="AU95" s="316" t="n">
        <v>40.4</v>
      </c>
      <c r="AV95" s="380">
        <f>AU95-AU83</f>
        <v/>
      </c>
      <c r="AW95" s="111" t="n"/>
      <c r="AX95" s="377" t="n">
        <v>734</v>
      </c>
      <c r="AY95" s="111">
        <f>AX95/AX83-1</f>
        <v/>
      </c>
      <c r="AZ95" s="111" t="n"/>
      <c r="BA95" s="378" t="n"/>
      <c r="BB95" s="142" t="n"/>
      <c r="BC95" s="378" t="n"/>
      <c r="BD95" s="142" t="n"/>
      <c r="BE95" s="378" t="n"/>
      <c r="BF95" s="142" t="n"/>
      <c r="BG95" s="378" t="n"/>
      <c r="BH95" s="142" t="n"/>
      <c r="BI95" s="318" t="n"/>
      <c r="BJ95" s="142" t="n"/>
      <c r="BK95" s="318" t="n"/>
      <c r="BL95" s="142" t="n"/>
      <c r="BM95" s="318" t="n"/>
      <c r="BN95" s="142" t="n"/>
      <c r="BO95" s="318" t="n"/>
      <c r="BP95" s="318" t="n"/>
      <c r="BQ95" s="142" t="n"/>
      <c r="BR95" s="318" t="n"/>
      <c r="BS95" s="142" t="n"/>
      <c r="BT95" s="318" t="n"/>
      <c r="BU95" s="142" t="n"/>
      <c r="BV95" s="318" t="n"/>
      <c r="BW95" s="142" t="n"/>
      <c r="BX95" s="318" t="n"/>
      <c r="BY95" s="142" t="n"/>
      <c r="BZ95" s="318" t="n"/>
      <c r="CA95" s="142" t="n"/>
      <c r="CB95" s="318" t="n"/>
      <c r="CC95" s="142" t="n"/>
      <c r="CD95" s="318" t="n"/>
      <c r="CE95" s="142" t="n"/>
      <c r="CF95" s="318" t="n"/>
      <c r="CG95" s="317" t="n"/>
      <c r="CH95" s="318" t="n"/>
      <c r="CI95" s="317" t="n"/>
      <c r="CJ95" s="318" t="n"/>
      <c r="CK95" s="317" t="n"/>
      <c r="CL95" s="318" t="n"/>
      <c r="CM95" s="317" t="n"/>
      <c r="CN95" s="318" t="n"/>
      <c r="CO95" s="80" t="n"/>
      <c r="CP95" s="318" t="n"/>
      <c r="CQ95" s="80" t="n"/>
      <c r="CR95" s="318" t="n"/>
      <c r="CS95" s="80" t="n"/>
      <c r="CT95" s="318" t="n"/>
      <c r="CU95" s="80" t="n"/>
      <c r="CW95" s="318" t="n"/>
      <c r="CX95" s="142" t="n"/>
      <c r="CY95" s="318" t="n"/>
      <c r="CZ95" s="142" t="n"/>
      <c r="DA95" s="318" t="n"/>
      <c r="DB95" s="142" t="n"/>
      <c r="DC95" s="318" t="n"/>
      <c r="DD95" s="142" t="n"/>
      <c r="DE95" s="385" t="n"/>
      <c r="DF95" s="385" t="n"/>
      <c r="DG95" s="318" t="n"/>
    </row>
    <row r="96">
      <c r="A96" s="376" t="n">
        <v>44469</v>
      </c>
      <c r="B96" s="315" t="n">
        <v>12835.2</v>
      </c>
      <c r="C96" s="111">
        <f>B96/B84-1</f>
        <v/>
      </c>
      <c r="D96" s="111" t="n"/>
      <c r="E96" s="315" t="n">
        <v>12363.1</v>
      </c>
      <c r="F96" s="111">
        <f>E96/E84-1</f>
        <v/>
      </c>
      <c r="G96" s="111" t="n"/>
      <c r="H96" s="315" t="n">
        <v>284</v>
      </c>
      <c r="I96" s="111">
        <f>H96/H84-1</f>
        <v/>
      </c>
      <c r="J96" s="111" t="n"/>
      <c r="K96" s="315" t="n">
        <v>188.2</v>
      </c>
      <c r="L96" s="111">
        <f>K96/K84-1</f>
        <v/>
      </c>
      <c r="M96" s="111" t="n"/>
      <c r="N96" s="315" t="n">
        <v>8468.799999999999</v>
      </c>
      <c r="O96" s="111">
        <f>N96/N84-1</f>
        <v/>
      </c>
      <c r="P96" s="111" t="n"/>
      <c r="Q96" s="315" t="n">
        <v>8209.299999999999</v>
      </c>
      <c r="R96" s="111">
        <f>Q96/Q84-1</f>
        <v/>
      </c>
      <c r="S96" s="111" t="n"/>
      <c r="T96" s="315" t="n">
        <v>168.6</v>
      </c>
      <c r="U96" s="111">
        <f>T96/T84-1</f>
        <v/>
      </c>
      <c r="V96" s="111" t="n"/>
      <c r="W96" s="315" t="n">
        <v>90.90000000000001</v>
      </c>
      <c r="X96" s="111">
        <f>W96/W84-1</f>
        <v/>
      </c>
      <c r="Y96" s="111" t="n"/>
      <c r="Z96" s="315" t="n">
        <v>5515</v>
      </c>
      <c r="AA96" s="111">
        <f>Z96/Z84-1</f>
        <v/>
      </c>
      <c r="AB96" s="111" t="n"/>
      <c r="AC96" s="315" t="n">
        <v>5437.9</v>
      </c>
      <c r="AD96" s="111">
        <f>AC96/AC84-1</f>
        <v/>
      </c>
      <c r="AE96" s="111" t="n"/>
      <c r="AF96" s="315" t="n">
        <v>26.1</v>
      </c>
      <c r="AG96" s="111">
        <f>AF96/AF84-1</f>
        <v/>
      </c>
      <c r="AH96" s="111" t="n"/>
      <c r="AI96" s="315" t="n">
        <v>51</v>
      </c>
      <c r="AJ96" s="111">
        <f>AI96/AI84-1</f>
        <v/>
      </c>
      <c r="AK96" s="111" t="n"/>
      <c r="AL96" s="316" t="n">
        <v>66</v>
      </c>
      <c r="AM96" s="380">
        <f>AL96-AL84</f>
        <v/>
      </c>
      <c r="AN96" s="111" t="n"/>
      <c r="AO96" s="316" t="n">
        <v>66.40000000000001</v>
      </c>
      <c r="AP96" s="380">
        <f>AO96-AO84</f>
        <v/>
      </c>
      <c r="AQ96" s="111" t="n"/>
      <c r="AR96" s="316" t="n">
        <v>59.4</v>
      </c>
      <c r="AS96" s="380">
        <f>AR96-AR84</f>
        <v/>
      </c>
      <c r="AT96" s="111" t="n"/>
      <c r="AU96" s="316" t="n">
        <v>48.3</v>
      </c>
      <c r="AV96" s="380">
        <f>AU96-AU84</f>
        <v/>
      </c>
      <c r="AW96" s="111" t="n"/>
      <c r="AX96" s="377" t="n">
        <v>734</v>
      </c>
      <c r="AY96" s="111">
        <f>AX96/AX84-1</f>
        <v/>
      </c>
      <c r="AZ96" s="111" t="n"/>
      <c r="BA96" s="378" t="n"/>
      <c r="BB96" s="142" t="n"/>
      <c r="BC96" s="378" t="n"/>
      <c r="BD96" s="142" t="n"/>
      <c r="BE96" s="378" t="n"/>
      <c r="BF96" s="142" t="n"/>
      <c r="BG96" s="378" t="n"/>
      <c r="BH96" s="142" t="n"/>
      <c r="BI96" s="318" t="n"/>
      <c r="BJ96" s="142" t="n"/>
      <c r="BK96" s="318" t="n"/>
      <c r="BL96" s="142" t="n"/>
      <c r="BM96" s="318" t="n"/>
      <c r="BN96" s="142" t="n"/>
      <c r="BO96" s="318" t="n"/>
      <c r="BP96" s="318" t="n"/>
      <c r="BQ96" s="142" t="n"/>
      <c r="BR96" s="318" t="n"/>
      <c r="BS96" s="142" t="n"/>
      <c r="BT96" s="318" t="n"/>
      <c r="BU96" s="142" t="n"/>
      <c r="BV96" s="318" t="n"/>
      <c r="BW96" s="142" t="n"/>
      <c r="BX96" s="318" t="n"/>
      <c r="BY96" s="142" t="n"/>
      <c r="BZ96" s="318" t="n"/>
      <c r="CA96" s="142" t="n"/>
      <c r="CB96" s="318" t="n"/>
      <c r="CC96" s="142" t="n"/>
      <c r="CD96" s="318" t="n"/>
      <c r="CE96" s="142" t="n"/>
      <c r="CF96" s="318" t="n"/>
      <c r="CG96" s="317" t="n"/>
      <c r="CH96" s="318" t="n"/>
      <c r="CI96" s="317" t="n"/>
      <c r="CJ96" s="318" t="n"/>
      <c r="CK96" s="317" t="n"/>
      <c r="CL96" s="318" t="n"/>
      <c r="CM96" s="317" t="n"/>
      <c r="CN96" s="318" t="n"/>
      <c r="CO96" s="80" t="n"/>
      <c r="CP96" s="318" t="n"/>
      <c r="CQ96" s="80" t="n"/>
      <c r="CR96" s="318" t="n"/>
      <c r="CS96" s="80" t="n"/>
      <c r="CT96" s="318" t="n"/>
      <c r="CU96" s="80" t="n"/>
      <c r="CW96" s="318" t="n"/>
      <c r="CX96" s="142" t="n"/>
      <c r="CY96" s="318" t="n"/>
      <c r="CZ96" s="142" t="n"/>
      <c r="DA96" s="318" t="n"/>
      <c r="DB96" s="142" t="n"/>
      <c r="DC96" s="318" t="n"/>
      <c r="DD96" s="142" t="n"/>
      <c r="DE96" s="385" t="n"/>
      <c r="DF96" s="385" t="n"/>
      <c r="DG96" s="318" t="n"/>
    </row>
    <row r="97">
      <c r="A97" s="376" t="n">
        <v>44500</v>
      </c>
      <c r="B97" s="315" t="n">
        <v>14128.4</v>
      </c>
      <c r="C97" s="111">
        <f>B97/B85-1</f>
        <v/>
      </c>
      <c r="D97" s="111" t="n"/>
      <c r="E97" s="315" t="n">
        <v>13656.8</v>
      </c>
      <c r="F97" s="111">
        <f>E97/E85-1</f>
        <v/>
      </c>
      <c r="G97" s="111" t="n"/>
      <c r="H97" s="315" t="n">
        <v>380.6</v>
      </c>
      <c r="I97" s="111">
        <f>H97/H85-1</f>
        <v/>
      </c>
      <c r="J97" s="111" t="n"/>
      <c r="K97" s="315" t="n">
        <v>91.09999999999999</v>
      </c>
      <c r="L97" s="111">
        <f>K97/K85-1</f>
        <v/>
      </c>
      <c r="M97" s="111" t="n"/>
      <c r="N97" s="315" t="n">
        <v>9729.200000000001</v>
      </c>
      <c r="O97" s="111">
        <f>N97/N85-1</f>
        <v/>
      </c>
      <c r="P97" s="111" t="n"/>
      <c r="Q97" s="315" t="n">
        <v>9535.299999999999</v>
      </c>
      <c r="R97" s="111">
        <f>Q97/Q85-1</f>
        <v/>
      </c>
      <c r="S97" s="111" t="n"/>
      <c r="T97" s="315" t="n">
        <v>160.4</v>
      </c>
      <c r="U97" s="111">
        <f>T97/T85-1</f>
        <v/>
      </c>
      <c r="V97" s="111" t="n"/>
      <c r="W97" s="315" t="n">
        <v>33.4</v>
      </c>
      <c r="X97" s="111">
        <f>W97/W85-1</f>
        <v/>
      </c>
      <c r="Y97" s="111" t="n"/>
      <c r="Z97" s="315" t="n">
        <v>6488</v>
      </c>
      <c r="AA97" s="111">
        <f>Z97/Z85-1</f>
        <v/>
      </c>
      <c r="AB97" s="111" t="n"/>
      <c r="AC97" s="315" t="n">
        <v>6443.7</v>
      </c>
      <c r="AD97" s="111">
        <f>AC97/AC85-1</f>
        <v/>
      </c>
      <c r="AE97" s="111" t="n"/>
      <c r="AF97" s="315" t="n">
        <v>24.3</v>
      </c>
      <c r="AG97" s="111">
        <f>AF97/AF85-1</f>
        <v/>
      </c>
      <c r="AH97" s="111" t="n"/>
      <c r="AI97" s="315" t="n">
        <v>20.1</v>
      </c>
      <c r="AJ97" s="111">
        <f>AI97/AI85-1</f>
        <v/>
      </c>
      <c r="AK97" s="111" t="n"/>
      <c r="AL97" s="316" t="n">
        <v>68.90000000000001</v>
      </c>
      <c r="AM97" s="380">
        <f>AL97-AL85</f>
        <v/>
      </c>
      <c r="AN97" s="111" t="n"/>
      <c r="AO97" s="316" t="n">
        <v>69.8</v>
      </c>
      <c r="AP97" s="380">
        <f>AO97-AO85</f>
        <v/>
      </c>
      <c r="AQ97" s="111" t="n"/>
      <c r="AR97" s="316" t="n">
        <v>42.2</v>
      </c>
      <c r="AS97" s="380">
        <f>AR97-AR85</f>
        <v/>
      </c>
      <c r="AT97" s="111" t="n"/>
      <c r="AU97" s="316" t="n">
        <v>36.7</v>
      </c>
      <c r="AV97" s="380">
        <f>AU97-AU85</f>
        <v/>
      </c>
      <c r="AW97" s="111" t="n"/>
      <c r="AX97" s="377" t="n">
        <v>738</v>
      </c>
      <c r="AY97" s="111">
        <f>AX97/AX85-1</f>
        <v/>
      </c>
      <c r="AZ97" s="111" t="n"/>
      <c r="BA97" s="378" t="n"/>
      <c r="BB97" s="142" t="n"/>
      <c r="BC97" s="378" t="n"/>
      <c r="BD97" s="142" t="n"/>
      <c r="BE97" s="378" t="n"/>
      <c r="BF97" s="142" t="n"/>
      <c r="BG97" s="378" t="n"/>
      <c r="BH97" s="142" t="n"/>
      <c r="BI97" s="318" t="n"/>
      <c r="BJ97" s="142" t="n"/>
      <c r="BK97" s="318" t="n"/>
      <c r="BL97" s="142" t="n"/>
      <c r="BM97" s="318" t="n"/>
      <c r="BN97" s="142" t="n"/>
      <c r="BO97" s="318" t="n"/>
      <c r="BP97" s="318" t="n"/>
      <c r="BQ97" s="142" t="n"/>
      <c r="BR97" s="318" t="n"/>
      <c r="BS97" s="142" t="n"/>
      <c r="BT97" s="318" t="n"/>
      <c r="BU97" s="142" t="n"/>
      <c r="BV97" s="318" t="n"/>
      <c r="BW97" s="142" t="n"/>
      <c r="BX97" s="318" t="n"/>
      <c r="BY97" s="142" t="n"/>
      <c r="BZ97" s="318" t="n"/>
      <c r="CA97" s="142" t="n"/>
      <c r="CB97" s="318" t="n"/>
      <c r="CC97" s="142" t="n"/>
      <c r="CD97" s="318" t="n"/>
      <c r="CE97" s="142" t="n"/>
      <c r="CF97" s="318" t="n"/>
      <c r="CG97" s="317" t="n"/>
      <c r="CH97" s="318" t="n"/>
      <c r="CI97" s="317" t="n"/>
      <c r="CJ97" s="318" t="n"/>
      <c r="CK97" s="317" t="n"/>
      <c r="CL97" s="318" t="n"/>
      <c r="CM97" s="317" t="n"/>
      <c r="CN97" s="318" t="n"/>
      <c r="CO97" s="80" t="n"/>
      <c r="CP97" s="318" t="n"/>
      <c r="CQ97" s="80" t="n"/>
      <c r="CR97" s="318" t="n"/>
      <c r="CS97" s="80" t="n"/>
      <c r="CT97" s="318" t="n"/>
      <c r="CU97" s="80" t="n"/>
      <c r="CW97" s="318" t="n"/>
      <c r="CX97" s="142" t="n"/>
      <c r="CY97" s="318" t="n"/>
      <c r="CZ97" s="142" t="n"/>
      <c r="DA97" s="318" t="n"/>
      <c r="DB97" s="142" t="n"/>
      <c r="DC97" s="318" t="n"/>
      <c r="DD97" s="142" t="n"/>
      <c r="DE97" s="385" t="n"/>
      <c r="DF97" s="385" t="n"/>
      <c r="DG97" s="318" t="n"/>
    </row>
    <row r="98">
      <c r="A98" s="376" t="n">
        <v>44530</v>
      </c>
      <c r="B98" s="315" t="n">
        <v>7838.4</v>
      </c>
      <c r="C98" s="111">
        <f>B98/B86-1</f>
        <v/>
      </c>
      <c r="D98" s="111" t="n"/>
      <c r="E98" s="315" t="n">
        <v>7382.2</v>
      </c>
      <c r="F98" s="111">
        <f>E98/E86-1</f>
        <v/>
      </c>
      <c r="G98" s="111" t="n"/>
      <c r="H98" s="315" t="n">
        <v>340.8</v>
      </c>
      <c r="I98" s="111">
        <f>H98/H86-1</f>
        <v/>
      </c>
      <c r="J98" s="111" t="n"/>
      <c r="K98" s="315" t="n">
        <v>115.4</v>
      </c>
      <c r="L98" s="111">
        <f>K98/K86-1</f>
        <v/>
      </c>
      <c r="M98" s="111" t="n"/>
      <c r="N98" s="315" t="n">
        <v>4642.9</v>
      </c>
      <c r="O98" s="111">
        <f>N98/N86-1</f>
        <v/>
      </c>
      <c r="P98" s="111" t="n"/>
      <c r="Q98" s="315" t="n">
        <v>4467.5</v>
      </c>
      <c r="R98" s="111">
        <f>Q98/Q86-1</f>
        <v/>
      </c>
      <c r="S98" s="111" t="n"/>
      <c r="T98" s="315" t="n">
        <v>133</v>
      </c>
      <c r="U98" s="111">
        <f>T98/T86-1</f>
        <v/>
      </c>
      <c r="V98" s="111" t="n"/>
      <c r="W98" s="315" t="n">
        <v>42.3</v>
      </c>
      <c r="X98" s="111">
        <f>W98/W86-1</f>
        <v/>
      </c>
      <c r="Y98" s="111" t="n"/>
      <c r="Z98" s="315" t="n">
        <v>3083</v>
      </c>
      <c r="AA98" s="111">
        <f>Z98/Z86-1</f>
        <v/>
      </c>
      <c r="AB98" s="111" t="n"/>
      <c r="AC98" s="315" t="n">
        <v>3036.1</v>
      </c>
      <c r="AD98" s="111">
        <f>AC98/AC86-1</f>
        <v/>
      </c>
      <c r="AE98" s="111" t="n"/>
      <c r="AF98" s="315" t="n">
        <v>20.3</v>
      </c>
      <c r="AG98" s="111">
        <f>AF98/AF86-1</f>
        <v/>
      </c>
      <c r="AH98" s="111" t="n"/>
      <c r="AI98" s="315" t="n">
        <v>26.6</v>
      </c>
      <c r="AJ98" s="111">
        <f>AI98/AI86-1</f>
        <v/>
      </c>
      <c r="AK98" s="111" t="n"/>
      <c r="AL98" s="316" t="n">
        <v>59.2</v>
      </c>
      <c r="AM98" s="380">
        <f>AL98-AL86</f>
        <v/>
      </c>
      <c r="AN98" s="111" t="n"/>
      <c r="AO98" s="316" t="n">
        <v>60.5</v>
      </c>
      <c r="AP98" s="380">
        <f>AO98-AO86</f>
        <v/>
      </c>
      <c r="AQ98" s="111" t="n"/>
      <c r="AR98" s="316" t="n">
        <v>39</v>
      </c>
      <c r="AS98" s="380">
        <f>AR98-AR86</f>
        <v/>
      </c>
      <c r="AT98" s="111" t="n"/>
      <c r="AU98" s="316" t="n">
        <v>36.6</v>
      </c>
      <c r="AV98" s="380">
        <f>AU98-AU86</f>
        <v/>
      </c>
      <c r="AW98" s="111" t="n"/>
      <c r="AX98" s="377" t="n">
        <v>741</v>
      </c>
      <c r="AY98" s="111">
        <f>AX98/AX86-1</f>
        <v/>
      </c>
      <c r="AZ98" s="111" t="n"/>
      <c r="BA98" s="378" t="n"/>
      <c r="BB98" s="142" t="n"/>
      <c r="BC98" s="378" t="n"/>
      <c r="BD98" s="142" t="n"/>
      <c r="BE98" s="378" t="n"/>
      <c r="BF98" s="142" t="n"/>
      <c r="BG98" s="378" t="n"/>
      <c r="BH98" s="142" t="n"/>
      <c r="BI98" s="318" t="n"/>
      <c r="BJ98" s="142" t="n"/>
      <c r="BK98" s="318" t="n"/>
      <c r="BL98" s="142" t="n"/>
      <c r="BM98" s="318" t="n"/>
      <c r="BN98" s="142" t="n"/>
      <c r="BP98" s="388" t="n"/>
      <c r="BQ98" s="142" t="n"/>
      <c r="BR98" s="388" t="n"/>
      <c r="BS98" s="142" t="n"/>
      <c r="BT98" s="388" t="n"/>
      <c r="BU98" s="142" t="n"/>
      <c r="BV98" s="388" t="n"/>
      <c r="BW98" s="142" t="n"/>
      <c r="BX98" s="388" t="n"/>
      <c r="BY98" s="142" t="n"/>
      <c r="BZ98" s="388" t="n"/>
      <c r="CA98" s="142" t="n"/>
      <c r="CB98" s="388" t="n"/>
      <c r="CC98" s="142" t="n"/>
      <c r="CD98" s="388" t="n"/>
      <c r="CE98" s="142" t="n"/>
      <c r="CF98" s="388" t="n"/>
      <c r="CG98" s="317" t="n"/>
      <c r="CH98" s="388" t="n"/>
      <c r="CI98" s="317" t="n"/>
      <c r="CJ98" s="388" t="n"/>
      <c r="CK98" s="317" t="n"/>
      <c r="CL98" s="388" t="n"/>
      <c r="CM98" s="317" t="n"/>
      <c r="CN98" s="318" t="n"/>
      <c r="CO98" s="80" t="n"/>
      <c r="CP98" s="318" t="n"/>
      <c r="CQ98" s="80" t="n"/>
      <c r="CR98" s="318" t="n"/>
      <c r="CS98" s="80" t="n"/>
      <c r="CT98" s="318" t="n"/>
      <c r="CU98" s="80" t="n"/>
      <c r="CW98" s="388" t="n"/>
      <c r="CX98" s="142" t="n"/>
      <c r="CY98" s="388" t="n"/>
      <c r="CZ98" s="142" t="n"/>
      <c r="DA98" s="388" t="n"/>
      <c r="DB98" s="142" t="n"/>
      <c r="DC98" s="388" t="n"/>
      <c r="DD98" s="142" t="n"/>
      <c r="DE98" s="385" t="n"/>
      <c r="DF98" s="385" t="n"/>
    </row>
    <row r="99">
      <c r="A99" s="376" t="n">
        <v>44561</v>
      </c>
      <c r="B99" s="315" t="n">
        <v>10225</v>
      </c>
      <c r="C99" s="111">
        <f>B99/B87-1</f>
        <v/>
      </c>
      <c r="D99" s="111" t="n"/>
      <c r="E99" s="315" t="n">
        <v>9705.799999999999</v>
      </c>
      <c r="F99" s="111">
        <f>E99/E87-1</f>
        <v/>
      </c>
      <c r="G99" s="111" t="n"/>
      <c r="H99" s="315" t="n">
        <v>295.3</v>
      </c>
      <c r="I99" s="111">
        <f>H99/H87-1</f>
        <v/>
      </c>
      <c r="J99" s="111" t="n"/>
      <c r="K99" s="315" t="n">
        <v>224</v>
      </c>
      <c r="L99" s="111">
        <f>K99/K87-1</f>
        <v/>
      </c>
      <c r="M99" s="111" t="n"/>
      <c r="N99" s="315" t="n">
        <v>6488.5</v>
      </c>
      <c r="O99" s="111">
        <f>N99/N87-1</f>
        <v/>
      </c>
      <c r="P99" s="111" t="n"/>
      <c r="Q99" s="315" t="n">
        <v>6257.3</v>
      </c>
      <c r="R99" s="111">
        <f>Q99/Q87-1</f>
        <v/>
      </c>
      <c r="S99" s="111" t="n"/>
      <c r="T99" s="315" t="n">
        <v>127.6</v>
      </c>
      <c r="U99" s="111">
        <f>T99/T87-1</f>
        <v/>
      </c>
      <c r="V99" s="111" t="n"/>
      <c r="W99" s="315" t="n">
        <v>103.6</v>
      </c>
      <c r="X99" s="111">
        <f>W99/W87-1</f>
        <v/>
      </c>
      <c r="Y99" s="111" t="n"/>
      <c r="Z99" s="315" t="n">
        <v>4263.2</v>
      </c>
      <c r="AA99" s="111">
        <f>Z99/Z87-1</f>
        <v/>
      </c>
      <c r="AB99" s="111" t="n"/>
      <c r="AC99" s="315" t="n">
        <v>4181.7</v>
      </c>
      <c r="AD99" s="111">
        <f>AC99/AC87-1</f>
        <v/>
      </c>
      <c r="AE99" s="111" t="n"/>
      <c r="AF99" s="315" t="n">
        <v>21.6</v>
      </c>
      <c r="AG99" s="111">
        <f>AF99/AF87-1</f>
        <v/>
      </c>
      <c r="AH99" s="111" t="n"/>
      <c r="AI99" s="315" t="n">
        <v>59.9</v>
      </c>
      <c r="AJ99" s="111">
        <f>AI99/AI87-1</f>
        <v/>
      </c>
      <c r="AK99" s="111" t="n"/>
      <c r="AL99" s="316" t="n">
        <v>63.5</v>
      </c>
      <c r="AM99" s="380">
        <f>AL99-AL87</f>
        <v/>
      </c>
      <c r="AN99" s="111" t="n"/>
      <c r="AO99" s="316" t="n">
        <v>64.5</v>
      </c>
      <c r="AP99" s="380">
        <f>AO99-AO87</f>
        <v/>
      </c>
      <c r="AQ99" s="111" t="n"/>
      <c r="AR99" s="316" t="n">
        <v>43.2</v>
      </c>
      <c r="AS99" s="380">
        <f>AR99-AR87</f>
        <v/>
      </c>
      <c r="AT99" s="111" t="n"/>
      <c r="AU99" s="316" t="n">
        <v>46.3</v>
      </c>
      <c r="AV99" s="380">
        <f>AU99-AU87</f>
        <v/>
      </c>
      <c r="AW99" s="111" t="n"/>
      <c r="AX99" s="377" t="n">
        <v>746</v>
      </c>
      <c r="AY99" s="111">
        <f>AX99/AX87-1</f>
        <v/>
      </c>
      <c r="AZ99" s="111" t="n"/>
      <c r="BA99" s="378" t="n"/>
      <c r="BB99" s="142" t="n"/>
      <c r="BC99" s="378" t="n"/>
      <c r="BD99" s="142" t="n"/>
      <c r="BE99" s="378" t="n"/>
      <c r="BF99" s="142" t="n"/>
      <c r="BG99" s="378" t="n"/>
      <c r="BH99" s="142" t="n"/>
      <c r="BI99" s="318" t="n"/>
      <c r="BJ99" s="142" t="n"/>
      <c r="BK99" s="318" t="n"/>
      <c r="BL99" s="142" t="n"/>
      <c r="BM99" s="318" t="n"/>
      <c r="BN99" s="142" t="n"/>
      <c r="BP99" s="388" t="n"/>
      <c r="BQ99" s="142" t="n"/>
      <c r="BR99" s="388" t="n"/>
      <c r="BS99" s="142" t="n"/>
      <c r="BT99" s="388" t="n"/>
      <c r="BU99" s="142" t="n"/>
      <c r="BV99" s="388" t="n"/>
      <c r="BW99" s="142" t="n"/>
      <c r="BX99" s="388" t="n"/>
      <c r="BY99" s="142" t="n"/>
      <c r="BZ99" s="388" t="n"/>
      <c r="CA99" s="142" t="n"/>
      <c r="CB99" s="388" t="n"/>
      <c r="CC99" s="142" t="n"/>
      <c r="CD99" s="388" t="n"/>
      <c r="CE99" s="142" t="n"/>
      <c r="CF99" s="388" t="n"/>
      <c r="CG99" s="317" t="n"/>
      <c r="CH99" s="388" t="n"/>
      <c r="CI99" s="317" t="n"/>
      <c r="CJ99" s="388" t="n"/>
      <c r="CK99" s="317" t="n"/>
      <c r="CL99" s="388" t="n"/>
      <c r="CM99" s="317" t="n"/>
      <c r="CN99" s="318" t="n"/>
      <c r="CO99" s="80" t="n"/>
      <c r="CP99" s="318" t="n"/>
      <c r="CQ99" s="80" t="n"/>
      <c r="CR99" s="318" t="n"/>
      <c r="CS99" s="80" t="n"/>
      <c r="CT99" s="318" t="n"/>
      <c r="CU99" s="80" t="n"/>
      <c r="CW99" s="388" t="n"/>
      <c r="CX99" s="142" t="n"/>
      <c r="CY99" s="388" t="n"/>
      <c r="CZ99" s="142" t="n"/>
      <c r="DA99" s="388" t="n"/>
      <c r="DB99" s="142" t="n"/>
      <c r="DC99" s="388" t="n"/>
      <c r="DD99" s="142" t="n"/>
      <c r="DE99" s="385" t="n"/>
    </row>
    <row r="100" customFormat="1" s="201">
      <c r="A100" s="371" t="n">
        <v>44592</v>
      </c>
      <c r="B100" s="158" t="n">
        <v>11279.6</v>
      </c>
      <c r="C100" s="111">
        <f>B100/B88-1</f>
        <v/>
      </c>
      <c r="D100" s="111" t="n"/>
      <c r="E100" s="158" t="n">
        <v>10742.8</v>
      </c>
      <c r="F100" s="111">
        <f>E100/E88-1</f>
        <v/>
      </c>
      <c r="G100" s="111" t="n"/>
      <c r="H100" s="158" t="n">
        <v>286</v>
      </c>
      <c r="I100" s="111">
        <f>H100/H88-1</f>
        <v/>
      </c>
      <c r="J100" s="111" t="n"/>
      <c r="K100" s="158" t="n">
        <v>250.9</v>
      </c>
      <c r="L100" s="111">
        <f>K100/K88-1</f>
        <v/>
      </c>
      <c r="M100" s="111" t="n"/>
      <c r="N100" s="158" t="n">
        <v>6725.8</v>
      </c>
      <c r="O100" s="111">
        <f>N100/N88-1</f>
        <v/>
      </c>
      <c r="P100" s="111" t="n"/>
      <c r="Q100" s="158" t="n">
        <v>6512.1</v>
      </c>
      <c r="R100" s="111">
        <f>Q100/Q88-1</f>
        <v/>
      </c>
      <c r="S100" s="111" t="n"/>
      <c r="T100" s="158" t="n">
        <v>80.7</v>
      </c>
      <c r="U100" s="111">
        <f>T100/T88-1</f>
        <v/>
      </c>
      <c r="V100" s="111" t="n"/>
      <c r="W100" s="158" t="n">
        <v>133</v>
      </c>
      <c r="X100" s="111">
        <f>W100/W88-1</f>
        <v/>
      </c>
      <c r="Y100" s="111" t="n"/>
      <c r="Z100" s="158" t="n">
        <v>4397.7</v>
      </c>
      <c r="AA100" s="111">
        <f>Z100/Z88-1</f>
        <v/>
      </c>
      <c r="AB100" s="111" t="n"/>
      <c r="AC100" s="158" t="n">
        <v>4303.3</v>
      </c>
      <c r="AD100" s="111">
        <f>AC100/AC88-1</f>
        <v/>
      </c>
      <c r="AE100" s="111" t="n"/>
      <c r="AF100" s="158" t="n">
        <v>15.5</v>
      </c>
      <c r="AG100" s="111">
        <f>AF100/AF88-1</f>
        <v/>
      </c>
      <c r="AH100" s="111" t="n"/>
      <c r="AI100" s="158" t="n">
        <v>78.90000000000001</v>
      </c>
      <c r="AJ100" s="111">
        <f>AI100/AI88-1</f>
        <v/>
      </c>
      <c r="AK100" s="111" t="n"/>
      <c r="AL100" s="389" t="n">
        <v>59.6</v>
      </c>
      <c r="AM100" s="380">
        <f>AL100-AL88</f>
        <v/>
      </c>
      <c r="AN100" s="111" t="n"/>
      <c r="AO100" s="389" t="n">
        <v>60.6</v>
      </c>
      <c r="AP100" s="380">
        <f>AO100-AO88</f>
        <v/>
      </c>
      <c r="AQ100" s="111" t="n"/>
      <c r="AR100" s="389" t="n">
        <v>28.2</v>
      </c>
      <c r="AS100" s="380">
        <f>AR100-AR88</f>
        <v/>
      </c>
      <c r="AT100" s="111" t="n"/>
      <c r="AU100" s="389" t="n">
        <v>53</v>
      </c>
      <c r="AV100" s="380">
        <f>AU100-AU88</f>
        <v/>
      </c>
      <c r="AW100" s="111" t="n"/>
      <c r="AX100" s="390" t="n">
        <v>746</v>
      </c>
      <c r="AY100" s="111">
        <f>AX100/AX88-1</f>
        <v/>
      </c>
      <c r="AZ100" s="111" t="n"/>
      <c r="BA100" s="391" t="n"/>
      <c r="BB100" s="217" t="n"/>
      <c r="BC100" s="391" t="n"/>
      <c r="BD100" s="217" t="n"/>
      <c r="BE100" s="391" t="n"/>
      <c r="BF100" s="217" t="n"/>
      <c r="BG100" s="391" t="n"/>
      <c r="BH100" s="217" t="n"/>
      <c r="BI100" s="387" t="n"/>
      <c r="BJ100" s="217" t="n"/>
      <c r="BK100" s="387" t="n"/>
      <c r="BL100" s="217" t="n"/>
      <c r="BM100" s="387" t="n"/>
      <c r="BN100" s="217" t="n"/>
      <c r="BP100" s="392" t="n"/>
      <c r="BQ100" s="217" t="n"/>
      <c r="BR100" s="392" t="n"/>
      <c r="BS100" s="217" t="n"/>
      <c r="BT100" s="392" t="n"/>
      <c r="BU100" s="217" t="n"/>
      <c r="BV100" s="392" t="n"/>
      <c r="BW100" s="217" t="n"/>
      <c r="BX100" s="392" t="n"/>
      <c r="BY100" s="217" t="n"/>
      <c r="BZ100" s="392" t="n"/>
      <c r="CA100" s="217" t="n"/>
      <c r="CB100" s="392" t="n"/>
      <c r="CC100" s="217" t="n"/>
      <c r="CD100" s="392" t="n"/>
      <c r="CE100" s="217" t="n"/>
      <c r="CF100" s="392" t="n"/>
      <c r="CG100" s="381" t="n"/>
      <c r="CH100" s="392" t="n"/>
      <c r="CI100" s="381" t="n"/>
      <c r="CJ100" s="392" t="n"/>
      <c r="CK100" s="381" t="n"/>
      <c r="CL100" s="392" t="n"/>
      <c r="CM100" s="381" t="n"/>
      <c r="CN100" s="387" t="n"/>
      <c r="CO100" s="218" t="n"/>
      <c r="CP100" s="387" t="n"/>
      <c r="CQ100" s="218" t="n"/>
      <c r="CR100" s="387" t="n"/>
      <c r="CS100" s="218" t="n"/>
      <c r="CT100" s="387" t="n"/>
      <c r="CU100" s="218" t="n"/>
      <c r="CW100" s="392" t="n"/>
      <c r="CX100" s="217" t="n"/>
      <c r="CY100" s="392" t="n"/>
      <c r="CZ100" s="217" t="n"/>
      <c r="DA100" s="392" t="n"/>
      <c r="DB100" s="217" t="n"/>
      <c r="DC100" s="392" t="n"/>
      <c r="DD100" s="217" t="n"/>
      <c r="DE100" s="393" t="n"/>
      <c r="DF100" s="394" t="n"/>
    </row>
    <row r="101">
      <c r="A101" s="376" t="n">
        <v>44620</v>
      </c>
      <c r="B101" s="315" t="n">
        <v>10563.8</v>
      </c>
      <c r="C101" s="111">
        <f>B101/B89-1</f>
        <v/>
      </c>
      <c r="D101" s="111" t="n"/>
      <c r="E101" s="315" t="n">
        <v>9958</v>
      </c>
      <c r="F101" s="111">
        <f>E101/E89-1</f>
        <v/>
      </c>
      <c r="G101" s="111" t="n"/>
      <c r="H101" s="315" t="n">
        <v>368</v>
      </c>
      <c r="I101" s="111">
        <f>H101/H89-1</f>
        <v/>
      </c>
      <c r="J101" s="111" t="n"/>
      <c r="K101" s="315" t="n">
        <v>237.8</v>
      </c>
      <c r="L101" s="111">
        <f>K101/K89-1</f>
        <v/>
      </c>
      <c r="M101" s="111" t="n"/>
      <c r="N101" s="315" t="n">
        <v>6801.3</v>
      </c>
      <c r="O101" s="111">
        <f>N101/N89-1</f>
        <v/>
      </c>
      <c r="P101" s="111" t="n"/>
      <c r="Q101" s="315" t="n">
        <v>6597.4</v>
      </c>
      <c r="R101" s="111">
        <f>Q101/Q89-1</f>
        <v/>
      </c>
      <c r="S101" s="111" t="n"/>
      <c r="T101" s="315" t="n">
        <v>73.7</v>
      </c>
      <c r="U101" s="111">
        <f>T101/T89-1</f>
        <v/>
      </c>
      <c r="V101" s="111" t="n"/>
      <c r="W101" s="315" t="n">
        <v>130.3</v>
      </c>
      <c r="X101" s="111">
        <f>W101/W89-1</f>
        <v/>
      </c>
      <c r="Y101" s="111" t="n"/>
      <c r="Z101" s="315" t="n">
        <v>4414.5</v>
      </c>
      <c r="AA101" s="111">
        <f>Z101/Z89-1</f>
        <v/>
      </c>
      <c r="AB101" s="111" t="n"/>
      <c r="AC101" s="315" t="n">
        <v>4321.3</v>
      </c>
      <c r="AD101" s="111">
        <f>AC101/AC89-1</f>
        <v/>
      </c>
      <c r="AE101" s="111" t="n"/>
      <c r="AF101" s="315" t="n">
        <v>14.1</v>
      </c>
      <c r="AG101" s="111">
        <f>AF101/AF89-1</f>
        <v/>
      </c>
      <c r="AH101" s="111" t="n"/>
      <c r="AI101" s="315" t="n">
        <v>79.09999999999999</v>
      </c>
      <c r="AJ101" s="111">
        <f>AI101/AI89-1</f>
        <v/>
      </c>
      <c r="AK101" s="111" t="n"/>
      <c r="AL101" s="316" t="n">
        <v>64.40000000000001</v>
      </c>
      <c r="AM101" s="380">
        <f>AL101-AL89</f>
        <v/>
      </c>
      <c r="AN101" s="111" t="n"/>
      <c r="AO101" s="316" t="n">
        <v>66.3</v>
      </c>
      <c r="AP101" s="380">
        <f>AO101-AO89</f>
        <v/>
      </c>
      <c r="AQ101" s="111" t="n"/>
      <c r="AR101" s="316" t="n">
        <v>20</v>
      </c>
      <c r="AS101" s="380">
        <f>AR101-AR89</f>
        <v/>
      </c>
      <c r="AT101" s="111" t="n"/>
      <c r="AU101" s="316" t="n">
        <v>54.8</v>
      </c>
      <c r="AV101" s="380">
        <f>AU101-AU89</f>
        <v/>
      </c>
      <c r="AW101" s="111" t="n"/>
      <c r="AX101" s="377" t="n">
        <v>748</v>
      </c>
      <c r="AY101" s="111">
        <f>AX101/AX89-1</f>
        <v/>
      </c>
      <c r="AZ101" s="111" t="n"/>
      <c r="BA101" s="378" t="n"/>
      <c r="BB101" s="142" t="n"/>
      <c r="BC101" s="378" t="n"/>
      <c r="BD101" s="142" t="n"/>
      <c r="BE101" s="378" t="n"/>
      <c r="BF101" s="142" t="n"/>
      <c r="BG101" s="378" t="n"/>
      <c r="BH101" s="142" t="n"/>
      <c r="BI101" s="318" t="n"/>
      <c r="BJ101" s="142" t="n"/>
      <c r="BK101" s="318" t="n"/>
      <c r="BL101" s="142" t="n"/>
      <c r="BM101" s="318" t="n"/>
      <c r="BN101" s="142" t="n"/>
      <c r="BP101" s="318" t="n"/>
      <c r="BQ101" s="142" t="n"/>
      <c r="BR101" s="388" t="n"/>
      <c r="BS101" s="142" t="n"/>
      <c r="BT101" s="388" t="n"/>
      <c r="BU101" s="142" t="n"/>
      <c r="BV101" s="318" t="n"/>
      <c r="BW101" s="142" t="n"/>
      <c r="BX101" s="388" t="n"/>
      <c r="BY101" s="142" t="n"/>
      <c r="BZ101" s="318" t="n"/>
      <c r="CA101" s="142" t="n"/>
      <c r="CB101" s="388" t="n"/>
      <c r="CC101" s="142" t="n"/>
      <c r="CD101" s="388" t="n"/>
      <c r="CE101" s="142" t="n"/>
      <c r="CF101" s="388" t="n"/>
      <c r="CG101" s="317" t="n"/>
      <c r="CH101" s="318" t="n"/>
      <c r="CI101" s="317" t="n"/>
      <c r="CJ101" s="318" t="n"/>
      <c r="CK101" s="317" t="n"/>
      <c r="CL101" s="388" t="n"/>
      <c r="CM101" s="317" t="n"/>
      <c r="CN101" s="318" t="n"/>
      <c r="CO101" s="80" t="n"/>
      <c r="CP101" s="318" t="n"/>
      <c r="CQ101" s="80" t="n"/>
      <c r="CR101" s="318" t="n"/>
      <c r="CS101" s="80" t="n"/>
      <c r="CT101" s="318" t="n"/>
      <c r="CU101" s="80" t="n"/>
      <c r="CW101" s="318" t="n"/>
      <c r="CX101" s="142" t="n"/>
      <c r="CY101" s="388" t="n"/>
      <c r="CZ101" s="142" t="n"/>
      <c r="DA101" s="388" t="n"/>
      <c r="DB101" s="142" t="n"/>
      <c r="DC101" s="388" t="n"/>
      <c r="DD101" s="142" t="n"/>
      <c r="DE101" s="385" t="n"/>
    </row>
    <row r="102">
      <c r="A102" s="376" t="n">
        <v>44651</v>
      </c>
      <c r="B102" s="315" t="n">
        <v>5855.8</v>
      </c>
      <c r="C102" s="111">
        <f>B102/B90-1</f>
        <v/>
      </c>
      <c r="D102" s="111" t="n"/>
      <c r="E102" s="315" t="n">
        <v>5425</v>
      </c>
      <c r="F102" s="111">
        <f>E102/E90-1</f>
        <v/>
      </c>
      <c r="G102" s="111" t="n"/>
      <c r="H102" s="315" t="n">
        <v>292.4</v>
      </c>
      <c r="I102" s="111">
        <f>H102/H90-1</f>
        <v/>
      </c>
      <c r="J102" s="111" t="n"/>
      <c r="K102" s="315" t="n">
        <v>138.4</v>
      </c>
      <c r="L102" s="111">
        <f>K102/K90-1</f>
        <v/>
      </c>
      <c r="M102" s="111" t="n"/>
      <c r="N102" s="315" t="n">
        <v>3458</v>
      </c>
      <c r="O102" s="111">
        <f>N102/N90-1</f>
        <v/>
      </c>
      <c r="P102" s="111" t="n"/>
      <c r="Q102" s="315" t="n">
        <v>3313.8</v>
      </c>
      <c r="R102" s="111">
        <f>Q102/Q90-1</f>
        <v/>
      </c>
      <c r="S102" s="111" t="n"/>
      <c r="T102" s="315" t="n">
        <v>88.5</v>
      </c>
      <c r="U102" s="111">
        <f>T102/T90-1</f>
        <v/>
      </c>
      <c r="V102" s="111" t="n"/>
      <c r="W102" s="315" t="n">
        <v>55.7</v>
      </c>
      <c r="X102" s="111">
        <f>W102/W90-1</f>
        <v/>
      </c>
      <c r="Y102" s="111" t="n"/>
      <c r="Z102" s="315" t="n">
        <v>2266.1</v>
      </c>
      <c r="AA102" s="111">
        <f>Z102/Z90-1</f>
        <v/>
      </c>
      <c r="AB102" s="111" t="n"/>
      <c r="AC102" s="315" t="n">
        <v>2218.9</v>
      </c>
      <c r="AD102" s="111">
        <f>AC102/AC90-1</f>
        <v/>
      </c>
      <c r="AE102" s="111" t="n"/>
      <c r="AF102" s="315" t="n">
        <v>15.4</v>
      </c>
      <c r="AG102" s="111">
        <f>AF102/AF90-1</f>
        <v/>
      </c>
      <c r="AH102" s="111" t="n"/>
      <c r="AI102" s="315" t="n">
        <v>31.9</v>
      </c>
      <c r="AJ102" s="111">
        <f>AI102/AI90-1</f>
        <v/>
      </c>
      <c r="AK102" s="111" t="n"/>
      <c r="AL102" s="316" t="n">
        <v>59.1</v>
      </c>
      <c r="AM102" s="380">
        <f>AL102-AL90</f>
        <v/>
      </c>
      <c r="AN102" s="111" t="n"/>
      <c r="AO102" s="316" t="n">
        <v>61.1</v>
      </c>
      <c r="AP102" s="380">
        <f>AO102-AO90</f>
        <v/>
      </c>
      <c r="AQ102" s="111" t="n"/>
      <c r="AR102" s="316" t="n">
        <v>30.3</v>
      </c>
      <c r="AS102" s="380">
        <f>AR102-AR90</f>
        <v/>
      </c>
      <c r="AT102" s="111" t="n"/>
      <c r="AU102" s="316" t="n">
        <v>40.3</v>
      </c>
      <c r="AV102" s="380">
        <f>AU102-AU90</f>
        <v/>
      </c>
      <c r="AW102" s="111" t="n"/>
      <c r="AX102" s="377" t="n">
        <v>751</v>
      </c>
      <c r="AY102" s="111">
        <f>AX102/AX90-1</f>
        <v/>
      </c>
      <c r="AZ102" s="111" t="n"/>
      <c r="BA102" s="378" t="n"/>
      <c r="BB102" s="142" t="n"/>
      <c r="BC102" s="378" t="n"/>
      <c r="BD102" s="142" t="n"/>
      <c r="BE102" s="378" t="n"/>
      <c r="BF102" s="142" t="n"/>
      <c r="BG102" s="378" t="n"/>
      <c r="BH102" s="142" t="n"/>
      <c r="BI102" s="318" t="n"/>
      <c r="BJ102" s="142" t="n"/>
      <c r="BK102" s="318" t="n"/>
      <c r="BL102" s="142" t="n"/>
      <c r="BM102" s="318" t="n"/>
      <c r="BN102" s="142" t="n"/>
      <c r="BP102" s="318" t="n"/>
      <c r="BQ102" s="142" t="n"/>
      <c r="BR102" s="318" t="n"/>
      <c r="BS102" s="142" t="n"/>
      <c r="BT102" s="318" t="n"/>
      <c r="BU102" s="142" t="n"/>
      <c r="BV102" s="318" t="n"/>
      <c r="BW102" s="142" t="n"/>
      <c r="BX102" s="388" t="n"/>
      <c r="BY102" s="142" t="n"/>
      <c r="BZ102" s="318" t="n"/>
      <c r="CA102" s="142" t="n"/>
      <c r="CB102" s="318" t="n"/>
      <c r="CC102" s="142" t="n"/>
      <c r="CD102" s="318" t="n"/>
      <c r="CE102" s="142" t="n"/>
      <c r="CF102" s="318" t="n"/>
      <c r="CG102" s="317" t="n"/>
      <c r="CH102" s="318" t="n"/>
      <c r="CI102" s="317" t="n"/>
      <c r="CJ102" s="318" t="n"/>
      <c r="CK102" s="317" t="n"/>
      <c r="CL102" s="318" t="n"/>
      <c r="CM102" s="317" t="n"/>
      <c r="CN102" s="318" t="n"/>
      <c r="CO102" s="80" t="n"/>
      <c r="CP102" s="318" t="n"/>
      <c r="CQ102" s="80" t="n"/>
      <c r="CR102" s="318" t="n"/>
      <c r="CS102" s="80" t="n"/>
      <c r="CT102" s="318" t="n"/>
      <c r="CU102" s="80" t="n"/>
      <c r="CW102" s="318" t="n"/>
      <c r="CX102" s="142" t="n"/>
      <c r="CY102" s="318" t="n"/>
      <c r="CZ102" s="142" t="n"/>
      <c r="DA102" s="318" t="n"/>
      <c r="DB102" s="142" t="n"/>
      <c r="DC102" s="318" t="n"/>
      <c r="DD102" s="142" t="n"/>
      <c r="DE102" s="385" t="n"/>
    </row>
    <row r="103">
      <c r="A103" s="376" t="n">
        <v>44681</v>
      </c>
      <c r="B103" s="315" t="n">
        <v>3754.3</v>
      </c>
      <c r="C103" s="111">
        <f>B103/B91-1</f>
        <v/>
      </c>
      <c r="D103" s="111" t="n"/>
      <c r="E103" s="315" t="n">
        <v>3494.7</v>
      </c>
      <c r="F103" s="111">
        <f>E103/E91-1</f>
        <v/>
      </c>
      <c r="G103" s="111" t="n"/>
      <c r="H103" s="315" t="n">
        <v>193.9</v>
      </c>
      <c r="I103" s="111">
        <f>H103/H91-1</f>
        <v/>
      </c>
      <c r="J103" s="111" t="n"/>
      <c r="K103" s="315" t="n">
        <v>65.7</v>
      </c>
      <c r="L103" s="111">
        <f>K103/K91-1</f>
        <v/>
      </c>
      <c r="M103" s="111" t="n"/>
      <c r="N103" s="315" t="n">
        <v>2051.8</v>
      </c>
      <c r="O103" s="111">
        <f>N103/N91-1</f>
        <v/>
      </c>
      <c r="P103" s="111" t="n"/>
      <c r="Q103" s="315" t="n">
        <v>1931.9</v>
      </c>
      <c r="R103" s="111">
        <f>Q103/Q91-1</f>
        <v/>
      </c>
      <c r="S103" s="111" t="n"/>
      <c r="T103" s="315" t="n">
        <v>95.59999999999999</v>
      </c>
      <c r="U103" s="111">
        <f>T103/T91-1</f>
        <v/>
      </c>
      <c r="V103" s="111" t="n"/>
      <c r="W103" s="315" t="n">
        <v>24.3</v>
      </c>
      <c r="X103" s="111">
        <f>W103/W91-1</f>
        <v/>
      </c>
      <c r="Y103" s="111" t="n"/>
      <c r="Z103" s="315" t="n">
        <v>1328.6</v>
      </c>
      <c r="AA103" s="111">
        <f>Z103/Z91-1</f>
        <v/>
      </c>
      <c r="AB103" s="111" t="n"/>
      <c r="AC103" s="315" t="n">
        <v>1303.1</v>
      </c>
      <c r="AD103" s="111">
        <f>AC103/AC91-1</f>
        <v/>
      </c>
      <c r="AE103" s="111" t="n"/>
      <c r="AF103" s="315" t="n">
        <v>13.2</v>
      </c>
      <c r="AG103" s="111">
        <f>AF103/AF91-1</f>
        <v/>
      </c>
      <c r="AH103" s="111" t="n"/>
      <c r="AI103" s="315" t="n">
        <v>12.4</v>
      </c>
      <c r="AJ103" s="111">
        <f>AI103/AI91-1</f>
        <v/>
      </c>
      <c r="AK103" s="111" t="n"/>
      <c r="AL103" s="316" t="n">
        <v>54.7</v>
      </c>
      <c r="AM103" s="380">
        <f>AL103-AL91</f>
        <v/>
      </c>
      <c r="AN103" s="111" t="n"/>
      <c r="AO103" s="316" t="n">
        <v>55.3</v>
      </c>
      <c r="AP103" s="380">
        <f>AO103-AO91</f>
        <v/>
      </c>
      <c r="AQ103" s="111" t="n"/>
      <c r="AR103" s="316" t="n">
        <v>49.3</v>
      </c>
      <c r="AS103" s="380">
        <f>AR103-AR91</f>
        <v/>
      </c>
      <c r="AT103" s="111" t="n"/>
      <c r="AU103" s="316" t="n">
        <v>37</v>
      </c>
      <c r="AV103" s="380">
        <f>AU103-AU91</f>
        <v/>
      </c>
      <c r="AW103" s="111" t="n"/>
      <c r="AX103" s="377" t="n">
        <v>752</v>
      </c>
      <c r="AY103" s="111">
        <f>AX103/AX91-1</f>
        <v/>
      </c>
      <c r="AZ103" s="111" t="n"/>
      <c r="BA103" s="378" t="n"/>
      <c r="BB103" s="142" t="n"/>
      <c r="BC103" s="378" t="n"/>
      <c r="BD103" s="142" t="n"/>
      <c r="BE103" s="378" t="n"/>
      <c r="BF103" s="142" t="n"/>
      <c r="BG103" s="378" t="n"/>
      <c r="BH103" s="142" t="n"/>
      <c r="BI103" s="318" t="n"/>
      <c r="BJ103" s="142" t="n"/>
      <c r="BK103" s="318" t="n"/>
      <c r="BL103" s="142" t="n"/>
      <c r="BM103" s="318" t="n"/>
      <c r="BN103" s="142" t="n"/>
      <c r="BP103" s="318" t="n"/>
      <c r="BQ103" s="142" t="n"/>
      <c r="BR103" s="318" t="n"/>
      <c r="BS103" s="142" t="n"/>
      <c r="BT103" s="318" t="n"/>
      <c r="BU103" s="142" t="n"/>
      <c r="BV103" s="318" t="n"/>
      <c r="BW103" s="142" t="n"/>
      <c r="BX103" s="388" t="n"/>
      <c r="BY103" s="142" t="n"/>
      <c r="BZ103" s="318" t="n"/>
      <c r="CA103" s="142" t="n"/>
      <c r="CB103" s="318" t="n"/>
      <c r="CC103" s="142" t="n"/>
      <c r="CD103" s="318" t="n"/>
      <c r="CE103" s="142" t="n"/>
      <c r="CF103" s="318" t="n"/>
      <c r="CG103" s="317" t="n"/>
      <c r="CH103" s="318" t="n"/>
      <c r="CI103" s="317" t="n"/>
      <c r="CJ103" s="318" t="n"/>
      <c r="CK103" s="317" t="n"/>
      <c r="CL103" s="318" t="n"/>
      <c r="CM103" s="317" t="n"/>
      <c r="CN103" s="318" t="n"/>
      <c r="CO103" s="80" t="n"/>
      <c r="CP103" s="318" t="n"/>
      <c r="CQ103" s="80" t="n"/>
      <c r="CR103" s="318" t="n"/>
      <c r="CS103" s="80" t="n"/>
      <c r="CT103" s="318" t="n"/>
      <c r="CU103" s="80" t="n"/>
      <c r="CW103" s="318" t="n"/>
      <c r="CX103" s="142" t="n"/>
      <c r="CY103" s="318" t="n"/>
      <c r="CZ103" s="142" t="n"/>
      <c r="DA103" s="318" t="n"/>
      <c r="DB103" s="142" t="n"/>
      <c r="DC103" s="318" t="n"/>
      <c r="DD103" s="142" t="n"/>
      <c r="DE103" s="385" t="n"/>
    </row>
    <row r="104">
      <c r="A104" s="376" t="n">
        <v>44712</v>
      </c>
      <c r="B104" s="315" t="n">
        <v>5066</v>
      </c>
      <c r="C104" s="111">
        <f>B104/B92-1</f>
        <v/>
      </c>
      <c r="D104" s="111" t="n"/>
      <c r="E104" s="315" t="n">
        <v>4798.7</v>
      </c>
      <c r="F104" s="111">
        <f>E104/E92-1</f>
        <v/>
      </c>
      <c r="G104" s="111" t="n"/>
      <c r="H104" s="315" t="n">
        <v>209</v>
      </c>
      <c r="I104" s="111">
        <f>H104/H92-1</f>
        <v/>
      </c>
      <c r="J104" s="111" t="n"/>
      <c r="K104" s="315" t="n">
        <v>58.2</v>
      </c>
      <c r="L104" s="111">
        <f>K104/K92-1</f>
        <v/>
      </c>
      <c r="M104" s="111" t="n"/>
      <c r="N104" s="315" t="n">
        <v>2824.2</v>
      </c>
      <c r="O104" s="111">
        <f>N104/N92-1</f>
        <v/>
      </c>
      <c r="P104" s="111" t="n"/>
      <c r="Q104" s="315" t="n">
        <v>2698</v>
      </c>
      <c r="R104" s="111">
        <f>Q104/Q92-1</f>
        <v/>
      </c>
      <c r="S104" s="111" t="n"/>
      <c r="T104" s="315" t="n">
        <v>105.9</v>
      </c>
      <c r="U104" s="111">
        <f>T104/T92-1</f>
        <v/>
      </c>
      <c r="V104" s="111" t="n"/>
      <c r="W104" s="315" t="n">
        <v>20.2</v>
      </c>
      <c r="X104" s="111">
        <f>W104/W92-1</f>
        <v/>
      </c>
      <c r="Y104" s="111" t="n"/>
      <c r="Z104" s="315" t="n">
        <v>1807.8</v>
      </c>
      <c r="AA104" s="111">
        <f>Z104/Z92-1</f>
        <v/>
      </c>
      <c r="AB104" s="111" t="n"/>
      <c r="AC104" s="315" t="n">
        <v>1780.5</v>
      </c>
      <c r="AD104" s="111">
        <f>AC104/AC92-1</f>
        <v/>
      </c>
      <c r="AE104" s="111" t="n"/>
      <c r="AF104" s="315" t="n">
        <v>16.3</v>
      </c>
      <c r="AG104" s="111">
        <f>AF104/AF92-1</f>
        <v/>
      </c>
      <c r="AH104" s="111" t="n"/>
      <c r="AI104" s="315" t="n">
        <v>11</v>
      </c>
      <c r="AJ104" s="111">
        <f>AI104/AI92-1</f>
        <v/>
      </c>
      <c r="AK104" s="111" t="n"/>
      <c r="AL104" s="316" t="n">
        <v>55.7</v>
      </c>
      <c r="AM104" s="380">
        <f>AL104-AL92</f>
        <v/>
      </c>
      <c r="AN104" s="111" t="n"/>
      <c r="AO104" s="316" t="n">
        <v>56.2</v>
      </c>
      <c r="AP104" s="380">
        <f>AO104-AO92</f>
        <v/>
      </c>
      <c r="AQ104" s="111" t="n"/>
      <c r="AR104" s="316" t="n">
        <v>50.7</v>
      </c>
      <c r="AS104" s="380">
        <f>AR104-AR92</f>
        <v/>
      </c>
      <c r="AT104" s="111" t="n"/>
      <c r="AU104" s="316" t="n">
        <v>34.8</v>
      </c>
      <c r="AV104" s="380">
        <f>AU104-AU92</f>
        <v/>
      </c>
      <c r="AW104" s="111" t="n"/>
      <c r="AX104" s="377" t="n">
        <v>747</v>
      </c>
      <c r="AY104" s="111">
        <f>AX104/AX92-1</f>
        <v/>
      </c>
      <c r="AZ104" s="111" t="n"/>
      <c r="BA104" s="378" t="n"/>
      <c r="BB104" s="142" t="n"/>
      <c r="BC104" s="378" t="n"/>
      <c r="BD104" s="142" t="n"/>
      <c r="BE104" s="378" t="n"/>
      <c r="BF104" s="142" t="n"/>
      <c r="BG104" s="378" t="n"/>
      <c r="BH104" s="142" t="n"/>
      <c r="BI104" s="318" t="n"/>
      <c r="BJ104" s="142" t="n"/>
      <c r="BK104" s="318" t="n"/>
      <c r="BL104" s="142" t="n"/>
      <c r="BM104" s="318" t="n"/>
      <c r="BN104" s="142" t="n"/>
      <c r="BP104" s="318" t="n"/>
      <c r="BQ104" s="142" t="n"/>
      <c r="BR104" s="318" t="n"/>
      <c r="BS104" s="142" t="n"/>
      <c r="BT104" s="318" t="n"/>
      <c r="BU104" s="142" t="n"/>
      <c r="BV104" s="318" t="n"/>
      <c r="BW104" s="142" t="n"/>
      <c r="BX104" s="318" t="n"/>
      <c r="BY104" s="142" t="n"/>
      <c r="BZ104" s="318" t="n"/>
      <c r="CA104" s="142" t="n"/>
      <c r="CB104" s="318" t="n"/>
      <c r="CC104" s="142" t="n"/>
      <c r="CD104" s="318" t="n"/>
      <c r="CE104" s="142" t="n"/>
      <c r="CF104" s="318" t="n"/>
      <c r="CG104" s="317" t="n"/>
      <c r="CH104" s="318" t="n"/>
      <c r="CI104" s="317" t="n"/>
      <c r="CJ104" s="318" t="n"/>
      <c r="CK104" s="317" t="n"/>
      <c r="CL104" s="318" t="n"/>
      <c r="CM104" s="317" t="n"/>
      <c r="CN104" s="318" t="n"/>
      <c r="CO104" s="80" t="n"/>
      <c r="CP104" s="318" t="n"/>
      <c r="CQ104" s="80" t="n"/>
      <c r="CR104" s="318" t="n"/>
      <c r="CS104" s="80" t="n"/>
      <c r="CT104" s="318" t="n"/>
      <c r="CU104" s="80" t="n"/>
      <c r="CW104" s="318" t="n"/>
      <c r="CX104" s="142" t="n"/>
      <c r="CY104" s="318" t="n"/>
      <c r="CZ104" s="142" t="n"/>
      <c r="DA104" s="318" t="n"/>
      <c r="DB104" s="142" t="n"/>
      <c r="DC104" s="318" t="n"/>
      <c r="DD104" s="142" t="n"/>
    </row>
    <row r="105" customFormat="1" s="116">
      <c r="A105" s="376" t="n">
        <v>44742</v>
      </c>
      <c r="B105" s="315" t="n">
        <v>7762.6</v>
      </c>
      <c r="C105" s="111">
        <f>B105/B93-1</f>
        <v/>
      </c>
      <c r="D105" s="111" t="n"/>
      <c r="E105" s="315" t="n">
        <v>7450.5</v>
      </c>
      <c r="F105" s="111">
        <f>E105/E93-1</f>
        <v/>
      </c>
      <c r="G105" s="111" t="n"/>
      <c r="H105" s="315" t="n">
        <v>246.2</v>
      </c>
      <c r="I105" s="111">
        <f>H105/H93-1</f>
        <v/>
      </c>
      <c r="J105" s="111" t="n"/>
      <c r="K105" s="315" t="n">
        <v>65.90000000000001</v>
      </c>
      <c r="L105" s="111">
        <f>K105/K93-1</f>
        <v/>
      </c>
      <c r="M105" s="111" t="n"/>
      <c r="N105" s="315" t="n">
        <v>4895.7</v>
      </c>
      <c r="O105" s="111">
        <f>N105/N93-1</f>
        <v/>
      </c>
      <c r="P105" s="111" t="n"/>
      <c r="Q105" s="315" t="n">
        <v>4743.3</v>
      </c>
      <c r="R105" s="111">
        <f>Q105/Q93-1</f>
        <v/>
      </c>
      <c r="S105" s="111" t="n"/>
      <c r="T105" s="315" t="n">
        <v>128.2</v>
      </c>
      <c r="U105" s="111">
        <f>T105/T93-1</f>
        <v/>
      </c>
      <c r="V105" s="111" t="n"/>
      <c r="W105" s="315" t="n">
        <v>24.3</v>
      </c>
      <c r="X105" s="111">
        <f>W105/W93-1</f>
        <v/>
      </c>
      <c r="Y105" s="111" t="n"/>
      <c r="Z105" s="315" t="n">
        <v>3158.3</v>
      </c>
      <c r="AA105" s="111">
        <f>Z105/Z93-1</f>
        <v/>
      </c>
      <c r="AB105" s="111" t="n"/>
      <c r="AC105" s="315" t="n">
        <v>3124.5</v>
      </c>
      <c r="AD105" s="111">
        <f>AC105/AC93-1</f>
        <v/>
      </c>
      <c r="AE105" s="111" t="n"/>
      <c r="AF105" s="315" t="n">
        <v>20.1</v>
      </c>
      <c r="AG105" s="111">
        <f>AF105/AF93-1</f>
        <v/>
      </c>
      <c r="AH105" s="111" t="n"/>
      <c r="AI105" s="315" t="n">
        <v>13.7</v>
      </c>
      <c r="AJ105" s="111">
        <f>AI105/AI93-1</f>
        <v/>
      </c>
      <c r="AK105" s="111" t="n"/>
      <c r="AL105" s="316" t="n">
        <v>63.1</v>
      </c>
      <c r="AM105" s="380">
        <f>AL105-AL93</f>
        <v/>
      </c>
      <c r="AN105" s="111" t="n"/>
      <c r="AO105" s="316" t="n">
        <v>63.7</v>
      </c>
      <c r="AP105" s="380">
        <f>AO105-AO93</f>
        <v/>
      </c>
      <c r="AQ105" s="111" t="n"/>
      <c r="AR105" s="316" t="n">
        <v>52.1</v>
      </c>
      <c r="AS105" s="380">
        <f>AR105-AR93</f>
        <v/>
      </c>
      <c r="AT105" s="111" t="n"/>
      <c r="AU105" s="316" t="n">
        <v>36.9</v>
      </c>
      <c r="AV105" s="380">
        <f>AU105-AU93</f>
        <v/>
      </c>
      <c r="AW105" s="111" t="n"/>
      <c r="AX105" s="377" t="n">
        <v>748</v>
      </c>
      <c r="AY105" s="111">
        <f>AX105/AX93-1</f>
        <v/>
      </c>
      <c r="AZ105" s="111" t="n"/>
      <c r="BA105" s="378" t="n"/>
      <c r="BB105" s="142" t="n"/>
      <c r="BC105" s="378" t="n"/>
      <c r="BD105" s="142" t="n"/>
      <c r="BE105" s="378" t="n"/>
      <c r="BF105" s="142" t="n"/>
      <c r="BG105" s="378" t="n"/>
      <c r="BH105" s="142" t="n"/>
      <c r="BI105" s="318" t="n"/>
      <c r="BJ105" s="142" t="n"/>
      <c r="BK105" s="318" t="n"/>
      <c r="BL105" s="142" t="n"/>
      <c r="BM105" s="318" t="n"/>
      <c r="BN105" s="142" t="n"/>
      <c r="BP105" s="318" t="n"/>
      <c r="BQ105" s="142" t="n"/>
      <c r="BR105" s="318" t="n"/>
      <c r="BS105" s="142" t="n"/>
      <c r="BT105" s="318" t="n"/>
      <c r="BU105" s="142" t="n"/>
      <c r="BV105" s="318" t="n"/>
      <c r="BW105" s="142" t="n"/>
      <c r="BX105" s="318" t="n"/>
      <c r="BY105" s="142" t="n"/>
      <c r="BZ105" s="318" t="n"/>
      <c r="CA105" s="142" t="n"/>
      <c r="CB105" s="318" t="n"/>
      <c r="CC105" s="142" t="n"/>
      <c r="CD105" s="318" t="n"/>
      <c r="CE105" s="142" t="n"/>
      <c r="CF105" s="318" t="n"/>
      <c r="CG105" s="317" t="n"/>
      <c r="CH105" s="318" t="n"/>
      <c r="CI105" s="317" t="n"/>
      <c r="CJ105" s="318" t="n"/>
      <c r="CK105" s="317" t="n"/>
      <c r="CL105" s="318" t="n"/>
      <c r="CM105" s="317" t="n"/>
      <c r="CN105" s="318" t="n"/>
      <c r="CO105" s="80" t="n"/>
      <c r="CP105" s="318" t="n"/>
      <c r="CQ105" s="80" t="n"/>
      <c r="CR105" s="318" t="n"/>
      <c r="CS105" s="80" t="n"/>
      <c r="CT105" s="318" t="n"/>
      <c r="CU105" s="80" t="n"/>
      <c r="CW105" s="318" t="n"/>
      <c r="CX105" s="142" t="n"/>
      <c r="CY105" s="318" t="n"/>
      <c r="CZ105" s="142" t="n"/>
      <c r="DA105" s="318" t="n"/>
      <c r="DB105" s="142" t="n"/>
      <c r="DC105" s="318" t="n"/>
      <c r="DD105" s="142" t="n"/>
      <c r="DE105" s="395" t="n"/>
      <c r="DF105" s="395" t="n"/>
    </row>
    <row r="106" customFormat="1" s="116">
      <c r="A106" s="376" t="n">
        <v>44773</v>
      </c>
      <c r="B106" s="315" t="n">
        <v>12554.9</v>
      </c>
      <c r="C106" s="111">
        <f>B106/B94-1</f>
        <v/>
      </c>
      <c r="D106" s="111" t="n"/>
      <c r="E106" s="315" t="n">
        <v>12208.1</v>
      </c>
      <c r="F106" s="111">
        <f>E106/E94-1</f>
        <v/>
      </c>
      <c r="G106" s="111" t="n"/>
      <c r="H106" s="315" t="n">
        <v>309.5</v>
      </c>
      <c r="I106" s="111">
        <f>H106/H94-1</f>
        <v/>
      </c>
      <c r="J106" s="111" t="n"/>
      <c r="K106" s="315" t="n">
        <v>37.3</v>
      </c>
      <c r="L106" s="111">
        <f>K106/K94-1</f>
        <v/>
      </c>
      <c r="M106" s="111" t="n"/>
      <c r="N106" s="315" t="n">
        <v>8306.799999999999</v>
      </c>
      <c r="O106" s="111">
        <f>N106/N94-1</f>
        <v/>
      </c>
      <c r="P106" s="111" t="n"/>
      <c r="Q106" s="315" t="n">
        <v>8126.7</v>
      </c>
      <c r="R106" s="111">
        <f>Q106/Q94-1</f>
        <v/>
      </c>
      <c r="S106" s="111" t="n"/>
      <c r="T106" s="315" t="n">
        <v>168.6</v>
      </c>
      <c r="U106" s="111">
        <f>T106/T94-1</f>
        <v/>
      </c>
      <c r="V106" s="111" t="n"/>
      <c r="W106" s="315" t="n">
        <v>11.5</v>
      </c>
      <c r="X106" s="111">
        <f>W106/W94-1</f>
        <v/>
      </c>
      <c r="Y106" s="111" t="n"/>
      <c r="Z106" s="315" t="n">
        <v>5209</v>
      </c>
      <c r="AA106" s="111">
        <f>Z106/Z94-1</f>
        <v/>
      </c>
      <c r="AB106" s="111" t="n"/>
      <c r="AC106" s="315" t="n">
        <v>5172.7</v>
      </c>
      <c r="AD106" s="111">
        <f>AC106/AC94-1</f>
        <v/>
      </c>
      <c r="AE106" s="111" t="n"/>
      <c r="AF106" s="315" t="n">
        <v>29.9</v>
      </c>
      <c r="AG106" s="111">
        <f>AF106/AF94-1</f>
        <v/>
      </c>
      <c r="AH106" s="111" t="n"/>
      <c r="AI106" s="315" t="n">
        <v>6.3</v>
      </c>
      <c r="AJ106" s="111">
        <f>AI106/AI94-1</f>
        <v/>
      </c>
      <c r="AK106" s="111" t="n"/>
      <c r="AL106" s="316" t="n">
        <v>66.2</v>
      </c>
      <c r="AM106" s="380">
        <f>AL106-AL94</f>
        <v/>
      </c>
      <c r="AN106" s="111" t="n"/>
      <c r="AO106" s="316" t="n">
        <v>66.59999999999999</v>
      </c>
      <c r="AP106" s="380">
        <f>AO106-AO94</f>
        <v/>
      </c>
      <c r="AQ106" s="111" t="n"/>
      <c r="AR106" s="316" t="n">
        <v>54.5</v>
      </c>
      <c r="AS106" s="380">
        <f>AR106-AR94</f>
        <v/>
      </c>
      <c r="AT106" s="111" t="n"/>
      <c r="AU106" s="316" t="n">
        <v>30.7</v>
      </c>
      <c r="AV106" s="380">
        <f>AU106-AU94</f>
        <v/>
      </c>
      <c r="AW106" s="111" t="n"/>
      <c r="AX106" s="377" t="n">
        <v>751</v>
      </c>
      <c r="AY106" s="111">
        <f>AX106/AX94-1</f>
        <v/>
      </c>
      <c r="AZ106" s="111" t="n"/>
      <c r="BA106" s="378" t="n"/>
      <c r="BB106" s="142" t="n"/>
      <c r="BC106" s="378" t="n"/>
      <c r="BD106" s="142" t="n"/>
      <c r="BE106" s="378" t="n"/>
      <c r="BF106" s="142" t="n"/>
      <c r="BG106" s="378" t="n"/>
      <c r="BH106" s="142" t="n"/>
      <c r="BI106" s="318" t="n"/>
      <c r="BJ106" s="142" t="n"/>
      <c r="BK106" s="318" t="n"/>
      <c r="BL106" s="142" t="n"/>
      <c r="BM106" s="318" t="n"/>
      <c r="BN106" s="142" t="n"/>
      <c r="BO106" s="117" t="n"/>
      <c r="BP106" s="318" t="n"/>
      <c r="BQ106" s="142" t="n"/>
      <c r="BR106" s="318" t="n"/>
      <c r="BS106" s="142" t="n"/>
      <c r="BT106" s="318" t="n"/>
      <c r="BU106" s="142" t="n"/>
      <c r="BV106" s="318" t="n"/>
      <c r="BW106" s="142" t="n"/>
      <c r="BX106" s="318" t="n"/>
      <c r="BY106" s="142" t="n"/>
      <c r="BZ106" s="318" t="n"/>
      <c r="CA106" s="142" t="n"/>
      <c r="CB106" s="318" t="n"/>
      <c r="CC106" s="142" t="n"/>
      <c r="CD106" s="318" t="n"/>
      <c r="CE106" s="142" t="n"/>
      <c r="CF106" s="318" t="n"/>
      <c r="CG106" s="317" t="n"/>
      <c r="CH106" s="318" t="n"/>
      <c r="CI106" s="317" t="n"/>
      <c r="CJ106" s="318" t="n"/>
      <c r="CK106" s="317" t="n"/>
      <c r="CL106" s="318" t="n"/>
      <c r="CM106" s="317" t="n"/>
      <c r="CN106" s="318" t="n"/>
      <c r="CO106" s="80" t="n"/>
      <c r="CP106" s="318" t="n"/>
      <c r="CQ106" s="80" t="n"/>
      <c r="CR106" s="318" t="n"/>
      <c r="CS106" s="80" t="n"/>
      <c r="CT106" s="318" t="n"/>
      <c r="CU106" s="80" t="n"/>
      <c r="CW106" s="318" t="n"/>
      <c r="CX106" s="142" t="n"/>
      <c r="CY106" s="318" t="n"/>
      <c r="CZ106" s="142" t="n"/>
      <c r="DA106" s="318" t="n"/>
      <c r="DB106" s="142" t="n"/>
      <c r="DC106" s="318" t="n"/>
      <c r="DD106" s="142" t="n"/>
      <c r="DE106" s="356" t="n"/>
      <c r="DF106" s="356" t="n"/>
    </row>
    <row r="107" customFormat="1" s="116">
      <c r="A107" s="376" t="n">
        <v>44804</v>
      </c>
      <c r="B107" s="315" t="n">
        <v>11818.7</v>
      </c>
      <c r="C107" s="111">
        <f>B107/B95-1</f>
        <v/>
      </c>
      <c r="D107" s="111" t="n"/>
      <c r="E107" s="315" t="n">
        <v>11392.3</v>
      </c>
      <c r="F107" s="111">
        <f>E107/E95-1</f>
        <v/>
      </c>
      <c r="G107" s="111" t="n"/>
      <c r="H107" s="315" t="n">
        <v>356.8</v>
      </c>
      <c r="I107" s="111">
        <f>H107/H95-1</f>
        <v/>
      </c>
      <c r="J107" s="111" t="n"/>
      <c r="K107" s="315" t="n">
        <v>69.59999999999999</v>
      </c>
      <c r="L107" s="111">
        <f>K107/K95-1</f>
        <v/>
      </c>
      <c r="M107" s="111" t="n"/>
      <c r="N107" s="315" t="n">
        <v>7901</v>
      </c>
      <c r="O107" s="111">
        <f>N107/N95-1</f>
        <v/>
      </c>
      <c r="P107" s="111" t="n"/>
      <c r="Q107" s="315" t="n">
        <v>7681.6</v>
      </c>
      <c r="R107" s="111">
        <f>Q107/Q95-1</f>
        <v/>
      </c>
      <c r="S107" s="111" t="n"/>
      <c r="T107" s="315" t="n">
        <v>189.4</v>
      </c>
      <c r="U107" s="111">
        <f>T107/T95-1</f>
        <v/>
      </c>
      <c r="V107" s="111" t="n"/>
      <c r="W107" s="315" t="n">
        <v>30</v>
      </c>
      <c r="X107" s="111">
        <f>W107/W95-1</f>
        <v/>
      </c>
      <c r="Y107" s="111" t="n"/>
      <c r="Z107" s="315" t="n">
        <v>5119.6</v>
      </c>
      <c r="AA107" s="111">
        <f>Z107/Z95-1</f>
        <v/>
      </c>
      <c r="AB107" s="111" t="n"/>
      <c r="AC107" s="315" t="n">
        <v>5065.7</v>
      </c>
      <c r="AD107" s="111">
        <f>AC107/AC95-1</f>
        <v/>
      </c>
      <c r="AE107" s="111" t="n"/>
      <c r="AF107" s="315" t="n">
        <v>37.7</v>
      </c>
      <c r="AG107" s="111">
        <f>AF107/AF95-1</f>
        <v/>
      </c>
      <c r="AH107" s="111" t="n"/>
      <c r="AI107" s="315" t="n">
        <v>16.1</v>
      </c>
      <c r="AJ107" s="111">
        <f>AI107/AI95-1</f>
        <v/>
      </c>
      <c r="AK107" s="111" t="n"/>
      <c r="AL107" s="316" t="n">
        <v>66.90000000000001</v>
      </c>
      <c r="AM107" s="380">
        <f>AL107-AL95</f>
        <v/>
      </c>
      <c r="AN107" s="111" t="n"/>
      <c r="AO107" s="316" t="n">
        <v>67.40000000000001</v>
      </c>
      <c r="AP107" s="380">
        <f>AO107-AO95</f>
        <v/>
      </c>
      <c r="AQ107" s="111" t="n"/>
      <c r="AR107" s="316" t="n">
        <v>53.1</v>
      </c>
      <c r="AS107" s="380">
        <f>AR107-AR95</f>
        <v/>
      </c>
      <c r="AT107" s="111" t="n"/>
      <c r="AU107" s="316" t="n">
        <v>43.1</v>
      </c>
      <c r="AV107" s="380">
        <f>AU107-AU95</f>
        <v/>
      </c>
      <c r="AW107" s="111" t="n"/>
      <c r="AX107" s="377" t="n">
        <v>750</v>
      </c>
      <c r="AY107" s="111">
        <f>AX107/AX95-1</f>
        <v/>
      </c>
      <c r="AZ107" s="111" t="n"/>
      <c r="BA107" s="378" t="n"/>
      <c r="BB107" s="142" t="n"/>
      <c r="BC107" s="378" t="n"/>
      <c r="BD107" s="142" t="n"/>
      <c r="BE107" s="378" t="n"/>
      <c r="BF107" s="142" t="n"/>
      <c r="BG107" s="378" t="n"/>
      <c r="BH107" s="142" t="n"/>
      <c r="BI107" s="318" t="n"/>
      <c r="BJ107" s="142" t="n"/>
      <c r="BK107" s="318" t="n"/>
      <c r="BL107" s="142" t="n"/>
      <c r="BM107" s="318" t="n"/>
      <c r="BN107" s="142" t="n"/>
      <c r="BO107" s="117" t="n"/>
      <c r="BP107" s="318" t="n"/>
      <c r="BQ107" s="142" t="n"/>
      <c r="BR107" s="318" t="n"/>
      <c r="BS107" s="142" t="n"/>
      <c r="BT107" s="318" t="n"/>
      <c r="BU107" s="142" t="n"/>
      <c r="BV107" s="318" t="n"/>
      <c r="BW107" s="142" t="n"/>
      <c r="BX107" s="318" t="n"/>
      <c r="BY107" s="142" t="n"/>
      <c r="BZ107" s="318" t="n"/>
      <c r="CA107" s="142" t="n"/>
      <c r="CB107" s="318" t="n"/>
      <c r="CC107" s="142" t="n"/>
      <c r="CD107" s="318" t="n"/>
      <c r="CE107" s="142" t="n"/>
      <c r="CF107" s="318" t="n"/>
      <c r="CG107" s="317" t="n"/>
      <c r="CH107" s="318" t="n"/>
      <c r="CI107" s="317" t="n"/>
      <c r="CJ107" s="318" t="n"/>
      <c r="CK107" s="317" t="n"/>
      <c r="CL107" s="318" t="n"/>
      <c r="CM107" s="317" t="n"/>
      <c r="CN107" s="318" t="n"/>
      <c r="CO107" s="80" t="n"/>
      <c r="CP107" s="318" t="n"/>
      <c r="CQ107" s="80" t="n"/>
      <c r="CR107" s="318" t="n"/>
      <c r="CS107" s="80" t="n"/>
      <c r="CT107" s="318" t="n"/>
      <c r="CU107" s="80" t="n"/>
      <c r="CW107" s="318" t="n"/>
      <c r="CX107" s="142" t="n"/>
      <c r="CY107" s="318" t="n"/>
      <c r="CZ107" s="142" t="n"/>
      <c r="DA107" s="318" t="n"/>
      <c r="DB107" s="142" t="n"/>
      <c r="DC107" s="318" t="n"/>
      <c r="DD107" s="142" t="n"/>
      <c r="DE107" s="356" t="n"/>
      <c r="DF107" s="356" t="n"/>
    </row>
    <row r="108" customFormat="1" s="116">
      <c r="A108" s="376" t="n">
        <v>44834</v>
      </c>
      <c r="B108" s="315" t="n">
        <v>7312.2</v>
      </c>
      <c r="C108" s="111">
        <f>B108/B96-1</f>
        <v/>
      </c>
      <c r="D108" s="111" t="n"/>
      <c r="E108" s="315" t="n">
        <v>6647.7</v>
      </c>
      <c r="F108" s="111">
        <f>E108/E96-1</f>
        <v/>
      </c>
      <c r="G108" s="111" t="n"/>
      <c r="H108" s="315" t="n">
        <v>510.1</v>
      </c>
      <c r="I108" s="111">
        <f>H108/H96-1</f>
        <v/>
      </c>
      <c r="J108" s="111" t="n"/>
      <c r="K108" s="315" t="n">
        <v>154.4</v>
      </c>
      <c r="L108" s="111">
        <f>K108/K96-1</f>
        <v/>
      </c>
      <c r="M108" s="111" t="n"/>
      <c r="N108" s="315" t="n">
        <v>4716.6</v>
      </c>
      <c r="O108" s="111">
        <f>N108/N96-1</f>
        <v/>
      </c>
      <c r="P108" s="111" t="n"/>
      <c r="Q108" s="315" t="n">
        <v>4362.1</v>
      </c>
      <c r="R108" s="111">
        <f>Q108/Q96-1</f>
        <v/>
      </c>
      <c r="S108" s="111" t="n"/>
      <c r="T108" s="315" t="n">
        <v>284.3</v>
      </c>
      <c r="U108" s="111">
        <f>T108/T96-1</f>
        <v/>
      </c>
      <c r="V108" s="111" t="n"/>
      <c r="W108" s="315" t="n">
        <v>70.2</v>
      </c>
      <c r="X108" s="111">
        <f>W108/W96-1</f>
        <v/>
      </c>
      <c r="Y108" s="111" t="n"/>
      <c r="Z108" s="315" t="n">
        <v>3056.8</v>
      </c>
      <c r="AA108" s="111">
        <f>Z108/Z96-1</f>
        <v/>
      </c>
      <c r="AB108" s="111" t="n"/>
      <c r="AC108" s="315" t="n">
        <v>2969.2</v>
      </c>
      <c r="AD108" s="111">
        <f>AC108/AC96-1</f>
        <v/>
      </c>
      <c r="AE108" s="111" t="n"/>
      <c r="AF108" s="315" t="n">
        <v>49</v>
      </c>
      <c r="AG108" s="111">
        <f>AF108/AF96-1</f>
        <v/>
      </c>
      <c r="AH108" s="111" t="n"/>
      <c r="AI108" s="315" t="n">
        <v>38.6</v>
      </c>
      <c r="AJ108" s="111">
        <f>AI108/AI96-1</f>
        <v/>
      </c>
      <c r="AK108" s="111" t="n"/>
      <c r="AL108" s="316" t="n">
        <v>64.5</v>
      </c>
      <c r="AM108" s="380">
        <f>AL108-AL96</f>
        <v/>
      </c>
      <c r="AN108" s="111" t="n"/>
      <c r="AO108" s="316" t="n">
        <v>65.59999999999999</v>
      </c>
      <c r="AP108" s="380">
        <f>AO108-AO96</f>
        <v/>
      </c>
      <c r="AQ108" s="111" t="n"/>
      <c r="AR108" s="316" t="n">
        <v>55.7</v>
      </c>
      <c r="AS108" s="380">
        <f>AR108-AR96</f>
        <v/>
      </c>
      <c r="AT108" s="111" t="n"/>
      <c r="AU108" s="316" t="n">
        <v>45.5</v>
      </c>
      <c r="AV108" s="380">
        <f>AU108-AU96</f>
        <v/>
      </c>
      <c r="AW108" s="111" t="n"/>
      <c r="AX108" s="377" t="n">
        <v>752</v>
      </c>
      <c r="AY108" s="111">
        <f>AX108/AX96-1</f>
        <v/>
      </c>
      <c r="AZ108" s="111" t="n"/>
      <c r="BA108" s="378" t="n"/>
      <c r="BB108" s="142" t="n"/>
      <c r="BC108" s="378" t="n"/>
      <c r="BD108" s="142" t="n"/>
      <c r="BE108" s="378" t="n"/>
      <c r="BF108" s="142" t="n"/>
      <c r="BG108" s="378" t="n"/>
      <c r="BH108" s="142" t="n"/>
      <c r="BI108" s="318" t="n"/>
      <c r="BJ108" s="142" t="n"/>
      <c r="BK108" s="318" t="n"/>
      <c r="BL108" s="142" t="n"/>
      <c r="BM108" s="318" t="n"/>
      <c r="BN108" s="142" t="n"/>
      <c r="BO108" s="117" t="n"/>
      <c r="BP108" s="318" t="n"/>
      <c r="BQ108" s="142" t="n"/>
      <c r="BR108" s="318" t="n"/>
      <c r="BS108" s="142" t="n"/>
      <c r="BT108" s="318" t="n"/>
      <c r="BU108" s="142" t="n"/>
      <c r="BV108" s="318" t="n"/>
      <c r="BW108" s="142" t="n"/>
      <c r="BX108" s="318" t="n"/>
      <c r="BY108" s="142" t="n"/>
      <c r="BZ108" s="318" t="n"/>
      <c r="CA108" s="142" t="n"/>
      <c r="CB108" s="318" t="n"/>
      <c r="CC108" s="142" t="n"/>
      <c r="CD108" s="318" t="n"/>
      <c r="CE108" s="142" t="n"/>
      <c r="CF108" s="318" t="n"/>
      <c r="CG108" s="317" t="n"/>
      <c r="CH108" s="318" t="n"/>
      <c r="CI108" s="317" t="n"/>
      <c r="CJ108" s="318" t="n"/>
      <c r="CK108" s="317" t="n"/>
      <c r="CL108" s="318" t="n"/>
      <c r="CM108" s="317" t="n"/>
      <c r="CN108" s="318" t="n"/>
      <c r="CO108" s="80" t="n"/>
      <c r="CP108" s="318" t="n"/>
      <c r="CQ108" s="80" t="n"/>
      <c r="CR108" s="318" t="n"/>
      <c r="CS108" s="80" t="n"/>
      <c r="CT108" s="318" t="n"/>
      <c r="CU108" s="80" t="n"/>
      <c r="CW108" s="318" t="n"/>
      <c r="CX108" s="142" t="n"/>
      <c r="CY108" s="318" t="n"/>
      <c r="CZ108" s="142" t="n"/>
      <c r="DA108" s="318" t="n"/>
      <c r="DB108" s="142" t="n"/>
      <c r="DC108" s="318" t="n"/>
      <c r="DD108" s="142" t="n"/>
      <c r="DE108" s="356" t="n"/>
      <c r="DF108" s="356" t="n"/>
    </row>
    <row r="109" customFormat="1" s="116">
      <c r="A109" s="376" t="n">
        <v>44865</v>
      </c>
      <c r="B109" s="315" t="n">
        <v>6502.1</v>
      </c>
      <c r="C109" s="111">
        <f>B109/B97-1</f>
        <v/>
      </c>
      <c r="D109" s="111" t="n"/>
      <c r="E109" s="315" t="n">
        <v>5816.5</v>
      </c>
      <c r="F109" s="111">
        <f>E109/E97-1</f>
        <v/>
      </c>
      <c r="G109" s="111" t="n"/>
      <c r="H109" s="315" t="n">
        <v>524.5</v>
      </c>
      <c r="I109" s="111">
        <f>H109/H97-1</f>
        <v/>
      </c>
      <c r="J109" s="111" t="n"/>
      <c r="K109" s="315" t="n">
        <v>161.2</v>
      </c>
      <c r="L109" s="111">
        <f>K109/K97-1</f>
        <v/>
      </c>
      <c r="M109" s="111" t="n"/>
      <c r="N109" s="315" t="n">
        <v>4170</v>
      </c>
      <c r="O109" s="111">
        <f>N109/N97-1</f>
        <v/>
      </c>
      <c r="P109" s="111" t="n"/>
      <c r="Q109" s="315" t="n">
        <v>3867</v>
      </c>
      <c r="R109" s="111">
        <f>Q109/Q97-1</f>
        <v/>
      </c>
      <c r="S109" s="111" t="n"/>
      <c r="T109" s="315" t="n">
        <v>231.1</v>
      </c>
      <c r="U109" s="111">
        <f>T109/T97-1</f>
        <v/>
      </c>
      <c r="V109" s="111" t="n"/>
      <c r="W109" s="315" t="n">
        <v>71.90000000000001</v>
      </c>
      <c r="X109" s="111">
        <f>W109/W97-1</f>
        <v/>
      </c>
      <c r="Y109" s="111" t="n"/>
      <c r="Z109" s="315" t="n">
        <v>2683.8</v>
      </c>
      <c r="AA109" s="111">
        <f>Z109/Z97-1</f>
        <v/>
      </c>
      <c r="AB109" s="111" t="n"/>
      <c r="AC109" s="315" t="n">
        <v>2603.2</v>
      </c>
      <c r="AD109" s="111">
        <f>AC109/AC97-1</f>
        <v/>
      </c>
      <c r="AE109" s="111" t="n"/>
      <c r="AF109" s="315" t="n">
        <v>39.2</v>
      </c>
      <c r="AG109" s="111">
        <f>AF109/AF97-1</f>
        <v/>
      </c>
      <c r="AH109" s="111" t="n"/>
      <c r="AI109" s="315" t="n">
        <v>41.4</v>
      </c>
      <c r="AJ109" s="111">
        <f>AI109/AI97-1</f>
        <v/>
      </c>
      <c r="AK109" s="111" t="n"/>
      <c r="AL109" s="316" t="n">
        <v>64.09999999999999</v>
      </c>
      <c r="AM109" s="380">
        <f>AL109-AL97</f>
        <v/>
      </c>
      <c r="AN109" s="111" t="n"/>
      <c r="AO109" s="316" t="n">
        <v>66.5</v>
      </c>
      <c r="AP109" s="380">
        <f>AO109-AO97</f>
        <v/>
      </c>
      <c r="AQ109" s="111" t="n"/>
      <c r="AR109" s="316" t="n">
        <v>44.1</v>
      </c>
      <c r="AS109" s="380">
        <f>AR109-AR97</f>
        <v/>
      </c>
      <c r="AT109" s="111" t="n"/>
      <c r="AU109" s="316" t="n">
        <v>44.6</v>
      </c>
      <c r="AV109" s="380">
        <f>AU109-AU97</f>
        <v/>
      </c>
      <c r="AW109" s="111" t="n"/>
      <c r="AX109" s="377" t="n">
        <v>753</v>
      </c>
      <c r="AY109" s="111">
        <f>AX109/AX97-1</f>
        <v/>
      </c>
      <c r="AZ109" s="111" t="n"/>
      <c r="BA109" s="378" t="n"/>
      <c r="BB109" s="142" t="n"/>
      <c r="BC109" s="378" t="n"/>
      <c r="BD109" s="142" t="n"/>
      <c r="BE109" s="378" t="n"/>
      <c r="BF109" s="142" t="n"/>
      <c r="BG109" s="378" t="n"/>
      <c r="BH109" s="142" t="n"/>
      <c r="BI109" s="318" t="n"/>
      <c r="BJ109" s="142" t="n"/>
      <c r="BK109" s="318" t="n"/>
      <c r="BL109" s="142" t="n"/>
      <c r="BM109" s="318" t="n"/>
      <c r="BN109" s="142" t="n"/>
      <c r="BP109" s="318" t="n"/>
      <c r="BQ109" s="142" t="n"/>
      <c r="BR109" s="318" t="n"/>
      <c r="BS109" s="142" t="n"/>
      <c r="BT109" s="318" t="n"/>
      <c r="BU109" s="142" t="n"/>
      <c r="BV109" s="318" t="n"/>
      <c r="BW109" s="142" t="n"/>
      <c r="BX109" s="318" t="n"/>
      <c r="BY109" s="142" t="n"/>
      <c r="BZ109" s="318" t="n"/>
      <c r="CA109" s="142" t="n"/>
      <c r="CB109" s="318" t="n"/>
      <c r="CC109" s="142" t="n"/>
      <c r="CD109" s="318" t="n"/>
      <c r="CE109" s="142" t="n"/>
      <c r="CF109" s="318" t="n"/>
      <c r="CG109" s="317" t="n"/>
      <c r="CH109" s="318" t="n"/>
      <c r="CI109" s="317" t="n"/>
      <c r="CJ109" s="318" t="n"/>
      <c r="CK109" s="317" t="n"/>
      <c r="CL109" s="318" t="n"/>
      <c r="CM109" s="317" t="n"/>
      <c r="CN109" s="318" t="n"/>
      <c r="CO109" s="80" t="n"/>
      <c r="CP109" s="318" t="n"/>
      <c r="CQ109" s="80" t="n"/>
      <c r="CR109" s="318" t="n"/>
      <c r="CS109" s="80" t="n"/>
      <c r="CT109" s="318" t="n"/>
      <c r="CU109" s="80" t="n"/>
      <c r="CW109" s="318" t="n"/>
      <c r="CX109" s="142" t="n"/>
      <c r="CY109" s="318" t="n"/>
      <c r="CZ109" s="142" t="n"/>
      <c r="DA109" s="318" t="n"/>
      <c r="DB109" s="142" t="n"/>
      <c r="DC109" s="318" t="n"/>
      <c r="DD109" s="142" t="n"/>
      <c r="DE109" s="395" t="n"/>
      <c r="DF109" s="395" t="n"/>
    </row>
    <row r="110" customFormat="1" s="116">
      <c r="A110" s="376" t="n">
        <v>44895</v>
      </c>
      <c r="B110" s="315" t="n">
        <v>5765.6</v>
      </c>
      <c r="C110" s="111">
        <f>B110/B98-1</f>
        <v/>
      </c>
      <c r="D110" s="111" t="n"/>
      <c r="E110" s="315" t="n">
        <v>4996</v>
      </c>
      <c r="F110" s="111">
        <f>E110/E98-1</f>
        <v/>
      </c>
      <c r="G110" s="111" t="n"/>
      <c r="H110" s="315" t="n">
        <v>612.6</v>
      </c>
      <c r="I110" s="111">
        <f>H110/H98-1</f>
        <v/>
      </c>
      <c r="J110" s="111" t="n"/>
      <c r="K110" s="315" t="n">
        <v>157</v>
      </c>
      <c r="L110" s="111">
        <f>K110/K98-1</f>
        <v/>
      </c>
      <c r="M110" s="111" t="n"/>
      <c r="N110" s="315" t="n">
        <v>3578.3</v>
      </c>
      <c r="O110" s="111">
        <f>N110/N98-1</f>
        <v/>
      </c>
      <c r="P110" s="111" t="n"/>
      <c r="Q110" s="315" t="n">
        <v>3241.8</v>
      </c>
      <c r="R110" s="111">
        <f>Q110/Q98-1</f>
        <v/>
      </c>
      <c r="S110" s="111" t="n"/>
      <c r="T110" s="315" t="n">
        <v>259.9</v>
      </c>
      <c r="U110" s="111">
        <f>T110/T98-1</f>
        <v/>
      </c>
      <c r="V110" s="111" t="n"/>
      <c r="W110" s="315" t="n">
        <v>76.59999999999999</v>
      </c>
      <c r="X110" s="111">
        <f>W110/W98-1</f>
        <v/>
      </c>
      <c r="Y110" s="111" t="n"/>
      <c r="Z110" s="315" t="n">
        <v>2194.6</v>
      </c>
      <c r="AA110" s="111">
        <f>Z110/Z98-1</f>
        <v/>
      </c>
      <c r="AB110" s="111" t="n"/>
      <c r="AC110" s="315" t="n">
        <v>2102</v>
      </c>
      <c r="AD110" s="111">
        <f>AC110/AC98-1</f>
        <v/>
      </c>
      <c r="AE110" s="111" t="n"/>
      <c r="AF110" s="315" t="n">
        <v>45.4</v>
      </c>
      <c r="AG110" s="111">
        <f>AF110/AF98-1</f>
        <v/>
      </c>
      <c r="AH110" s="111" t="n"/>
      <c r="AI110" s="315" t="n">
        <v>47.2</v>
      </c>
      <c r="AJ110" s="111">
        <f>AI110/AI98-1</f>
        <v/>
      </c>
      <c r="AK110" s="111" t="n"/>
      <c r="AL110" s="316" t="n">
        <v>62.1</v>
      </c>
      <c r="AM110" s="380">
        <f>AL110-AL98</f>
        <v/>
      </c>
      <c r="AN110" s="111" t="n"/>
      <c r="AO110" s="316" t="n">
        <v>64.90000000000001</v>
      </c>
      <c r="AP110" s="380">
        <f>AO110-AO98</f>
        <v/>
      </c>
      <c r="AQ110" s="111" t="n"/>
      <c r="AR110" s="316" t="n">
        <v>42.4</v>
      </c>
      <c r="AS110" s="380">
        <f>AR110-AR98</f>
        <v/>
      </c>
      <c r="AT110" s="111" t="n"/>
      <c r="AU110" s="316" t="n">
        <v>48.8</v>
      </c>
      <c r="AV110" s="380">
        <f>AU110-AU98</f>
        <v/>
      </c>
      <c r="AW110" s="111" t="n"/>
      <c r="AX110" s="377" t="n">
        <v>757</v>
      </c>
      <c r="AY110" s="111">
        <f>AX110/AX98-1</f>
        <v/>
      </c>
      <c r="AZ110" s="111" t="n"/>
      <c r="BA110" s="378" t="n"/>
      <c r="BB110" s="142" t="n"/>
      <c r="BC110" s="378" t="n"/>
      <c r="BD110" s="142" t="n"/>
      <c r="BE110" s="378" t="n"/>
      <c r="BF110" s="142" t="n"/>
      <c r="BG110" s="378" t="n"/>
      <c r="BH110" s="142" t="n"/>
      <c r="BI110" s="318" t="n"/>
      <c r="BJ110" s="142" t="n"/>
      <c r="BK110" s="318" t="n"/>
      <c r="BL110" s="142" t="n"/>
      <c r="BM110" s="318" t="n"/>
      <c r="BN110" s="142" t="n"/>
      <c r="BP110" s="318" t="n"/>
      <c r="BQ110" s="142" t="n"/>
      <c r="BR110" s="318" t="n"/>
      <c r="BS110" s="142" t="n"/>
      <c r="BT110" s="318" t="n"/>
      <c r="BU110" s="142" t="n"/>
      <c r="BV110" s="318" t="n"/>
      <c r="BW110" s="142" t="n"/>
      <c r="BX110" s="318" t="n"/>
      <c r="BY110" s="142" t="n"/>
      <c r="BZ110" s="318" t="n"/>
      <c r="CA110" s="142" t="n"/>
      <c r="CB110" s="318" t="n"/>
      <c r="CC110" s="142" t="n"/>
      <c r="CD110" s="318" t="n"/>
      <c r="CE110" s="142" t="n"/>
      <c r="CF110" s="318" t="n"/>
      <c r="CG110" s="317" t="n"/>
      <c r="CH110" s="318" t="n"/>
      <c r="CI110" s="317" t="n"/>
      <c r="CJ110" s="318" t="n"/>
      <c r="CK110" s="317" t="n"/>
      <c r="CL110" s="318" t="n"/>
      <c r="CM110" s="317" t="n"/>
      <c r="CN110" s="318" t="n"/>
      <c r="CO110" s="80" t="n"/>
      <c r="CP110" s="318" t="n"/>
      <c r="CQ110" s="80" t="n"/>
      <c r="CR110" s="318" t="n"/>
      <c r="CS110" s="80" t="n"/>
      <c r="CT110" s="318" t="n"/>
      <c r="CU110" s="80" t="n"/>
      <c r="CW110" s="318" t="n"/>
      <c r="CX110" s="142" t="n"/>
      <c r="CY110" s="318" t="n"/>
      <c r="CZ110" s="142" t="n"/>
      <c r="DA110" s="318" t="n"/>
      <c r="DB110" s="142" t="n"/>
      <c r="DC110" s="318" t="n"/>
      <c r="DD110" s="142" t="n"/>
      <c r="DE110" s="395" t="n"/>
      <c r="DF110" s="395" t="n"/>
    </row>
    <row r="111" customFormat="1" s="116">
      <c r="A111" s="376" t="n">
        <v>44926</v>
      </c>
      <c r="B111" s="315" t="n">
        <v>7960.5</v>
      </c>
      <c r="C111" s="111">
        <f>B111/B99-1</f>
        <v/>
      </c>
      <c r="D111" s="111" t="n"/>
      <c r="E111" s="315" t="n">
        <v>7012.5</v>
      </c>
      <c r="F111" s="111">
        <f>E111/E99-1</f>
        <v/>
      </c>
      <c r="G111" s="111" t="n"/>
      <c r="H111" s="315" t="n">
        <v>719.6</v>
      </c>
      <c r="I111" s="111">
        <f>H111/H99-1</f>
        <v/>
      </c>
      <c r="J111" s="111" t="n"/>
      <c r="K111" s="315" t="n">
        <v>228.3</v>
      </c>
      <c r="L111" s="111">
        <f>K111/K99-1</f>
        <v/>
      </c>
      <c r="M111" s="111" t="n"/>
      <c r="N111" s="315" t="n">
        <v>4924.5</v>
      </c>
      <c r="O111" s="111">
        <f>N111/N99-1</f>
        <v/>
      </c>
      <c r="P111" s="111" t="n"/>
      <c r="Q111" s="315" t="n">
        <v>4478.9</v>
      </c>
      <c r="R111" s="111">
        <f>Q111/Q99-1</f>
        <v/>
      </c>
      <c r="S111" s="111" t="n"/>
      <c r="T111" s="315" t="n">
        <v>340.4</v>
      </c>
      <c r="U111" s="111">
        <f>T111/T99-1</f>
        <v/>
      </c>
      <c r="V111" s="111" t="n"/>
      <c r="W111" s="315" t="n">
        <v>105.3</v>
      </c>
      <c r="X111" s="111">
        <f>W111/W99-1</f>
        <v/>
      </c>
      <c r="Y111" s="111" t="n"/>
      <c r="Z111" s="315" t="n">
        <v>2970.4</v>
      </c>
      <c r="AA111" s="111">
        <f>Z111/Z99-1</f>
        <v/>
      </c>
      <c r="AB111" s="111" t="n"/>
      <c r="AC111" s="315" t="n">
        <v>2846.7</v>
      </c>
      <c r="AD111" s="111">
        <f>AC111/AC99-1</f>
        <v/>
      </c>
      <c r="AE111" s="111" t="n"/>
      <c r="AF111" s="315" t="n">
        <v>60.5</v>
      </c>
      <c r="AG111" s="111">
        <f>AF111/AF99-1</f>
        <v/>
      </c>
      <c r="AH111" s="111" t="n"/>
      <c r="AI111" s="315" t="n">
        <v>63.1</v>
      </c>
      <c r="AJ111" s="111">
        <f>AI111/AI99-1</f>
        <v/>
      </c>
      <c r="AK111" s="111" t="n"/>
      <c r="AL111" s="316" t="n">
        <v>61.9</v>
      </c>
      <c r="AM111" s="380">
        <f>AL111-AL99</f>
        <v/>
      </c>
      <c r="AN111" s="111" t="n"/>
      <c r="AO111" s="316" t="n">
        <v>63.9</v>
      </c>
      <c r="AP111" s="380">
        <f>AO111-AO99</f>
        <v/>
      </c>
      <c r="AQ111" s="111" t="n"/>
      <c r="AR111" s="316" t="n">
        <v>47.3</v>
      </c>
      <c r="AS111" s="380">
        <f>AR111-AR99</f>
        <v/>
      </c>
      <c r="AT111" s="111" t="n"/>
      <c r="AU111" s="316" t="n">
        <v>46.1</v>
      </c>
      <c r="AV111" s="380">
        <f>AU111-AU99</f>
        <v/>
      </c>
      <c r="AW111" s="111" t="n"/>
      <c r="AX111" s="377" t="n">
        <v>762</v>
      </c>
      <c r="AY111" s="111">
        <f>AX111/AX99-1</f>
        <v/>
      </c>
      <c r="AZ111" s="111" t="n"/>
      <c r="BA111" s="378" t="n"/>
      <c r="BB111" s="142" t="n"/>
      <c r="BC111" s="378" t="n"/>
      <c r="BD111" s="142" t="n"/>
      <c r="BE111" s="378" t="n"/>
      <c r="BF111" s="142" t="n"/>
      <c r="BG111" s="378" t="n"/>
      <c r="BH111" s="142" t="n"/>
      <c r="BI111" s="318" t="n"/>
      <c r="BJ111" s="142" t="n"/>
      <c r="BK111" s="318" t="n"/>
      <c r="BL111" s="142" t="n"/>
      <c r="BM111" s="318" t="n"/>
      <c r="BN111" s="142" t="n"/>
      <c r="BP111" s="318" t="n"/>
      <c r="BQ111" s="142" t="n"/>
      <c r="BR111" s="318" t="n"/>
      <c r="BS111" s="142" t="n"/>
      <c r="BT111" s="318" t="n"/>
      <c r="BU111" s="142" t="n"/>
      <c r="BV111" s="318" t="n"/>
      <c r="BW111" s="142" t="n"/>
      <c r="BX111" s="318" t="n"/>
      <c r="BY111" s="142" t="n"/>
      <c r="BZ111" s="318" t="n"/>
      <c r="CA111" s="142" t="n"/>
      <c r="CB111" s="318" t="n"/>
      <c r="CC111" s="142" t="n"/>
      <c r="CD111" s="318" t="n"/>
      <c r="CE111" s="142" t="n"/>
      <c r="CF111" s="318" t="n"/>
      <c r="CG111" s="317" t="n"/>
      <c r="CH111" s="318" t="n"/>
      <c r="CI111" s="317" t="n"/>
      <c r="CJ111" s="318" t="n"/>
      <c r="CK111" s="317" t="n"/>
      <c r="CL111" s="318" t="n"/>
      <c r="CM111" s="317" t="n"/>
      <c r="CN111" s="318" t="n"/>
      <c r="CO111" s="80" t="n"/>
      <c r="CP111" s="318" t="n"/>
      <c r="CQ111" s="80" t="n"/>
      <c r="CR111" s="318" t="n"/>
      <c r="CS111" s="80" t="n"/>
      <c r="CT111" s="318" t="n"/>
      <c r="CU111" s="80" t="n"/>
      <c r="CW111" s="318" t="n"/>
      <c r="CX111" s="142" t="n"/>
      <c r="CY111" s="318" t="n"/>
      <c r="CZ111" s="142" t="n"/>
      <c r="DA111" s="318" t="n"/>
      <c r="DB111" s="142" t="n"/>
      <c r="DC111" s="318" t="n"/>
      <c r="DD111" s="142" t="n"/>
      <c r="DE111" s="117" t="n"/>
      <c r="DF111" s="395" t="n"/>
    </row>
    <row r="112" customFormat="1" s="116">
      <c r="A112" s="396" t="n">
        <v>44957</v>
      </c>
      <c r="B112" s="320" t="n">
        <v>15607.8</v>
      </c>
      <c r="C112" s="111">
        <f>B112/B100-1</f>
        <v/>
      </c>
      <c r="D112" s="111">
        <f>B112/B64-1</f>
        <v/>
      </c>
      <c r="E112" s="320" t="n">
        <v>14555.8</v>
      </c>
      <c r="F112" s="111">
        <f>E112/E100-1</f>
        <v/>
      </c>
      <c r="G112" s="111">
        <f>E112/E64-1</f>
        <v/>
      </c>
      <c r="H112" s="320" t="n">
        <v>720.8</v>
      </c>
      <c r="I112" s="111">
        <f>H112/H100-1</f>
        <v/>
      </c>
      <c r="J112" s="111">
        <f>H112/H64-1</f>
        <v/>
      </c>
      <c r="K112" s="320" t="n">
        <v>331.2</v>
      </c>
      <c r="L112" s="111">
        <f>K112/K100-1</f>
        <v/>
      </c>
      <c r="M112" s="111">
        <f>K112/K64-1</f>
        <v/>
      </c>
      <c r="N112" s="320" t="n">
        <v>10911.1</v>
      </c>
      <c r="O112" s="111">
        <f>N112/N100-1</f>
        <v/>
      </c>
      <c r="P112" s="111">
        <f>N112/N64-1</f>
        <v/>
      </c>
      <c r="Q112" s="320" t="n">
        <v>10281.7</v>
      </c>
      <c r="R112" s="111">
        <f>Q112/Q100-1</f>
        <v/>
      </c>
      <c r="S112" s="111">
        <f>Q112/Q64-1</f>
        <v/>
      </c>
      <c r="T112" s="320" t="n">
        <v>419.7</v>
      </c>
      <c r="U112" s="111">
        <f>T112/T100-1</f>
        <v/>
      </c>
      <c r="V112" s="111">
        <f>T112/T64-1</f>
        <v/>
      </c>
      <c r="W112" s="320" t="n">
        <v>209.7</v>
      </c>
      <c r="X112" s="111">
        <f>W112/W100-1</f>
        <v/>
      </c>
      <c r="Y112" s="111">
        <f>W112/W64-1</f>
        <v/>
      </c>
      <c r="Z112" s="320" t="n">
        <v>6776.5</v>
      </c>
      <c r="AA112" s="111">
        <f>Z112/Z100-1</f>
        <v/>
      </c>
      <c r="AB112" s="111">
        <f>Z112/Z64-1</f>
        <v/>
      </c>
      <c r="AC112" s="320" t="n">
        <v>6575.4</v>
      </c>
      <c r="AD112" s="111">
        <f>AC112/AC100-1</f>
        <v/>
      </c>
      <c r="AE112" s="111">
        <f>AC112/AC64-1</f>
        <v/>
      </c>
      <c r="AF112" s="320" t="n">
        <v>73.5</v>
      </c>
      <c r="AG112" s="111">
        <f>AF112/AF100-1</f>
        <v/>
      </c>
      <c r="AH112" s="111">
        <f>AF112/AF64-1</f>
        <v/>
      </c>
      <c r="AI112" s="320" t="n">
        <v>127.6</v>
      </c>
      <c r="AJ112" s="111">
        <f>AI112/AI100-1</f>
        <v/>
      </c>
      <c r="AK112" s="111">
        <f>AI112/AI64-1</f>
        <v/>
      </c>
      <c r="AL112" s="321" t="n">
        <v>69.90000000000001</v>
      </c>
      <c r="AM112" s="380">
        <f>AL112-AL100</f>
        <v/>
      </c>
      <c r="AN112" s="380">
        <f>AL112-AL64</f>
        <v/>
      </c>
      <c r="AO112" s="321" t="n">
        <v>70.59999999999999</v>
      </c>
      <c r="AP112" s="380">
        <f>AO112-AO100</f>
        <v/>
      </c>
      <c r="AQ112" s="380">
        <f>AO112-AO64</f>
        <v/>
      </c>
      <c r="AR112" s="321" t="n">
        <v>58.2</v>
      </c>
      <c r="AS112" s="380">
        <f>AR112-AR100</f>
        <v/>
      </c>
      <c r="AT112" s="380">
        <f>AR112-AR64</f>
        <v/>
      </c>
      <c r="AU112" s="321" t="n">
        <v>63.3</v>
      </c>
      <c r="AV112" s="380">
        <f>AU112-AU100</f>
        <v/>
      </c>
      <c r="AW112" s="380">
        <f>AU112-AU64</f>
        <v/>
      </c>
      <c r="AX112" s="397" t="n">
        <v>762</v>
      </c>
      <c r="AY112" s="111">
        <f>AX112/AX100-1</f>
        <v/>
      </c>
      <c r="AZ112" s="111">
        <f>AX112/AX64-1</f>
        <v/>
      </c>
      <c r="BA112" s="398" t="n"/>
      <c r="BB112" s="232" t="n"/>
      <c r="BC112" s="398" t="n"/>
      <c r="BD112" s="232" t="n"/>
      <c r="BE112" s="398" t="n"/>
      <c r="BF112" s="232" t="n"/>
      <c r="BG112" s="398" t="n"/>
      <c r="BH112" s="232" t="n"/>
      <c r="BI112" s="320" t="n"/>
      <c r="BJ112" s="232" t="n"/>
      <c r="BK112" s="320" t="n"/>
      <c r="BL112" s="232" t="n"/>
      <c r="BM112" s="320" t="n"/>
      <c r="BN112" s="232" t="n"/>
      <c r="BO112" s="202" t="n"/>
      <c r="BP112" s="320" t="n"/>
      <c r="BQ112" s="232" t="n"/>
      <c r="BR112" s="320" t="n"/>
      <c r="BS112" s="232" t="n"/>
      <c r="BT112" s="320" t="n"/>
      <c r="BU112" s="232" t="n"/>
      <c r="BV112" s="320" t="n"/>
      <c r="BW112" s="232" t="n"/>
      <c r="BX112" s="320" t="n"/>
      <c r="BY112" s="232" t="n"/>
      <c r="BZ112" s="320" t="n"/>
      <c r="CA112" s="232" t="n"/>
      <c r="CB112" s="320" t="n"/>
      <c r="CC112" s="232" t="n"/>
      <c r="CD112" s="320" t="n"/>
      <c r="CE112" s="232" t="n"/>
      <c r="CF112" s="320" t="n"/>
      <c r="CG112" s="399" t="n"/>
      <c r="CH112" s="320" t="n"/>
      <c r="CI112" s="399" t="n"/>
      <c r="CJ112" s="320" t="n"/>
      <c r="CK112" s="399" t="n"/>
      <c r="CL112" s="320" t="n"/>
      <c r="CM112" s="399" t="n"/>
      <c r="CN112" s="320" t="n"/>
      <c r="CO112" s="234" t="n"/>
      <c r="CP112" s="320" t="n"/>
      <c r="CQ112" s="234" t="n"/>
      <c r="CR112" s="320" t="n"/>
      <c r="CS112" s="234" t="n"/>
      <c r="CT112" s="320" t="n"/>
      <c r="CU112" s="234" t="n"/>
      <c r="CW112" s="320" t="n"/>
      <c r="CX112" s="232" t="n"/>
      <c r="CY112" s="320" t="n"/>
      <c r="CZ112" s="232" t="n"/>
      <c r="DA112" s="320" t="n"/>
      <c r="DB112" s="232" t="n"/>
      <c r="DC112" s="320" t="n"/>
      <c r="DD112" s="232" t="n"/>
      <c r="DE112" s="235" t="n"/>
      <c r="DF112" s="400" t="n"/>
      <c r="DG112" s="202" t="n"/>
      <c r="DH112" s="202" t="n"/>
      <c r="DI112" s="202" t="n"/>
      <c r="DZ112" s="202" t="n"/>
      <c r="EI112" s="202" t="n"/>
      <c r="EJ112" s="202" t="n"/>
      <c r="EK112" s="202" t="n"/>
      <c r="EL112" s="202" t="n"/>
      <c r="EM112" s="202" t="n"/>
    </row>
    <row r="113" customFormat="1" s="116">
      <c r="A113" s="376" t="n">
        <v>44985</v>
      </c>
      <c r="B113" s="315" t="n">
        <v>16028.7</v>
      </c>
      <c r="C113" s="111">
        <f>B113/B101-1</f>
        <v/>
      </c>
      <c r="D113" s="111">
        <f>B113/B65-1</f>
        <v/>
      </c>
      <c r="E113" s="315" t="n">
        <v>14654.4</v>
      </c>
      <c r="F113" s="111">
        <f>E113/E101-1</f>
        <v/>
      </c>
      <c r="G113" s="111">
        <f>E113/E65-1</f>
        <v/>
      </c>
      <c r="H113" s="315" t="n">
        <v>984</v>
      </c>
      <c r="I113" s="111">
        <f>H113/H101-1</f>
        <v/>
      </c>
      <c r="J113" s="111">
        <f>H113/H65-1</f>
        <v/>
      </c>
      <c r="K113" s="315" t="n">
        <v>390.4</v>
      </c>
      <c r="L113" s="111">
        <f>K113/K101-1</f>
        <v/>
      </c>
      <c r="M113" s="111">
        <f>K113/K65-1</f>
        <v/>
      </c>
      <c r="N113" s="315" t="n">
        <v>11641.6</v>
      </c>
      <c r="O113" s="111">
        <f>N113/N101-1</f>
        <v/>
      </c>
      <c r="P113" s="111">
        <f>N113/N65-1</f>
        <v/>
      </c>
      <c r="Q113" s="315" t="n">
        <v>10804.9</v>
      </c>
      <c r="R113" s="111">
        <f>Q113/Q101-1</f>
        <v/>
      </c>
      <c r="S113" s="111">
        <f>Q113/Q65-1</f>
        <v/>
      </c>
      <c r="T113" s="315" t="n">
        <v>594.8</v>
      </c>
      <c r="U113" s="111">
        <f>T113/T101-1</f>
        <v/>
      </c>
      <c r="V113" s="111">
        <f>T113/T65-1</f>
        <v/>
      </c>
      <c r="W113" s="315" t="n">
        <v>241.9</v>
      </c>
      <c r="X113" s="111">
        <f>W113/W101-1</f>
        <v/>
      </c>
      <c r="Y113" s="111">
        <f>W113/W65-1</f>
        <v/>
      </c>
      <c r="Z113" s="315" t="n">
        <v>7229.3</v>
      </c>
      <c r="AA113" s="111">
        <f>Z113/Z101-1</f>
        <v/>
      </c>
      <c r="AB113" s="111">
        <f>Z113/Z65-1</f>
        <v/>
      </c>
      <c r="AC113" s="315" t="n">
        <v>6978.4</v>
      </c>
      <c r="AD113" s="111">
        <f>AC113/AC101-1</f>
        <v/>
      </c>
      <c r="AE113" s="111">
        <f>AC113/AC65-1</f>
        <v/>
      </c>
      <c r="AF113" s="315" t="n">
        <v>102.6</v>
      </c>
      <c r="AG113" s="111">
        <f>AF113/AF101-1</f>
        <v/>
      </c>
      <c r="AH113" s="111">
        <f>AF113/AF65-1</f>
        <v/>
      </c>
      <c r="AI113" s="315" t="n">
        <v>148.3</v>
      </c>
      <c r="AJ113" s="111">
        <f>AI113/AI101-1</f>
        <v/>
      </c>
      <c r="AK113" s="111">
        <f>AI113/AI65-1</f>
        <v/>
      </c>
      <c r="AL113" s="316" t="n">
        <v>72.59999999999999</v>
      </c>
      <c r="AM113" s="380">
        <f>AL113-AL101</f>
        <v/>
      </c>
      <c r="AN113" s="380">
        <f>AL113-AL65</f>
        <v/>
      </c>
      <c r="AO113" s="316" t="n">
        <v>73.7</v>
      </c>
      <c r="AP113" s="380">
        <f>AO113-AO101</f>
        <v/>
      </c>
      <c r="AQ113" s="380">
        <f>AO113-AO65</f>
        <v/>
      </c>
      <c r="AR113" s="316" t="n">
        <v>60.4</v>
      </c>
      <c r="AS113" s="380">
        <f>AR113-AR101</f>
        <v/>
      </c>
      <c r="AT113" s="380">
        <f>AR113-AR65</f>
        <v/>
      </c>
      <c r="AU113" s="316" t="n">
        <v>62</v>
      </c>
      <c r="AV113" s="380">
        <f>AU113-AU101</f>
        <v/>
      </c>
      <c r="AW113" s="380">
        <f>AU113-AU65</f>
        <v/>
      </c>
      <c r="AX113" s="377" t="n">
        <v>764</v>
      </c>
      <c r="AY113" s="111">
        <f>AX113/AX101-1</f>
        <v/>
      </c>
      <c r="AZ113" s="111">
        <f>AX113/AX65-1</f>
        <v/>
      </c>
      <c r="BA113" s="317" t="n"/>
      <c r="BB113" s="317" t="n"/>
      <c r="BC113" s="317" t="n"/>
      <c r="BD113" s="317" t="n"/>
      <c r="BE113" s="317" t="n"/>
      <c r="BF113" s="317" t="n"/>
      <c r="BG113" s="317" t="n"/>
      <c r="BH113" s="317" t="n"/>
      <c r="BI113" s="317" t="n"/>
      <c r="BJ113" s="317" t="n"/>
      <c r="BK113" s="318" t="n"/>
      <c r="BL113" s="317" t="n"/>
      <c r="BM113" s="317" t="n"/>
      <c r="BN113" s="317" t="n"/>
      <c r="BO113" s="317" t="n"/>
      <c r="BP113" s="317" t="n"/>
      <c r="BQ113" s="317" t="n"/>
      <c r="BR113" s="317" t="n"/>
      <c r="BS113" s="317" t="n"/>
      <c r="BT113" s="317" t="n"/>
      <c r="BU113" s="317" t="n"/>
      <c r="BV113" s="317" t="n"/>
      <c r="BW113" s="317" t="n"/>
      <c r="BX113" s="317" t="n"/>
      <c r="BY113" s="317" t="n"/>
      <c r="BZ113" s="317" t="n"/>
      <c r="CA113" s="317" t="n"/>
      <c r="CB113" s="317" t="n"/>
      <c r="CC113" s="317" t="n"/>
      <c r="CD113" s="317" t="n"/>
      <c r="CE113" s="317" t="n"/>
      <c r="CF113" s="317" t="n"/>
      <c r="CG113" s="317" t="n"/>
      <c r="CH113" s="317" t="n"/>
      <c r="CI113" s="317" t="n"/>
      <c r="CJ113" s="317" t="n"/>
      <c r="CK113" s="317" t="n"/>
      <c r="CL113" s="317" t="n"/>
      <c r="CM113" s="317" t="n"/>
      <c r="CN113" s="317" t="n"/>
      <c r="CW113" s="317" t="n"/>
      <c r="CX113" s="317" t="n"/>
      <c r="CY113" s="317" t="n"/>
      <c r="CZ113" s="317" t="n"/>
      <c r="DA113" s="317" t="n"/>
      <c r="DB113" s="317" t="n"/>
      <c r="DC113" s="317" t="n"/>
      <c r="DD113" s="317" t="n"/>
      <c r="DE113" s="319" t="n"/>
      <c r="DF113" s="319" t="n"/>
    </row>
    <row r="114" customFormat="1" s="116">
      <c r="A114" s="401" t="n">
        <v>45016</v>
      </c>
      <c r="B114" s="315" t="n">
        <v>21499.3</v>
      </c>
      <c r="C114" s="111">
        <f>B114/B102-1</f>
        <v/>
      </c>
      <c r="D114" s="111">
        <f>B114/B66-1</f>
        <v/>
      </c>
      <c r="E114" s="315" t="n">
        <v>19374.8</v>
      </c>
      <c r="F114" s="111">
        <f>E114/E102-1</f>
        <v/>
      </c>
      <c r="G114" s="111">
        <f>E114/E66-1</f>
        <v/>
      </c>
      <c r="H114" s="315" t="n">
        <v>1620.3</v>
      </c>
      <c r="I114" s="111">
        <f>H114/H102-1</f>
        <v/>
      </c>
      <c r="J114" s="111">
        <f>H114/H66-1</f>
        <v/>
      </c>
      <c r="K114" s="315" t="n">
        <v>504.2</v>
      </c>
      <c r="L114" s="111">
        <f>K114/K102-1</f>
        <v/>
      </c>
      <c r="M114" s="111">
        <f>K114/K66-1</f>
        <v/>
      </c>
      <c r="N114" s="315" t="n">
        <v>14953.4</v>
      </c>
      <c r="O114" s="111">
        <f>N114/N102-1</f>
        <v/>
      </c>
      <c r="P114" s="111">
        <f>N114/N66-1</f>
        <v/>
      </c>
      <c r="Q114" s="315" t="n">
        <v>13610.6</v>
      </c>
      <c r="R114" s="111">
        <f>Q114/Q102-1</f>
        <v/>
      </c>
      <c r="S114" s="111">
        <f>Q114/Q66-1</f>
        <v/>
      </c>
      <c r="T114" s="315" t="n">
        <v>1014.4</v>
      </c>
      <c r="U114" s="111">
        <f>T114/T102-1</f>
        <v/>
      </c>
      <c r="V114" s="111">
        <f>T114/T66-1</f>
        <v/>
      </c>
      <c r="W114" s="315" t="n">
        <v>328.4</v>
      </c>
      <c r="X114" s="111">
        <f>W114/W102-1</f>
        <v/>
      </c>
      <c r="Y114" s="111">
        <f>W114/W66-1</f>
        <v/>
      </c>
      <c r="Z114" s="315" t="n">
        <v>9369.5</v>
      </c>
      <c r="AA114" s="111">
        <f>Z114/Z102-1</f>
        <v/>
      </c>
      <c r="AB114" s="111">
        <f>Z114/Z66-1</f>
        <v/>
      </c>
      <c r="AC114" s="315" t="n">
        <v>8971.5</v>
      </c>
      <c r="AD114" s="111">
        <f>AC114/AC102-1</f>
        <v/>
      </c>
      <c r="AE114" s="111">
        <f>AC114/AC66-1</f>
        <v/>
      </c>
      <c r="AF114" s="315" t="n">
        <v>196.1</v>
      </c>
      <c r="AG114" s="111">
        <f>AF114/AF102-1</f>
        <v/>
      </c>
      <c r="AH114" s="111">
        <f>AF114/AF66-1</f>
        <v/>
      </c>
      <c r="AI114" s="315" t="n">
        <v>202</v>
      </c>
      <c r="AJ114" s="111">
        <f>AI114/AI102-1</f>
        <v/>
      </c>
      <c r="AK114" s="111">
        <f>AI114/AI66-1</f>
        <v/>
      </c>
      <c r="AL114" s="316" t="n">
        <v>69.59999999999999</v>
      </c>
      <c r="AM114" s="380">
        <f>AL114-AL102</f>
        <v/>
      </c>
      <c r="AN114" s="380">
        <f>AL114-AL66</f>
        <v/>
      </c>
      <c r="AO114" s="316" t="n">
        <v>70.2</v>
      </c>
      <c r="AP114" s="380">
        <f>AO114-AO102</f>
        <v/>
      </c>
      <c r="AQ114" s="380">
        <f>AO114-AO66</f>
        <v/>
      </c>
      <c r="AR114" s="316" t="n">
        <v>62.6</v>
      </c>
      <c r="AS114" s="380">
        <f>AR114-AR102</f>
        <v/>
      </c>
      <c r="AT114" s="380">
        <f>AR114-AR66</f>
        <v/>
      </c>
      <c r="AU114" s="316" t="n">
        <v>65.09999999999999</v>
      </c>
      <c r="AV114" s="380">
        <f>AU114-AU102</f>
        <v/>
      </c>
      <c r="AW114" s="380">
        <f>AU114-AU66</f>
        <v/>
      </c>
      <c r="AX114" s="377" t="n">
        <v>896</v>
      </c>
      <c r="AY114" s="111">
        <f>AX114/AX102-1</f>
        <v/>
      </c>
      <c r="AZ114" s="111">
        <f>AX114/AX66-1</f>
        <v/>
      </c>
      <c r="BA114" s="317" t="n"/>
      <c r="BB114" s="317" t="n"/>
      <c r="BC114" s="317" t="n"/>
      <c r="BD114" s="317" t="n"/>
      <c r="BE114" s="317" t="n"/>
      <c r="BF114" s="317" t="n"/>
      <c r="BG114" s="317" t="n"/>
      <c r="BH114" s="317" t="n"/>
      <c r="BI114" s="317" t="n"/>
      <c r="BJ114" s="317" t="n"/>
      <c r="BK114" s="318" t="n"/>
      <c r="BL114" s="317" t="n"/>
      <c r="BM114" s="317" t="n"/>
      <c r="BN114" s="317" t="n"/>
      <c r="BO114" s="317" t="n"/>
      <c r="BP114" s="317" t="n"/>
      <c r="BQ114" s="317" t="n"/>
      <c r="BR114" s="317" t="n"/>
      <c r="BS114" s="317" t="n"/>
      <c r="BT114" s="317" t="n"/>
      <c r="BU114" s="317" t="n"/>
      <c r="BV114" s="317" t="n"/>
      <c r="BW114" s="317" t="n"/>
      <c r="BX114" s="317" t="n"/>
      <c r="BY114" s="317" t="n"/>
      <c r="BZ114" s="317" t="n"/>
      <c r="CA114" s="317" t="n"/>
      <c r="CB114" s="317" t="n"/>
      <c r="CC114" s="317" t="n"/>
      <c r="CD114" s="317" t="n"/>
      <c r="CE114" s="317" t="n"/>
      <c r="CF114" s="317" t="n"/>
      <c r="CG114" s="317" t="n"/>
      <c r="CH114" s="317" t="n"/>
      <c r="CI114" s="317" t="n"/>
      <c r="CJ114" s="317" t="n"/>
      <c r="CK114" s="317" t="n"/>
      <c r="CL114" s="317" t="n"/>
      <c r="CM114" s="317" t="n"/>
      <c r="CN114" s="317" t="n"/>
      <c r="CW114" s="317" t="n"/>
      <c r="CX114" s="317" t="n"/>
      <c r="CY114" s="317" t="n"/>
      <c r="CZ114" s="317" t="n"/>
      <c r="DA114" s="317" t="n"/>
      <c r="DB114" s="317" t="n"/>
      <c r="DC114" s="317" t="n"/>
      <c r="DD114" s="317" t="n"/>
      <c r="DE114" s="319" t="n"/>
      <c r="DF114" s="319" t="n"/>
    </row>
    <row r="115" customFormat="1" s="116">
      <c r="A115" s="376" t="n">
        <v>45046</v>
      </c>
      <c r="B115" s="315" t="n">
        <v>24295</v>
      </c>
      <c r="C115" s="111">
        <f>B115/B103-1</f>
        <v/>
      </c>
      <c r="D115" s="111">
        <f>B115/B67-1</f>
        <v/>
      </c>
      <c r="E115" s="315" t="n">
        <v>20741.5</v>
      </c>
      <c r="F115" s="111">
        <f>E115/E103-1</f>
        <v/>
      </c>
      <c r="G115" s="111">
        <f>E115/E67-1</f>
        <v/>
      </c>
      <c r="H115" s="315" t="n">
        <v>2960.9</v>
      </c>
      <c r="I115" s="111">
        <f>H115/H103-1</f>
        <v/>
      </c>
      <c r="J115" s="111">
        <f>H115/H67-1</f>
        <v/>
      </c>
      <c r="K115" s="315" t="n">
        <v>592.7</v>
      </c>
      <c r="L115" s="111">
        <f>K115/K103-1</f>
        <v/>
      </c>
      <c r="M115" s="111">
        <f>K115/K67-1</f>
        <v/>
      </c>
      <c r="N115" s="315" t="n">
        <v>17151</v>
      </c>
      <c r="O115" s="111">
        <f>N115/N103-1</f>
        <v/>
      </c>
      <c r="P115" s="111">
        <f>N115/N67-1</f>
        <v/>
      </c>
      <c r="Q115" s="315" t="n">
        <v>15018</v>
      </c>
      <c r="R115" s="111">
        <f>Q115/Q103-1</f>
        <v/>
      </c>
      <c r="S115" s="111">
        <f>Q115/Q67-1</f>
        <v/>
      </c>
      <c r="T115" s="315" t="n">
        <v>1746.8</v>
      </c>
      <c r="U115" s="111">
        <f>T115/T103-1</f>
        <v/>
      </c>
      <c r="V115" s="111">
        <f>T115/T67-1</f>
        <v/>
      </c>
      <c r="W115" s="315" t="n">
        <v>386.2</v>
      </c>
      <c r="X115" s="111">
        <f>W115/W103-1</f>
        <v/>
      </c>
      <c r="Y115" s="111">
        <f>W115/W67-1</f>
        <v/>
      </c>
      <c r="Z115" s="315" t="n">
        <v>10517</v>
      </c>
      <c r="AA115" s="111">
        <f>Z115/Z103-1</f>
        <v/>
      </c>
      <c r="AB115" s="111">
        <f>Z115/Z67-1</f>
        <v/>
      </c>
      <c r="AC115" s="315" t="n">
        <v>9922.6</v>
      </c>
      <c r="AD115" s="111">
        <f>AC115/AC103-1</f>
        <v/>
      </c>
      <c r="AE115" s="111">
        <f>AC115/AC67-1</f>
        <v/>
      </c>
      <c r="AF115" s="315" t="n">
        <v>350.9</v>
      </c>
      <c r="AG115" s="111">
        <f>AF115/AF103-1</f>
        <v/>
      </c>
      <c r="AH115" s="111">
        <f>AF115/AF67-1</f>
        <v/>
      </c>
      <c r="AI115" s="315" t="n">
        <v>243.5</v>
      </c>
      <c r="AJ115" s="111">
        <f>AI115/AI103-1</f>
        <v/>
      </c>
      <c r="AK115" s="111">
        <f>AI115/AI67-1</f>
        <v/>
      </c>
      <c r="AL115" s="316" t="n">
        <v>70.59999999999999</v>
      </c>
      <c r="AM115" s="380">
        <f>AL115-AL103</f>
        <v/>
      </c>
      <c r="AN115" s="380">
        <f>AL115-AL67</f>
        <v/>
      </c>
      <c r="AO115" s="316" t="n">
        <v>72.40000000000001</v>
      </c>
      <c r="AP115" s="380">
        <f>AO115-AO103</f>
        <v/>
      </c>
      <c r="AQ115" s="380">
        <f>AO115-AO67</f>
        <v/>
      </c>
      <c r="AR115" s="316" t="n">
        <v>59</v>
      </c>
      <c r="AS115" s="380">
        <f>AR115-AR103</f>
        <v/>
      </c>
      <c r="AT115" s="380">
        <f>AR115-AR67</f>
        <v/>
      </c>
      <c r="AU115" s="316" t="n">
        <v>65.2</v>
      </c>
      <c r="AV115" s="380">
        <f>AU115-AU103</f>
        <v/>
      </c>
      <c r="AW115" s="380">
        <f>AU115-AU67</f>
        <v/>
      </c>
      <c r="AX115" s="377" t="n">
        <v>896</v>
      </c>
      <c r="AY115" s="111">
        <f>AX115/AX103-1</f>
        <v/>
      </c>
      <c r="AZ115" s="111">
        <f>AX115/AX67-1</f>
        <v/>
      </c>
      <c r="BA115" s="317" t="n"/>
      <c r="BB115" s="317" t="n"/>
      <c r="BC115" s="317" t="n"/>
      <c r="BD115" s="317" t="n"/>
      <c r="BE115" s="317" t="n"/>
      <c r="BF115" s="317" t="n"/>
      <c r="BG115" s="317" t="n"/>
      <c r="BH115" s="317" t="n"/>
      <c r="BI115" s="317" t="n"/>
      <c r="BJ115" s="317" t="n"/>
      <c r="BK115" s="318" t="n"/>
      <c r="BL115" s="317" t="n"/>
      <c r="BM115" s="317" t="n"/>
      <c r="BN115" s="317" t="n"/>
      <c r="BO115" s="317" t="n"/>
      <c r="BP115" s="317" t="n"/>
      <c r="BQ115" s="317" t="n"/>
      <c r="BR115" s="317" t="n"/>
      <c r="BS115" s="317" t="n"/>
      <c r="BT115" s="317" t="n"/>
      <c r="BU115" s="317" t="n"/>
      <c r="BV115" s="317" t="n"/>
      <c r="BW115" s="317" t="n"/>
      <c r="BX115" s="317" t="n"/>
      <c r="BY115" s="317" t="n"/>
      <c r="BZ115" s="317" t="n"/>
      <c r="CA115" s="317" t="n"/>
      <c r="CB115" s="317" t="n"/>
      <c r="CC115" s="317" t="n"/>
      <c r="CD115" s="317" t="n"/>
      <c r="CE115" s="317" t="n"/>
      <c r="CF115" s="317" t="n"/>
      <c r="CG115" s="317" t="n"/>
      <c r="CH115" s="317" t="n"/>
      <c r="CI115" s="317" t="n"/>
      <c r="CJ115" s="317" t="n"/>
      <c r="CK115" s="317" t="n"/>
      <c r="CL115" s="317" t="n"/>
      <c r="CM115" s="317" t="n"/>
      <c r="CN115" s="317" t="n"/>
      <c r="CW115" s="317" t="n"/>
      <c r="CX115" s="317" t="n"/>
      <c r="CY115" s="317" t="n"/>
      <c r="CZ115" s="317" t="n"/>
      <c r="DA115" s="317" t="n"/>
      <c r="DB115" s="317" t="n"/>
      <c r="DC115" s="317" t="n"/>
      <c r="DD115" s="317" t="n"/>
      <c r="DE115" s="319" t="n"/>
      <c r="DF115" s="319" t="n"/>
    </row>
    <row r="116" customFormat="1" s="116">
      <c r="A116" s="376" t="n">
        <v>45077</v>
      </c>
      <c r="B116" s="315" t="n">
        <v>25588.3</v>
      </c>
      <c r="C116" s="111">
        <f>B116/B104-1</f>
        <v/>
      </c>
      <c r="D116" s="111">
        <f>B116/B68-1</f>
        <v/>
      </c>
      <c r="E116" s="315" t="n">
        <v>21319.5</v>
      </c>
      <c r="F116" s="111">
        <f>E116/E104-1</f>
        <v/>
      </c>
      <c r="G116" s="111">
        <f>E116/E68-1</f>
        <v/>
      </c>
      <c r="H116" s="315" t="n">
        <v>3625.7</v>
      </c>
      <c r="I116" s="111">
        <f>H116/H104-1</f>
        <v/>
      </c>
      <c r="J116" s="111">
        <f>H116/H68-1</f>
        <v/>
      </c>
      <c r="K116" s="315" t="n">
        <v>643.1</v>
      </c>
      <c r="L116" s="111">
        <f>K116/K104-1</f>
        <v/>
      </c>
      <c r="M116" s="111">
        <f>K116/K68-1</f>
        <v/>
      </c>
      <c r="N116" s="315" t="n">
        <v>17438.6</v>
      </c>
      <c r="O116" s="111">
        <f>N116/N104-1</f>
        <v/>
      </c>
      <c r="P116" s="111">
        <f>N116/N68-1</f>
        <v/>
      </c>
      <c r="Q116" s="315" t="n">
        <v>14990.7</v>
      </c>
      <c r="R116" s="111">
        <f>Q116/Q104-1</f>
        <v/>
      </c>
      <c r="S116" s="111">
        <f>Q116/Q68-1</f>
        <v/>
      </c>
      <c r="T116" s="315" t="n">
        <v>2056.6</v>
      </c>
      <c r="U116" s="111">
        <f>T116/T104-1</f>
        <v/>
      </c>
      <c r="V116" s="111">
        <f>T116/T68-1</f>
        <v/>
      </c>
      <c r="W116" s="315" t="n">
        <v>391.3</v>
      </c>
      <c r="X116" s="111">
        <f>W116/W104-1</f>
        <v/>
      </c>
      <c r="Y116" s="111">
        <f>W116/W68-1</f>
        <v/>
      </c>
      <c r="Z116" s="315" t="n">
        <v>10603.2</v>
      </c>
      <c r="AA116" s="111">
        <f>Z116/Z104-1</f>
        <v/>
      </c>
      <c r="AB116" s="111">
        <f>Z116/Z68-1</f>
        <v/>
      </c>
      <c r="AC116" s="315" t="n">
        <v>9926.1</v>
      </c>
      <c r="AD116" s="111">
        <f>AC116/AC104-1</f>
        <v/>
      </c>
      <c r="AE116" s="111">
        <f>AC116/AC68-1</f>
        <v/>
      </c>
      <c r="AF116" s="315" t="n">
        <v>431.9</v>
      </c>
      <c r="AG116" s="111">
        <f>AF116/AF104-1</f>
        <v/>
      </c>
      <c r="AH116" s="111">
        <f>AF116/AF68-1</f>
        <v/>
      </c>
      <c r="AI116" s="315" t="n">
        <v>245.3</v>
      </c>
      <c r="AJ116" s="111">
        <f>AI116/AI104-1</f>
        <v/>
      </c>
      <c r="AK116" s="111">
        <f>AI116/AI68-1</f>
        <v/>
      </c>
      <c r="AL116" s="316" t="n">
        <v>68.2</v>
      </c>
      <c r="AM116" s="380">
        <f>AL116-AL104</f>
        <v/>
      </c>
      <c r="AN116" s="380">
        <f>AL116-AL68</f>
        <v/>
      </c>
      <c r="AO116" s="316" t="n">
        <v>70.3</v>
      </c>
      <c r="AP116" s="380">
        <f>AO116-AO104</f>
        <v/>
      </c>
      <c r="AQ116" s="380">
        <f>AO116-AO68</f>
        <v/>
      </c>
      <c r="AR116" s="316" t="n">
        <v>56.7</v>
      </c>
      <c r="AS116" s="380">
        <f>AR116-AR104</f>
        <v/>
      </c>
      <c r="AT116" s="380">
        <f>AR116-AR68</f>
        <v/>
      </c>
      <c r="AU116" s="316" t="n">
        <v>60.8</v>
      </c>
      <c r="AV116" s="380">
        <f>AU116-AU104</f>
        <v/>
      </c>
      <c r="AW116" s="380">
        <f>AU116-AU68</f>
        <v/>
      </c>
      <c r="AX116" s="377" t="n">
        <v>899</v>
      </c>
      <c r="AY116" s="111">
        <f>AX116/AX104-1</f>
        <v/>
      </c>
      <c r="AZ116" s="111">
        <f>AX116/AX68-1</f>
        <v/>
      </c>
      <c r="BA116" s="317" t="n"/>
      <c r="BB116" s="317" t="n"/>
      <c r="BC116" s="317" t="n"/>
      <c r="BD116" s="317" t="n"/>
      <c r="BE116" s="317" t="n"/>
      <c r="BF116" s="317" t="n"/>
      <c r="BG116" s="317" t="n"/>
      <c r="BH116" s="317" t="n"/>
      <c r="BI116" s="317" t="n"/>
      <c r="BJ116" s="317" t="n"/>
      <c r="BK116" s="318" t="n"/>
      <c r="BL116" s="317" t="n"/>
      <c r="BM116" s="317" t="n"/>
      <c r="BN116" s="317" t="n"/>
      <c r="BO116" s="317" t="n"/>
      <c r="BP116" s="317" t="n"/>
      <c r="BQ116" s="317" t="n"/>
      <c r="BR116" s="317" t="n"/>
      <c r="BS116" s="317" t="n"/>
      <c r="BT116" s="317" t="n"/>
      <c r="BU116" s="317" t="n"/>
      <c r="BV116" s="317" t="n"/>
      <c r="BW116" s="317" t="n"/>
      <c r="BX116" s="317" t="n"/>
      <c r="BY116" s="317" t="n"/>
      <c r="BZ116" s="317" t="n"/>
      <c r="CA116" s="317" t="n"/>
      <c r="CB116" s="317" t="n"/>
      <c r="CC116" s="317" t="n"/>
      <c r="CD116" s="317" t="n"/>
      <c r="CE116" s="317" t="n"/>
      <c r="CF116" s="317" t="n"/>
      <c r="CG116" s="317" t="n"/>
      <c r="CH116" s="317" t="n"/>
      <c r="CI116" s="317" t="n"/>
      <c r="CJ116" s="317" t="n"/>
      <c r="CK116" s="317" t="n"/>
      <c r="CL116" s="317" t="n"/>
      <c r="CM116" s="317" t="n"/>
      <c r="CN116" s="317" t="n"/>
      <c r="CW116" s="317" t="n"/>
      <c r="CX116" s="317" t="n"/>
      <c r="CY116" s="317" t="n"/>
      <c r="CZ116" s="317" t="n"/>
      <c r="DA116" s="317" t="n"/>
      <c r="DB116" s="317" t="n"/>
      <c r="DC116" s="317" t="n"/>
      <c r="DD116" s="317" t="n"/>
      <c r="DE116" s="319" t="n"/>
      <c r="DF116" s="319" t="n"/>
    </row>
    <row r="117" customFormat="1" s="116">
      <c r="A117" s="402" t="n">
        <v>45107</v>
      </c>
      <c r="B117" s="315" t="n">
        <v>25780.5</v>
      </c>
      <c r="C117" s="111">
        <f>B117/B105-1</f>
        <v/>
      </c>
      <c r="D117" s="111">
        <f>B117/B69-1</f>
        <v/>
      </c>
      <c r="E117" s="315" t="n">
        <v>20834</v>
      </c>
      <c r="F117" s="111">
        <f>E117/E105-1</f>
        <v/>
      </c>
      <c r="G117" s="111">
        <f>E117/E69-1</f>
        <v/>
      </c>
      <c r="H117" s="315" t="n">
        <v>4289.8</v>
      </c>
      <c r="I117" s="111">
        <f>H117/H105-1</f>
        <v/>
      </c>
      <c r="J117" s="111">
        <f>H117/H69-1</f>
        <v/>
      </c>
      <c r="K117" s="315" t="n">
        <v>656.7</v>
      </c>
      <c r="L117" s="111">
        <f>K117/K105-1</f>
        <v/>
      </c>
      <c r="M117" s="111">
        <f>K117/K69-1</f>
        <v/>
      </c>
      <c r="N117" s="315" t="n">
        <v>18739.6</v>
      </c>
      <c r="O117" s="111">
        <f>N117/N105-1</f>
        <v/>
      </c>
      <c r="P117" s="111">
        <f>N117/N69-1</f>
        <v/>
      </c>
      <c r="Q117" s="315" t="n">
        <v>15486</v>
      </c>
      <c r="R117" s="111">
        <f>Q117/Q105-1</f>
        <v/>
      </c>
      <c r="S117" s="111">
        <f>Q117/Q69-1</f>
        <v/>
      </c>
      <c r="T117" s="315" t="n">
        <v>2819.8</v>
      </c>
      <c r="U117" s="111">
        <f>T117/T105-1</f>
        <v/>
      </c>
      <c r="V117" s="111">
        <f>T117/T69-1</f>
        <v/>
      </c>
      <c r="W117" s="315" t="n">
        <v>433.8</v>
      </c>
      <c r="X117" s="111">
        <f>W117/W105-1</f>
        <v/>
      </c>
      <c r="Y117" s="111">
        <f>W117/W69-1</f>
        <v/>
      </c>
      <c r="Z117" s="315" t="n">
        <v>11049.4</v>
      </c>
      <c r="AA117" s="111">
        <f>Z117/Z105-1</f>
        <v/>
      </c>
      <c r="AB117" s="111">
        <f>Z117/Z69-1</f>
        <v/>
      </c>
      <c r="AC117" s="315" t="n">
        <v>10193</v>
      </c>
      <c r="AD117" s="111">
        <f>AC117/AC105-1</f>
        <v/>
      </c>
      <c r="AE117" s="111">
        <f>AC117/AC69-1</f>
        <v/>
      </c>
      <c r="AF117" s="315" t="n">
        <v>585.7</v>
      </c>
      <c r="AG117" s="111">
        <f>AF117/AF105-1</f>
        <v/>
      </c>
      <c r="AH117" s="111">
        <f>AF117/AF69-1</f>
        <v/>
      </c>
      <c r="AI117" s="315" t="n">
        <v>270.7</v>
      </c>
      <c r="AJ117" s="111">
        <f>AI117/AI105-1</f>
        <v/>
      </c>
      <c r="AK117" s="111">
        <f>AI117/AI69-1</f>
        <v/>
      </c>
      <c r="AL117" s="316" t="n">
        <v>72.7</v>
      </c>
      <c r="AM117" s="380">
        <f>AL117-AL105</f>
        <v/>
      </c>
      <c r="AN117" s="380">
        <f>AL117-AL69</f>
        <v/>
      </c>
      <c r="AO117" s="316" t="n">
        <v>74.3</v>
      </c>
      <c r="AP117" s="380">
        <f>AO117-AO105</f>
        <v/>
      </c>
      <c r="AQ117" s="380">
        <f>AO117-AO69</f>
        <v/>
      </c>
      <c r="AR117" s="316" t="n">
        <v>65.7</v>
      </c>
      <c r="AS117" s="380">
        <f>AR117-AR105</f>
        <v/>
      </c>
      <c r="AT117" s="380">
        <f>AR117-AR69</f>
        <v/>
      </c>
      <c r="AU117" s="316" t="n">
        <v>66.09999999999999</v>
      </c>
      <c r="AV117" s="380">
        <f>AU117-AU105</f>
        <v/>
      </c>
      <c r="AW117" s="380">
        <f>AU117-AU69</f>
        <v/>
      </c>
      <c r="AX117" s="377" t="n">
        <v>902</v>
      </c>
      <c r="AY117" s="111">
        <f>AX117/AX105-1</f>
        <v/>
      </c>
      <c r="AZ117" s="111">
        <f>AX117/AX69-1</f>
        <v/>
      </c>
      <c r="BA117" s="317" t="n"/>
      <c r="BB117" s="317" t="n"/>
      <c r="BC117" s="317" t="n"/>
      <c r="BD117" s="317" t="n"/>
      <c r="BE117" s="317" t="n"/>
      <c r="BF117" s="317" t="n"/>
      <c r="BG117" s="317" t="n"/>
      <c r="BH117" s="317" t="n"/>
      <c r="BI117" s="317" t="n"/>
      <c r="BJ117" s="317" t="n"/>
      <c r="BK117" s="318" t="n"/>
      <c r="BL117" s="317" t="n"/>
      <c r="BM117" s="317" t="n"/>
      <c r="BN117" s="317" t="n"/>
      <c r="BO117" s="317" t="n"/>
      <c r="BP117" s="317" t="n"/>
      <c r="BQ117" s="317" t="n"/>
      <c r="BR117" s="317" t="n"/>
      <c r="BS117" s="317" t="n"/>
      <c r="BT117" s="317" t="n"/>
      <c r="BU117" s="317" t="n"/>
      <c r="BV117" s="317" t="n"/>
      <c r="BW117" s="317" t="n"/>
      <c r="BX117" s="317" t="n"/>
      <c r="BY117" s="317" t="n"/>
      <c r="BZ117" s="317" t="n"/>
      <c r="CA117" s="317" t="n"/>
      <c r="CB117" s="317" t="n"/>
      <c r="CC117" s="317" t="n"/>
      <c r="CD117" s="317" t="n"/>
      <c r="CE117" s="317" t="n"/>
      <c r="CF117" s="317" t="n"/>
      <c r="CG117" s="317" t="n"/>
      <c r="CH117" s="317" t="n"/>
      <c r="CI117" s="317" t="n"/>
      <c r="CJ117" s="317" t="n"/>
      <c r="CK117" s="317" t="n"/>
      <c r="CL117" s="317" t="n"/>
      <c r="CM117" s="317" t="n"/>
      <c r="CN117" s="317" t="n"/>
      <c r="CW117" s="317" t="n"/>
      <c r="CX117" s="317" t="n"/>
      <c r="CY117" s="317" t="n"/>
      <c r="CZ117" s="317" t="n"/>
      <c r="DA117" s="317" t="n"/>
      <c r="DB117" s="317" t="n"/>
      <c r="DC117" s="317" t="n"/>
      <c r="DD117" s="317" t="n"/>
      <c r="DE117" s="319" t="n"/>
      <c r="DF117" s="319" t="n"/>
    </row>
    <row r="118" customFormat="1" s="116">
      <c r="A118" s="402" t="n">
        <v>45138</v>
      </c>
      <c r="B118" s="315" t="n">
        <v>29368.2</v>
      </c>
      <c r="C118" s="111">
        <f>B118/B106-1</f>
        <v/>
      </c>
      <c r="D118" s="111">
        <f>B118/B70-1</f>
        <v/>
      </c>
      <c r="E118" s="315" t="n">
        <v>23639</v>
      </c>
      <c r="F118" s="111">
        <f>E118/E106-1</f>
        <v/>
      </c>
      <c r="G118" s="111">
        <f>E118/E70-1</f>
        <v/>
      </c>
      <c r="H118" s="315" t="n">
        <v>4985.2</v>
      </c>
      <c r="I118" s="111">
        <f>H118/H106-1</f>
        <v/>
      </c>
      <c r="J118" s="111">
        <f>H118/H70-1</f>
        <v/>
      </c>
      <c r="K118" s="315" t="n">
        <v>744</v>
      </c>
      <c r="L118" s="111">
        <f>K118/K106-1</f>
        <v/>
      </c>
      <c r="M118" s="111">
        <f>K118/K70-1</f>
        <v/>
      </c>
      <c r="N118" s="315" t="n">
        <v>22135.7</v>
      </c>
      <c r="O118" s="111">
        <f>N118/N106-1</f>
        <v/>
      </c>
      <c r="P118" s="111">
        <f>N118/N70-1</f>
        <v/>
      </c>
      <c r="Q118" s="315" t="n">
        <v>17948.6</v>
      </c>
      <c r="R118" s="111">
        <f>Q118/Q106-1</f>
        <v/>
      </c>
      <c r="S118" s="111">
        <f>Q118/Q70-1</f>
        <v/>
      </c>
      <c r="T118" s="315" t="n">
        <v>3628.8</v>
      </c>
      <c r="U118" s="111">
        <f>T118/T106-1</f>
        <v/>
      </c>
      <c r="V118" s="111">
        <f>T118/T70-1</f>
        <v/>
      </c>
      <c r="W118" s="315" t="n">
        <v>558.3</v>
      </c>
      <c r="X118" s="111">
        <f>W118/W106-1</f>
        <v/>
      </c>
      <c r="Y118" s="111">
        <f>W118/W70-1</f>
        <v/>
      </c>
      <c r="Z118" s="315" t="n">
        <v>12796.8</v>
      </c>
      <c r="AA118" s="111">
        <f>Z118/Z106-1</f>
        <v/>
      </c>
      <c r="AB118" s="111">
        <f>Z118/Z70-1</f>
        <v/>
      </c>
      <c r="AC118" s="315" t="n">
        <v>11691.4</v>
      </c>
      <c r="AD118" s="111">
        <f>AC118/AC106-1</f>
        <v/>
      </c>
      <c r="AE118" s="111">
        <f>AC118/AC70-1</f>
        <v/>
      </c>
      <c r="AF118" s="315" t="n">
        <v>754.3</v>
      </c>
      <c r="AG118" s="111">
        <f>AF118/AF106-1</f>
        <v/>
      </c>
      <c r="AH118" s="111">
        <f>AF118/AF70-1</f>
        <v/>
      </c>
      <c r="AI118" s="315" t="n">
        <v>351.1</v>
      </c>
      <c r="AJ118" s="111">
        <f>AI118/AI106-1</f>
        <v/>
      </c>
      <c r="AK118" s="111">
        <f>AI118/AI70-1</f>
        <v/>
      </c>
      <c r="AL118" s="316" t="n">
        <v>75.40000000000001</v>
      </c>
      <c r="AM118" s="380">
        <f>AL118-AL106</f>
        <v/>
      </c>
      <c r="AN118" s="380">
        <f>AL118-AL70</f>
        <v/>
      </c>
      <c r="AO118" s="316" t="n">
        <v>75.90000000000001</v>
      </c>
      <c r="AP118" s="380">
        <f>AO118-AO106</f>
        <v/>
      </c>
      <c r="AQ118" s="380">
        <f>AO118-AO70</f>
        <v/>
      </c>
      <c r="AR118" s="316" t="n">
        <v>72.8</v>
      </c>
      <c r="AS118" s="380">
        <f>AR118-AR106</f>
        <v/>
      </c>
      <c r="AT118" s="380">
        <f>AR118-AR70</f>
        <v/>
      </c>
      <c r="AU118" s="316" t="n">
        <v>75</v>
      </c>
      <c r="AV118" s="380">
        <f>AU118-AU106</f>
        <v/>
      </c>
      <c r="AW118" s="380">
        <f>AU118-AU70</f>
        <v/>
      </c>
      <c r="AX118" s="377" t="n">
        <v>903</v>
      </c>
      <c r="AY118" s="111">
        <f>AX118/AX106-1</f>
        <v/>
      </c>
      <c r="AZ118" s="111">
        <f>AX118/AX70-1</f>
        <v/>
      </c>
      <c r="BA118" s="317" t="n"/>
      <c r="BB118" s="317" t="n"/>
      <c r="BC118" s="317" t="n"/>
      <c r="BD118" s="317" t="n"/>
      <c r="BE118" s="317" t="n"/>
      <c r="BF118" s="317" t="n"/>
      <c r="BG118" s="317" t="n"/>
      <c r="BH118" s="317" t="n"/>
      <c r="BI118" s="317" t="n"/>
      <c r="BJ118" s="317" t="n"/>
      <c r="BK118" s="318" t="n"/>
      <c r="BL118" s="317" t="n"/>
      <c r="BM118" s="317" t="n"/>
      <c r="BN118" s="317" t="n"/>
      <c r="BO118" s="317" t="n"/>
      <c r="BP118" s="317" t="n"/>
      <c r="BQ118" s="317" t="n"/>
      <c r="BR118" s="317" t="n"/>
      <c r="BS118" s="317" t="n"/>
      <c r="BT118" s="317" t="n"/>
      <c r="BU118" s="317" t="n"/>
      <c r="BV118" s="317" t="n"/>
      <c r="BW118" s="317" t="n"/>
      <c r="BX118" s="317" t="n"/>
      <c r="BY118" s="317" t="n"/>
      <c r="BZ118" s="317" t="n"/>
      <c r="CA118" s="317" t="n"/>
      <c r="CB118" s="317" t="n"/>
      <c r="CC118" s="317" t="n"/>
      <c r="CD118" s="317" t="n"/>
      <c r="CE118" s="317" t="n"/>
      <c r="CF118" s="317" t="n"/>
      <c r="CG118" s="317" t="n"/>
      <c r="CH118" s="317" t="n"/>
      <c r="CI118" s="317" t="n"/>
      <c r="CJ118" s="317" t="n"/>
      <c r="CK118" s="317" t="n"/>
      <c r="CL118" s="317" t="n"/>
      <c r="CM118" s="317" t="n"/>
      <c r="CN118" s="317" t="n"/>
      <c r="CW118" s="317" t="n"/>
      <c r="CX118" s="317" t="n"/>
      <c r="CY118" s="317" t="n"/>
      <c r="CZ118" s="317" t="n"/>
      <c r="DA118" s="317" t="n"/>
      <c r="DB118" s="317" t="n"/>
      <c r="DC118" s="317" t="n"/>
      <c r="DD118" s="317" t="n"/>
      <c r="DE118" s="319" t="n"/>
      <c r="DF118" s="319" t="n"/>
    </row>
    <row r="119" customFormat="1" s="116">
      <c r="A119" s="402" t="n">
        <v>45169</v>
      </c>
      <c r="B119" s="315" t="n">
        <v>29935.1</v>
      </c>
      <c r="C119" s="111">
        <f>B119/B107-1</f>
        <v/>
      </c>
      <c r="D119" s="111">
        <f>B119/B71-1</f>
        <v/>
      </c>
      <c r="E119" s="315" t="n">
        <v>23944.3</v>
      </c>
      <c r="F119" s="111">
        <f>E119/E107-1</f>
        <v/>
      </c>
      <c r="G119" s="111">
        <f>E119/E71-1</f>
        <v/>
      </c>
      <c r="H119" s="315" t="n">
        <v>5233.1</v>
      </c>
      <c r="I119" s="111">
        <f>H119/H107-1</f>
        <v/>
      </c>
      <c r="J119" s="111">
        <f>H119/H71-1</f>
        <v/>
      </c>
      <c r="K119" s="315" t="n">
        <v>757.7</v>
      </c>
      <c r="L119" s="111">
        <f>K119/K107-1</f>
        <v/>
      </c>
      <c r="M119" s="111">
        <f>K119/K71-1</f>
        <v/>
      </c>
      <c r="N119" s="315" t="n">
        <v>22933.9</v>
      </c>
      <c r="O119" s="111">
        <f>N119/N107-1</f>
        <v/>
      </c>
      <c r="P119" s="111">
        <f>N119/N71-1</f>
        <v/>
      </c>
      <c r="Q119" s="315" t="n">
        <v>18399.9</v>
      </c>
      <c r="R119" s="111">
        <f>Q119/Q107-1</f>
        <v/>
      </c>
      <c r="S119" s="111">
        <f>Q119/Q71-1</f>
        <v/>
      </c>
      <c r="T119" s="315" t="n">
        <v>3939.8</v>
      </c>
      <c r="U119" s="111">
        <f>T119/T107-1</f>
        <v/>
      </c>
      <c r="V119" s="111">
        <f>T119/T71-1</f>
        <v/>
      </c>
      <c r="W119" s="315" t="n">
        <v>594.1</v>
      </c>
      <c r="X119" s="111">
        <f>W119/W107-1</f>
        <v/>
      </c>
      <c r="Y119" s="111">
        <f>W119/W71-1</f>
        <v/>
      </c>
      <c r="Z119" s="315" t="n">
        <v>13273.1</v>
      </c>
      <c r="AA119" s="111">
        <f>Z119/Z107-1</f>
        <v/>
      </c>
      <c r="AB119" s="111">
        <f>Z119/Z71-1</f>
        <v/>
      </c>
      <c r="AC119" s="315" t="n">
        <v>12058.9</v>
      </c>
      <c r="AD119" s="111">
        <f>AC119/AC107-1</f>
        <v/>
      </c>
      <c r="AE119" s="111">
        <f>AC119/AC71-1</f>
        <v/>
      </c>
      <c r="AF119" s="315" t="n">
        <v>834.8</v>
      </c>
      <c r="AG119" s="111">
        <f>AF119/AF107-1</f>
        <v/>
      </c>
      <c r="AH119" s="111">
        <f>AF119/AF71-1</f>
        <v/>
      </c>
      <c r="AI119" s="315" t="n">
        <v>379.5</v>
      </c>
      <c r="AJ119" s="111">
        <f>AI119/AI107-1</f>
        <v/>
      </c>
      <c r="AK119" s="111">
        <f>AI119/AI71-1</f>
        <v/>
      </c>
      <c r="AL119" s="316" t="n">
        <v>76.59999999999999</v>
      </c>
      <c r="AM119" s="380">
        <f>AL119-AL107</f>
        <v/>
      </c>
      <c r="AN119" s="380">
        <f>AL119-AL71</f>
        <v/>
      </c>
      <c r="AO119" s="316" t="n">
        <v>76.8</v>
      </c>
      <c r="AP119" s="380">
        <f>AO119-AO107</f>
        <v/>
      </c>
      <c r="AQ119" s="380">
        <f>AO119-AO71</f>
        <v/>
      </c>
      <c r="AR119" s="316" t="n">
        <v>75.3</v>
      </c>
      <c r="AS119" s="380">
        <f>AR119-AR107</f>
        <v/>
      </c>
      <c r="AT119" s="380">
        <f>AR119-AR71</f>
        <v/>
      </c>
      <c r="AU119" s="316" t="n">
        <v>78.40000000000001</v>
      </c>
      <c r="AV119" s="380">
        <f>AU119-AU107</f>
        <v/>
      </c>
      <c r="AW119" s="380">
        <f>AU119-AU71</f>
        <v/>
      </c>
      <c r="AX119" s="377" t="n">
        <v>901</v>
      </c>
      <c r="AY119" s="111">
        <f>AX119/AX107-1</f>
        <v/>
      </c>
      <c r="AZ119" s="111">
        <f>AX119/AX71-1</f>
        <v/>
      </c>
      <c r="BA119" s="317" t="n"/>
      <c r="BB119" s="317" t="n"/>
      <c r="BC119" s="317" t="n"/>
      <c r="BD119" s="317" t="n"/>
      <c r="BE119" s="317" t="n"/>
      <c r="BF119" s="317" t="n"/>
      <c r="BG119" s="317" t="n"/>
      <c r="BH119" s="317" t="n"/>
      <c r="BI119" s="317" t="n"/>
      <c r="BJ119" s="317" t="n"/>
      <c r="BK119" s="318" t="n"/>
      <c r="BL119" s="317" t="n"/>
      <c r="BM119" s="317" t="n"/>
      <c r="BN119" s="317" t="n"/>
      <c r="BO119" s="317" t="n"/>
      <c r="BP119" s="317" t="n"/>
      <c r="BQ119" s="317" t="n"/>
      <c r="BR119" s="317" t="n"/>
      <c r="BS119" s="317" t="n"/>
      <c r="BT119" s="317" t="n"/>
      <c r="BU119" s="317" t="n"/>
      <c r="BV119" s="317" t="n"/>
      <c r="BW119" s="317" t="n"/>
      <c r="BX119" s="317" t="n"/>
      <c r="BY119" s="317" t="n"/>
      <c r="BZ119" s="317" t="n"/>
      <c r="CA119" s="317" t="n"/>
      <c r="CB119" s="317" t="n"/>
      <c r="CC119" s="317" t="n"/>
      <c r="CD119" s="317" t="n"/>
      <c r="CE119" s="317" t="n"/>
      <c r="CF119" s="317" t="n"/>
      <c r="CG119" s="317" t="n"/>
      <c r="CH119" s="317" t="n"/>
      <c r="CI119" s="317" t="n"/>
      <c r="CJ119" s="317" t="n"/>
      <c r="CK119" s="317" t="n"/>
      <c r="CL119" s="317" t="n"/>
      <c r="CM119" s="317" t="n"/>
      <c r="CN119" s="317" t="n"/>
      <c r="CW119" s="317" t="n"/>
      <c r="CX119" s="317" t="n"/>
      <c r="CY119" s="317" t="n"/>
      <c r="CZ119" s="317" t="n"/>
      <c r="DA119" s="317" t="n"/>
      <c r="DB119" s="317" t="n"/>
      <c r="DC119" s="317" t="n"/>
      <c r="DD119" s="317" t="n"/>
      <c r="DE119" s="319" t="n"/>
      <c r="DF119" s="319" t="n"/>
    </row>
    <row r="120" customFormat="1" s="116">
      <c r="A120" s="402" t="n">
        <v>45199</v>
      </c>
      <c r="B120" s="315" t="n">
        <v>26365.2</v>
      </c>
      <c r="C120" s="111">
        <f>B120/B108-1</f>
        <v/>
      </c>
      <c r="D120" s="111">
        <f>B120/B72-1</f>
        <v/>
      </c>
      <c r="E120" s="315" t="n">
        <v>20375.1</v>
      </c>
      <c r="F120" s="111">
        <f>E120/E108-1</f>
        <v/>
      </c>
      <c r="G120" s="111">
        <f>E120/E72-1</f>
        <v/>
      </c>
      <c r="H120" s="315" t="n">
        <v>5346</v>
      </c>
      <c r="I120" s="111">
        <f>H120/H108-1</f>
        <v/>
      </c>
      <c r="J120" s="111">
        <f>H120/H72-1</f>
        <v/>
      </c>
      <c r="K120" s="315" t="n">
        <v>644.2</v>
      </c>
      <c r="L120" s="111">
        <f>K120/K108-1</f>
        <v/>
      </c>
      <c r="M120" s="111">
        <f>K120/K72-1</f>
        <v/>
      </c>
      <c r="N120" s="315" t="n">
        <v>19560.6</v>
      </c>
      <c r="O120" s="111">
        <f>N120/N108-1</f>
        <v/>
      </c>
      <c r="P120" s="111">
        <f>N120/N72-1</f>
        <v/>
      </c>
      <c r="Q120" s="315" t="n">
        <v>15326.4</v>
      </c>
      <c r="R120" s="111">
        <f>Q120/Q108-1</f>
        <v/>
      </c>
      <c r="S120" s="111">
        <f>Q120/Q72-1</f>
        <v/>
      </c>
      <c r="T120" s="315" t="n">
        <v>3805.5</v>
      </c>
      <c r="U120" s="111">
        <f>T120/T108-1</f>
        <v/>
      </c>
      <c r="V120" s="111">
        <f>T120/T72-1</f>
        <v/>
      </c>
      <c r="W120" s="315" t="n">
        <v>428.8</v>
      </c>
      <c r="X120" s="111">
        <f>W120/W108-1</f>
        <v/>
      </c>
      <c r="Y120" s="111">
        <f>W120/W72-1</f>
        <v/>
      </c>
      <c r="Z120" s="315" t="n">
        <v>10982.3</v>
      </c>
      <c r="AA120" s="111">
        <f>Z120/Z108-1</f>
        <v/>
      </c>
      <c r="AB120" s="111">
        <f>Z120/Z72-1</f>
        <v/>
      </c>
      <c r="AC120" s="315" t="n">
        <v>9931.700000000001</v>
      </c>
      <c r="AD120" s="111">
        <f>AC120/AC108-1</f>
        <v/>
      </c>
      <c r="AE120" s="111">
        <f>AC120/AC72-1</f>
        <v/>
      </c>
      <c r="AF120" s="315" t="n">
        <v>783.3</v>
      </c>
      <c r="AG120" s="111">
        <f>AF120/AF108-1</f>
        <v/>
      </c>
      <c r="AH120" s="111">
        <f>AF120/AF72-1</f>
        <v/>
      </c>
      <c r="AI120" s="315" t="n">
        <v>267.3</v>
      </c>
      <c r="AJ120" s="111">
        <f>AI120/AI108-1</f>
        <v/>
      </c>
      <c r="AK120" s="111">
        <f>AI120/AI72-1</f>
        <v/>
      </c>
      <c r="AL120" s="316" t="n">
        <v>74.2</v>
      </c>
      <c r="AM120" s="380">
        <f>AL120-AL108</f>
        <v/>
      </c>
      <c r="AN120" s="380">
        <f>AL120-AL72</f>
        <v/>
      </c>
      <c r="AO120" s="316" t="n">
        <v>75.2</v>
      </c>
      <c r="AP120" s="380">
        <f>AO120-AO108</f>
        <v/>
      </c>
      <c r="AQ120" s="380">
        <f>AO120-AO72</f>
        <v/>
      </c>
      <c r="AR120" s="316" t="n">
        <v>71.2</v>
      </c>
      <c r="AS120" s="380">
        <f>AR120-AR108</f>
        <v/>
      </c>
      <c r="AT120" s="380">
        <f>AR120-AR72</f>
        <v/>
      </c>
      <c r="AU120" s="316" t="n">
        <v>66.59999999999999</v>
      </c>
      <c r="AV120" s="380">
        <f>AU120-AU108</f>
        <v/>
      </c>
      <c r="AW120" s="380">
        <f>AU120-AU72</f>
        <v/>
      </c>
      <c r="AX120" s="377" t="n">
        <v>899</v>
      </c>
      <c r="AY120" s="111">
        <f>AX120/AX108-1</f>
        <v/>
      </c>
      <c r="AZ120" s="111">
        <f>AX120/AX72-1</f>
        <v/>
      </c>
      <c r="BA120" s="317" t="n"/>
      <c r="BB120" s="317" t="n"/>
      <c r="BC120" s="317" t="n"/>
      <c r="BD120" s="317" t="n"/>
      <c r="BE120" s="317" t="n"/>
      <c r="BF120" s="317" t="n"/>
      <c r="BG120" s="317" t="n"/>
      <c r="BH120" s="317" t="n"/>
      <c r="BI120" s="317" t="n"/>
      <c r="BJ120" s="317" t="n"/>
      <c r="BK120" s="318" t="n"/>
      <c r="BL120" s="317" t="n"/>
      <c r="BM120" s="317" t="n"/>
      <c r="BN120" s="317" t="n"/>
      <c r="BO120" s="317" t="n"/>
      <c r="BP120" s="317" t="n"/>
      <c r="BQ120" s="317" t="n"/>
      <c r="BR120" s="317" t="n"/>
      <c r="BS120" s="317" t="n"/>
      <c r="BT120" s="317" t="n"/>
      <c r="BU120" s="317" t="n"/>
      <c r="BV120" s="317" t="n"/>
      <c r="BW120" s="317" t="n"/>
      <c r="BX120" s="317" t="n"/>
      <c r="BY120" s="317" t="n"/>
      <c r="BZ120" s="317" t="n"/>
      <c r="CA120" s="317" t="n"/>
      <c r="CB120" s="317" t="n"/>
      <c r="CC120" s="317" t="n"/>
      <c r="CD120" s="317" t="n"/>
      <c r="CE120" s="317" t="n"/>
      <c r="CF120" s="317" t="n"/>
      <c r="CG120" s="317" t="n"/>
      <c r="CH120" s="317" t="n"/>
      <c r="CI120" s="317" t="n"/>
      <c r="CJ120" s="317" t="n"/>
      <c r="CK120" s="317" t="n"/>
      <c r="CL120" s="317" t="n"/>
      <c r="CM120" s="317" t="n"/>
      <c r="CN120" s="317" t="n"/>
      <c r="CW120" s="317" t="n"/>
      <c r="CX120" s="317" t="n"/>
      <c r="CY120" s="317" t="n"/>
      <c r="CZ120" s="317" t="n"/>
      <c r="DA120" s="317" t="n"/>
      <c r="DB120" s="317" t="n"/>
      <c r="DC120" s="317" t="n"/>
      <c r="DD120" s="317" t="n"/>
      <c r="DE120" s="319" t="n"/>
      <c r="DF120" s="319" t="n"/>
    </row>
    <row r="121" customFormat="1" s="116">
      <c r="A121" s="402" t="n">
        <v>45230</v>
      </c>
      <c r="B121" s="169" t="n">
        <v>26827.8</v>
      </c>
      <c r="C121" s="111">
        <f>B121/B109-1</f>
        <v/>
      </c>
      <c r="D121" s="111">
        <f>B121/B73-1</f>
        <v/>
      </c>
      <c r="E121" s="169" t="n">
        <v>20640.9</v>
      </c>
      <c r="F121" s="111">
        <f>E121/E109-1</f>
        <v/>
      </c>
      <c r="G121" s="111">
        <f>E121/E73-1</f>
        <v/>
      </c>
      <c r="H121" s="169" t="n">
        <v>5502.6</v>
      </c>
      <c r="I121" s="111">
        <f>H121/H109-1</f>
        <v/>
      </c>
      <c r="J121" s="111">
        <f>H121/H73-1</f>
        <v/>
      </c>
      <c r="K121" s="169" t="n">
        <v>684.2</v>
      </c>
      <c r="L121" s="111">
        <f>K121/K109-1</f>
        <v/>
      </c>
      <c r="M121" s="111">
        <f>K121/K73-1</f>
        <v/>
      </c>
      <c r="N121" s="169" t="n">
        <v>20583.9</v>
      </c>
      <c r="O121" s="111">
        <f>N121/N109-1</f>
        <v/>
      </c>
      <c r="P121" s="111">
        <f>N121/N73-1</f>
        <v/>
      </c>
      <c r="Q121" s="169" t="n">
        <v>16273.4</v>
      </c>
      <c r="R121" s="111">
        <f>Q121/Q109-1</f>
        <v/>
      </c>
      <c r="S121" s="111">
        <f>Q121/Q73-1</f>
        <v/>
      </c>
      <c r="T121" s="169" t="n">
        <v>3844.6</v>
      </c>
      <c r="U121" s="111">
        <f>T121/T109-1</f>
        <v/>
      </c>
      <c r="V121" s="111">
        <f>T121/T73-1</f>
        <v/>
      </c>
      <c r="W121" s="169" t="n">
        <v>465.9</v>
      </c>
      <c r="X121" s="111">
        <f>W121/W109-1</f>
        <v/>
      </c>
      <c r="Y121" s="111">
        <f>W121/W73-1</f>
        <v/>
      </c>
      <c r="Z121" s="169" t="n">
        <v>11716</v>
      </c>
      <c r="AA121" s="111">
        <f>Z121/Z109-1</f>
        <v/>
      </c>
      <c r="AB121" s="111">
        <f>Z121/Z73-1</f>
        <v/>
      </c>
      <c r="AC121" s="169" t="n">
        <v>10606.5</v>
      </c>
      <c r="AD121" s="111">
        <f>AC121/AC109-1</f>
        <v/>
      </c>
      <c r="AE121" s="111">
        <f>AC121/AC73-1</f>
        <v/>
      </c>
      <c r="AF121" s="169" t="n">
        <v>813.8</v>
      </c>
      <c r="AG121" s="111">
        <f>AF121/AF109-1</f>
        <v/>
      </c>
      <c r="AH121" s="111">
        <f>AF121/AF73-1</f>
        <v/>
      </c>
      <c r="AI121" s="169" t="n">
        <v>295.6</v>
      </c>
      <c r="AJ121" s="111">
        <f>AI121/AI109-1</f>
        <v/>
      </c>
      <c r="AK121" s="111">
        <f>AI121/AI73-1</f>
        <v/>
      </c>
      <c r="AL121" s="403" t="n">
        <v>76.7</v>
      </c>
      <c r="AM121" s="380">
        <f>AL121-AL109</f>
        <v/>
      </c>
      <c r="AN121" s="380">
        <f>AL121-AL73</f>
        <v/>
      </c>
      <c r="AO121" s="403" t="n">
        <v>78.8</v>
      </c>
      <c r="AP121" s="380">
        <f>AO121-AO109</f>
        <v/>
      </c>
      <c r="AQ121" s="380">
        <f>AO121-AO73</f>
        <v/>
      </c>
      <c r="AR121" s="403" t="n">
        <v>69.90000000000001</v>
      </c>
      <c r="AS121" s="380">
        <f>AR121-AR109</f>
        <v/>
      </c>
      <c r="AT121" s="380">
        <f>AR121-AR73</f>
        <v/>
      </c>
      <c r="AU121" s="403" t="n">
        <v>68.09999999999999</v>
      </c>
      <c r="AV121" s="380">
        <f>AU121-AU109</f>
        <v/>
      </c>
      <c r="AW121" s="380">
        <f>AU121-AU73</f>
        <v/>
      </c>
      <c r="AX121" s="404" t="n">
        <v>899</v>
      </c>
      <c r="AY121" s="111">
        <f>AX121/AX109-1</f>
        <v/>
      </c>
      <c r="AZ121" s="111">
        <f>AX121/AX73-1</f>
        <v/>
      </c>
      <c r="BA121" s="317" t="n"/>
      <c r="BB121" s="317" t="n"/>
      <c r="BC121" s="317" t="n"/>
      <c r="BD121" s="317" t="n"/>
      <c r="BE121" s="317" t="n"/>
      <c r="BF121" s="317" t="n"/>
      <c r="BG121" s="317" t="n"/>
      <c r="BH121" s="317" t="n"/>
      <c r="BI121" s="317" t="n"/>
      <c r="BJ121" s="317" t="n"/>
      <c r="BK121" s="318" t="n"/>
      <c r="BL121" s="317" t="n"/>
      <c r="BM121" s="317" t="n"/>
      <c r="BN121" s="317" t="n"/>
      <c r="BO121" s="317" t="n"/>
      <c r="BP121" s="317" t="n"/>
      <c r="BQ121" s="317" t="n"/>
      <c r="BR121" s="317" t="n"/>
      <c r="BS121" s="317" t="n"/>
      <c r="BT121" s="317" t="n"/>
      <c r="BU121" s="317" t="n"/>
      <c r="BV121" s="317" t="n"/>
      <c r="BW121" s="317" t="n"/>
      <c r="BX121" s="317" t="n"/>
      <c r="BY121" s="317" t="n"/>
      <c r="BZ121" s="317" t="n"/>
      <c r="CA121" s="317" t="n"/>
      <c r="CB121" s="317" t="n"/>
      <c r="CC121" s="317" t="n"/>
      <c r="CD121" s="317" t="n"/>
      <c r="CE121" s="317" t="n"/>
      <c r="CF121" s="317" t="n"/>
      <c r="CG121" s="317" t="n"/>
      <c r="CH121" s="317" t="n"/>
      <c r="CI121" s="317" t="n"/>
      <c r="CJ121" s="317" t="n"/>
      <c r="CK121" s="317" t="n"/>
      <c r="CL121" s="317" t="n"/>
      <c r="CM121" s="317" t="n"/>
      <c r="CN121" s="317" t="n"/>
      <c r="CW121" s="317" t="n"/>
      <c r="CX121" s="317" t="n"/>
      <c r="CY121" s="317" t="n"/>
      <c r="CZ121" s="317" t="n"/>
      <c r="DA121" s="317" t="n"/>
      <c r="DB121" s="317" t="n"/>
      <c r="DC121" s="317" t="n"/>
      <c r="DD121" s="317" t="n"/>
      <c r="DE121" s="319" t="n"/>
      <c r="DF121" s="319" t="n"/>
    </row>
    <row r="122" customFormat="1" s="116">
      <c r="A122" s="402" t="n">
        <v>45260</v>
      </c>
      <c r="B122" s="315" t="n">
        <v>25029.3</v>
      </c>
      <c r="C122" s="111">
        <f>B122/B110-1</f>
        <v/>
      </c>
      <c r="D122" s="111">
        <f>B122/B74-1</f>
        <v/>
      </c>
      <c r="E122" s="315" t="n">
        <v>18563.2</v>
      </c>
      <c r="F122" s="111">
        <f>E122/E110-1</f>
        <v/>
      </c>
      <c r="G122" s="111">
        <f>E122/E74-1</f>
        <v/>
      </c>
      <c r="H122" s="315" t="n">
        <v>5739.2</v>
      </c>
      <c r="I122" s="111">
        <f>H122/H110-1</f>
        <v/>
      </c>
      <c r="J122" s="111">
        <f>H122/H74-1</f>
        <v/>
      </c>
      <c r="K122" s="315" t="n">
        <v>726.9</v>
      </c>
      <c r="L122" s="111">
        <f>K122/K110-1</f>
        <v/>
      </c>
      <c r="M122" s="111">
        <f>K122/K74-1</f>
        <v/>
      </c>
      <c r="N122" s="315" t="n">
        <v>18374.2</v>
      </c>
      <c r="O122" s="111">
        <f>N122/N110-1</f>
        <v/>
      </c>
      <c r="P122" s="111">
        <f>N122/N74-1</f>
        <v/>
      </c>
      <c r="Q122" s="315" t="n">
        <v>14123.3</v>
      </c>
      <c r="R122" s="111">
        <f>Q122/Q110-1</f>
        <v/>
      </c>
      <c r="S122" s="111">
        <f>Q122/Q74-1</f>
        <v/>
      </c>
      <c r="T122" s="315" t="n">
        <v>3770.1</v>
      </c>
      <c r="U122" s="111">
        <f>T122/T110-1</f>
        <v/>
      </c>
      <c r="V122" s="111">
        <f>T122/T74-1</f>
        <v/>
      </c>
      <c r="W122" s="315" t="n">
        <v>480.9</v>
      </c>
      <c r="X122" s="111">
        <f>W122/W110-1</f>
        <v/>
      </c>
      <c r="Y122" s="111">
        <f>W122/W74-1</f>
        <v/>
      </c>
      <c r="Z122" s="315" t="n">
        <v>10361.4</v>
      </c>
      <c r="AA122" s="111">
        <f>Z122/Z110-1</f>
        <v/>
      </c>
      <c r="AB122" s="111">
        <f>Z122/Z74-1</f>
        <v/>
      </c>
      <c r="AC122" s="315" t="n">
        <v>9258.4</v>
      </c>
      <c r="AD122" s="111">
        <f>AC122/AC110-1</f>
        <v/>
      </c>
      <c r="AE122" s="111">
        <f>AC122/AC74-1</f>
        <v/>
      </c>
      <c r="AF122" s="315" t="n">
        <v>803.3</v>
      </c>
      <c r="AG122" s="111">
        <f>AF122/AF110-1</f>
        <v/>
      </c>
      <c r="AH122" s="111">
        <f>AF122/AF74-1</f>
        <v/>
      </c>
      <c r="AI122" s="315" t="n">
        <v>299.7</v>
      </c>
      <c r="AJ122" s="111">
        <f>AI122/AI110-1</f>
        <v/>
      </c>
      <c r="AK122" s="111">
        <f>AI122/AI74-1</f>
        <v/>
      </c>
      <c r="AL122" s="316" t="n">
        <v>73.40000000000001</v>
      </c>
      <c r="AM122" s="380">
        <f>AL122-AL110</f>
        <v/>
      </c>
      <c r="AN122" s="380">
        <f>AL122-AL74</f>
        <v/>
      </c>
      <c r="AO122" s="316" t="n">
        <v>76.09999999999999</v>
      </c>
      <c r="AP122" s="380">
        <f>AO122-AO110</f>
        <v/>
      </c>
      <c r="AQ122" s="380">
        <f>AO122-AO74</f>
        <v/>
      </c>
      <c r="AR122" s="316" t="n">
        <v>65.7</v>
      </c>
      <c r="AS122" s="380">
        <f>AR122-AR110</f>
        <v/>
      </c>
      <c r="AT122" s="380">
        <f>AR122-AR74</f>
        <v/>
      </c>
      <c r="AU122" s="316" t="n">
        <v>66.2</v>
      </c>
      <c r="AV122" s="380">
        <f>AU122-AU110</f>
        <v/>
      </c>
      <c r="AW122" s="380">
        <f>AU122-AU74</f>
        <v/>
      </c>
      <c r="AX122" s="377" t="n">
        <v>900</v>
      </c>
      <c r="AY122" s="111">
        <f>AX122/AX110-1</f>
        <v/>
      </c>
      <c r="AZ122" s="111">
        <f>AX122/AX74-1</f>
        <v/>
      </c>
      <c r="BA122" s="317" t="n"/>
      <c r="BB122" s="317" t="n"/>
      <c r="BC122" s="317" t="n"/>
      <c r="BD122" s="317" t="n"/>
      <c r="BE122" s="317" t="n"/>
      <c r="BF122" s="317" t="n"/>
      <c r="BG122" s="317" t="n"/>
      <c r="BH122" s="317" t="n"/>
      <c r="BI122" s="317" t="n"/>
      <c r="BJ122" s="317" t="n"/>
      <c r="BK122" s="318" t="n"/>
      <c r="BL122" s="317" t="n"/>
      <c r="BM122" s="317" t="n"/>
      <c r="BN122" s="317" t="n"/>
      <c r="BO122" s="317" t="n"/>
      <c r="BP122" s="317" t="n"/>
      <c r="BQ122" s="317" t="n"/>
      <c r="BR122" s="317" t="n"/>
      <c r="BS122" s="317" t="n"/>
      <c r="BT122" s="317" t="n"/>
      <c r="BU122" s="317" t="n"/>
      <c r="BV122" s="317" t="n"/>
      <c r="BW122" s="317" t="n"/>
      <c r="BX122" s="317" t="n"/>
      <c r="BY122" s="317" t="n"/>
      <c r="BZ122" s="317" t="n"/>
      <c r="CA122" s="317" t="n"/>
      <c r="CB122" s="317" t="n"/>
      <c r="CC122" s="317" t="n"/>
      <c r="CD122" s="317" t="n"/>
      <c r="CE122" s="317" t="n"/>
      <c r="CF122" s="317" t="n"/>
      <c r="CG122" s="317" t="n"/>
      <c r="CH122" s="317" t="n"/>
      <c r="CI122" s="317" t="n"/>
      <c r="CJ122" s="317" t="n"/>
      <c r="CK122" s="317" t="n"/>
      <c r="CL122" s="317" t="n"/>
      <c r="CM122" s="317" t="n"/>
      <c r="CN122" s="317" t="n"/>
      <c r="CW122" s="317" t="n"/>
      <c r="CX122" s="317" t="n"/>
      <c r="CY122" s="317" t="n"/>
      <c r="CZ122" s="317" t="n"/>
      <c r="DA122" s="317" t="n"/>
      <c r="DB122" s="317" t="n"/>
      <c r="DC122" s="317" t="n"/>
      <c r="DD122" s="317" t="n"/>
      <c r="DE122" s="319" t="n"/>
      <c r="DF122" s="319" t="n"/>
    </row>
    <row r="123" customFormat="1" s="116">
      <c r="A123" s="402" t="n">
        <v>45291</v>
      </c>
      <c r="B123" s="315" t="n">
        <v>26188.6</v>
      </c>
      <c r="C123" s="111">
        <f>B123/B111-1</f>
        <v/>
      </c>
      <c r="D123" s="111">
        <f>B123/B75-1</f>
        <v/>
      </c>
      <c r="E123" s="315" t="n">
        <v>18684.8</v>
      </c>
      <c r="F123" s="111">
        <f>E123/E111-1</f>
        <v/>
      </c>
      <c r="G123" s="111">
        <f>E123/E75-1</f>
        <v/>
      </c>
      <c r="H123" s="315" t="n">
        <v>6685.8</v>
      </c>
      <c r="I123" s="111">
        <f>H123/H111-1</f>
        <v/>
      </c>
      <c r="J123" s="111">
        <f>H123/H75-1</f>
        <v/>
      </c>
      <c r="K123" s="315" t="n">
        <v>818.1</v>
      </c>
      <c r="L123" s="111">
        <f>K123/K111-1</f>
        <v/>
      </c>
      <c r="M123" s="111">
        <f>K123/K75-1</f>
        <v/>
      </c>
      <c r="N123" s="315" t="n">
        <v>19748.9</v>
      </c>
      <c r="O123" s="111">
        <f>N123/N111-1</f>
        <v/>
      </c>
      <c r="P123" s="111">
        <f>N123/N75-1</f>
        <v/>
      </c>
      <c r="Q123" s="315" t="n">
        <v>14524.8</v>
      </c>
      <c r="R123" s="111">
        <f>Q123/Q111-1</f>
        <v/>
      </c>
      <c r="S123" s="111">
        <f>Q123/Q75-1</f>
        <v/>
      </c>
      <c r="T123" s="315" t="n">
        <v>4665.9</v>
      </c>
      <c r="U123" s="111">
        <f>T123/T111-1</f>
        <v/>
      </c>
      <c r="V123" s="111">
        <f>T123/T75-1</f>
        <v/>
      </c>
      <c r="W123" s="315" t="n">
        <v>558.1</v>
      </c>
      <c r="X123" s="111">
        <f>W123/W111-1</f>
        <v/>
      </c>
      <c r="Y123" s="111">
        <f>W123/W75-1</f>
        <v/>
      </c>
      <c r="Z123" s="315" t="n">
        <v>10780.4</v>
      </c>
      <c r="AA123" s="111">
        <f>Z123/Z111-1</f>
        <v/>
      </c>
      <c r="AB123" s="111">
        <f>Z123/Z75-1</f>
        <v/>
      </c>
      <c r="AC123" s="315" t="n">
        <v>9433.6</v>
      </c>
      <c r="AD123" s="111">
        <f>AC123/AC111-1</f>
        <v/>
      </c>
      <c r="AE123" s="111">
        <f>AC123/AC75-1</f>
        <v/>
      </c>
      <c r="AF123" s="315" t="n">
        <v>1000.6</v>
      </c>
      <c r="AG123" s="111">
        <f>AF123/AF111-1</f>
        <v/>
      </c>
      <c r="AH123" s="111">
        <f>AF123/AF75-1</f>
        <v/>
      </c>
      <c r="AI123" s="315" t="n">
        <v>346.1</v>
      </c>
      <c r="AJ123" s="111">
        <f>AI123/AI111-1</f>
        <v/>
      </c>
      <c r="AK123" s="111">
        <f>AI123/AI75-1</f>
        <v/>
      </c>
      <c r="AL123" s="316" t="n">
        <v>75.40000000000001</v>
      </c>
      <c r="AM123" s="380">
        <f>AL123-AL111</f>
        <v/>
      </c>
      <c r="AN123" s="380">
        <f>AL123-AL75</f>
        <v/>
      </c>
      <c r="AO123" s="316" t="n">
        <v>77.7</v>
      </c>
      <c r="AP123" s="380">
        <f>AO123-AO111</f>
        <v/>
      </c>
      <c r="AQ123" s="380">
        <f>AO123-AO75</f>
        <v/>
      </c>
      <c r="AR123" s="316" t="n">
        <v>69.8</v>
      </c>
      <c r="AS123" s="380">
        <f>AR123-AR111</f>
        <v/>
      </c>
      <c r="AT123" s="380">
        <f>AR123-AR75</f>
        <v/>
      </c>
      <c r="AU123" s="316" t="n">
        <v>68.2</v>
      </c>
      <c r="AV123" s="380">
        <f>AU123-AU111</f>
        <v/>
      </c>
      <c r="AW123" s="380">
        <f>AU123-AU75</f>
        <v/>
      </c>
      <c r="AX123" s="377" t="n">
        <v>905</v>
      </c>
      <c r="AY123" s="111">
        <f>AX123/AX111-1</f>
        <v/>
      </c>
      <c r="AZ123" s="111">
        <f>AX123/AX75-1</f>
        <v/>
      </c>
      <c r="BA123" s="317" t="n"/>
      <c r="BB123" s="317" t="n"/>
      <c r="BC123" s="317" t="n"/>
      <c r="BD123" s="317" t="n"/>
      <c r="BE123" s="317" t="n"/>
      <c r="BF123" s="317" t="n"/>
      <c r="BG123" s="317" t="n"/>
      <c r="BH123" s="317" t="n"/>
      <c r="BI123" s="317" t="n"/>
      <c r="BJ123" s="317" t="n"/>
      <c r="BK123" s="318" t="n"/>
      <c r="BL123" s="317" t="n"/>
      <c r="BM123" s="317" t="n"/>
      <c r="BN123" s="317" t="n"/>
      <c r="BO123" s="317" t="n"/>
      <c r="BP123" s="317" t="n"/>
      <c r="BQ123" s="317" t="n"/>
      <c r="BR123" s="317" t="n"/>
      <c r="BS123" s="317" t="n"/>
      <c r="BT123" s="317" t="n"/>
      <c r="BU123" s="317" t="n"/>
      <c r="BV123" s="317" t="n"/>
      <c r="BW123" s="317" t="n"/>
      <c r="BX123" s="317" t="n"/>
      <c r="BY123" s="317" t="n"/>
      <c r="BZ123" s="317" t="n"/>
      <c r="CA123" s="317" t="n"/>
      <c r="CB123" s="317" t="n"/>
      <c r="CC123" s="317" t="n"/>
      <c r="CD123" s="317" t="n"/>
      <c r="CE123" s="317" t="n"/>
      <c r="CF123" s="317" t="n"/>
      <c r="CG123" s="317" t="n"/>
      <c r="CH123" s="317" t="n"/>
      <c r="CI123" s="317" t="n"/>
      <c r="CJ123" s="317" t="n"/>
      <c r="CK123" s="317" t="n"/>
      <c r="CL123" s="317" t="n"/>
      <c r="CM123" s="317" t="n"/>
      <c r="CN123" s="317" t="n"/>
      <c r="CW123" s="317" t="n"/>
      <c r="CX123" s="317" t="n"/>
      <c r="CY123" s="317" t="n"/>
      <c r="CZ123" s="317" t="n"/>
      <c r="DA123" s="317" t="n"/>
      <c r="DB123" s="317" t="n"/>
      <c r="DC123" s="317" t="n"/>
      <c r="DD123" s="317" t="n"/>
      <c r="DE123" s="319" t="n"/>
      <c r="DF123" s="319" t="n"/>
    </row>
    <row r="124" customFormat="1" s="202">
      <c r="A124" s="371" t="n">
        <v>45322</v>
      </c>
      <c r="B124" s="320" t="n">
        <v>28532.5</v>
      </c>
      <c r="C124" s="111">
        <f>B124/B112-1</f>
        <v/>
      </c>
      <c r="D124" s="111">
        <f>B124/B64-1</f>
        <v/>
      </c>
      <c r="E124" s="320" t="n">
        <v>20742.2</v>
      </c>
      <c r="F124" s="111">
        <f>E124/E112-1</f>
        <v/>
      </c>
      <c r="G124" s="111">
        <f>E124/E64-1</f>
        <v/>
      </c>
      <c r="H124" s="320" t="n">
        <v>6955.6</v>
      </c>
      <c r="I124" s="111">
        <f>H124/H112-1</f>
        <v/>
      </c>
      <c r="J124" s="111">
        <f>H124/H64-1</f>
        <v/>
      </c>
      <c r="K124" s="320" t="n">
        <v>834.7</v>
      </c>
      <c r="L124" s="111">
        <f>K124/K112-1</f>
        <v/>
      </c>
      <c r="M124" s="111">
        <f>K124/K64-1</f>
        <v/>
      </c>
      <c r="N124" s="320" t="n">
        <v>22138.4</v>
      </c>
      <c r="O124" s="111">
        <f>N124/N112-1</f>
        <v/>
      </c>
      <c r="P124" s="111">
        <f>N124/N64-1</f>
        <v/>
      </c>
      <c r="Q124" s="320" t="n">
        <v>16422</v>
      </c>
      <c r="R124" s="111">
        <f>Q124/Q112-1</f>
        <v/>
      </c>
      <c r="S124" s="111">
        <f>Q124/Q64-1</f>
        <v/>
      </c>
      <c r="T124" s="320" t="n">
        <v>5134.4</v>
      </c>
      <c r="U124" s="111">
        <f>T124/T112-1</f>
        <v/>
      </c>
      <c r="V124" s="111">
        <f>T124/T64-1</f>
        <v/>
      </c>
      <c r="W124" s="320" t="n">
        <v>582</v>
      </c>
      <c r="X124" s="111">
        <f>W124/W112-1</f>
        <v/>
      </c>
      <c r="Y124" s="111">
        <f>W124/W64-1</f>
        <v/>
      </c>
      <c r="Z124" s="320" t="n">
        <v>12095.3</v>
      </c>
      <c r="AA124" s="111">
        <f>Z124/Z112-1</f>
        <v/>
      </c>
      <c r="AB124" s="111">
        <f>Z124/Z64-1</f>
        <v/>
      </c>
      <c r="AC124" s="320" t="n">
        <v>10645.6</v>
      </c>
      <c r="AD124" s="111">
        <f>AC124/AC112-1</f>
        <v/>
      </c>
      <c r="AE124" s="111">
        <f>AC124/AC64-1</f>
        <v/>
      </c>
      <c r="AF124" s="320" t="n">
        <v>1091.3</v>
      </c>
      <c r="AG124" s="111">
        <f>AF124/AF112-1</f>
        <v/>
      </c>
      <c r="AH124" s="111">
        <f>AF124/AF64-1</f>
        <v/>
      </c>
      <c r="AI124" s="320" t="n">
        <v>358.5</v>
      </c>
      <c r="AJ124" s="111">
        <f>AI124/AI112-1</f>
        <v/>
      </c>
      <c r="AK124" s="111">
        <f>AI124/AI64-1</f>
        <v/>
      </c>
      <c r="AL124" s="321" t="n">
        <v>77.59999999999999</v>
      </c>
      <c r="AM124" s="380">
        <f>AL124-AL112</f>
        <v/>
      </c>
      <c r="AN124" s="380">
        <f>AL124-AL64</f>
        <v/>
      </c>
      <c r="AO124" s="321" t="n">
        <v>79.2</v>
      </c>
      <c r="AP124" s="380">
        <f>AO124-AO112</f>
        <v/>
      </c>
      <c r="AQ124" s="380">
        <f>AO124-AO64</f>
        <v/>
      </c>
      <c r="AR124" s="321" t="n">
        <v>73.8</v>
      </c>
      <c r="AS124" s="380">
        <f>AR124-AR112</f>
        <v/>
      </c>
      <c r="AT124" s="380">
        <f>AR124-AR64</f>
        <v/>
      </c>
      <c r="AU124" s="321" t="n">
        <v>69.7</v>
      </c>
      <c r="AV124" s="380">
        <f>AU124-AU112</f>
        <v/>
      </c>
      <c r="AW124" s="380">
        <f>AU124-AU64</f>
        <v/>
      </c>
      <c r="AX124" s="397" t="n">
        <v>908</v>
      </c>
      <c r="AY124" s="111">
        <f>AX124/AX112-1</f>
        <v/>
      </c>
      <c r="AZ124" s="111">
        <f>AX124/AX64-1</f>
        <v/>
      </c>
      <c r="BA124" s="399" t="n"/>
      <c r="BB124" s="399" t="n"/>
      <c r="BC124" s="399" t="n"/>
      <c r="BD124" s="399" t="n"/>
      <c r="BE124" s="399" t="n"/>
      <c r="BF124" s="399" t="n"/>
      <c r="BG124" s="399" t="n"/>
      <c r="BH124" s="399" t="n"/>
      <c r="BI124" s="399" t="n"/>
      <c r="BJ124" s="399" t="n"/>
      <c r="BK124" s="320" t="n"/>
      <c r="BL124" s="399" t="n"/>
      <c r="BM124" s="399" t="n"/>
      <c r="BN124" s="399" t="n"/>
      <c r="BO124" s="399" t="n"/>
      <c r="BP124" s="399" t="n"/>
      <c r="BQ124" s="399" t="n"/>
      <c r="BR124" s="399" t="n"/>
      <c r="BS124" s="399" t="n"/>
      <c r="BT124" s="399" t="n"/>
      <c r="BU124" s="399" t="n"/>
      <c r="BV124" s="399" t="n"/>
      <c r="BW124" s="399" t="n"/>
      <c r="BX124" s="399" t="n"/>
      <c r="BY124" s="399" t="n"/>
      <c r="BZ124" s="399" t="n"/>
      <c r="CA124" s="399" t="n"/>
      <c r="CB124" s="399" t="n"/>
      <c r="CC124" s="399" t="n"/>
      <c r="CD124" s="399" t="n"/>
      <c r="CE124" s="399" t="n"/>
      <c r="CF124" s="399" t="n"/>
      <c r="CG124" s="399" t="n"/>
      <c r="CH124" s="399" t="n"/>
      <c r="CI124" s="399" t="n"/>
      <c r="CJ124" s="399" t="n"/>
      <c r="CK124" s="399" t="n"/>
      <c r="CL124" s="399" t="n"/>
      <c r="CM124" s="399" t="n"/>
      <c r="CN124" s="399" t="n"/>
      <c r="CW124" s="399" t="n"/>
      <c r="CX124" s="399" t="n"/>
      <c r="CY124" s="399" t="n"/>
      <c r="CZ124" s="399" t="n"/>
      <c r="DA124" s="399" t="n"/>
      <c r="DB124" s="399" t="n"/>
      <c r="DC124" s="399" t="n"/>
      <c r="DD124" s="399" t="n"/>
      <c r="DE124" s="405" t="n"/>
      <c r="DF124" s="405" t="n"/>
    </row>
    <row r="125" customFormat="1" s="116">
      <c r="A125" s="402" t="n">
        <v>45351</v>
      </c>
      <c r="B125" s="169" t="n">
        <v>29035.8</v>
      </c>
      <c r="C125" s="111">
        <f>B125/B113-1</f>
        <v/>
      </c>
      <c r="D125" s="111">
        <f>B125/B65-1</f>
        <v/>
      </c>
      <c r="E125" s="169" t="n">
        <v>21577.6</v>
      </c>
      <c r="F125" s="111">
        <f>E125/E113-1</f>
        <v/>
      </c>
      <c r="G125" s="111">
        <f>E125/E65-1</f>
        <v/>
      </c>
      <c r="H125" s="169" t="n">
        <v>6642.7</v>
      </c>
      <c r="I125" s="111">
        <f>H125/H113-1</f>
        <v/>
      </c>
      <c r="J125" s="111">
        <f>H125/H65-1</f>
        <v/>
      </c>
      <c r="K125" s="169" t="n">
        <v>815.5</v>
      </c>
      <c r="L125" s="111">
        <f>K125/K113-1</f>
        <v/>
      </c>
      <c r="M125" s="111">
        <f>K125/K65-1</f>
        <v/>
      </c>
      <c r="N125" s="169" t="n">
        <v>23961.7</v>
      </c>
      <c r="O125" s="111">
        <f>N125/N113-1</f>
        <v/>
      </c>
      <c r="P125" s="111">
        <f>N125/N65-1</f>
        <v/>
      </c>
      <c r="Q125" s="169" t="n">
        <v>18043.6</v>
      </c>
      <c r="R125" s="111">
        <f>Q125/Q113-1</f>
        <v/>
      </c>
      <c r="S125" s="111">
        <f>Q125/Q65-1</f>
        <v/>
      </c>
      <c r="T125" s="169" t="n">
        <v>5302</v>
      </c>
      <c r="U125" s="111">
        <f>T125/T113-1</f>
        <v/>
      </c>
      <c r="V125" s="111">
        <f>T125/T65-1</f>
        <v/>
      </c>
      <c r="W125" s="169" t="n">
        <v>616.1</v>
      </c>
      <c r="X125" s="111">
        <f>W125/W113-1</f>
        <v/>
      </c>
      <c r="Y125" s="111">
        <f>W125/W65-1</f>
        <v/>
      </c>
      <c r="Z125" s="169" t="n">
        <v>13254.1</v>
      </c>
      <c r="AA125" s="111">
        <f>Z125/Z113-1</f>
        <v/>
      </c>
      <c r="AB125" s="111">
        <f>Z125/Z65-1</f>
        <v/>
      </c>
      <c r="AC125" s="169" t="n">
        <v>11693.2</v>
      </c>
      <c r="AD125" s="111">
        <f>AC125/AC113-1</f>
        <v/>
      </c>
      <c r="AE125" s="111">
        <f>AC125/AC65-1</f>
        <v/>
      </c>
      <c r="AF125" s="169" t="n">
        <v>1177.5</v>
      </c>
      <c r="AG125" s="111">
        <f>AF125/AF113-1</f>
        <v/>
      </c>
      <c r="AH125" s="111">
        <f>AF125/AF65-1</f>
        <v/>
      </c>
      <c r="AI125" s="169" t="n">
        <v>383.4</v>
      </c>
      <c r="AJ125" s="111">
        <f>AI125/AI113-1</f>
        <v/>
      </c>
      <c r="AK125" s="111">
        <f>AI125/AI65-1</f>
        <v/>
      </c>
      <c r="AL125" s="403" t="n">
        <v>82.5</v>
      </c>
      <c r="AM125" s="380">
        <f>AL125-AL113</f>
        <v/>
      </c>
      <c r="AN125" s="380">
        <f>AL125-AL65</f>
        <v/>
      </c>
      <c r="AO125" s="403" t="n">
        <v>83.59999999999999</v>
      </c>
      <c r="AP125" s="380">
        <f>AO125-AO113</f>
        <v/>
      </c>
      <c r="AQ125" s="380">
        <f>AO125-AO65</f>
        <v/>
      </c>
      <c r="AR125" s="403" t="n">
        <v>79.8</v>
      </c>
      <c r="AS125" s="380">
        <f>AR125-AR113</f>
        <v/>
      </c>
      <c r="AT125" s="380">
        <f>AR125-AR65</f>
        <v/>
      </c>
      <c r="AU125" s="403" t="n">
        <v>75.5</v>
      </c>
      <c r="AV125" s="380">
        <f>AU125-AU113</f>
        <v/>
      </c>
      <c r="AW125" s="380">
        <f>AU125-AU65</f>
        <v/>
      </c>
      <c r="AX125" s="404" t="n">
        <v>0</v>
      </c>
      <c r="AY125" s="111">
        <f>AX125/AX113-1</f>
        <v/>
      </c>
      <c r="AZ125" s="111">
        <f>AX125/AX65-1</f>
        <v/>
      </c>
      <c r="BA125" s="317" t="n"/>
      <c r="BB125" s="317" t="n"/>
      <c r="BC125" s="317" t="n"/>
      <c r="BD125" s="317" t="n"/>
      <c r="BE125" s="317" t="n"/>
      <c r="BF125" s="317" t="n"/>
      <c r="BG125" s="317" t="n"/>
      <c r="BH125" s="317" t="n"/>
      <c r="BI125" s="317" t="n"/>
      <c r="BJ125" s="317" t="n"/>
      <c r="BK125" s="318" t="n"/>
      <c r="BL125" s="317" t="n"/>
      <c r="BM125" s="317" t="n"/>
      <c r="BN125" s="317" t="n"/>
      <c r="BO125" s="317" t="n"/>
      <c r="BP125" s="317" t="n"/>
      <c r="BQ125" s="317" t="n"/>
      <c r="BR125" s="317" t="n"/>
      <c r="BS125" s="317" t="n"/>
      <c r="BT125" s="317" t="n"/>
      <c r="BU125" s="317" t="n"/>
      <c r="BV125" s="317" t="n"/>
      <c r="BW125" s="317" t="n"/>
      <c r="BX125" s="317" t="n"/>
      <c r="BY125" s="317" t="n"/>
      <c r="BZ125" s="317" t="n"/>
      <c r="CA125" s="317" t="n"/>
      <c r="CB125" s="317" t="n"/>
      <c r="CC125" s="317" t="n"/>
      <c r="CD125" s="317" t="n"/>
      <c r="CE125" s="317" t="n"/>
      <c r="CF125" s="317" t="n"/>
      <c r="CG125" s="317" t="n"/>
      <c r="CH125" s="317" t="n"/>
      <c r="CI125" s="317" t="n"/>
      <c r="CJ125" s="317" t="n"/>
      <c r="CK125" s="317" t="n"/>
      <c r="CL125" s="317" t="n"/>
      <c r="CM125" s="317" t="n"/>
      <c r="CN125" s="317" t="n"/>
      <c r="CW125" s="317" t="n"/>
      <c r="CX125" s="317" t="n"/>
      <c r="CY125" s="317" t="n"/>
      <c r="CZ125" s="317" t="n"/>
      <c r="DA125" s="317" t="n"/>
      <c r="DB125" s="317" t="n"/>
      <c r="DC125" s="317" t="n"/>
      <c r="DD125" s="317" t="n"/>
      <c r="DE125" s="319" t="n"/>
      <c r="DF125" s="319" t="n"/>
    </row>
    <row r="126" customFormat="1" s="116">
      <c r="A126" s="402" t="n">
        <v>45382</v>
      </c>
      <c r="B126" s="169" t="n">
        <v>28612.7</v>
      </c>
      <c r="C126" s="111">
        <f>B126/B114-1</f>
        <v/>
      </c>
      <c r="D126" s="111">
        <f>B126/B66-1</f>
        <v/>
      </c>
      <c r="E126" s="169" t="n">
        <v>20693.9</v>
      </c>
      <c r="F126" s="111">
        <f>E126/E114-1</f>
        <v/>
      </c>
      <c r="G126" s="111">
        <f>E126/E66-1</f>
        <v/>
      </c>
      <c r="H126" s="169" t="n">
        <v>7132.5</v>
      </c>
      <c r="I126" s="111">
        <f>H126/H114-1</f>
        <v/>
      </c>
      <c r="J126" s="111">
        <f>H126/H66-1</f>
        <v/>
      </c>
      <c r="K126" s="169" t="n">
        <v>786.3</v>
      </c>
      <c r="L126" s="111">
        <f>K126/K114-1</f>
        <v/>
      </c>
      <c r="M126" s="111">
        <f>K126/K66-1</f>
        <v/>
      </c>
      <c r="N126" s="169" t="n">
        <v>22451</v>
      </c>
      <c r="O126" s="111">
        <f>N126/N114-1</f>
        <v/>
      </c>
      <c r="P126" s="111">
        <f>N126/N66-1</f>
        <v/>
      </c>
      <c r="Q126" s="169" t="n">
        <v>16291.3</v>
      </c>
      <c r="R126" s="111">
        <f>Q126/Q114-1</f>
        <v/>
      </c>
      <c r="S126" s="111">
        <f>Q126/Q66-1</f>
        <v/>
      </c>
      <c r="T126" s="169" t="n">
        <v>5607.3</v>
      </c>
      <c r="U126" s="111">
        <f>T126/T114-1</f>
        <v/>
      </c>
      <c r="V126" s="111">
        <f>T126/T66-1</f>
        <v/>
      </c>
      <c r="W126" s="169" t="n">
        <v>552.4</v>
      </c>
      <c r="X126" s="111">
        <f>W126/W114-1</f>
        <v/>
      </c>
      <c r="Y126" s="111">
        <f>W126/W66-1</f>
        <v/>
      </c>
      <c r="Z126" s="169" t="n">
        <v>12368.5</v>
      </c>
      <c r="AA126" s="111">
        <f>Z126/Z114-1</f>
        <v/>
      </c>
      <c r="AB126" s="111">
        <f>Z126/Z66-1</f>
        <v/>
      </c>
      <c r="AC126" s="169" t="n">
        <v>10766.4</v>
      </c>
      <c r="AD126" s="111">
        <f>AC126/AC114-1</f>
        <v/>
      </c>
      <c r="AE126" s="111">
        <f>AC126/AC66-1</f>
        <v/>
      </c>
      <c r="AF126" s="169" t="n">
        <v>1258.1</v>
      </c>
      <c r="AG126" s="111">
        <f>AF126/AF114-1</f>
        <v/>
      </c>
      <c r="AH126" s="111">
        <f>AF126/AF66-1</f>
        <v/>
      </c>
      <c r="AI126" s="169" t="n">
        <v>344</v>
      </c>
      <c r="AJ126" s="111">
        <f>AI126/AI114-1</f>
        <v/>
      </c>
      <c r="AK126" s="111">
        <f>AI126/AI66-1</f>
        <v/>
      </c>
      <c r="AL126" s="403" t="n">
        <v>78.5</v>
      </c>
      <c r="AM126" s="380">
        <f>AL126-AL114</f>
        <v/>
      </c>
      <c r="AN126" s="380">
        <f>AL126-AL66</f>
        <v/>
      </c>
      <c r="AO126" s="403" t="n">
        <v>78.7</v>
      </c>
      <c r="AP126" s="380">
        <f>AO126-AO114</f>
        <v/>
      </c>
      <c r="AQ126" s="380">
        <f>AO126-AO66</f>
        <v/>
      </c>
      <c r="AR126" s="403" t="n">
        <v>78.59999999999999</v>
      </c>
      <c r="AS126" s="380">
        <f>AR126-AR114</f>
        <v/>
      </c>
      <c r="AT126" s="380">
        <f>AR126-AR66</f>
        <v/>
      </c>
      <c r="AU126" s="403" t="n">
        <v>70.3</v>
      </c>
      <c r="AV126" s="380">
        <f>AU126-AU114</f>
        <v/>
      </c>
      <c r="AW126" s="380">
        <f>AU126-AU66</f>
        <v/>
      </c>
      <c r="AX126" s="404" t="n">
        <v>911</v>
      </c>
      <c r="AY126" s="111">
        <f>AX126/AX114-1</f>
        <v/>
      </c>
      <c r="AZ126" s="111">
        <f>AX126/AX66-1</f>
        <v/>
      </c>
      <c r="BA126" s="317" t="n"/>
      <c r="BB126" s="317" t="n"/>
      <c r="BC126" s="317" t="n"/>
      <c r="BD126" s="317" t="n"/>
      <c r="BE126" s="317" t="n"/>
      <c r="BF126" s="317" t="n"/>
      <c r="BG126" s="317" t="n"/>
      <c r="BH126" s="317" t="n"/>
      <c r="BI126" s="317" t="n"/>
      <c r="BJ126" s="317" t="n"/>
      <c r="BK126" s="318" t="n"/>
      <c r="BL126" s="317" t="n"/>
      <c r="BM126" s="317" t="n"/>
      <c r="BN126" s="317" t="n"/>
      <c r="BO126" s="317" t="n"/>
      <c r="BP126" s="317" t="n"/>
      <c r="BQ126" s="317" t="n"/>
      <c r="BR126" s="317" t="n"/>
      <c r="BS126" s="317" t="n"/>
      <c r="BT126" s="317" t="n"/>
      <c r="BU126" s="317" t="n"/>
      <c r="BV126" s="317" t="n"/>
      <c r="BW126" s="317" t="n"/>
      <c r="BX126" s="317" t="n"/>
      <c r="BY126" s="317" t="n"/>
      <c r="BZ126" s="317" t="n"/>
      <c r="CA126" s="317" t="n"/>
      <c r="CB126" s="317" t="n"/>
      <c r="CC126" s="317" t="n"/>
      <c r="CD126" s="317" t="n"/>
      <c r="CE126" s="317" t="n"/>
      <c r="CF126" s="317" t="n"/>
      <c r="CG126" s="317" t="n"/>
      <c r="CH126" s="317" t="n"/>
      <c r="CI126" s="317" t="n"/>
      <c r="CJ126" s="317" t="n"/>
      <c r="CK126" s="317" t="n"/>
      <c r="CL126" s="317" t="n"/>
      <c r="CM126" s="317" t="n"/>
      <c r="CN126" s="317" t="n"/>
      <c r="CW126" s="317" t="n"/>
      <c r="CX126" s="317" t="n"/>
      <c r="CY126" s="317" t="n"/>
      <c r="CZ126" s="317" t="n"/>
      <c r="DA126" s="317" t="n"/>
      <c r="DB126" s="317" t="n"/>
      <c r="DC126" s="317" t="n"/>
      <c r="DD126" s="317" t="n"/>
      <c r="DE126" s="319" t="n"/>
      <c r="DF126" s="319" t="n"/>
    </row>
    <row r="127" customFormat="1" s="116">
      <c r="A127" s="402" t="n">
        <v>45412</v>
      </c>
      <c r="B127" s="169" t="n">
        <v>27734.3</v>
      </c>
      <c r="C127" s="111">
        <f>B127/B115-1</f>
        <v/>
      </c>
      <c r="D127" s="111">
        <f>B127/B67-1</f>
        <v/>
      </c>
      <c r="E127" s="169" t="n">
        <v>19436.2</v>
      </c>
      <c r="F127" s="111">
        <f>E127/E115-1</f>
        <v/>
      </c>
      <c r="G127" s="111">
        <f>E127/E67-1</f>
        <v/>
      </c>
      <c r="H127" s="169" t="n">
        <v>7434.8</v>
      </c>
      <c r="I127" s="111">
        <f>H127/H115-1</f>
        <v/>
      </c>
      <c r="J127" s="111">
        <f>H127/H67-1</f>
        <v/>
      </c>
      <c r="K127" s="169" t="n">
        <v>863.4</v>
      </c>
      <c r="L127" s="111">
        <f>K127/K115-1</f>
        <v/>
      </c>
      <c r="M127" s="111">
        <f>K127/K67-1</f>
        <v/>
      </c>
      <c r="N127" s="169" t="n">
        <v>21854.9</v>
      </c>
      <c r="O127" s="111">
        <f>N127/N115-1</f>
        <v/>
      </c>
      <c r="P127" s="111">
        <f>N127/N67-1</f>
        <v/>
      </c>
      <c r="Q127" s="169" t="n">
        <v>15470.5</v>
      </c>
      <c r="R127" s="111">
        <f>Q127/Q115-1</f>
        <v/>
      </c>
      <c r="S127" s="111">
        <f>Q127/Q67-1</f>
        <v/>
      </c>
      <c r="T127" s="169" t="n">
        <v>5745.9</v>
      </c>
      <c r="U127" s="111">
        <f>T127/T115-1</f>
        <v/>
      </c>
      <c r="V127" s="111">
        <f>T127/T67-1</f>
        <v/>
      </c>
      <c r="W127" s="169" t="n">
        <v>638.5</v>
      </c>
      <c r="X127" s="111">
        <f>W127/W115-1</f>
        <v/>
      </c>
      <c r="Y127" s="111">
        <f>W127/W67-1</f>
        <v/>
      </c>
      <c r="Z127" s="169" t="n">
        <v>12009.6</v>
      </c>
      <c r="AA127" s="111">
        <f>Z127/Z115-1</f>
        <v/>
      </c>
      <c r="AB127" s="111">
        <f>Z127/Z67-1</f>
        <v/>
      </c>
      <c r="AC127" s="169" t="n">
        <v>10277.7</v>
      </c>
      <c r="AD127" s="111">
        <f>AC127/AC115-1</f>
        <v/>
      </c>
      <c r="AE127" s="111">
        <f>AC127/AC67-1</f>
        <v/>
      </c>
      <c r="AF127" s="169" t="n">
        <v>1330.6</v>
      </c>
      <c r="AG127" s="111">
        <f>AF127/AF115-1</f>
        <v/>
      </c>
      <c r="AH127" s="111">
        <f>AF127/AF67-1</f>
        <v/>
      </c>
      <c r="AI127" s="169" t="n">
        <v>401.3</v>
      </c>
      <c r="AJ127" s="111">
        <f>AI127/AI115-1</f>
        <v/>
      </c>
      <c r="AK127" s="111">
        <f>AI127/AI67-1</f>
        <v/>
      </c>
      <c r="AL127" s="403" t="n">
        <v>78.8</v>
      </c>
      <c r="AM127" s="380">
        <f>AL127-AL115</f>
        <v/>
      </c>
      <c r="AN127" s="380">
        <f>AL127-AL67</f>
        <v/>
      </c>
      <c r="AO127" s="403" t="n">
        <v>79.59999999999999</v>
      </c>
      <c r="AP127" s="380">
        <f>AO127-AO115</f>
        <v/>
      </c>
      <c r="AQ127" s="380">
        <f>AO127-AO67</f>
        <v/>
      </c>
      <c r="AR127" s="403" t="n">
        <v>77.3</v>
      </c>
      <c r="AS127" s="380">
        <f>AR127-AR115</f>
        <v/>
      </c>
      <c r="AT127" s="380">
        <f>AR127-AR67</f>
        <v/>
      </c>
      <c r="AU127" s="403" t="n">
        <v>74</v>
      </c>
      <c r="AV127" s="380">
        <f>AU127-AU115</f>
        <v/>
      </c>
      <c r="AW127" s="380">
        <f>AU127-AU67</f>
        <v/>
      </c>
      <c r="AX127" s="404" t="n">
        <v>914</v>
      </c>
      <c r="AY127" s="111">
        <f>AX127/AX115-1</f>
        <v/>
      </c>
      <c r="AZ127" s="111">
        <f>AX127/AX67-1</f>
        <v/>
      </c>
      <c r="BA127" s="317" t="n"/>
      <c r="BB127" s="317" t="n"/>
      <c r="BC127" s="317" t="n"/>
      <c r="BD127" s="317" t="n"/>
      <c r="BE127" s="317" t="n"/>
      <c r="BF127" s="317" t="n"/>
      <c r="BG127" s="317" t="n"/>
      <c r="BH127" s="317" t="n"/>
      <c r="BI127" s="317" t="n"/>
      <c r="BJ127" s="317" t="n"/>
      <c r="BK127" s="318" t="n"/>
      <c r="BL127" s="317" t="n"/>
      <c r="BM127" s="317" t="n"/>
      <c r="BN127" s="317" t="n"/>
      <c r="BO127" s="317" t="n"/>
      <c r="BP127" s="317" t="n"/>
      <c r="BQ127" s="317" t="n"/>
      <c r="BR127" s="317" t="n"/>
      <c r="BS127" s="317" t="n"/>
      <c r="BT127" s="317" t="n"/>
      <c r="BU127" s="317" t="n"/>
      <c r="BV127" s="317" t="n"/>
      <c r="BW127" s="317" t="n"/>
      <c r="BX127" s="317" t="n"/>
      <c r="BY127" s="317" t="n"/>
      <c r="BZ127" s="317" t="n"/>
      <c r="CA127" s="317" t="n"/>
      <c r="CB127" s="317" t="n"/>
      <c r="CC127" s="317" t="n"/>
      <c r="CD127" s="317" t="n"/>
      <c r="CE127" s="317" t="n"/>
      <c r="CF127" s="317" t="n"/>
      <c r="CG127" s="317" t="n"/>
      <c r="CH127" s="317" t="n"/>
      <c r="CI127" s="317" t="n"/>
      <c r="CJ127" s="317" t="n"/>
      <c r="CK127" s="317" t="n"/>
      <c r="CL127" s="317" t="n"/>
      <c r="CM127" s="317" t="n"/>
      <c r="CN127" s="317" t="n"/>
      <c r="CW127" s="317" t="n"/>
      <c r="CX127" s="317" t="n"/>
      <c r="CY127" s="317" t="n"/>
      <c r="CZ127" s="317" t="n"/>
      <c r="DA127" s="317" t="n"/>
      <c r="DB127" s="317" t="n"/>
      <c r="DC127" s="317" t="n"/>
      <c r="DD127" s="317" t="n"/>
      <c r="DE127" s="319" t="n"/>
      <c r="DF127" s="319" t="n"/>
    </row>
    <row r="128" customFormat="1" s="116">
      <c r="A128" s="402" t="n">
        <v>45443</v>
      </c>
      <c r="B128" s="169" t="n">
        <v>29146.1</v>
      </c>
      <c r="C128" s="111">
        <f>B128/B116-1</f>
        <v/>
      </c>
      <c r="D128" s="111">
        <f>B128/B68-1</f>
        <v/>
      </c>
      <c r="E128" s="169" t="n">
        <v>20294.5</v>
      </c>
      <c r="F128" s="111">
        <f>E128/E116-1</f>
        <v/>
      </c>
      <c r="G128" s="111">
        <f>E128/E68-1</f>
        <v/>
      </c>
      <c r="H128" s="169" t="n">
        <v>7976.7</v>
      </c>
      <c r="I128" s="111">
        <f>H128/H116-1</f>
        <v/>
      </c>
      <c r="J128" s="111">
        <f>H128/H68-1</f>
        <v/>
      </c>
      <c r="K128" s="169" t="n">
        <v>874.9</v>
      </c>
      <c r="L128" s="111">
        <f>K128/K116-1</f>
        <v/>
      </c>
      <c r="M128" s="111">
        <f>K128/K68-1</f>
        <v/>
      </c>
      <c r="N128" s="169" t="n">
        <v>22828.8</v>
      </c>
      <c r="O128" s="111">
        <f>N128/N116-1</f>
        <v/>
      </c>
      <c r="P128" s="111">
        <f>N128/N68-1</f>
        <v/>
      </c>
      <c r="Q128" s="169" t="n">
        <v>16438.7</v>
      </c>
      <c r="R128" s="111">
        <f>Q128/Q116-1</f>
        <v/>
      </c>
      <c r="S128" s="111">
        <f>Q128/Q68-1</f>
        <v/>
      </c>
      <c r="T128" s="169" t="n">
        <v>5781.8</v>
      </c>
      <c r="U128" s="111">
        <f>T128/T116-1</f>
        <v/>
      </c>
      <c r="V128" s="111">
        <f>T128/T68-1</f>
        <v/>
      </c>
      <c r="W128" s="169" t="n">
        <v>608.2</v>
      </c>
      <c r="X128" s="111">
        <f>W128/W116-1</f>
        <v/>
      </c>
      <c r="Y128" s="111">
        <f>W128/W68-1</f>
        <v/>
      </c>
      <c r="Z128" s="169" t="n">
        <v>12690.5</v>
      </c>
      <c r="AA128" s="111">
        <f>Z128/Z116-1</f>
        <v/>
      </c>
      <c r="AB128" s="111">
        <f>Z128/Z68-1</f>
        <v/>
      </c>
      <c r="AC128" s="169" t="n">
        <v>10988.2</v>
      </c>
      <c r="AD128" s="111">
        <f>AC128/AC116-1</f>
        <v/>
      </c>
      <c r="AE128" s="111">
        <f>AC128/AC68-1</f>
        <v/>
      </c>
      <c r="AF128" s="169" t="n">
        <v>1320.2</v>
      </c>
      <c r="AG128" s="111">
        <f>AF128/AF116-1</f>
        <v/>
      </c>
      <c r="AH128" s="111">
        <f>AF128/AF68-1</f>
        <v/>
      </c>
      <c r="AI128" s="169" t="n">
        <v>382.1</v>
      </c>
      <c r="AJ128" s="111">
        <f>AI128/AI116-1</f>
        <v/>
      </c>
      <c r="AK128" s="111">
        <f>AI128/AI68-1</f>
        <v/>
      </c>
      <c r="AL128" s="403" t="n">
        <v>78.3</v>
      </c>
      <c r="AM128" s="380">
        <f>AL128-AL116</f>
        <v/>
      </c>
      <c r="AN128" s="380">
        <f>AL128-AL68</f>
        <v/>
      </c>
      <c r="AO128" s="403" t="n">
        <v>81</v>
      </c>
      <c r="AP128" s="380">
        <f>AO128-AO116</f>
        <v/>
      </c>
      <c r="AQ128" s="380">
        <f>AO128-AO68</f>
        <v/>
      </c>
      <c r="AR128" s="403" t="n">
        <v>72.5</v>
      </c>
      <c r="AS128" s="380">
        <f>AR128-AR116</f>
        <v/>
      </c>
      <c r="AT128" s="380">
        <f>AR128-AR68</f>
        <v/>
      </c>
      <c r="AU128" s="403" t="n">
        <v>69.5</v>
      </c>
      <c r="AV128" s="380">
        <f>AU128-AU116</f>
        <v/>
      </c>
      <c r="AW128" s="380">
        <f>AU128-AU68</f>
        <v/>
      </c>
      <c r="AX128" s="404" t="n">
        <v>915</v>
      </c>
      <c r="AY128" s="111">
        <f>AX128/AX116-1</f>
        <v/>
      </c>
      <c r="AZ128" s="111">
        <f>AX128/AX68-1</f>
        <v/>
      </c>
      <c r="BA128" s="317" t="n"/>
      <c r="BB128" s="317" t="n"/>
      <c r="BC128" s="317" t="n"/>
      <c r="BD128" s="317" t="n"/>
      <c r="BE128" s="317" t="n"/>
      <c r="BF128" s="317" t="n"/>
      <c r="BG128" s="317" t="n"/>
      <c r="BH128" s="317" t="n"/>
      <c r="BI128" s="317" t="n"/>
      <c r="BJ128" s="317" t="n"/>
      <c r="BK128" s="318" t="n"/>
      <c r="BL128" s="317" t="n"/>
      <c r="BM128" s="317" t="n"/>
      <c r="BN128" s="317" t="n"/>
      <c r="BO128" s="317" t="n"/>
      <c r="BP128" s="317" t="n"/>
      <c r="BQ128" s="317" t="n"/>
      <c r="BR128" s="317" t="n"/>
      <c r="BS128" s="317" t="n"/>
      <c r="BT128" s="317" t="n"/>
      <c r="BU128" s="317" t="n"/>
      <c r="BV128" s="317" t="n"/>
      <c r="BW128" s="317" t="n"/>
      <c r="BX128" s="317" t="n"/>
      <c r="BY128" s="317" t="n"/>
      <c r="BZ128" s="317" t="n"/>
      <c r="CA128" s="317" t="n"/>
      <c r="CB128" s="317" t="n"/>
      <c r="CC128" s="317" t="n"/>
      <c r="CD128" s="317" t="n"/>
      <c r="CE128" s="317" t="n"/>
      <c r="CF128" s="317" t="n"/>
      <c r="CG128" s="317" t="n"/>
      <c r="CH128" s="317" t="n"/>
      <c r="CI128" s="317" t="n"/>
      <c r="CJ128" s="317" t="n"/>
      <c r="CK128" s="317" t="n"/>
      <c r="CL128" s="317" t="n"/>
      <c r="CM128" s="317" t="n"/>
      <c r="CN128" s="317" t="n"/>
      <c r="CW128" s="317" t="n"/>
      <c r="CX128" s="317" t="n"/>
      <c r="CY128" s="317" t="n"/>
      <c r="CZ128" s="317" t="n"/>
      <c r="DA128" s="317" t="n"/>
      <c r="DB128" s="317" t="n"/>
      <c r="DC128" s="317" t="n"/>
      <c r="DD128" s="317" t="n"/>
      <c r="DE128" s="319" t="n"/>
      <c r="DF128" s="319" t="n"/>
    </row>
    <row r="129" customFormat="1" s="116">
      <c r="A129" s="402" t="n">
        <v>45473</v>
      </c>
      <c r="B129" s="169" t="n">
        <v>28729.5</v>
      </c>
      <c r="C129" s="111">
        <f>B129/B117-1</f>
        <v/>
      </c>
      <c r="D129" s="111">
        <f>B129/B69-1</f>
        <v/>
      </c>
      <c r="E129" s="169" t="n">
        <v>19931.1</v>
      </c>
      <c r="F129" s="111">
        <f>E129/E117-1</f>
        <v/>
      </c>
      <c r="G129" s="111">
        <f>E129/E69-1</f>
        <v/>
      </c>
      <c r="H129" s="169" t="n">
        <v>7940.3</v>
      </c>
      <c r="I129" s="111">
        <f>H129/H117-1</f>
        <v/>
      </c>
      <c r="J129" s="111">
        <f>H129/H69-1</f>
        <v/>
      </c>
      <c r="K129" s="169" t="n">
        <v>858</v>
      </c>
      <c r="L129" s="111">
        <f>K129/K117-1</f>
        <v/>
      </c>
      <c r="M129" s="111">
        <f>K129/K69-1</f>
        <v/>
      </c>
      <c r="N129" s="169" t="n">
        <v>22978.7</v>
      </c>
      <c r="O129" s="111">
        <f>N129/N117-1</f>
        <v/>
      </c>
      <c r="P129" s="111">
        <f>N129/N69-1</f>
        <v/>
      </c>
      <c r="Q129" s="169" t="n">
        <v>16300.1</v>
      </c>
      <c r="R129" s="111">
        <f>Q129/Q117-1</f>
        <v/>
      </c>
      <c r="S129" s="111">
        <f>Q129/Q69-1</f>
        <v/>
      </c>
      <c r="T129" s="169" t="n">
        <v>6053.6</v>
      </c>
      <c r="U129" s="111">
        <f>T129/T117-1</f>
        <v/>
      </c>
      <c r="V129" s="111">
        <f>T129/T69-1</f>
        <v/>
      </c>
      <c r="W129" s="169" t="n">
        <v>625</v>
      </c>
      <c r="X129" s="111">
        <f>W129/W117-1</f>
        <v/>
      </c>
      <c r="Y129" s="111">
        <f>W129/W69-1</f>
        <v/>
      </c>
      <c r="Z129" s="169" t="n">
        <v>12541.4</v>
      </c>
      <c r="AA129" s="111">
        <f>Z129/Z117-1</f>
        <v/>
      </c>
      <c r="AB129" s="111">
        <f>Z129/Z69-1</f>
        <v/>
      </c>
      <c r="AC129" s="169" t="n">
        <v>10790</v>
      </c>
      <c r="AD129" s="111">
        <f>AC129/AC117-1</f>
        <v/>
      </c>
      <c r="AE129" s="111">
        <f>AC129/AC69-1</f>
        <v/>
      </c>
      <c r="AF129" s="169" t="n">
        <v>1358.4</v>
      </c>
      <c r="AG129" s="111">
        <f>AF129/AF117-1</f>
        <v/>
      </c>
      <c r="AH129" s="111">
        <f>AF129/AF69-1</f>
        <v/>
      </c>
      <c r="AI129" s="169" t="n">
        <v>393.1</v>
      </c>
      <c r="AJ129" s="111">
        <f>AI129/AI117-1</f>
        <v/>
      </c>
      <c r="AK129" s="111">
        <f>AI129/AI69-1</f>
        <v/>
      </c>
      <c r="AL129" s="403" t="n">
        <v>80</v>
      </c>
      <c r="AM129" s="380">
        <f>AL129-AL117</f>
        <v/>
      </c>
      <c r="AN129" s="380">
        <f>AL129-AL69</f>
        <v/>
      </c>
      <c r="AO129" s="403" t="n">
        <v>81.8</v>
      </c>
      <c r="AP129" s="380">
        <f>AO129-AO117</f>
        <v/>
      </c>
      <c r="AQ129" s="380">
        <f>AO129-AO69</f>
        <v/>
      </c>
      <c r="AR129" s="403" t="n">
        <v>76.2</v>
      </c>
      <c r="AS129" s="380">
        <f>AR129-AR117</f>
        <v/>
      </c>
      <c r="AT129" s="380">
        <f>AR129-AR69</f>
        <v/>
      </c>
      <c r="AU129" s="403" t="n">
        <v>72.8</v>
      </c>
      <c r="AV129" s="380">
        <f>AU129-AU117</f>
        <v/>
      </c>
      <c r="AW129" s="380">
        <f>AU129-AU69</f>
        <v/>
      </c>
      <c r="AX129" s="404" t="n">
        <v>915</v>
      </c>
      <c r="AY129" s="111">
        <f>AX129/AX117-1</f>
        <v/>
      </c>
      <c r="AZ129" s="111">
        <f>AX129/AX69-1</f>
        <v/>
      </c>
      <c r="BA129" s="317" t="n"/>
      <c r="BB129" s="317" t="n"/>
      <c r="BC129" s="317" t="n"/>
      <c r="BD129" s="317" t="n"/>
      <c r="BE129" s="317" t="n"/>
      <c r="BF129" s="317" t="n"/>
      <c r="BG129" s="317" t="n"/>
      <c r="BH129" s="317" t="n"/>
      <c r="BI129" s="317" t="n"/>
      <c r="BJ129" s="317" t="n"/>
      <c r="BK129" s="318" t="n"/>
      <c r="BL129" s="317" t="n"/>
      <c r="BM129" s="317" t="n"/>
      <c r="BN129" s="317" t="n"/>
      <c r="BO129" s="317" t="n"/>
      <c r="BP129" s="317" t="n"/>
      <c r="BQ129" s="317" t="n"/>
      <c r="BR129" s="317" t="n"/>
      <c r="BS129" s="317" t="n"/>
      <c r="BT129" s="317" t="n"/>
      <c r="BU129" s="317" t="n"/>
      <c r="BV129" s="317" t="n"/>
      <c r="BW129" s="317" t="n"/>
      <c r="BX129" s="317" t="n"/>
      <c r="BY129" s="317" t="n"/>
      <c r="BZ129" s="317" t="n"/>
      <c r="CA129" s="317" t="n"/>
      <c r="CB129" s="317" t="n"/>
      <c r="CC129" s="317" t="n"/>
      <c r="CD129" s="317" t="n"/>
      <c r="CE129" s="317" t="n"/>
      <c r="CF129" s="317" t="n"/>
      <c r="CG129" s="317" t="n"/>
      <c r="CH129" s="317" t="n"/>
      <c r="CI129" s="317" t="n"/>
      <c r="CJ129" s="317" t="n"/>
      <c r="CK129" s="317" t="n"/>
      <c r="CL129" s="317" t="n"/>
      <c r="CM129" s="317" t="n"/>
      <c r="CN129" s="317" t="n"/>
      <c r="CW129" s="317" t="n"/>
      <c r="CX129" s="317" t="n"/>
      <c r="CY129" s="317" t="n"/>
      <c r="CZ129" s="317" t="n"/>
      <c r="DA129" s="317" t="n"/>
      <c r="DB129" s="317" t="n"/>
      <c r="DC129" s="317" t="n"/>
      <c r="DD129" s="317" t="n"/>
      <c r="DE129" s="319" t="n"/>
      <c r="DF129" s="319" t="n"/>
    </row>
    <row r="130" customFormat="1" s="203">
      <c r="A130" s="406" t="n">
        <v>45504</v>
      </c>
      <c r="B130" s="169" t="n">
        <v>33238</v>
      </c>
      <c r="C130" s="165">
        <f>B130/B118-1</f>
        <v/>
      </c>
      <c r="D130" s="111">
        <f>B130/B70-1</f>
        <v/>
      </c>
      <c r="E130" s="169" t="n">
        <v>23627.7</v>
      </c>
      <c r="F130" s="165">
        <f>E130/E118-1</f>
        <v/>
      </c>
      <c r="G130" s="111">
        <f>E130/E70-1</f>
        <v/>
      </c>
      <c r="H130" s="169" t="n">
        <v>8658.1</v>
      </c>
      <c r="I130" s="165">
        <f>H130/H118-1</f>
        <v/>
      </c>
      <c r="J130" s="111">
        <f>H130/H70-1</f>
        <v/>
      </c>
      <c r="K130" s="169" t="n">
        <v>952.2</v>
      </c>
      <c r="L130" s="165">
        <f>K130/K118-1</f>
        <v/>
      </c>
      <c r="M130" s="111">
        <f>K130/K70-1</f>
        <v/>
      </c>
      <c r="N130" s="169" t="n">
        <v>26653.1</v>
      </c>
      <c r="O130" s="165">
        <f>N130/N118-1</f>
        <v/>
      </c>
      <c r="P130" s="111">
        <f>N130/N70-1</f>
        <v/>
      </c>
      <c r="Q130" s="169" t="n">
        <v>19171</v>
      </c>
      <c r="R130" s="165">
        <f>Q130/Q118-1</f>
        <v/>
      </c>
      <c r="S130" s="111">
        <f>Q130/Q70-1</f>
        <v/>
      </c>
      <c r="T130" s="169" t="n">
        <v>6767.9</v>
      </c>
      <c r="U130" s="165">
        <f>T130/T118-1</f>
        <v/>
      </c>
      <c r="V130" s="111">
        <f>T130/T70-1</f>
        <v/>
      </c>
      <c r="W130" s="169" t="n">
        <v>714.2</v>
      </c>
      <c r="X130" s="165">
        <f>W130/W118-1</f>
        <v/>
      </c>
      <c r="Y130" s="111">
        <f>W130/W70-1</f>
        <v/>
      </c>
      <c r="Z130" s="169" t="n">
        <v>14508.5</v>
      </c>
      <c r="AA130" s="165">
        <f>Z130/Z118-1</f>
        <v/>
      </c>
      <c r="AB130" s="111">
        <f>Z130/Z70-1</f>
        <v/>
      </c>
      <c r="AC130" s="169" t="n">
        <v>12529.5</v>
      </c>
      <c r="AD130" s="165">
        <f>AC130/AC118-1</f>
        <v/>
      </c>
      <c r="AE130" s="111">
        <f>AC130/AC70-1</f>
        <v/>
      </c>
      <c r="AF130" s="169" t="n">
        <v>1528.4</v>
      </c>
      <c r="AG130" s="165">
        <f>AF130/AF118-1</f>
        <v/>
      </c>
      <c r="AH130" s="111">
        <f>AF130/AF70-1</f>
        <v/>
      </c>
      <c r="AI130" s="169" t="n">
        <v>450.6</v>
      </c>
      <c r="AJ130" s="165">
        <f>AI130/AI118-1</f>
        <v/>
      </c>
      <c r="AK130" s="111">
        <f>AI130/AI70-1</f>
        <v/>
      </c>
      <c r="AL130" s="403" t="n">
        <v>80.2</v>
      </c>
      <c r="AM130" s="380">
        <f>AL130-AL118</f>
        <v/>
      </c>
      <c r="AN130" s="380">
        <f>AL130-AL70</f>
        <v/>
      </c>
      <c r="AO130" s="403" t="n">
        <v>81.09999999999999</v>
      </c>
      <c r="AP130" s="380">
        <f>AO130-AO118</f>
        <v/>
      </c>
      <c r="AQ130" s="380">
        <f>AO130-AO70</f>
        <v/>
      </c>
      <c r="AR130" s="403" t="n">
        <v>78.2</v>
      </c>
      <c r="AS130" s="380">
        <f>AR130-AR118</f>
        <v/>
      </c>
      <c r="AT130" s="380">
        <f>AR130-AR70</f>
        <v/>
      </c>
      <c r="AU130" s="403" t="n">
        <v>75</v>
      </c>
      <c r="AV130" s="380">
        <f>AU130-AU118</f>
        <v/>
      </c>
      <c r="AW130" s="380">
        <f>AU130-AU70</f>
        <v/>
      </c>
      <c r="AX130" s="404" t="n">
        <v>917</v>
      </c>
      <c r="AY130" s="111">
        <f>AX130/AX118-1</f>
        <v/>
      </c>
      <c r="AZ130" s="111">
        <f>AX130/AX70-1</f>
        <v/>
      </c>
      <c r="BA130" s="407" t="n"/>
      <c r="BB130" s="407" t="n"/>
      <c r="BC130" s="407" t="n"/>
      <c r="BD130" s="407" t="n"/>
      <c r="BE130" s="407" t="n"/>
      <c r="BF130" s="407" t="n"/>
      <c r="BG130" s="407" t="n"/>
      <c r="BH130" s="407" t="n"/>
      <c r="BI130" s="407" t="n"/>
      <c r="BJ130" s="407" t="n"/>
      <c r="BK130" s="318" t="n"/>
      <c r="BL130" s="407" t="n"/>
      <c r="BM130" s="407" t="n"/>
      <c r="BN130" s="407" t="n"/>
      <c r="BO130" s="407" t="n"/>
      <c r="BP130" s="407" t="n"/>
      <c r="BQ130" s="407" t="n"/>
      <c r="BR130" s="407" t="n"/>
      <c r="BS130" s="407" t="n"/>
      <c r="BT130" s="407" t="n"/>
      <c r="BU130" s="407" t="n"/>
      <c r="BV130" s="407" t="n"/>
      <c r="BW130" s="407" t="n"/>
      <c r="BX130" s="407" t="n"/>
      <c r="BY130" s="407" t="n"/>
      <c r="BZ130" s="407" t="n"/>
      <c r="CA130" s="407" t="n"/>
      <c r="CB130" s="407" t="n"/>
      <c r="CC130" s="407" t="n"/>
      <c r="CD130" s="407" t="n"/>
      <c r="CE130" s="407" t="n"/>
      <c r="CF130" s="407" t="n"/>
      <c r="CG130" s="407" t="n"/>
      <c r="CH130" s="407" t="n"/>
      <c r="CI130" s="407" t="n"/>
      <c r="CJ130" s="407" t="n"/>
      <c r="CK130" s="407" t="n"/>
      <c r="CL130" s="407" t="n"/>
      <c r="CM130" s="407" t="n"/>
      <c r="CN130" s="407" t="n"/>
      <c r="CW130" s="407" t="n"/>
      <c r="CX130" s="407" t="n"/>
      <c r="CY130" s="407" t="n"/>
      <c r="CZ130" s="407" t="n"/>
      <c r="DA130" s="407" t="n"/>
      <c r="DB130" s="407" t="n"/>
      <c r="DC130" s="407" t="n"/>
      <c r="DD130" s="407" t="n"/>
      <c r="DE130" s="408" t="n"/>
      <c r="DF130" s="408" t="n"/>
    </row>
    <row r="131" customFormat="1" s="203">
      <c r="A131" s="406" t="n">
        <v>45535</v>
      </c>
      <c r="B131" s="169" t="n">
        <v>33650.8</v>
      </c>
      <c r="C131" s="165">
        <f>B131/B119-1</f>
        <v/>
      </c>
      <c r="D131" s="111">
        <f>B131/B71-1</f>
        <v/>
      </c>
      <c r="E131" s="169" t="n">
        <v>23813.6</v>
      </c>
      <c r="F131" s="165">
        <f>E131/E119-1</f>
        <v/>
      </c>
      <c r="G131" s="111">
        <f>E131/E71-1</f>
        <v/>
      </c>
      <c r="H131" s="169" t="n">
        <v>8868.4</v>
      </c>
      <c r="I131" s="165">
        <f>H131/H119-1</f>
        <v/>
      </c>
      <c r="J131" s="111">
        <f>H131/H71-1</f>
        <v/>
      </c>
      <c r="K131" s="169" t="n">
        <v>968.8</v>
      </c>
      <c r="L131" s="165">
        <f>K131/K119-1</f>
        <v/>
      </c>
      <c r="M131" s="111">
        <f>K131/K71-1</f>
        <v/>
      </c>
      <c r="N131" s="169" t="n">
        <v>27904.1</v>
      </c>
      <c r="O131" s="165">
        <f>N131/N119-1</f>
        <v/>
      </c>
      <c r="P131" s="111">
        <f>N131/N71-1</f>
        <v/>
      </c>
      <c r="Q131" s="169" t="n">
        <v>20067.2</v>
      </c>
      <c r="R131" s="165">
        <f>Q131/Q119-1</f>
        <v/>
      </c>
      <c r="S131" s="111">
        <f>Q131/Q71-1</f>
        <v/>
      </c>
      <c r="T131" s="169" t="n">
        <v>7080.4</v>
      </c>
      <c r="U131" s="165">
        <f>T131/T119-1</f>
        <v/>
      </c>
      <c r="V131" s="111">
        <f>T131/T71-1</f>
        <v/>
      </c>
      <c r="W131" s="169" t="n">
        <v>756.4</v>
      </c>
      <c r="X131" s="165">
        <f>W131/W119-1</f>
        <v/>
      </c>
      <c r="Y131" s="111">
        <f>W131/W71-1</f>
        <v/>
      </c>
      <c r="Z131" s="169" t="n">
        <v>15252</v>
      </c>
      <c r="AA131" s="165">
        <f>Z131/Z119-1</f>
        <v/>
      </c>
      <c r="AB131" s="111">
        <f>Z131/Z71-1</f>
        <v/>
      </c>
      <c r="AC131" s="169" t="n">
        <v>13148.6</v>
      </c>
      <c r="AD131" s="165">
        <f>AC131/AC119-1</f>
        <v/>
      </c>
      <c r="AE131" s="111">
        <f>AC131/AC71-1</f>
        <v/>
      </c>
      <c r="AF131" s="169" t="n">
        <v>1624.1</v>
      </c>
      <c r="AG131" s="165">
        <f>AF131/AF119-1</f>
        <v/>
      </c>
      <c r="AH131" s="111">
        <f>AF131/AF71-1</f>
        <v/>
      </c>
      <c r="AI131" s="169" t="n">
        <v>479.3</v>
      </c>
      <c r="AJ131" s="165">
        <f>AI131/AI119-1</f>
        <v/>
      </c>
      <c r="AK131" s="111">
        <f>AI131/AI71-1</f>
        <v/>
      </c>
      <c r="AL131" s="403" t="n">
        <v>82.90000000000001</v>
      </c>
      <c r="AM131" s="380">
        <f>AL131-AL119</f>
        <v/>
      </c>
      <c r="AN131" s="380">
        <f>AL131-AL71</f>
        <v/>
      </c>
      <c r="AO131" s="403" t="n">
        <v>84.3</v>
      </c>
      <c r="AP131" s="380">
        <f>AO131-AO119</f>
        <v/>
      </c>
      <c r="AQ131" s="380">
        <f>AO131-AO71</f>
        <v/>
      </c>
      <c r="AR131" s="403" t="n">
        <v>79.8</v>
      </c>
      <c r="AS131" s="380">
        <f>AR131-AR119</f>
        <v/>
      </c>
      <c r="AT131" s="380">
        <f>AR131-AR71</f>
        <v/>
      </c>
      <c r="AU131" s="403" t="n">
        <v>78.09999999999999</v>
      </c>
      <c r="AV131" s="380">
        <f>AU131-AU119</f>
        <v/>
      </c>
      <c r="AW131" s="380">
        <f>AU131-AU71</f>
        <v/>
      </c>
      <c r="AX131" s="404" t="n">
        <v>921</v>
      </c>
      <c r="AY131" s="111">
        <f>AX131/AX119-1</f>
        <v/>
      </c>
      <c r="AZ131" s="111">
        <f>AX131/AX71-1</f>
        <v/>
      </c>
      <c r="BA131" s="407" t="n"/>
      <c r="BB131" s="407" t="n"/>
      <c r="BC131" s="407" t="n"/>
      <c r="BD131" s="407" t="n"/>
      <c r="BE131" s="407" t="n"/>
      <c r="BF131" s="407" t="n"/>
      <c r="BG131" s="407" t="n"/>
      <c r="BH131" s="407" t="n"/>
      <c r="BI131" s="407" t="n"/>
      <c r="BJ131" s="407" t="n"/>
      <c r="BK131" s="318" t="n"/>
      <c r="BL131" s="407" t="n"/>
      <c r="BM131" s="407" t="n"/>
      <c r="BN131" s="407" t="n"/>
      <c r="BO131" s="407" t="n"/>
      <c r="BP131" s="407" t="n"/>
      <c r="BQ131" s="407" t="n"/>
      <c r="BR131" s="407" t="n"/>
      <c r="BS131" s="407" t="n"/>
      <c r="BT131" s="407" t="n"/>
      <c r="BU131" s="407" t="n"/>
      <c r="BV131" s="407" t="n"/>
      <c r="BW131" s="407" t="n"/>
      <c r="BX131" s="407" t="n"/>
      <c r="BY131" s="407" t="n"/>
      <c r="BZ131" s="407" t="n"/>
      <c r="CA131" s="407" t="n"/>
      <c r="CB131" s="407" t="n"/>
      <c r="CC131" s="407" t="n"/>
      <c r="CD131" s="407" t="n"/>
      <c r="CE131" s="407" t="n"/>
      <c r="CF131" s="407" t="n"/>
      <c r="CG131" s="407" t="n"/>
      <c r="CH131" s="407" t="n"/>
      <c r="CI131" s="407" t="n"/>
      <c r="CJ131" s="407" t="n"/>
      <c r="CK131" s="407" t="n"/>
      <c r="CL131" s="407" t="n"/>
      <c r="CM131" s="407" t="n"/>
      <c r="CN131" s="407" t="n"/>
      <c r="CW131" s="407" t="n"/>
      <c r="CX131" s="407" t="n"/>
      <c r="CY131" s="407" t="n"/>
      <c r="CZ131" s="407" t="n"/>
      <c r="DA131" s="407" t="n"/>
      <c r="DB131" s="407" t="n"/>
      <c r="DC131" s="407" t="n"/>
      <c r="DD131" s="407" t="n"/>
      <c r="DE131" s="408" t="n"/>
      <c r="DF131" s="408" t="n"/>
    </row>
    <row r="132" customFormat="1" s="203">
      <c r="A132" s="402" t="n">
        <v>45565</v>
      </c>
      <c r="B132" s="169" t="n">
        <v>29470</v>
      </c>
      <c r="C132" s="165">
        <f>B132/B120-1</f>
        <v/>
      </c>
      <c r="D132" s="111">
        <f>B132/B72-1</f>
        <v/>
      </c>
      <c r="E132" s="169" t="n">
        <v>20356.3</v>
      </c>
      <c r="F132" s="165">
        <f>E132/E120-1</f>
        <v/>
      </c>
      <c r="G132" s="111">
        <f>E132/E72-1</f>
        <v/>
      </c>
      <c r="H132" s="169" t="n">
        <v>8309.6</v>
      </c>
      <c r="I132" s="165">
        <f>H132/H120-1</f>
        <v/>
      </c>
      <c r="J132" s="111">
        <f>H132/H72-1</f>
        <v/>
      </c>
      <c r="K132" s="169" t="n">
        <v>804.1</v>
      </c>
      <c r="L132" s="165">
        <f>K132/K120-1</f>
        <v/>
      </c>
      <c r="M132" s="111">
        <f>K132/K72-1</f>
        <v/>
      </c>
      <c r="N132" s="169" t="n">
        <v>23476.1</v>
      </c>
      <c r="O132" s="165">
        <f>N132/N120-1</f>
        <v/>
      </c>
      <c r="P132" s="111">
        <f>N132/N72-1</f>
        <v/>
      </c>
      <c r="Q132" s="169" t="n">
        <v>16633.1</v>
      </c>
      <c r="R132" s="165">
        <f>Q132/Q120-1</f>
        <v/>
      </c>
      <c r="S132" s="111">
        <f>Q132/Q72-1</f>
        <v/>
      </c>
      <c r="T132" s="169" t="n">
        <v>6292.9</v>
      </c>
      <c r="U132" s="165">
        <f>T132/T120-1</f>
        <v/>
      </c>
      <c r="V132" s="111">
        <f>T132/T72-1</f>
        <v/>
      </c>
      <c r="W132" s="169" t="n">
        <v>550.1</v>
      </c>
      <c r="X132" s="165">
        <f>W132/W120-1</f>
        <v/>
      </c>
      <c r="Y132" s="111">
        <f>W132/W72-1</f>
        <v/>
      </c>
      <c r="Z132" s="169" t="n">
        <v>12616.1</v>
      </c>
      <c r="AA132" s="165">
        <f>Z132/Z120-1</f>
        <v/>
      </c>
      <c r="AB132" s="111">
        <f>Z132/Z72-1</f>
        <v/>
      </c>
      <c r="AC132" s="169" t="n">
        <v>10909.2</v>
      </c>
      <c r="AD132" s="165">
        <f>AC132/AC120-1</f>
        <v/>
      </c>
      <c r="AE132" s="111">
        <f>AC132/AC72-1</f>
        <v/>
      </c>
      <c r="AF132" s="169" t="n">
        <v>1361</v>
      </c>
      <c r="AG132" s="165">
        <f>AF132/AF120-1</f>
        <v/>
      </c>
      <c r="AH132" s="111">
        <f>AF132/AF72-1</f>
        <v/>
      </c>
      <c r="AI132" s="169" t="n">
        <v>345.9</v>
      </c>
      <c r="AJ132" s="165">
        <f>AI132/AI120-1</f>
        <v/>
      </c>
      <c r="AK132" s="111">
        <f>AI132/AI72-1</f>
        <v/>
      </c>
      <c r="AL132" s="403" t="n">
        <v>79.7</v>
      </c>
      <c r="AM132" s="380">
        <f>AL132-AL120</f>
        <v/>
      </c>
      <c r="AN132" s="380">
        <f>AL132-AL72</f>
        <v/>
      </c>
      <c r="AO132" s="403" t="n">
        <v>81.7</v>
      </c>
      <c r="AP132" s="380">
        <f>AO132-AO120</f>
        <v/>
      </c>
      <c r="AQ132" s="380">
        <f>AO132-AO72</f>
        <v/>
      </c>
      <c r="AR132" s="403" t="n">
        <v>75.7</v>
      </c>
      <c r="AS132" s="380">
        <f>AR132-AR120</f>
        <v/>
      </c>
      <c r="AT132" s="380">
        <f>AR132-AR72</f>
        <v/>
      </c>
      <c r="AU132" s="403" t="n">
        <v>68.40000000000001</v>
      </c>
      <c r="AV132" s="380">
        <f>AU132-AU120</f>
        <v/>
      </c>
      <c r="AW132" s="380">
        <f>AU132-AU72</f>
        <v/>
      </c>
      <c r="AX132" s="404" t="n">
        <v>924</v>
      </c>
      <c r="AY132" s="111">
        <f>AX132/AX120-1</f>
        <v/>
      </c>
      <c r="AZ132" s="111">
        <f>AX132/AX72-1</f>
        <v/>
      </c>
      <c r="BA132" s="407" t="n"/>
      <c r="BB132" s="407" t="n"/>
      <c r="BC132" s="407" t="n"/>
      <c r="BD132" s="407" t="n"/>
      <c r="BE132" s="407" t="n"/>
      <c r="BF132" s="407" t="n"/>
      <c r="BG132" s="407" t="n"/>
      <c r="BH132" s="407" t="n"/>
      <c r="BI132" s="407" t="n"/>
      <c r="BJ132" s="407" t="n"/>
      <c r="BK132" s="318" t="n"/>
      <c r="BL132" s="407" t="n"/>
      <c r="BM132" s="407" t="n"/>
      <c r="BN132" s="407" t="n"/>
      <c r="BO132" s="407" t="n"/>
      <c r="BP132" s="407" t="n"/>
      <c r="BQ132" s="407" t="n"/>
      <c r="BR132" s="407" t="n"/>
      <c r="BS132" s="407" t="n"/>
      <c r="BT132" s="407" t="n"/>
      <c r="BU132" s="407" t="n"/>
      <c r="BV132" s="407" t="n"/>
      <c r="BW132" s="407" t="n"/>
      <c r="BX132" s="407" t="n"/>
      <c r="BY132" s="407" t="n"/>
      <c r="BZ132" s="407" t="n"/>
      <c r="CA132" s="407" t="n"/>
      <c r="CB132" s="407" t="n"/>
      <c r="CC132" s="407" t="n"/>
      <c r="CD132" s="407" t="n"/>
      <c r="CE132" s="407" t="n"/>
      <c r="CF132" s="407" t="n"/>
      <c r="CG132" s="407" t="n"/>
      <c r="CH132" s="407" t="n"/>
      <c r="CI132" s="407" t="n"/>
      <c r="CJ132" s="407" t="n"/>
      <c r="CK132" s="407" t="n"/>
      <c r="CL132" s="407" t="n"/>
      <c r="CM132" s="407" t="n"/>
      <c r="CN132" s="407" t="n"/>
      <c r="CW132" s="407" t="n"/>
      <c r="CX132" s="407" t="n"/>
      <c r="CY132" s="407" t="n"/>
      <c r="CZ132" s="407" t="n"/>
      <c r="DA132" s="407" t="n"/>
      <c r="DB132" s="407" t="n"/>
      <c r="DC132" s="407" t="n"/>
      <c r="DD132" s="407" t="n"/>
      <c r="DE132" s="408" t="n"/>
      <c r="DF132" s="408" t="n"/>
    </row>
    <row r="133" customFormat="1" s="203">
      <c r="A133" s="402" t="n">
        <v>45596</v>
      </c>
      <c r="B133" s="169" t="n">
        <v>30706.1</v>
      </c>
      <c r="C133" s="165">
        <f>B133/B121-1</f>
        <v/>
      </c>
      <c r="D133" s="111">
        <f>B133/B73-1</f>
        <v/>
      </c>
      <c r="E133" s="169" t="n">
        <v>21260.8</v>
      </c>
      <c r="F133" s="165">
        <f>E133/E121-1</f>
        <v/>
      </c>
      <c r="G133" s="111">
        <f>E133/E73-1</f>
        <v/>
      </c>
      <c r="H133" s="169" t="n">
        <v>8554.6</v>
      </c>
      <c r="I133" s="165">
        <f>H133/H121-1</f>
        <v/>
      </c>
      <c r="J133" s="111">
        <f>H133/H73-1</f>
        <v/>
      </c>
      <c r="K133" s="169" t="n">
        <v>890.8</v>
      </c>
      <c r="L133" s="165">
        <f>K133/K121-1</f>
        <v/>
      </c>
      <c r="M133" s="111">
        <f>K133/K73-1</f>
        <v/>
      </c>
      <c r="N133" s="169" t="n">
        <v>25133.9</v>
      </c>
      <c r="O133" s="165">
        <f>N133/N121-1</f>
        <v/>
      </c>
      <c r="P133" s="111">
        <f>N133/N73-1</f>
        <v/>
      </c>
      <c r="Q133" s="169" t="n">
        <v>18142.8</v>
      </c>
      <c r="R133" s="165">
        <f>Q133/Q121-1</f>
        <v/>
      </c>
      <c r="S133" s="111">
        <f>Q133/Q73-1</f>
        <v/>
      </c>
      <c r="T133" s="169" t="n">
        <v>6358.4</v>
      </c>
      <c r="U133" s="165">
        <f>T133/T121-1</f>
        <v/>
      </c>
      <c r="V133" s="111">
        <f>T133/T73-1</f>
        <v/>
      </c>
      <c r="W133" s="169" t="n">
        <v>632.7</v>
      </c>
      <c r="X133" s="165">
        <f>W133/W121-1</f>
        <v/>
      </c>
      <c r="Y133" s="111">
        <f>W133/W73-1</f>
        <v/>
      </c>
      <c r="Z133" s="169" t="n">
        <v>13835.6</v>
      </c>
      <c r="AA133" s="165">
        <f>Z133/Z121-1</f>
        <v/>
      </c>
      <c r="AB133" s="111">
        <f>Z133/Z73-1</f>
        <v/>
      </c>
      <c r="AC133" s="169" t="n">
        <v>12035.3</v>
      </c>
      <c r="AD133" s="165">
        <f>AC133/AC121-1</f>
        <v/>
      </c>
      <c r="AE133" s="111">
        <f>AC133/AC73-1</f>
        <v/>
      </c>
      <c r="AF133" s="169" t="n">
        <v>1403.4</v>
      </c>
      <c r="AG133" s="165">
        <f>AF133/AF121-1</f>
        <v/>
      </c>
      <c r="AH133" s="111">
        <f>AF133/AF73-1</f>
        <v/>
      </c>
      <c r="AI133" s="169" t="n">
        <v>396.9</v>
      </c>
      <c r="AJ133" s="165">
        <f>AI133/AI121-1</f>
        <v/>
      </c>
      <c r="AK133" s="111">
        <f>AI133/AI73-1</f>
        <v/>
      </c>
      <c r="AL133" s="403" t="n">
        <v>81.90000000000001</v>
      </c>
      <c r="AM133" s="380">
        <f>AL133-AL121</f>
        <v/>
      </c>
      <c r="AN133" s="380">
        <f>AL133-AL73</f>
        <v/>
      </c>
      <c r="AO133" s="403" t="n">
        <v>85.3</v>
      </c>
      <c r="AP133" s="380">
        <f>AO133-AO121</f>
        <v/>
      </c>
      <c r="AQ133" s="380">
        <f>AO133-AO73</f>
        <v/>
      </c>
      <c r="AR133" s="403" t="n">
        <v>74.3</v>
      </c>
      <c r="AS133" s="380">
        <f>AR133-AR121</f>
        <v/>
      </c>
      <c r="AT133" s="380">
        <f>AR133-AR73</f>
        <v/>
      </c>
      <c r="AU133" s="403" t="n">
        <v>71</v>
      </c>
      <c r="AV133" s="380">
        <f>AU133-AU121</f>
        <v/>
      </c>
      <c r="AW133" s="380">
        <f>AU133-AU73</f>
        <v/>
      </c>
      <c r="AX133" s="404" t="n">
        <v>925</v>
      </c>
      <c r="AY133" s="111">
        <f>AX133/AX121-1</f>
        <v/>
      </c>
      <c r="AZ133" s="111">
        <f>AX133/AX73-1</f>
        <v/>
      </c>
      <c r="BA133" s="407" t="n"/>
      <c r="BB133" s="407" t="n"/>
      <c r="BC133" s="407" t="n"/>
      <c r="BD133" s="407" t="n"/>
      <c r="BE133" s="407" t="n"/>
      <c r="BF133" s="407" t="n"/>
      <c r="BG133" s="407" t="n"/>
      <c r="BH133" s="407" t="n"/>
      <c r="BI133" s="407" t="n"/>
      <c r="BJ133" s="407" t="n"/>
      <c r="BK133" s="318" t="n"/>
      <c r="BL133" s="407" t="n"/>
      <c r="BM133" s="407" t="n"/>
      <c r="BN133" s="407" t="n"/>
      <c r="BO133" s="407" t="n"/>
      <c r="BP133" s="407" t="n"/>
      <c r="BQ133" s="407" t="n"/>
      <c r="BR133" s="407" t="n"/>
      <c r="BS133" s="407" t="n"/>
      <c r="BT133" s="407" t="n"/>
      <c r="BU133" s="407" t="n"/>
      <c r="BV133" s="407" t="n"/>
      <c r="BW133" s="407" t="n"/>
      <c r="BX133" s="407" t="n"/>
      <c r="BY133" s="407" t="n"/>
      <c r="BZ133" s="407" t="n"/>
      <c r="CA133" s="407" t="n"/>
      <c r="CB133" s="407" t="n"/>
      <c r="CC133" s="407" t="n"/>
      <c r="CD133" s="407" t="n"/>
      <c r="CE133" s="407" t="n"/>
      <c r="CF133" s="407" t="n"/>
      <c r="CG133" s="407" t="n"/>
      <c r="CH133" s="407" t="n"/>
      <c r="CI133" s="407" t="n"/>
      <c r="CJ133" s="407" t="n"/>
      <c r="CK133" s="407" t="n"/>
      <c r="CL133" s="407" t="n"/>
      <c r="CM133" s="407" t="n"/>
      <c r="CN133" s="407" t="n"/>
      <c r="CW133" s="407" t="n"/>
      <c r="CX133" s="407" t="n"/>
      <c r="CY133" s="407" t="n"/>
      <c r="CZ133" s="407" t="n"/>
      <c r="DA133" s="407" t="n"/>
      <c r="DB133" s="407" t="n"/>
      <c r="DC133" s="407" t="n"/>
      <c r="DD133" s="407" t="n"/>
      <c r="DE133" s="408" t="n"/>
      <c r="DF133" s="408" t="n"/>
    </row>
    <row r="134" customFormat="1" s="203">
      <c r="A134" s="402" t="n">
        <v>45626</v>
      </c>
      <c r="B134" s="169" t="n">
        <v>28265.9</v>
      </c>
      <c r="C134" s="165">
        <f>B134/B122-1</f>
        <v/>
      </c>
      <c r="D134" s="111">
        <f>B134/B74-1</f>
        <v/>
      </c>
      <c r="E134" s="169" t="n">
        <v>19152.9</v>
      </c>
      <c r="F134" s="165">
        <f>E134/E122-1</f>
        <v/>
      </c>
      <c r="G134" s="111">
        <f>E134/E74-1</f>
        <v/>
      </c>
      <c r="H134" s="169" t="n">
        <v>8248.1</v>
      </c>
      <c r="I134" s="165">
        <f>H134/H122-1</f>
        <v/>
      </c>
      <c r="J134" s="111">
        <f>H134/H74-1</f>
        <v/>
      </c>
      <c r="K134" s="169" t="n">
        <v>864.9</v>
      </c>
      <c r="L134" s="165">
        <f>K134/K122-1</f>
        <v/>
      </c>
      <c r="M134" s="111">
        <f>K134/K74-1</f>
        <v/>
      </c>
      <c r="N134" s="169" t="n">
        <v>22424.8</v>
      </c>
      <c r="O134" s="165">
        <f>N134/N122-1</f>
        <v/>
      </c>
      <c r="P134" s="111">
        <f>N134/N74-1</f>
        <v/>
      </c>
      <c r="Q134" s="169" t="n">
        <v>15646.6</v>
      </c>
      <c r="R134" s="165">
        <f>Q134/Q122-1</f>
        <v/>
      </c>
      <c r="S134" s="111">
        <f>Q134/Q74-1</f>
        <v/>
      </c>
      <c r="T134" s="169" t="n">
        <v>6153.2</v>
      </c>
      <c r="U134" s="165">
        <f>T134/T122-1</f>
        <v/>
      </c>
      <c r="V134" s="111">
        <f>T134/T74-1</f>
        <v/>
      </c>
      <c r="W134" s="169" t="n">
        <v>625.1</v>
      </c>
      <c r="X134" s="165">
        <f>W134/W122-1</f>
        <v/>
      </c>
      <c r="Y134" s="111">
        <f>W134/W74-1</f>
        <v/>
      </c>
      <c r="Z134" s="169" t="n">
        <v>12172.6</v>
      </c>
      <c r="AA134" s="165">
        <f>Z134/Z122-1</f>
        <v/>
      </c>
      <c r="AB134" s="111">
        <f>Z134/Z74-1</f>
        <v/>
      </c>
      <c r="AC134" s="169" t="n">
        <v>10409.9</v>
      </c>
      <c r="AD134" s="165">
        <f>AC134/AC122-1</f>
        <v/>
      </c>
      <c r="AE134" s="111">
        <f>AC134/AC74-1</f>
        <v/>
      </c>
      <c r="AF134" s="169" t="n">
        <v>1366</v>
      </c>
      <c r="AG134" s="165">
        <f>AF134/AF122-1</f>
        <v/>
      </c>
      <c r="AH134" s="111">
        <f>AF134/AF74-1</f>
        <v/>
      </c>
      <c r="AI134" s="169" t="n">
        <v>396.7</v>
      </c>
      <c r="AJ134" s="165">
        <f>AI134/AI122-1</f>
        <v/>
      </c>
      <c r="AK134" s="111">
        <f>AI134/AI74-1</f>
        <v/>
      </c>
      <c r="AL134" s="403" t="n">
        <v>79.3</v>
      </c>
      <c r="AM134" s="380">
        <f>AL134-AL122</f>
        <v/>
      </c>
      <c r="AN134" s="380">
        <f>AL134-AL74</f>
        <v/>
      </c>
      <c r="AO134" s="403" t="n">
        <v>81.7</v>
      </c>
      <c r="AP134" s="380">
        <f>AO134-AO122</f>
        <v/>
      </c>
      <c r="AQ134" s="380">
        <f>AO134-AO74</f>
        <v/>
      </c>
      <c r="AR134" s="403" t="n">
        <v>74.59999999999999</v>
      </c>
      <c r="AS134" s="380">
        <f>AR134-AR122</f>
        <v/>
      </c>
      <c r="AT134" s="380">
        <f>AR134-AR74</f>
        <v/>
      </c>
      <c r="AU134" s="403" t="n">
        <v>72.3</v>
      </c>
      <c r="AV134" s="380">
        <f>AU134-AU122</f>
        <v/>
      </c>
      <c r="AW134" s="380">
        <f>AU134-AU74</f>
        <v/>
      </c>
      <c r="AX134" s="404" t="n">
        <v>927</v>
      </c>
      <c r="AY134" s="111">
        <f>AX134/AX122-1</f>
        <v/>
      </c>
      <c r="AZ134" s="111">
        <f>AX134/AX74-1</f>
        <v/>
      </c>
      <c r="BA134" s="407" t="n"/>
      <c r="BB134" s="407" t="n"/>
      <c r="BC134" s="407" t="n"/>
      <c r="BD134" s="407" t="n"/>
      <c r="BE134" s="407" t="n"/>
      <c r="BF134" s="407" t="n"/>
      <c r="BG134" s="407" t="n"/>
      <c r="BH134" s="407" t="n"/>
      <c r="BI134" s="407" t="n"/>
      <c r="BJ134" s="407" t="n"/>
      <c r="BK134" s="318" t="n"/>
      <c r="BL134" s="407" t="n"/>
      <c r="BM134" s="407" t="n"/>
      <c r="BN134" s="407" t="n"/>
      <c r="BO134" s="407" t="n"/>
      <c r="BP134" s="407" t="n"/>
      <c r="BQ134" s="407" t="n"/>
      <c r="BR134" s="407" t="n"/>
      <c r="BS134" s="407" t="n"/>
      <c r="BT134" s="407" t="n"/>
      <c r="BU134" s="407" t="n"/>
      <c r="BV134" s="407" t="n"/>
      <c r="BW134" s="407" t="n"/>
      <c r="BX134" s="407" t="n"/>
      <c r="BY134" s="407" t="n"/>
      <c r="BZ134" s="407" t="n"/>
      <c r="CA134" s="407" t="n"/>
      <c r="CB134" s="407" t="n"/>
      <c r="CC134" s="407" t="n"/>
      <c r="CD134" s="407" t="n"/>
      <c r="CE134" s="407" t="n"/>
      <c r="CF134" s="407" t="n"/>
      <c r="CG134" s="407" t="n"/>
      <c r="CH134" s="407" t="n"/>
      <c r="CI134" s="407" t="n"/>
      <c r="CJ134" s="407" t="n"/>
      <c r="CK134" s="407" t="n"/>
      <c r="CL134" s="407" t="n"/>
      <c r="CM134" s="407" t="n"/>
      <c r="CN134" s="407" t="n"/>
      <c r="CW134" s="407" t="n"/>
      <c r="CX134" s="407" t="n"/>
      <c r="CY134" s="407" t="n"/>
      <c r="CZ134" s="407" t="n"/>
      <c r="DA134" s="407" t="n"/>
      <c r="DB134" s="407" t="n"/>
      <c r="DC134" s="407" t="n"/>
      <c r="DD134" s="407" t="n"/>
      <c r="DE134" s="408" t="n"/>
      <c r="DF134" s="408" t="n"/>
    </row>
    <row r="135" customFormat="1" s="203">
      <c r="A135" s="402" t="n">
        <v>45657</v>
      </c>
      <c r="B135" s="169" t="n">
        <v>28991.1</v>
      </c>
      <c r="C135" s="165">
        <f>B135/B123-1</f>
        <v/>
      </c>
      <c r="D135" s="111">
        <f>B135/B75-1</f>
        <v/>
      </c>
      <c r="E135" s="169" t="n">
        <v>19185.1</v>
      </c>
      <c r="F135" s="165">
        <f>E135/E123-1</f>
        <v/>
      </c>
      <c r="G135" s="111">
        <f>E135/E75-1</f>
        <v/>
      </c>
      <c r="H135" s="169" t="n">
        <v>8894.200000000001</v>
      </c>
      <c r="I135" s="165">
        <f>H135/H123-1</f>
        <v/>
      </c>
      <c r="J135" s="111">
        <f>H135/H75-1</f>
        <v/>
      </c>
      <c r="K135" s="169" t="n">
        <v>911.8</v>
      </c>
      <c r="L135" s="165">
        <f>K135/K123-1</f>
        <v/>
      </c>
      <c r="M135" s="111">
        <f>K135/K75-1</f>
        <v/>
      </c>
      <c r="N135" s="169" t="n">
        <v>22526.9</v>
      </c>
      <c r="O135" s="165">
        <f>N135/N123-1</f>
        <v/>
      </c>
      <c r="P135" s="111">
        <f>N135/N75-1</f>
        <v/>
      </c>
      <c r="Q135" s="169" t="n">
        <v>15257.2</v>
      </c>
      <c r="R135" s="165">
        <f>Q135/Q123-1</f>
        <v/>
      </c>
      <c r="S135" s="111">
        <f>Q135/Q75-1</f>
        <v/>
      </c>
      <c r="T135" s="169" t="n">
        <v>6620.5</v>
      </c>
      <c r="U135" s="165">
        <f>T135/T123-1</f>
        <v/>
      </c>
      <c r="V135" s="111">
        <f>T135/T75-1</f>
        <v/>
      </c>
      <c r="W135" s="169" t="n">
        <v>649.2</v>
      </c>
      <c r="X135" s="165">
        <f>W135/W123-1</f>
        <v/>
      </c>
      <c r="Y135" s="111">
        <f>W135/W75-1</f>
        <v/>
      </c>
      <c r="Z135" s="169" t="n">
        <v>11967.2</v>
      </c>
      <c r="AA135" s="165">
        <f>Z135/Z123-1</f>
        <v/>
      </c>
      <c r="AB135" s="111">
        <f>Z135/Z75-1</f>
        <v/>
      </c>
      <c r="AC135" s="169" t="n">
        <v>10063.2</v>
      </c>
      <c r="AD135" s="165">
        <f>AC135/AC123-1</f>
        <v/>
      </c>
      <c r="AE135" s="111">
        <f>AC135/AC75-1</f>
        <v/>
      </c>
      <c r="AF135" s="169" t="n">
        <v>1494.2</v>
      </c>
      <c r="AG135" s="165">
        <f>AF135/AF123-1</f>
        <v/>
      </c>
      <c r="AH135" s="111">
        <f>AF135/AF75-1</f>
        <v/>
      </c>
      <c r="AI135" s="169" t="n">
        <v>409.8</v>
      </c>
      <c r="AJ135" s="165">
        <f>AI135/AI123-1</f>
        <v/>
      </c>
      <c r="AK135" s="111">
        <f>AI135/AI75-1</f>
        <v/>
      </c>
      <c r="AL135" s="403" t="n">
        <v>77.7</v>
      </c>
      <c r="AM135" s="380">
        <f>AL135-AL123</f>
        <v/>
      </c>
      <c r="AN135" s="380">
        <f>AL135-AL75</f>
        <v/>
      </c>
      <c r="AO135" s="403" t="n">
        <v>79.5</v>
      </c>
      <c r="AP135" s="380">
        <f>AO135-AO123</f>
        <v/>
      </c>
      <c r="AQ135" s="380">
        <f>AO135-AO75</f>
        <v/>
      </c>
      <c r="AR135" s="403" t="n">
        <v>74.40000000000001</v>
      </c>
      <c r="AS135" s="380">
        <f>AR135-AR123</f>
        <v/>
      </c>
      <c r="AT135" s="380">
        <f>AR135-AR75</f>
        <v/>
      </c>
      <c r="AU135" s="403" t="n">
        <v>71.2</v>
      </c>
      <c r="AV135" s="380">
        <f>AU135-AU123</f>
        <v/>
      </c>
      <c r="AW135" s="380">
        <f>AU135-AU75</f>
        <v/>
      </c>
      <c r="AX135" s="404" t="n">
        <v>930</v>
      </c>
      <c r="AY135" s="111">
        <f>AX135/AX123-1</f>
        <v/>
      </c>
      <c r="AZ135" s="111">
        <f>AX135/AX75-1</f>
        <v/>
      </c>
      <c r="BA135" s="407" t="n"/>
      <c r="BB135" s="407" t="n"/>
      <c r="BC135" s="407" t="n"/>
      <c r="BD135" s="407" t="n"/>
      <c r="BE135" s="407" t="n"/>
      <c r="BF135" s="407" t="n"/>
      <c r="BG135" s="407" t="n"/>
      <c r="BH135" s="407" t="n"/>
      <c r="BI135" s="407" t="n"/>
      <c r="BJ135" s="407" t="n"/>
      <c r="BK135" s="318" t="n"/>
      <c r="BL135" s="407" t="n"/>
      <c r="BM135" s="407" t="n"/>
      <c r="BN135" s="407" t="n"/>
      <c r="BO135" s="407" t="n"/>
      <c r="BP135" s="407" t="n"/>
      <c r="BQ135" s="407" t="n"/>
      <c r="BR135" s="407" t="n"/>
      <c r="BS135" s="407" t="n"/>
      <c r="BT135" s="407" t="n"/>
      <c r="BU135" s="407" t="n"/>
      <c r="BV135" s="407" t="n"/>
      <c r="BW135" s="407" t="n"/>
      <c r="BX135" s="407" t="n"/>
      <c r="BY135" s="407" t="n"/>
      <c r="BZ135" s="407" t="n"/>
      <c r="CA135" s="407" t="n"/>
      <c r="CB135" s="407" t="n"/>
      <c r="CC135" s="407" t="n"/>
      <c r="CD135" s="407" t="n"/>
      <c r="CE135" s="407" t="n"/>
      <c r="CF135" s="407" t="n"/>
      <c r="CG135" s="407" t="n"/>
      <c r="CH135" s="407" t="n"/>
      <c r="CI135" s="407" t="n"/>
      <c r="CJ135" s="407" t="n"/>
      <c r="CK135" s="407" t="n"/>
      <c r="CL135" s="407" t="n"/>
      <c r="CM135" s="407" t="n"/>
      <c r="CN135" s="407" t="n"/>
      <c r="CW135" s="407" t="n"/>
      <c r="CX135" s="407" t="n"/>
      <c r="CY135" s="407" t="n"/>
      <c r="CZ135" s="407" t="n"/>
      <c r="DA135" s="407" t="n"/>
      <c r="DB135" s="407" t="n"/>
      <c r="DC135" s="407" t="n"/>
      <c r="DD135" s="407" t="n"/>
      <c r="DE135" s="408" t="n"/>
      <c r="DF135" s="408" t="n"/>
    </row>
    <row r="136" customFormat="1" s="202">
      <c r="A136" s="371" t="n">
        <v>45688</v>
      </c>
      <c r="B136" s="320" t="n">
        <v>31387.4</v>
      </c>
      <c r="C136" s="111">
        <f>B136/B124-1</f>
        <v/>
      </c>
      <c r="D136" s="111">
        <f>B136/B64-1</f>
        <v/>
      </c>
      <c r="E136" s="320" t="n">
        <v>21303.2</v>
      </c>
      <c r="F136" s="111">
        <f>E136/E124-1</f>
        <v/>
      </c>
      <c r="G136" s="111">
        <f>E136/E64-1</f>
        <v/>
      </c>
      <c r="H136" s="320" t="n">
        <v>9169.6</v>
      </c>
      <c r="I136" s="111">
        <f>H136/H124-1</f>
        <v/>
      </c>
      <c r="J136" s="111">
        <f>H136/H64-1</f>
        <v/>
      </c>
      <c r="K136" s="320" t="n">
        <v>914.6</v>
      </c>
      <c r="L136" s="111">
        <f>K136/K124-1</f>
        <v/>
      </c>
      <c r="M136" s="111">
        <f>K136/K64-1</f>
        <v/>
      </c>
      <c r="N136" s="320" t="n">
        <v>24814.4</v>
      </c>
      <c r="O136" s="111">
        <f>N136/N124-1</f>
        <v/>
      </c>
      <c r="P136" s="111">
        <f>N136/N64-1</f>
        <v/>
      </c>
      <c r="Q136" s="320" t="n">
        <v>17074.5</v>
      </c>
      <c r="R136" s="111">
        <f>Q136/Q124-1</f>
        <v/>
      </c>
      <c r="S136" s="111">
        <f>Q136/Q64-1</f>
        <v/>
      </c>
      <c r="T136" s="320" t="n">
        <v>7080.9</v>
      </c>
      <c r="U136" s="111">
        <f>T136/T124-1</f>
        <v/>
      </c>
      <c r="V136" s="111">
        <f>T136/T64-1</f>
        <v/>
      </c>
      <c r="W136" s="320" t="n">
        <v>659.1</v>
      </c>
      <c r="X136" s="111">
        <f>W136/W124-1</f>
        <v/>
      </c>
      <c r="Y136" s="111">
        <f>W136/W64-1</f>
        <v/>
      </c>
      <c r="Z136" s="320" t="n">
        <v>13118.6</v>
      </c>
      <c r="AA136" s="111">
        <f>Z136/Z124-1</f>
        <v/>
      </c>
      <c r="AB136" s="111">
        <f>Z136/Z64-1</f>
        <v/>
      </c>
      <c r="AC136" s="320" t="n">
        <v>11087.4</v>
      </c>
      <c r="AD136" s="111">
        <f>AC136/AC124-1</f>
        <v/>
      </c>
      <c r="AE136" s="111">
        <f>AC136/AC64-1</f>
        <v/>
      </c>
      <c r="AF136" s="320" t="n">
        <v>1618.2</v>
      </c>
      <c r="AG136" s="111">
        <f>AF136/AF124-1</f>
        <v/>
      </c>
      <c r="AH136" s="111">
        <f>AF136/AF64-1</f>
        <v/>
      </c>
      <c r="AI136" s="320" t="n">
        <v>412.9</v>
      </c>
      <c r="AJ136" s="111">
        <f>AI136/AI124-1</f>
        <v/>
      </c>
      <c r="AK136" s="111">
        <f>AI136/AI64-1</f>
        <v/>
      </c>
      <c r="AL136" s="321" t="n">
        <v>79.09999999999999</v>
      </c>
      <c r="AM136" s="380">
        <f>AL136-AL124</f>
        <v/>
      </c>
      <c r="AN136" s="380">
        <f>AL136-AL64</f>
        <v/>
      </c>
      <c r="AO136" s="321" t="n">
        <v>80.09999999999999</v>
      </c>
      <c r="AP136" s="380">
        <f>AO136-AO124</f>
        <v/>
      </c>
      <c r="AQ136" s="380">
        <f>AO136-AO64</f>
        <v/>
      </c>
      <c r="AR136" s="321" t="n">
        <v>77.2</v>
      </c>
      <c r="AS136" s="380">
        <f>AR136-AR124</f>
        <v/>
      </c>
      <c r="AT136" s="380">
        <f>AR136-AR64</f>
        <v/>
      </c>
      <c r="AU136" s="321" t="n">
        <v>72.09999999999999</v>
      </c>
      <c r="AV136" s="380">
        <f>AU136-AU124</f>
        <v/>
      </c>
      <c r="AW136" s="380">
        <f>AU136-AU64</f>
        <v/>
      </c>
      <c r="AX136" s="397" t="n">
        <v>934</v>
      </c>
      <c r="AY136" s="111">
        <f>AX136/AX124-1</f>
        <v/>
      </c>
      <c r="AZ136" s="111">
        <f>AX136/AX64-1</f>
        <v/>
      </c>
      <c r="BA136" s="399" t="n"/>
      <c r="BB136" s="399" t="n"/>
      <c r="BC136" s="399" t="n"/>
      <c r="BD136" s="399" t="n"/>
      <c r="BE136" s="399" t="n"/>
      <c r="BF136" s="399" t="n"/>
      <c r="BG136" s="399" t="n"/>
      <c r="BH136" s="399" t="n"/>
      <c r="BI136" s="399" t="n"/>
      <c r="BJ136" s="399" t="n"/>
      <c r="BK136" s="320" t="n"/>
      <c r="BL136" s="399" t="n"/>
      <c r="BM136" s="399" t="n"/>
      <c r="BN136" s="399" t="n"/>
      <c r="BO136" s="399" t="n"/>
      <c r="BP136" s="399" t="n"/>
      <c r="BQ136" s="399" t="n"/>
      <c r="BR136" s="399" t="n"/>
      <c r="BS136" s="399" t="n"/>
      <c r="BT136" s="399" t="n"/>
      <c r="BU136" s="399" t="n"/>
      <c r="BV136" s="399" t="n"/>
      <c r="BW136" s="399" t="n"/>
      <c r="BX136" s="399" t="n"/>
      <c r="BY136" s="399" t="n"/>
      <c r="BZ136" s="399" t="n"/>
      <c r="CA136" s="399" t="n"/>
      <c r="CB136" s="399" t="n"/>
      <c r="CC136" s="399" t="n"/>
      <c r="CD136" s="399" t="n"/>
      <c r="CE136" s="399" t="n"/>
      <c r="CF136" s="399" t="n"/>
      <c r="CG136" s="399" t="n"/>
      <c r="CH136" s="399" t="n"/>
      <c r="CI136" s="399" t="n"/>
      <c r="CJ136" s="399" t="n"/>
      <c r="CK136" s="399" t="n"/>
      <c r="CL136" s="399" t="n"/>
      <c r="CM136" s="399" t="n"/>
      <c r="CN136" s="399" t="n"/>
      <c r="CW136" s="399" t="n"/>
      <c r="CX136" s="399" t="n"/>
      <c r="CY136" s="399" t="n"/>
      <c r="CZ136" s="399" t="n"/>
      <c r="DA136" s="399" t="n"/>
      <c r="DB136" s="399" t="n"/>
      <c r="DC136" s="399" t="n"/>
      <c r="DD136" s="399" t="n"/>
      <c r="DE136" s="405" t="n"/>
      <c r="DF136" s="405" t="n"/>
    </row>
    <row r="137" customFormat="1" s="203">
      <c r="A137" s="402" t="n">
        <v>45716</v>
      </c>
      <c r="B137" s="169" t="n">
        <v>28336.2</v>
      </c>
      <c r="C137" s="165">
        <f>B137/B125-1</f>
        <v/>
      </c>
      <c r="D137" s="111">
        <f>B137/B65-1</f>
        <v/>
      </c>
      <c r="E137" s="169" t="n">
        <v>19805.9</v>
      </c>
      <c r="F137" s="165">
        <f>E137/E125-1</f>
        <v/>
      </c>
      <c r="G137" s="111">
        <f>E137/E65-1</f>
        <v/>
      </c>
      <c r="H137" s="169" t="n">
        <v>7781.7</v>
      </c>
      <c r="I137" s="165">
        <f>H137/H125-1</f>
        <v/>
      </c>
      <c r="J137" s="111">
        <f>H137/H65-1</f>
        <v/>
      </c>
      <c r="K137" s="169" t="n">
        <v>748.5</v>
      </c>
      <c r="L137" s="165">
        <f>K137/K125-1</f>
        <v/>
      </c>
      <c r="M137" s="111">
        <f>K137/K65-1</f>
        <v/>
      </c>
      <c r="N137" s="169" t="n">
        <v>23252.3</v>
      </c>
      <c r="O137" s="165">
        <f>N137/N125-1</f>
        <v/>
      </c>
      <c r="P137" s="111">
        <f>N137/N65-1</f>
        <v/>
      </c>
      <c r="Q137" s="169" t="n">
        <v>16768.8</v>
      </c>
      <c r="R137" s="165">
        <f>Q137/Q125-1</f>
        <v/>
      </c>
      <c r="S137" s="111">
        <f>Q137/Q65-1</f>
        <v/>
      </c>
      <c r="T137" s="169" t="n">
        <v>5941.6</v>
      </c>
      <c r="U137" s="165">
        <f>T137/T125-1</f>
        <v/>
      </c>
      <c r="V137" s="111">
        <f>T137/T65-1</f>
        <v/>
      </c>
      <c r="W137" s="169" t="n">
        <v>542</v>
      </c>
      <c r="X137" s="165">
        <f>W137/W125-1</f>
        <v/>
      </c>
      <c r="Y137" s="111">
        <f>W137/W65-1</f>
        <v/>
      </c>
      <c r="Z137" s="169" t="n">
        <v>12567.3</v>
      </c>
      <c r="AA137" s="165">
        <f>Z137/Z125-1</f>
        <v/>
      </c>
      <c r="AB137" s="111">
        <f>Z137/Z65-1</f>
        <v/>
      </c>
      <c r="AC137" s="169" t="n">
        <v>10855.4</v>
      </c>
      <c r="AD137" s="165">
        <f>AC137/AC125-1</f>
        <v/>
      </c>
      <c r="AE137" s="111">
        <f>AC137/AC65-1</f>
        <v/>
      </c>
      <c r="AF137" s="169" t="n">
        <v>1362.8</v>
      </c>
      <c r="AG137" s="165">
        <f>AF137/AF125-1</f>
        <v/>
      </c>
      <c r="AH137" s="111">
        <f>AF137/AF65-1</f>
        <v/>
      </c>
      <c r="AI137" s="169" t="n">
        <v>349.1</v>
      </c>
      <c r="AJ137" s="165">
        <f>AI137/AI125-1</f>
        <v/>
      </c>
      <c r="AK137" s="111">
        <f>AI137/AI65-1</f>
        <v/>
      </c>
      <c r="AL137" s="403" t="n">
        <v>82.09999999999999</v>
      </c>
      <c r="AM137" s="380">
        <f>AL137-AL125</f>
        <v/>
      </c>
      <c r="AN137" s="380">
        <f>AL137-AL65</f>
        <v/>
      </c>
      <c r="AO137" s="403" t="n">
        <v>84.7</v>
      </c>
      <c r="AP137" s="380">
        <f>AO137-AO125</f>
        <v/>
      </c>
      <c r="AQ137" s="380">
        <f>AO137-AO65</f>
        <v/>
      </c>
      <c r="AR137" s="403" t="n">
        <v>76.40000000000001</v>
      </c>
      <c r="AS137" s="380">
        <f>AR137-AR125</f>
        <v/>
      </c>
      <c r="AT137" s="380">
        <f>AR137-AR65</f>
        <v/>
      </c>
      <c r="AU137" s="403" t="n">
        <v>72.40000000000001</v>
      </c>
      <c r="AV137" s="380">
        <f>AU137-AU125</f>
        <v/>
      </c>
      <c r="AW137" s="380">
        <f>AU137-AU65</f>
        <v/>
      </c>
      <c r="AX137" s="404" t="n">
        <v>934</v>
      </c>
      <c r="AY137" s="111">
        <f>AX137/AX125-1</f>
        <v/>
      </c>
      <c r="AZ137" s="111">
        <f>AX137/AX65-1</f>
        <v/>
      </c>
      <c r="BA137" s="407" t="n"/>
      <c r="BB137" s="407" t="n"/>
      <c r="BC137" s="407" t="n"/>
      <c r="BD137" s="407" t="n"/>
      <c r="BE137" s="407" t="n"/>
      <c r="BF137" s="407" t="n"/>
      <c r="BG137" s="407" t="n"/>
      <c r="BH137" s="407" t="n"/>
      <c r="BI137" s="407" t="n"/>
      <c r="BJ137" s="407" t="n"/>
      <c r="BK137" s="318" t="n"/>
      <c r="BL137" s="407" t="n"/>
      <c r="BM137" s="407" t="n"/>
      <c r="BN137" s="407" t="n"/>
      <c r="BO137" s="407" t="n"/>
      <c r="BP137" s="407" t="n"/>
      <c r="BQ137" s="407" t="n"/>
      <c r="BR137" s="407" t="n"/>
      <c r="BS137" s="407" t="n"/>
      <c r="BT137" s="407" t="n"/>
      <c r="BU137" s="407" t="n"/>
      <c r="BV137" s="407" t="n"/>
      <c r="BW137" s="407" t="n"/>
      <c r="BX137" s="407" t="n"/>
      <c r="BY137" s="407" t="n"/>
      <c r="BZ137" s="407" t="n"/>
      <c r="CA137" s="407" t="n"/>
      <c r="CB137" s="407" t="n"/>
      <c r="CC137" s="407" t="n"/>
      <c r="CD137" s="407" t="n"/>
      <c r="CE137" s="407" t="n"/>
      <c r="CF137" s="407" t="n"/>
      <c r="CG137" s="407" t="n"/>
      <c r="CH137" s="407" t="n"/>
      <c r="CI137" s="407" t="n"/>
      <c r="CJ137" s="407" t="n"/>
      <c r="CK137" s="407" t="n"/>
      <c r="CL137" s="407" t="n"/>
      <c r="CM137" s="407" t="n"/>
      <c r="CN137" s="407" t="n"/>
      <c r="CW137" s="407" t="n"/>
      <c r="CX137" s="407" t="n"/>
      <c r="CY137" s="407" t="n"/>
      <c r="CZ137" s="407" t="n"/>
      <c r="DA137" s="407" t="n"/>
      <c r="DB137" s="407" t="n"/>
      <c r="DC137" s="407" t="n"/>
      <c r="DD137" s="407" t="n"/>
      <c r="DE137" s="408" t="n"/>
      <c r="DF137" s="408" t="n"/>
    </row>
    <row r="138" customFormat="1" s="203">
      <c r="A138" s="402" t="n">
        <v>45747</v>
      </c>
      <c r="B138" s="169" t="n">
        <v>28736.2</v>
      </c>
      <c r="C138" s="165">
        <f>B138/B126-1</f>
        <v/>
      </c>
      <c r="D138" s="111">
        <f>B138/B66-1</f>
        <v/>
      </c>
      <c r="E138" s="169" t="n">
        <v>19679.2</v>
      </c>
      <c r="F138" s="165">
        <f>E138/E126-1</f>
        <v/>
      </c>
      <c r="G138" s="111">
        <f>E138/E66-1</f>
        <v/>
      </c>
      <c r="H138" s="169" t="n">
        <v>8252.5</v>
      </c>
      <c r="I138" s="165">
        <f>H138/H126-1</f>
        <v/>
      </c>
      <c r="J138" s="111">
        <f>H138/H66-1</f>
        <v/>
      </c>
      <c r="K138" s="169" t="n">
        <v>804.5</v>
      </c>
      <c r="L138" s="165">
        <f>K138/K126-1</f>
        <v/>
      </c>
      <c r="M138" s="111">
        <f>K138/K66-1</f>
        <v/>
      </c>
      <c r="N138" s="169" t="n">
        <v>22904.5</v>
      </c>
      <c r="O138" s="165">
        <f>N138/N126-1</f>
        <v/>
      </c>
      <c r="P138" s="111">
        <f>N138/N66-1</f>
        <v/>
      </c>
      <c r="Q138" s="169" t="n">
        <v>16084.5</v>
      </c>
      <c r="R138" s="165">
        <f>Q138/Q126-1</f>
        <v/>
      </c>
      <c r="S138" s="111">
        <f>Q138/Q66-1</f>
        <v/>
      </c>
      <c r="T138" s="169" t="n">
        <v>6241.3</v>
      </c>
      <c r="U138" s="165">
        <f>T138/T126-1</f>
        <v/>
      </c>
      <c r="V138" s="111">
        <f>T138/T66-1</f>
        <v/>
      </c>
      <c r="W138" s="169" t="n">
        <v>578.7</v>
      </c>
      <c r="X138" s="165">
        <f>W138/W126-1</f>
        <v/>
      </c>
      <c r="Y138" s="111">
        <f>W138/W66-1</f>
        <v/>
      </c>
      <c r="Z138" s="169" t="n">
        <v>12429.3</v>
      </c>
      <c r="AA138" s="165">
        <f>Z138/Z126-1</f>
        <v/>
      </c>
      <c r="AB138" s="111">
        <f>Z138/Z66-1</f>
        <v/>
      </c>
      <c r="AC138" s="169" t="n">
        <v>10634.9</v>
      </c>
      <c r="AD138" s="165">
        <f>AC138/AC126-1</f>
        <v/>
      </c>
      <c r="AE138" s="111">
        <f>AC138/AC66-1</f>
        <v/>
      </c>
      <c r="AF138" s="169" t="n">
        <v>1418.2</v>
      </c>
      <c r="AG138" s="165">
        <f>AF138/AF126-1</f>
        <v/>
      </c>
      <c r="AH138" s="111">
        <f>AF138/AF66-1</f>
        <v/>
      </c>
      <c r="AI138" s="169" t="n">
        <v>376.2</v>
      </c>
      <c r="AJ138" s="165">
        <f>AI138/AI126-1</f>
        <v/>
      </c>
      <c r="AK138" s="111">
        <f>AI138/AI66-1</f>
        <v/>
      </c>
      <c r="AL138" s="403" t="n">
        <v>79.7</v>
      </c>
      <c r="AM138" s="380">
        <f>AL138-AL126</f>
        <v/>
      </c>
      <c r="AN138" s="380">
        <f>AL138-AL66</f>
        <v/>
      </c>
      <c r="AO138" s="403" t="n">
        <v>81.7</v>
      </c>
      <c r="AP138" s="380">
        <f>AO138-AO126</f>
        <v/>
      </c>
      <c r="AQ138" s="380">
        <f>AO138-AO66</f>
        <v/>
      </c>
      <c r="AR138" s="403" t="n">
        <v>75.59999999999999</v>
      </c>
      <c r="AS138" s="380">
        <f>AR138-AR126</f>
        <v/>
      </c>
      <c r="AT138" s="380">
        <f>AR138-AR66</f>
        <v/>
      </c>
      <c r="AU138" s="403" t="n">
        <v>71.90000000000001</v>
      </c>
      <c r="AV138" s="380">
        <f>AU138-AU126</f>
        <v/>
      </c>
      <c r="AW138" s="380">
        <f>AU138-AU66</f>
        <v/>
      </c>
      <c r="AX138" s="404" t="n">
        <v>934</v>
      </c>
      <c r="AY138" s="111">
        <f>AX138/AX126-1</f>
        <v/>
      </c>
      <c r="AZ138" s="111">
        <f>AX138/AX66-1</f>
        <v/>
      </c>
      <c r="BA138" s="407" t="n"/>
      <c r="BB138" s="407" t="n"/>
      <c r="BC138" s="407" t="n"/>
      <c r="BD138" s="407" t="n"/>
      <c r="BE138" s="407" t="n"/>
      <c r="BF138" s="407" t="n"/>
      <c r="BG138" s="407" t="n"/>
      <c r="BH138" s="407" t="n"/>
      <c r="BI138" s="407" t="n"/>
      <c r="BJ138" s="407" t="n"/>
      <c r="BK138" s="318" t="n"/>
      <c r="BL138" s="407" t="n"/>
      <c r="BM138" s="407" t="n"/>
      <c r="BN138" s="407" t="n"/>
      <c r="BO138" s="407" t="n"/>
      <c r="BP138" s="407" t="n"/>
      <c r="BQ138" s="407" t="n"/>
      <c r="BR138" s="407" t="n"/>
      <c r="BS138" s="407" t="n"/>
      <c r="BT138" s="407" t="n"/>
      <c r="BU138" s="407" t="n"/>
      <c r="BV138" s="407" t="n"/>
      <c r="BW138" s="407" t="n"/>
      <c r="BX138" s="407" t="n"/>
      <c r="BY138" s="407" t="n"/>
      <c r="BZ138" s="407" t="n"/>
      <c r="CA138" s="407" t="n"/>
      <c r="CB138" s="407" t="n"/>
      <c r="CC138" s="407" t="n"/>
      <c r="CD138" s="407" t="n"/>
      <c r="CE138" s="407" t="n"/>
      <c r="CF138" s="407" t="n"/>
      <c r="CG138" s="407" t="n"/>
      <c r="CH138" s="407" t="n"/>
      <c r="CI138" s="407" t="n"/>
      <c r="CJ138" s="407" t="n"/>
      <c r="CK138" s="407" t="n"/>
      <c r="CL138" s="407" t="n"/>
      <c r="CM138" s="407" t="n"/>
      <c r="CN138" s="407" t="n"/>
      <c r="CW138" s="407" t="n"/>
      <c r="CX138" s="407" t="n"/>
      <c r="CY138" s="407" t="n"/>
      <c r="CZ138" s="407" t="n"/>
      <c r="DA138" s="407" t="n"/>
      <c r="DB138" s="407" t="n"/>
      <c r="DC138" s="407" t="n"/>
      <c r="DD138" s="407" t="n"/>
      <c r="DE138" s="408" t="n"/>
      <c r="DF138" s="408" t="n"/>
    </row>
    <row r="139" customFormat="1" s="203">
      <c r="A139" s="406" t="n">
        <v>45777</v>
      </c>
      <c r="B139" s="169" t="n">
        <v>29214</v>
      </c>
      <c r="C139" s="170">
        <f>B139/B127-1</f>
        <v/>
      </c>
      <c r="D139" s="170">
        <f>B139/B67-1</f>
        <v/>
      </c>
      <c r="E139" s="169" t="n">
        <v>19664.4</v>
      </c>
      <c r="F139" s="170">
        <f>E139/E127-1</f>
        <v/>
      </c>
      <c r="G139" s="170">
        <f>E139/E67-1</f>
        <v/>
      </c>
      <c r="H139" s="169" t="n">
        <v>8710.299999999999</v>
      </c>
      <c r="I139" s="170">
        <f>H139/H127-1</f>
        <v/>
      </c>
      <c r="J139" s="170">
        <f>H139/H67-1</f>
        <v/>
      </c>
      <c r="K139" s="169" t="n">
        <v>839.3</v>
      </c>
      <c r="L139" s="170">
        <f>K139/K127-1</f>
        <v/>
      </c>
      <c r="M139" s="170">
        <f>K139/K67-1</f>
        <v/>
      </c>
      <c r="N139" s="169" t="n">
        <v>23737.6</v>
      </c>
      <c r="O139" s="170">
        <f>N139/N127-1</f>
        <v/>
      </c>
      <c r="P139" s="170">
        <f>N139/N67-1</f>
        <v/>
      </c>
      <c r="Q139" s="169" t="n">
        <v>16471.8</v>
      </c>
      <c r="R139" s="170">
        <f>Q139/Q127-1</f>
        <v/>
      </c>
      <c r="S139" s="170">
        <f>Q139/Q67-1</f>
        <v/>
      </c>
      <c r="T139" s="169" t="n">
        <v>6640.3</v>
      </c>
      <c r="U139" s="170">
        <f>T139/T127-1</f>
        <v/>
      </c>
      <c r="V139" s="170">
        <f>T139/T67-1</f>
        <v/>
      </c>
      <c r="W139" s="169" t="n">
        <v>625.5</v>
      </c>
      <c r="X139" s="170">
        <f>W139/W127-1</f>
        <v/>
      </c>
      <c r="Y139" s="170">
        <f>W139/W67-1</f>
        <v/>
      </c>
      <c r="Z139" s="169" t="n">
        <v>12821.3</v>
      </c>
      <c r="AA139" s="170">
        <f>Z139/Z127-1</f>
        <v/>
      </c>
      <c r="AB139" s="170">
        <f>Z139/Z67-1</f>
        <v/>
      </c>
      <c r="AC139" s="169" t="n">
        <v>10907.5</v>
      </c>
      <c r="AD139" s="170">
        <f>AC139/AC127-1</f>
        <v/>
      </c>
      <c r="AE139" s="170">
        <f>AC139/AC67-1</f>
        <v/>
      </c>
      <c r="AF139" s="169" t="n">
        <v>1510.6</v>
      </c>
      <c r="AG139" s="170">
        <f>AF139/AF127-1</f>
        <v/>
      </c>
      <c r="AH139" s="170">
        <f>AF139/AF67-1</f>
        <v/>
      </c>
      <c r="AI139" s="169" t="n">
        <v>403.2</v>
      </c>
      <c r="AJ139" s="170">
        <f>AI139/AI127-1</f>
        <v/>
      </c>
      <c r="AK139" s="170">
        <f>AI139/AI67-1</f>
        <v/>
      </c>
      <c r="AL139" s="403" t="n">
        <v>81.3</v>
      </c>
      <c r="AM139" s="409">
        <f>AL139-AL127</f>
        <v/>
      </c>
      <c r="AN139" s="409">
        <f>AL139-AL67</f>
        <v/>
      </c>
      <c r="AO139" s="403" t="n">
        <v>83.8</v>
      </c>
      <c r="AP139" s="409">
        <f>AO139-AO127</f>
        <v/>
      </c>
      <c r="AQ139" s="409">
        <f>AO139-AO67</f>
        <v/>
      </c>
      <c r="AR139" s="403" t="n">
        <v>76.2</v>
      </c>
      <c r="AS139" s="409">
        <f>AR139-AR127</f>
        <v/>
      </c>
      <c r="AT139" s="409">
        <f>AR139-AR67</f>
        <v/>
      </c>
      <c r="AU139" s="403" t="n">
        <v>74.5</v>
      </c>
      <c r="AV139" s="409">
        <f>AU139-AU127</f>
        <v/>
      </c>
      <c r="AW139" s="409">
        <f>AU139-AU67</f>
        <v/>
      </c>
      <c r="AX139" s="404" t="n">
        <v>934</v>
      </c>
      <c r="AY139" s="170">
        <f>AX139/AX127-1</f>
        <v/>
      </c>
      <c r="AZ139" s="170">
        <f>AX139/AX67-1</f>
        <v/>
      </c>
      <c r="BA139" s="407" t="n"/>
      <c r="BB139" s="407" t="n"/>
      <c r="BC139" s="407" t="n"/>
      <c r="BD139" s="407" t="n"/>
      <c r="BE139" s="407" t="n"/>
      <c r="BF139" s="407" t="n"/>
      <c r="BG139" s="407" t="n"/>
      <c r="BH139" s="407" t="n"/>
      <c r="BI139" s="407" t="n"/>
      <c r="BJ139" s="407" t="n"/>
      <c r="BK139" s="318" t="n"/>
      <c r="BL139" s="407" t="n"/>
      <c r="BM139" s="407" t="n"/>
      <c r="BN139" s="407" t="n"/>
      <c r="BO139" s="407" t="n"/>
      <c r="BP139" s="407" t="n"/>
      <c r="BQ139" s="407" t="n"/>
      <c r="BR139" s="407" t="n"/>
      <c r="BS139" s="407" t="n"/>
      <c r="BT139" s="407" t="n"/>
      <c r="BU139" s="407" t="n"/>
      <c r="BV139" s="407" t="n"/>
      <c r="BW139" s="407" t="n"/>
      <c r="BX139" s="407" t="n"/>
      <c r="BY139" s="407" t="n"/>
      <c r="BZ139" s="407" t="n"/>
      <c r="CA139" s="407" t="n"/>
      <c r="CB139" s="407" t="n"/>
      <c r="CC139" s="407" t="n"/>
      <c r="CD139" s="407" t="n"/>
      <c r="CE139" s="407" t="n"/>
      <c r="CF139" s="407" t="n"/>
      <c r="CG139" s="407" t="n"/>
      <c r="CH139" s="407" t="n"/>
      <c r="CI139" s="407" t="n"/>
      <c r="CJ139" s="407" t="n"/>
      <c r="CK139" s="407" t="n"/>
      <c r="CL139" s="407" t="n"/>
      <c r="CM139" s="407" t="n"/>
      <c r="CN139" s="407" t="n"/>
      <c r="CW139" s="407" t="n"/>
      <c r="CX139" s="407" t="n"/>
      <c r="CY139" s="407" t="n"/>
      <c r="CZ139" s="407" t="n"/>
      <c r="DA139" s="407" t="n"/>
      <c r="DB139" s="407" t="n"/>
      <c r="DC139" s="407" t="n"/>
      <c r="DD139" s="407" t="n"/>
      <c r="DE139" s="408" t="n"/>
      <c r="DF139" s="408" t="n"/>
    </row>
    <row r="140" customFormat="1" s="116">
      <c r="A140" s="410" t="n">
        <v>45808</v>
      </c>
      <c r="B140" s="317" t="n">
        <v>30448.4</v>
      </c>
      <c r="C140" s="142">
        <f>B140/B128-1</f>
        <v/>
      </c>
      <c r="D140" s="142">
        <f>B140/B68-1</f>
        <v/>
      </c>
      <c r="E140" s="317" t="n">
        <v>20789.2</v>
      </c>
      <c r="F140" s="142">
        <f>E140/E128-1</f>
        <v/>
      </c>
      <c r="G140" s="142">
        <f>E140/E68-1</f>
        <v/>
      </c>
      <c r="H140" s="317" t="n">
        <v>8806.9</v>
      </c>
      <c r="I140" s="142">
        <f>H140/H128-1</f>
        <v/>
      </c>
      <c r="J140" s="142">
        <f>H140/H68-1</f>
        <v/>
      </c>
      <c r="K140" s="317" t="n">
        <v>852.2</v>
      </c>
      <c r="L140" s="142">
        <f>K140/K128-1</f>
        <v/>
      </c>
      <c r="M140" s="142">
        <f>K140/K68-1</f>
        <v/>
      </c>
      <c r="N140" s="317" t="n">
        <v>24743.9</v>
      </c>
      <c r="O140" s="142">
        <f>N140/N128-1</f>
        <v/>
      </c>
      <c r="P140" s="142">
        <f>N140/N68-1</f>
        <v/>
      </c>
      <c r="Q140" s="317" t="n">
        <v>17425.5</v>
      </c>
      <c r="R140" s="142">
        <f>Q140/Q128-1</f>
        <v/>
      </c>
      <c r="S140" s="142">
        <f>Q140/Q68-1</f>
        <v/>
      </c>
      <c r="T140" s="317" t="n">
        <v>6708.7</v>
      </c>
      <c r="U140" s="142">
        <f>T140/T128-1</f>
        <v/>
      </c>
      <c r="V140" s="142">
        <f>T140/T68-1</f>
        <v/>
      </c>
      <c r="W140" s="317" t="n">
        <v>609.8</v>
      </c>
      <c r="X140" s="142">
        <f>W140/W128-1</f>
        <v/>
      </c>
      <c r="Y140" s="142">
        <f>W140/W68-1</f>
        <v/>
      </c>
      <c r="Z140" s="317" t="n">
        <v>13399.1</v>
      </c>
      <c r="AA140" s="39">
        <f>Z140/Z128-1</f>
        <v/>
      </c>
      <c r="AB140" s="39">
        <f>Z140/Z68-1</f>
        <v/>
      </c>
      <c r="AC140" s="317" t="n">
        <v>11492.4</v>
      </c>
      <c r="AD140" s="39">
        <f>AC140/AC128-1</f>
        <v/>
      </c>
      <c r="AE140" s="39">
        <f>AC140/AC68-1</f>
        <v/>
      </c>
      <c r="AF140" s="317" t="n">
        <v>1516.2</v>
      </c>
      <c r="AG140" s="39">
        <f>AF140/AF128-1</f>
        <v/>
      </c>
      <c r="AH140" s="39">
        <f>AF140/AF68-1</f>
        <v/>
      </c>
      <c r="AI140" s="317" t="n">
        <v>390.5</v>
      </c>
      <c r="AJ140" s="39">
        <f>AI140/AI128-1</f>
        <v/>
      </c>
      <c r="AK140" s="39">
        <f>AI140/AI68-1</f>
        <v/>
      </c>
      <c r="AL140" s="182" t="n">
        <v>81.3</v>
      </c>
      <c r="AM140" s="182">
        <f>AL140-AL128</f>
        <v/>
      </c>
      <c r="AN140" s="182">
        <f>AL140-AL68</f>
        <v/>
      </c>
      <c r="AO140" s="182" t="n">
        <v>83.8</v>
      </c>
      <c r="AP140" s="182">
        <f>AO140-AO128</f>
        <v/>
      </c>
      <c r="AQ140" s="182">
        <f>AO140-AO68</f>
        <v/>
      </c>
      <c r="AR140" s="182" t="n">
        <v>76.2</v>
      </c>
      <c r="AS140" s="182">
        <f>AR140-AR128</f>
        <v/>
      </c>
      <c r="AT140" s="182">
        <f>AR140-AR68</f>
        <v/>
      </c>
      <c r="AU140" s="182" t="n">
        <v>71.59999999999999</v>
      </c>
      <c r="AV140" s="182">
        <f>AU140-AU128</f>
        <v/>
      </c>
      <c r="AW140" s="182">
        <f>AU140-AU68</f>
        <v/>
      </c>
      <c r="AX140" s="268" t="n">
        <v>0</v>
      </c>
      <c r="AY140" s="142">
        <f>AX140/AX128-1</f>
        <v/>
      </c>
      <c r="AZ140" s="142">
        <f>AX140/AX68-1</f>
        <v/>
      </c>
      <c r="BA140" s="317" t="n"/>
      <c r="BB140" s="317" t="n"/>
      <c r="BC140" s="317" t="n"/>
      <c r="BD140" s="317" t="n"/>
      <c r="BE140" s="317" t="n"/>
      <c r="BF140" s="317" t="n"/>
      <c r="BG140" s="317" t="n"/>
      <c r="BH140" s="317" t="n"/>
      <c r="BI140" s="317" t="n"/>
      <c r="BJ140" s="317" t="n"/>
      <c r="BK140" s="318" t="n"/>
      <c r="BL140" s="317" t="n"/>
      <c r="BM140" s="317" t="n"/>
      <c r="BN140" s="317" t="n"/>
      <c r="BO140" s="317" t="n"/>
      <c r="BP140" s="317" t="n"/>
      <c r="BQ140" s="317" t="n"/>
      <c r="BR140" s="317" t="n"/>
      <c r="BS140" s="317" t="n"/>
      <c r="BT140" s="317" t="n"/>
      <c r="BU140" s="317" t="n"/>
      <c r="BV140" s="317" t="n"/>
      <c r="BW140" s="317" t="n"/>
      <c r="BX140" s="317" t="n"/>
      <c r="BY140" s="317" t="n"/>
      <c r="BZ140" s="317" t="n"/>
      <c r="CA140" s="317" t="n"/>
      <c r="CB140" s="317" t="n"/>
      <c r="CC140" s="317" t="n"/>
      <c r="CD140" s="317" t="n"/>
      <c r="CE140" s="317" t="n"/>
      <c r="CF140" s="317" t="n"/>
      <c r="CG140" s="317" t="n"/>
      <c r="CH140" s="317" t="n"/>
      <c r="CI140" s="317" t="n"/>
      <c r="CJ140" s="317" t="n"/>
      <c r="CK140" s="317" t="n"/>
      <c r="CL140" s="317" t="n"/>
      <c r="CM140" s="317" t="n"/>
      <c r="CN140" s="317" t="n"/>
      <c r="CW140" s="317" t="n"/>
      <c r="CX140" s="317" t="n"/>
      <c r="CY140" s="317" t="n"/>
      <c r="CZ140" s="317" t="n"/>
      <c r="DA140" s="317" t="n"/>
      <c r="DB140" s="317" t="n"/>
      <c r="DC140" s="317" t="n"/>
      <c r="DD140" s="317" t="n"/>
      <c r="DE140" s="319" t="n"/>
      <c r="DF140" s="319" t="n"/>
    </row>
    <row r="141" ht="13" customFormat="1" customHeight="1" s="116">
      <c r="A141" s="342" t="n"/>
      <c r="B141" s="317" t="n"/>
      <c r="C141" s="39" t="n"/>
      <c r="D141" s="39" t="n"/>
      <c r="E141" s="317" t="n"/>
      <c r="F141" s="39" t="n"/>
      <c r="G141" s="39" t="n"/>
      <c r="H141" s="317" t="n"/>
      <c r="I141" s="39" t="n"/>
      <c r="J141" s="39" t="n"/>
      <c r="K141" s="317" t="n"/>
      <c r="L141" s="39" t="n"/>
      <c r="M141" s="39" t="n"/>
      <c r="N141" s="317" t="n"/>
      <c r="O141" s="39" t="n"/>
      <c r="P141" s="39" t="n"/>
      <c r="Q141" s="317" t="n"/>
      <c r="R141" s="39" t="n"/>
      <c r="S141" s="39" t="n"/>
      <c r="T141" s="317" t="n"/>
      <c r="U141" s="39" t="n"/>
      <c r="V141" s="39" t="n"/>
      <c r="W141" s="317" t="n"/>
      <c r="X141" s="39" t="n"/>
      <c r="Y141" s="39" t="n"/>
      <c r="Z141" s="317" t="n"/>
      <c r="AA141" s="39" t="n"/>
      <c r="AB141" s="39" t="n"/>
      <c r="AC141" s="317" t="n"/>
      <c r="AD141" s="39" t="n"/>
      <c r="AE141" s="39" t="n"/>
      <c r="AF141" s="317" t="n"/>
      <c r="AG141" s="39" t="n"/>
      <c r="AH141" s="39" t="n"/>
      <c r="AI141" s="317" t="n"/>
      <c r="AJ141" s="39" t="n"/>
      <c r="AK141" s="39" t="n"/>
      <c r="AL141" s="317" t="n"/>
      <c r="AM141" s="317" t="n"/>
      <c r="AN141" s="317" t="n"/>
      <c r="AO141" s="317" t="n"/>
      <c r="AP141" s="317" t="n"/>
      <c r="AQ141" s="317" t="n"/>
      <c r="AR141" s="317" t="n"/>
      <c r="AS141" s="317" t="n"/>
      <c r="AT141" s="317" t="n"/>
      <c r="AU141" s="317" t="n"/>
      <c r="AV141" s="317" t="n"/>
      <c r="AW141" s="317" t="n"/>
      <c r="AX141" s="268" t="n"/>
      <c r="AY141" s="317" t="n"/>
      <c r="AZ141" s="39" t="n"/>
      <c r="BA141" s="317" t="n"/>
      <c r="BB141" s="39" t="n"/>
      <c r="BC141" s="317" t="n"/>
      <c r="BD141" s="39" t="n"/>
      <c r="BE141" s="317" t="n"/>
      <c r="BF141" s="39" t="n"/>
      <c r="BG141" s="317" t="n"/>
      <c r="BH141" s="39" t="n"/>
      <c r="BI141" s="317" t="n"/>
      <c r="BJ141" s="39" t="n"/>
      <c r="BK141" s="317" t="n"/>
      <c r="BL141" s="39" t="n"/>
      <c r="BM141" s="317" t="n"/>
      <c r="BN141" s="39" t="n"/>
      <c r="BO141" s="317" t="n"/>
      <c r="BP141" s="317" t="n"/>
      <c r="BQ141" s="39" t="n"/>
      <c r="BR141" s="317" t="n"/>
      <c r="BS141" s="39" t="n"/>
      <c r="BT141" s="317" t="n"/>
      <c r="BU141" s="39" t="n"/>
      <c r="BV141" s="317" t="n"/>
      <c r="BW141" s="39" t="n"/>
      <c r="BX141" s="317" t="n"/>
      <c r="BY141" s="39" t="n"/>
      <c r="BZ141" s="317" t="n"/>
      <c r="CA141" s="39" t="n"/>
      <c r="CB141" s="317" t="n"/>
      <c r="CC141" s="39" t="n"/>
      <c r="CD141" s="317" t="n"/>
      <c r="CE141" s="39" t="n"/>
      <c r="CF141" s="317" t="n"/>
      <c r="CG141" s="268" t="n"/>
      <c r="CH141" s="317" t="n"/>
      <c r="CI141" s="268" t="n"/>
      <c r="CJ141" s="317" t="n"/>
      <c r="CK141" s="268" t="n"/>
      <c r="CL141" s="317" t="n"/>
      <c r="CM141" s="268" t="n"/>
      <c r="CN141" s="317" t="n"/>
      <c r="CW141" s="317" t="n"/>
      <c r="CX141" s="39" t="n"/>
      <c r="CY141" s="317" t="n"/>
      <c r="CZ141" s="39" t="n"/>
      <c r="DA141" s="317" t="n"/>
      <c r="DB141" s="39" t="n"/>
      <c r="DC141" s="317" t="n"/>
      <c r="DD141" s="39" t="n"/>
      <c r="DE141" s="319" t="n"/>
      <c r="DF141" s="319" t="n"/>
    </row>
    <row r="142" ht="13" customFormat="1" customHeight="1" s="116">
      <c r="A142" s="411" t="inlineStr">
        <is>
          <t>季度</t>
        </is>
      </c>
      <c r="B142" s="317" t="n"/>
      <c r="C142" s="39" t="n"/>
      <c r="D142" s="39" t="n"/>
      <c r="E142" s="317" t="n"/>
      <c r="F142" s="39" t="n"/>
      <c r="G142" s="39" t="n"/>
      <c r="H142" s="317" t="n"/>
      <c r="I142" s="39" t="n"/>
      <c r="J142" s="39" t="n"/>
      <c r="K142" s="317" t="n"/>
      <c r="L142" s="39" t="n"/>
      <c r="M142" s="39" t="n"/>
      <c r="N142" s="317" t="n"/>
      <c r="O142" s="39" t="n"/>
      <c r="P142" s="39" t="n"/>
      <c r="Q142" s="317" t="n"/>
      <c r="R142" s="39" t="n"/>
      <c r="S142" s="39" t="n"/>
      <c r="T142" s="317" t="n"/>
      <c r="U142" s="39" t="n"/>
      <c r="V142" s="39" t="n"/>
      <c r="W142" s="317" t="n"/>
      <c r="X142" s="39" t="n"/>
      <c r="Y142" s="39" t="n"/>
      <c r="Z142" s="317" t="n"/>
      <c r="AA142" s="39" t="n"/>
      <c r="AB142" s="39" t="n"/>
      <c r="AC142" s="317" t="n"/>
      <c r="AD142" s="39" t="n"/>
      <c r="AE142" s="39" t="n"/>
      <c r="AF142" s="317" t="n"/>
      <c r="AG142" s="39" t="n"/>
      <c r="AH142" s="39" t="n"/>
      <c r="AI142" s="317" t="n"/>
      <c r="AJ142" s="39" t="n"/>
      <c r="AK142" s="39" t="n"/>
      <c r="AL142" s="317" t="n"/>
      <c r="AM142" s="182">
        <f>AL142-AL130</f>
        <v/>
      </c>
      <c r="AN142" s="317" t="n"/>
      <c r="AO142" s="317" t="n"/>
      <c r="AP142" s="182">
        <f>AO142-AO130</f>
        <v/>
      </c>
      <c r="AQ142" s="317" t="n"/>
      <c r="AR142" s="317" t="n"/>
      <c r="AS142" s="182">
        <f>AR142-AR130</f>
        <v/>
      </c>
      <c r="AT142" s="317" t="n"/>
      <c r="AU142" s="317" t="n"/>
      <c r="AV142" s="182">
        <f>AU142-AU130</f>
        <v/>
      </c>
      <c r="AW142" s="317" t="n"/>
      <c r="AX142" s="268" t="n"/>
      <c r="AY142" s="317" t="n"/>
      <c r="AZ142" s="39" t="n"/>
      <c r="BA142" s="317" t="n"/>
      <c r="BB142" s="39" t="n"/>
      <c r="BC142" s="317" t="n"/>
      <c r="BD142" s="39" t="n"/>
      <c r="BE142" s="317" t="n"/>
      <c r="BF142" s="39" t="n"/>
      <c r="BG142" s="317" t="n"/>
      <c r="BH142" s="39" t="n"/>
      <c r="BI142" s="317" t="n"/>
      <c r="BJ142" s="39" t="n"/>
      <c r="BK142" s="317" t="n"/>
      <c r="BL142" s="39" t="n"/>
      <c r="BM142" s="317" t="n"/>
      <c r="BN142" s="39" t="n"/>
      <c r="BO142" s="317" t="n"/>
      <c r="BP142" s="317" t="n"/>
      <c r="BQ142" s="39" t="n"/>
      <c r="BR142" s="317" t="n"/>
      <c r="BS142" s="39" t="n"/>
      <c r="BT142" s="317" t="n"/>
      <c r="BU142" s="39" t="n"/>
      <c r="BV142" s="317" t="n"/>
      <c r="BW142" s="39" t="n"/>
      <c r="BX142" s="317" t="n"/>
      <c r="BY142" s="39" t="n"/>
      <c r="BZ142" s="317" t="n"/>
      <c r="CA142" s="39" t="n"/>
      <c r="CB142" s="317" t="n"/>
      <c r="CC142" s="39" t="n"/>
      <c r="CD142" s="317" t="n"/>
      <c r="CE142" s="39" t="n"/>
      <c r="CF142" s="317" t="n"/>
      <c r="CG142" s="317" t="n"/>
      <c r="CH142" s="317" t="n"/>
      <c r="CI142" s="317" t="n"/>
      <c r="CJ142" s="317" t="n"/>
      <c r="CK142" s="317" t="n"/>
      <c r="CL142" s="317" t="n"/>
      <c r="CM142" s="317" t="n"/>
      <c r="CN142" s="317" t="n"/>
      <c r="CW142" s="317" t="n"/>
      <c r="CX142" s="39" t="n"/>
      <c r="CY142" s="317" t="n"/>
      <c r="CZ142" s="39" t="n"/>
      <c r="DA142" s="317" t="n"/>
      <c r="DB142" s="39" t="n"/>
      <c r="DC142" s="317" t="n"/>
      <c r="DD142" s="39" t="n"/>
      <c r="DE142" s="319" t="n"/>
      <c r="DF142" s="319" t="n"/>
    </row>
    <row r="143" ht="13" customFormat="1" customHeight="1" s="116">
      <c r="A143" s="342" t="inlineStr">
        <is>
          <t>18Q1</t>
        </is>
      </c>
      <c r="B143" s="317" t="n">
        <v>65728.10000000001</v>
      </c>
      <c r="C143" s="39">
        <f>B143/(SUM(B40:B42))-1</f>
        <v/>
      </c>
      <c r="D143" s="39" t="n"/>
      <c r="E143" s="317" t="n">
        <v>39263.7</v>
      </c>
      <c r="F143" s="39">
        <f>E143/(SUM(E40:E42))-1</f>
        <v/>
      </c>
      <c r="G143" s="39" t="n"/>
      <c r="H143" s="317" t="n">
        <v>24091.2</v>
      </c>
      <c r="I143" s="39">
        <f>H143/(SUM(H40:H42))-1</f>
        <v/>
      </c>
      <c r="J143" s="39" t="n"/>
      <c r="K143" s="317" t="n">
        <v>2373.2</v>
      </c>
      <c r="L143" s="39">
        <f>K143/(SUM(K40:K42))-1</f>
        <v/>
      </c>
      <c r="M143" s="39" t="n"/>
      <c r="N143" s="317" t="n">
        <v>53309.8</v>
      </c>
      <c r="O143" s="39">
        <f>N143/(SUM(N40:N42))-1</f>
        <v/>
      </c>
      <c r="P143" s="39" t="n"/>
      <c r="Q143" s="317" t="n">
        <v>32564.6</v>
      </c>
      <c r="R143" s="39">
        <f>Q143/(SUM(Q40:Q42))-1</f>
        <v/>
      </c>
      <c r="S143" s="39" t="n"/>
      <c r="T143" s="317" t="n">
        <v>18860.1</v>
      </c>
      <c r="U143" s="39">
        <f>T143/(SUM(T40:T42))-1</f>
        <v/>
      </c>
      <c r="V143" s="39" t="n"/>
      <c r="W143" s="317" t="n">
        <v>1885.2</v>
      </c>
      <c r="X143" s="39">
        <f>W143/(SUM(W40:W42))-1</f>
        <v/>
      </c>
      <c r="Y143" s="39" t="n"/>
      <c r="Z143" s="317" t="n">
        <v>26718</v>
      </c>
      <c r="AA143" s="39">
        <f>Z143/(SUM(Z40:Z42))-1</f>
        <v/>
      </c>
      <c r="AB143" s="39" t="n"/>
      <c r="AC143" s="317" t="n">
        <v>21822.3</v>
      </c>
      <c r="AD143" s="39">
        <f>AC143/(SUM(AC40:AC42))-1</f>
        <v/>
      </c>
      <c r="AE143" s="39" t="n"/>
      <c r="AF143" s="317" t="n">
        <v>3692.4</v>
      </c>
      <c r="AG143" s="39">
        <f>AF143/(SUM(AF40:AF42))-1</f>
        <v/>
      </c>
      <c r="AH143" s="39" t="n"/>
      <c r="AI143" s="317" t="n">
        <v>1203.3</v>
      </c>
      <c r="AJ143" s="39">
        <f>AI143/(SUM(AI40:AI42))-1</f>
        <v/>
      </c>
      <c r="AK143" s="39" t="n"/>
      <c r="AL143" s="182" t="n">
        <v>81.13333333333333</v>
      </c>
      <c r="AM143" s="182">
        <f>AL143-AL131</f>
        <v/>
      </c>
      <c r="AN143" s="317" t="n"/>
      <c r="AO143" s="182" t="n">
        <v>82.96666666666667</v>
      </c>
      <c r="AP143" s="182">
        <f>AO143-AO131</f>
        <v/>
      </c>
      <c r="AQ143" s="317" t="n"/>
      <c r="AR143" s="182" t="n">
        <v>78.33333333333333</v>
      </c>
      <c r="AS143" s="182">
        <f>AR143-AR131</f>
        <v/>
      </c>
      <c r="AT143" s="317" t="n"/>
      <c r="AU143" s="182" t="n">
        <v>79.39999999999999</v>
      </c>
      <c r="AV143" s="182">
        <f>AU143-AU131</f>
        <v/>
      </c>
      <c r="AW143" s="317" t="n"/>
      <c r="AX143" s="412" t="n"/>
      <c r="AY143" s="142" t="n"/>
      <c r="AZ143" s="39" t="n"/>
      <c r="BA143" s="317" t="n"/>
      <c r="BB143" s="39" t="n"/>
      <c r="BC143" s="317" t="n"/>
      <c r="BD143" s="39" t="n"/>
      <c r="BE143" s="317" t="n"/>
      <c r="BF143" s="39" t="n"/>
      <c r="BG143" s="317" t="n"/>
      <c r="BH143" s="39" t="n"/>
      <c r="BI143" s="317" t="n"/>
      <c r="BJ143" s="39" t="n"/>
      <c r="BK143" s="317" t="n"/>
      <c r="BL143" s="39" t="n"/>
      <c r="BM143" s="317" t="n"/>
      <c r="BN143" s="39" t="n"/>
      <c r="BO143" s="317" t="n"/>
      <c r="BP143" s="317" t="n"/>
      <c r="BQ143" s="39" t="n"/>
      <c r="BR143" s="317" t="n"/>
      <c r="BS143" s="39" t="n"/>
      <c r="BT143" s="317" t="n"/>
      <c r="BU143" s="39" t="n"/>
      <c r="BV143" s="317" t="n"/>
      <c r="BW143" s="39" t="n"/>
      <c r="BX143" s="317" t="n"/>
      <c r="BY143" s="39" t="n"/>
      <c r="BZ143" s="317" t="n"/>
      <c r="CA143" s="39" t="n"/>
      <c r="CB143" s="317" t="n"/>
      <c r="CC143" s="39" t="n"/>
      <c r="CD143" s="317" t="n"/>
      <c r="CE143" s="39" t="n"/>
      <c r="CF143" s="317" t="n"/>
      <c r="CG143" s="317" t="n"/>
      <c r="CH143" s="317" t="n"/>
      <c r="CI143" s="317" t="n"/>
      <c r="CJ143" s="317" t="n"/>
      <c r="CK143" s="317" t="n"/>
      <c r="CL143" s="317" t="n"/>
      <c r="CM143" s="317" t="n"/>
      <c r="CN143" s="317" t="n"/>
      <c r="CW143" s="317" t="n"/>
      <c r="CX143" s="39" t="n"/>
      <c r="CY143" s="317" t="n"/>
      <c r="CZ143" s="39" t="n"/>
      <c r="DA143" s="317" t="n"/>
      <c r="DB143" s="39" t="n"/>
      <c r="DC143" s="317" t="n"/>
      <c r="DD143" s="39" t="n"/>
      <c r="DE143" s="319" t="n"/>
      <c r="DF143" s="319" t="n"/>
    </row>
    <row r="144" ht="13" customFormat="1" customHeight="1" s="116">
      <c r="A144" s="342" t="inlineStr">
        <is>
          <t>18Q2</t>
        </is>
      </c>
      <c r="B144" s="317" t="n">
        <v>68023.89999999999</v>
      </c>
      <c r="C144" s="39">
        <f>B144/(SUM(B43:B45))-1</f>
        <v/>
      </c>
      <c r="D144" s="39" t="n"/>
      <c r="E144" s="317" t="n">
        <v>39603.39999999999</v>
      </c>
      <c r="F144" s="39">
        <f>E144/(SUM(E43:E45))-1</f>
        <v/>
      </c>
      <c r="G144" s="39" t="n"/>
      <c r="H144" s="317" t="n">
        <v>26008</v>
      </c>
      <c r="I144" s="39">
        <f>H144/(SUM(H43:H45))-1</f>
        <v/>
      </c>
      <c r="J144" s="39" t="n"/>
      <c r="K144" s="317" t="n">
        <v>2412.8</v>
      </c>
      <c r="L144" s="39">
        <f>K144/(SUM(K43:K45))-1</f>
        <v/>
      </c>
      <c r="M144" s="39" t="n"/>
      <c r="N144" s="317" t="n">
        <v>54329.3</v>
      </c>
      <c r="O144" s="39">
        <f>N144/(SUM(N43:N45))-1</f>
        <v/>
      </c>
      <c r="P144" s="39" t="n"/>
      <c r="Q144" s="317" t="n">
        <v>32355.2</v>
      </c>
      <c r="R144" s="39">
        <f>Q144/(SUM(Q43:Q45))-1</f>
        <v/>
      </c>
      <c r="S144" s="39" t="n"/>
      <c r="T144" s="317" t="n">
        <v>20027.9</v>
      </c>
      <c r="U144" s="39">
        <f>T144/(SUM(T43:T45))-1</f>
        <v/>
      </c>
      <c r="V144" s="39" t="n"/>
      <c r="W144" s="317" t="n">
        <v>1946.2</v>
      </c>
      <c r="X144" s="39">
        <f>W144/(SUM(W43:W45))-1</f>
        <v/>
      </c>
      <c r="Y144" s="39" t="n"/>
      <c r="Z144" s="317" t="n">
        <v>27009</v>
      </c>
      <c r="AA144" s="39">
        <f>Z144/(SUM(Z43:Z45))-1</f>
        <v/>
      </c>
      <c r="AB144" s="39" t="n"/>
      <c r="AC144" s="317" t="n">
        <v>21987.5</v>
      </c>
      <c r="AD144" s="39">
        <f>AC144/(SUM(AC43:AC45))-1</f>
        <v/>
      </c>
      <c r="AE144" s="39" t="n"/>
      <c r="AF144" s="317" t="n">
        <v>3781.3</v>
      </c>
      <c r="AG144" s="39">
        <f>AF144/(SUM(AF43:AF45))-1</f>
        <v/>
      </c>
      <c r="AH144" s="39" t="n"/>
      <c r="AI144" s="317" t="n">
        <v>1240.3</v>
      </c>
      <c r="AJ144" s="39">
        <f>AI144/(SUM(AI43:AI45))-1</f>
        <v/>
      </c>
      <c r="AK144" s="39" t="n"/>
      <c r="AL144" s="182" t="n">
        <v>79.86666666666666</v>
      </c>
      <c r="AM144" s="182">
        <f>AL144-AL132</f>
        <v/>
      </c>
      <c r="AN144" s="317" t="n"/>
      <c r="AO144" s="182" t="n">
        <v>81.7</v>
      </c>
      <c r="AP144" s="182">
        <f>AO144-AO132</f>
        <v/>
      </c>
      <c r="AQ144" s="317" t="n"/>
      <c r="AR144" s="182" t="n">
        <v>77</v>
      </c>
      <c r="AS144" s="182">
        <f>AR144-AR132</f>
        <v/>
      </c>
      <c r="AT144" s="317" t="n"/>
      <c r="AU144" s="182" t="n">
        <v>80.7</v>
      </c>
      <c r="AV144" s="182">
        <f>AU144-AU132</f>
        <v/>
      </c>
      <c r="AW144" s="317" t="n"/>
      <c r="AX144" s="412" t="n"/>
      <c r="AY144" s="142" t="n"/>
      <c r="AZ144" s="39" t="n"/>
      <c r="BA144" s="317" t="n"/>
      <c r="BB144" s="39" t="n"/>
      <c r="BC144" s="317" t="n"/>
      <c r="BD144" s="39" t="n"/>
      <c r="BE144" s="317" t="n"/>
      <c r="BF144" s="39" t="n"/>
      <c r="BG144" s="317" t="n"/>
      <c r="BH144" s="39" t="n"/>
      <c r="BI144" s="317" t="n"/>
      <c r="BJ144" s="39" t="n"/>
      <c r="BK144" s="317" t="n"/>
      <c r="BL144" s="39" t="n"/>
      <c r="BM144" s="317" t="n"/>
      <c r="BN144" s="39" t="n"/>
      <c r="BO144" s="317" t="n"/>
      <c r="BP144" s="317" t="n"/>
      <c r="BQ144" s="39" t="n"/>
      <c r="BR144" s="317" t="n"/>
      <c r="BS144" s="39" t="n"/>
      <c r="BT144" s="317" t="n"/>
      <c r="BU144" s="39" t="n"/>
      <c r="BV144" s="317" t="n"/>
      <c r="BW144" s="39" t="n"/>
      <c r="BX144" s="317" t="n"/>
      <c r="BY144" s="39" t="n"/>
      <c r="BZ144" s="317" t="n"/>
      <c r="CA144" s="39" t="n"/>
      <c r="CB144" s="317" t="n"/>
      <c r="CC144" s="39" t="n"/>
      <c r="CD144" s="317" t="n"/>
      <c r="CE144" s="39" t="n"/>
      <c r="CF144" s="317" t="n"/>
      <c r="CG144" s="317" t="n"/>
      <c r="CH144" s="317" t="n"/>
      <c r="CI144" s="317" t="n"/>
      <c r="CJ144" s="317" t="n"/>
      <c r="CK144" s="317" t="n"/>
      <c r="CL144" s="317" t="n"/>
      <c r="CM144" s="317" t="n"/>
      <c r="CN144" s="317" t="n"/>
      <c r="CW144" s="317" t="n"/>
      <c r="CX144" s="39" t="n"/>
      <c r="CY144" s="317" t="n"/>
      <c r="CZ144" s="39" t="n"/>
      <c r="DA144" s="317" t="n"/>
      <c r="DB144" s="39" t="n"/>
      <c r="DC144" s="317" t="n"/>
      <c r="DD144" s="39" t="n"/>
      <c r="DE144" s="319" t="n"/>
      <c r="DF144" s="319" t="n"/>
    </row>
    <row r="145" ht="13" customFormat="1" customHeight="1" s="116">
      <c r="A145" s="342" t="inlineStr">
        <is>
          <t>18Q3</t>
        </is>
      </c>
      <c r="B145" s="317" t="n">
        <v>70264.60000000001</v>
      </c>
      <c r="C145" s="142">
        <f>B145/(SUM(B46:B48))-1</f>
        <v/>
      </c>
      <c r="D145" s="142" t="n"/>
      <c r="E145" s="317" t="n">
        <v>40284.1</v>
      </c>
      <c r="F145" s="142">
        <f>E145/(SUM(E46:E48))-1</f>
        <v/>
      </c>
      <c r="G145" s="142" t="n"/>
      <c r="H145" s="317" t="n">
        <v>27531.4</v>
      </c>
      <c r="I145" s="142">
        <f>H145/(SUM(H46:H48))-1</f>
        <v/>
      </c>
      <c r="J145" s="142" t="n"/>
      <c r="K145" s="317" t="n">
        <v>2449.2</v>
      </c>
      <c r="L145" s="142">
        <f>K145/(SUM(K46:K48))-1</f>
        <v/>
      </c>
      <c r="M145" s="142" t="n"/>
      <c r="N145" s="317" t="n">
        <v>57381.10000000001</v>
      </c>
      <c r="O145" s="142">
        <f>N145/(SUM(N46:N48))-1</f>
        <v/>
      </c>
      <c r="P145" s="142" t="n"/>
      <c r="Q145" s="317" t="n">
        <v>33725.7</v>
      </c>
      <c r="R145" s="142">
        <f>Q145/(SUM(Q46:Q48))-1</f>
        <v/>
      </c>
      <c r="S145" s="142" t="n"/>
      <c r="T145" s="317" t="n">
        <v>21614.1</v>
      </c>
      <c r="U145" s="142">
        <f>T145/(SUM(T46:T48))-1</f>
        <v/>
      </c>
      <c r="V145" s="142" t="n"/>
      <c r="W145" s="317" t="n">
        <v>2041.4</v>
      </c>
      <c r="X145" s="142">
        <f>W145/(SUM(W46:W48))-1</f>
        <v/>
      </c>
      <c r="Y145" s="142" t="n"/>
      <c r="Z145" s="317" t="n">
        <v>28206.2</v>
      </c>
      <c r="AA145" s="39">
        <f>Z145/(SUM(Z46:Z48))-1</f>
        <v/>
      </c>
      <c r="AB145" s="39" t="n"/>
      <c r="AC145" s="317" t="n">
        <v>22840.1</v>
      </c>
      <c r="AD145" s="39">
        <f>AC145/(SUM(AC46:AC48))-1</f>
        <v/>
      </c>
      <c r="AE145" s="39" t="n"/>
      <c r="AF145" s="317" t="n">
        <v>4053.8</v>
      </c>
      <c r="AG145" s="39">
        <f>AF145/(SUM(AF46:AF48))-1</f>
        <v/>
      </c>
      <c r="AH145" s="39" t="n"/>
      <c r="AI145" s="317" t="n">
        <v>1312.2</v>
      </c>
      <c r="AJ145" s="39">
        <f>AI145/(SUM(AI46:AI48))-1</f>
        <v/>
      </c>
      <c r="AK145" s="39" t="n"/>
      <c r="AL145" s="182" t="n">
        <v>81.63333333333333</v>
      </c>
      <c r="AM145" s="182">
        <f>AL145-AL133</f>
        <v/>
      </c>
      <c r="AN145" s="317" t="n"/>
      <c r="AO145" s="182" t="n">
        <v>83.7</v>
      </c>
      <c r="AP145" s="182">
        <f>AO145-AO133</f>
        <v/>
      </c>
      <c r="AQ145" s="317" t="n"/>
      <c r="AR145" s="182" t="n">
        <v>78.46666666666667</v>
      </c>
      <c r="AS145" s="182">
        <f>AR145-AR133</f>
        <v/>
      </c>
      <c r="AT145" s="317" t="n"/>
      <c r="AU145" s="182" t="n">
        <v>83.2</v>
      </c>
      <c r="AV145" s="182">
        <f>AU145-AU133</f>
        <v/>
      </c>
      <c r="AW145" s="317" t="n"/>
      <c r="AX145" s="412" t="n"/>
      <c r="AY145" s="142" t="n"/>
      <c r="AZ145" s="317" t="n"/>
      <c r="BA145" s="317" t="n"/>
      <c r="BB145" s="317" t="n"/>
      <c r="BC145" s="317" t="n"/>
      <c r="BD145" s="317" t="n"/>
      <c r="BE145" s="317" t="n"/>
      <c r="BF145" s="317" t="n"/>
      <c r="BG145" s="317" t="n"/>
      <c r="BH145" s="317" t="n"/>
      <c r="BI145" s="317" t="n"/>
      <c r="BJ145" s="317" t="n"/>
      <c r="BK145" s="317" t="n"/>
      <c r="BL145" s="317" t="n"/>
      <c r="BM145" s="317" t="n"/>
      <c r="BN145" s="317" t="n"/>
      <c r="BO145" s="317" t="n"/>
      <c r="BP145" s="317" t="n"/>
      <c r="BQ145" s="317" t="n"/>
      <c r="BR145" s="317" t="n"/>
      <c r="BS145" s="317" t="n"/>
      <c r="BT145" s="317" t="n"/>
      <c r="BU145" s="317" t="n"/>
      <c r="BV145" s="317" t="n"/>
      <c r="BW145" s="317" t="n"/>
      <c r="BX145" s="317" t="n"/>
      <c r="BY145" s="317" t="n"/>
      <c r="BZ145" s="317" t="n"/>
      <c r="CA145" s="317" t="n"/>
      <c r="CB145" s="317" t="n"/>
      <c r="CC145" s="317" t="n"/>
      <c r="CD145" s="317" t="n"/>
      <c r="CE145" s="317" t="n"/>
      <c r="CF145" s="317" t="n"/>
      <c r="CG145" s="317" t="n"/>
      <c r="CH145" s="317" t="n"/>
      <c r="CI145" s="317" t="n"/>
      <c r="CJ145" s="317" t="n"/>
      <c r="CK145" s="317" t="n"/>
      <c r="CL145" s="317" t="n"/>
      <c r="CM145" s="317" t="n"/>
      <c r="CN145" s="317" t="n"/>
      <c r="CW145" s="317" t="n"/>
      <c r="CX145" s="317" t="n"/>
      <c r="CY145" s="317" t="n"/>
      <c r="CZ145" s="317" t="n"/>
      <c r="DA145" s="317" t="n"/>
      <c r="DB145" s="317" t="n"/>
      <c r="DC145" s="317" t="n"/>
      <c r="DD145" s="317" t="n"/>
      <c r="DE145" s="319" t="n"/>
      <c r="DF145" s="319" t="n"/>
    </row>
    <row r="146" ht="13" customFormat="1" customHeight="1" s="116">
      <c r="A146" s="342" t="inlineStr">
        <is>
          <t>18Q4</t>
        </is>
      </c>
      <c r="B146" s="317" t="n">
        <v>69530.3</v>
      </c>
      <c r="C146" s="39">
        <f>B146/(SUM(B49:B51))-1</f>
        <v/>
      </c>
      <c r="D146" s="39" t="n"/>
      <c r="E146" s="317" t="n">
        <v>40977.7</v>
      </c>
      <c r="F146" s="39">
        <f>E146/(SUM(E49:E51))-1</f>
        <v/>
      </c>
      <c r="G146" s="39" t="n"/>
      <c r="H146" s="317" t="n">
        <v>25940.1</v>
      </c>
      <c r="I146" s="39">
        <f>H146/(SUM(H49:H51))-1</f>
        <v/>
      </c>
      <c r="J146" s="39" t="n"/>
      <c r="K146" s="317" t="n">
        <v>2612.6</v>
      </c>
      <c r="L146" s="39">
        <f>K146/(SUM(K49:K51))-1</f>
        <v/>
      </c>
      <c r="M146" s="39" t="n"/>
      <c r="N146" s="317" t="n">
        <v>55442.10000000001</v>
      </c>
      <c r="O146" s="39">
        <f>N146/(SUM(N49:N51))-1</f>
        <v/>
      </c>
      <c r="P146" s="39" t="n"/>
      <c r="Q146" s="317" t="n">
        <v>33402.1</v>
      </c>
      <c r="R146" s="39">
        <f>Q146/(SUM(Q49:Q51))-1</f>
        <v/>
      </c>
      <c r="S146" s="39" t="n"/>
      <c r="T146" s="317" t="n">
        <v>19956.9</v>
      </c>
      <c r="U146" s="39">
        <f>T146/(SUM(T49:T51))-1</f>
        <v/>
      </c>
      <c r="V146" s="39" t="n"/>
      <c r="W146" s="317" t="n">
        <v>2083.3</v>
      </c>
      <c r="X146" s="39">
        <f>W146/(SUM(W49:W51))-1</f>
        <v/>
      </c>
      <c r="Y146" s="39" t="n"/>
      <c r="Z146" s="317" t="n">
        <v>27751.8</v>
      </c>
      <c r="AA146" s="39">
        <f>Z146/(SUM(Z49:Z51))-1</f>
        <v/>
      </c>
      <c r="AB146" s="39" t="n"/>
      <c r="AC146" s="317" t="n">
        <v>22569.6</v>
      </c>
      <c r="AD146" s="39">
        <f>AC146/(SUM(AC49:AC51))-1</f>
        <v/>
      </c>
      <c r="AE146" s="39" t="n"/>
      <c r="AF146" s="317" t="n">
        <v>3879.4</v>
      </c>
      <c r="AG146" s="39">
        <f>AF146/(SUM(AF49:AF51))-1</f>
        <v/>
      </c>
      <c r="AH146" s="39" t="n"/>
      <c r="AI146" s="317" t="n">
        <v>1302.8</v>
      </c>
      <c r="AJ146" s="39">
        <f>AI146/(SUM(AI49:AI51))-1</f>
        <v/>
      </c>
      <c r="AK146" s="39" t="n"/>
      <c r="AL146" s="182" t="n">
        <v>79.73333333333333</v>
      </c>
      <c r="AM146" s="182">
        <f>AL146-AL134</f>
        <v/>
      </c>
      <c r="AN146" s="317" t="n"/>
      <c r="AO146" s="182" t="n">
        <v>81.5</v>
      </c>
      <c r="AP146" s="182">
        <f>AO146-AO134</f>
        <v/>
      </c>
      <c r="AQ146" s="317" t="n"/>
      <c r="AR146" s="182" t="n">
        <v>76.93333333333334</v>
      </c>
      <c r="AS146" s="182">
        <f>AR146-AR134</f>
        <v/>
      </c>
      <c r="AT146" s="317" t="n"/>
      <c r="AU146" s="182" t="n">
        <v>79.73333333333333</v>
      </c>
      <c r="AV146" s="182">
        <f>AU146-AU134</f>
        <v/>
      </c>
      <c r="AW146" s="317" t="n"/>
      <c r="AX146" s="412" t="n"/>
      <c r="AY146" s="142" t="n"/>
      <c r="AZ146" s="39" t="n"/>
      <c r="BA146" s="317" t="n"/>
      <c r="BB146" s="39" t="n"/>
      <c r="BC146" s="317" t="n"/>
      <c r="BD146" s="39" t="n"/>
      <c r="BE146" s="317" t="n"/>
      <c r="BF146" s="39" t="n"/>
      <c r="BG146" s="317" t="n"/>
      <c r="BH146" s="39" t="n"/>
      <c r="BI146" s="317" t="n"/>
      <c r="BJ146" s="39" t="n"/>
      <c r="BK146" s="317" t="n"/>
      <c r="BL146" s="39" t="n"/>
      <c r="BM146" s="317" t="n"/>
      <c r="BN146" s="39" t="n"/>
      <c r="BO146" s="317" t="n"/>
      <c r="BP146" s="317" t="n"/>
      <c r="BQ146" s="39" t="n"/>
      <c r="BR146" s="317" t="n"/>
      <c r="BS146" s="39" t="n"/>
      <c r="BT146" s="317" t="n"/>
      <c r="BU146" s="39" t="n"/>
      <c r="BV146" s="317" t="n"/>
      <c r="BW146" s="39" t="n"/>
      <c r="BX146" s="317" t="n"/>
      <c r="BY146" s="39" t="n"/>
      <c r="BZ146" s="317" t="n"/>
      <c r="CA146" s="39" t="n"/>
      <c r="CB146" s="317" t="n"/>
      <c r="CC146" s="39" t="n"/>
      <c r="CD146" s="317" t="n"/>
      <c r="CE146" s="39" t="n"/>
      <c r="CF146" s="317" t="n"/>
      <c r="CG146" s="317" t="n"/>
      <c r="CH146" s="317" t="n"/>
      <c r="CI146" s="317" t="n"/>
      <c r="CJ146" s="317" t="n"/>
      <c r="CK146" s="317" t="n"/>
      <c r="CL146" s="317" t="n"/>
      <c r="CM146" s="317" t="n"/>
      <c r="CN146" s="317" t="n"/>
      <c r="CW146" s="317" t="n"/>
      <c r="CX146" s="39" t="n"/>
      <c r="CY146" s="317" t="n"/>
      <c r="CZ146" s="39" t="n"/>
      <c r="DA146" s="317" t="n"/>
      <c r="DB146" s="39" t="n"/>
      <c r="DC146" s="317" t="n"/>
      <c r="DD146" s="39" t="n"/>
      <c r="DE146" s="319" t="n"/>
      <c r="DF146" s="319" t="n"/>
    </row>
    <row r="147" ht="13" customFormat="1" customHeight="1" s="116">
      <c r="A147" s="342" t="n"/>
      <c r="B147" s="317" t="n"/>
      <c r="C147" s="39" t="n"/>
      <c r="D147" s="39" t="n"/>
      <c r="E147" s="317" t="n"/>
      <c r="F147" s="39" t="n"/>
      <c r="G147" s="39" t="n"/>
      <c r="H147" s="317" t="n"/>
      <c r="I147" s="39" t="n"/>
      <c r="J147" s="39" t="n"/>
      <c r="K147" s="317" t="n"/>
      <c r="L147" s="39" t="n"/>
      <c r="M147" s="39" t="n"/>
      <c r="N147" s="317" t="n"/>
      <c r="O147" s="39" t="n"/>
      <c r="P147" s="39" t="n"/>
      <c r="Q147" s="317" t="n"/>
      <c r="R147" s="39" t="n"/>
      <c r="S147" s="39" t="n"/>
      <c r="T147" s="317" t="n"/>
      <c r="U147" s="39" t="n"/>
      <c r="V147" s="39" t="n"/>
      <c r="W147" s="317" t="n"/>
      <c r="X147" s="39" t="n"/>
      <c r="Y147" s="39" t="n"/>
      <c r="Z147" s="317" t="n"/>
      <c r="AA147" s="39" t="n"/>
      <c r="AB147" s="39" t="n"/>
      <c r="AC147" s="317" t="n"/>
      <c r="AD147" s="39" t="n"/>
      <c r="AE147" s="39" t="n"/>
      <c r="AF147" s="317" t="n"/>
      <c r="AG147" s="39" t="n"/>
      <c r="AH147" s="39" t="n"/>
      <c r="AI147" s="317" t="n"/>
      <c r="AJ147" s="39" t="n"/>
      <c r="AK147" s="39" t="n"/>
      <c r="AL147" s="317" t="n"/>
      <c r="AM147" s="317" t="n"/>
      <c r="AN147" s="317" t="n"/>
      <c r="AO147" s="317" t="n"/>
      <c r="AP147" s="317" t="n"/>
      <c r="AQ147" s="317" t="n"/>
      <c r="AR147" s="317" t="n"/>
      <c r="AS147" s="317" t="n"/>
      <c r="AT147" s="317" t="n"/>
      <c r="AU147" s="317" t="n"/>
      <c r="AV147" s="317" t="n"/>
      <c r="AW147" s="317" t="n"/>
      <c r="AX147" s="268" t="n"/>
      <c r="AY147" s="317" t="n"/>
      <c r="AZ147" s="39" t="n"/>
      <c r="BA147" s="317" t="n"/>
      <c r="BB147" s="39" t="n"/>
      <c r="BC147" s="317" t="n"/>
      <c r="BD147" s="39" t="n"/>
      <c r="BE147" s="317" t="n"/>
      <c r="BF147" s="39" t="n"/>
      <c r="BG147" s="317" t="n"/>
      <c r="BH147" s="39" t="n"/>
      <c r="BI147" s="317" t="n"/>
      <c r="BJ147" s="39" t="n"/>
      <c r="BK147" s="317" t="n"/>
      <c r="BL147" s="39" t="n"/>
      <c r="BM147" s="317" t="n"/>
      <c r="BN147" s="39" t="n"/>
      <c r="BO147" s="317" t="n"/>
      <c r="BP147" s="317" t="n"/>
      <c r="BQ147" s="39" t="n"/>
      <c r="BR147" s="317" t="n"/>
      <c r="BS147" s="39" t="n"/>
      <c r="BT147" s="317" t="n"/>
      <c r="BU147" s="39" t="n"/>
      <c r="BV147" s="317" t="n"/>
      <c r="BW147" s="39" t="n"/>
      <c r="BX147" s="317" t="n"/>
      <c r="BY147" s="39" t="n"/>
      <c r="BZ147" s="317" t="n"/>
      <c r="CA147" s="39" t="n"/>
      <c r="CB147" s="317" t="n"/>
      <c r="CC147" s="39" t="n"/>
      <c r="CD147" s="317" t="n"/>
      <c r="CE147" s="39" t="n"/>
      <c r="CF147" s="317" t="n"/>
      <c r="CG147" s="317" t="n"/>
      <c r="CH147" s="317" t="n"/>
      <c r="CI147" s="317" t="n"/>
      <c r="CJ147" s="317" t="n"/>
      <c r="CK147" s="317" t="n"/>
      <c r="CL147" s="317" t="n"/>
      <c r="CM147" s="317" t="n"/>
      <c r="CN147" s="317" t="n"/>
      <c r="CW147" s="317" t="n"/>
      <c r="CX147" s="39" t="n"/>
      <c r="CY147" s="317" t="n"/>
      <c r="CZ147" s="39" t="n"/>
      <c r="DA147" s="317" t="n"/>
      <c r="DB147" s="39" t="n"/>
      <c r="DC147" s="317" t="n"/>
      <c r="DD147" s="39" t="n"/>
      <c r="DE147" s="319" t="n"/>
      <c r="DF147" s="319" t="n"/>
    </row>
    <row r="148" ht="13" customFormat="1" customHeight="1" s="116">
      <c r="A148" s="342" t="inlineStr">
        <is>
          <t>19Q1</t>
        </is>
      </c>
      <c r="B148" s="317" t="n">
        <v>69643.70000000001</v>
      </c>
      <c r="C148" s="39">
        <f>B148/B143-1</f>
        <v/>
      </c>
      <c r="D148" s="39" t="n"/>
      <c r="E148" s="317" t="n">
        <v>40731.10000000001</v>
      </c>
      <c r="F148" s="39">
        <f>E148/E143-1</f>
        <v/>
      </c>
      <c r="G148" s="39" t="n"/>
      <c r="H148" s="317" t="n">
        <v>26181.1</v>
      </c>
      <c r="I148" s="39">
        <f>H148/H143-1</f>
        <v/>
      </c>
      <c r="J148" s="39" t="n"/>
      <c r="K148" s="317" t="n">
        <v>2731.6</v>
      </c>
      <c r="L148" s="39">
        <f>K148/K143-1</f>
        <v/>
      </c>
      <c r="M148" s="39" t="n"/>
      <c r="N148" s="317" t="n">
        <v>56748.6</v>
      </c>
      <c r="O148" s="39">
        <f>N148/N143-1</f>
        <v/>
      </c>
      <c r="P148" s="39" t="n"/>
      <c r="Q148" s="317" t="n">
        <v>33609.1</v>
      </c>
      <c r="R148" s="39">
        <f>Q148/Q143-1</f>
        <v/>
      </c>
      <c r="S148" s="39" t="n"/>
      <c r="T148" s="317" t="n">
        <v>20901.8</v>
      </c>
      <c r="U148" s="39">
        <f>T148/T143-1</f>
        <v/>
      </c>
      <c r="V148" s="39" t="n"/>
      <c r="W148" s="317" t="n">
        <v>2237.6</v>
      </c>
      <c r="X148" s="39">
        <f>W148/W143-1</f>
        <v/>
      </c>
      <c r="Y148" s="39" t="n"/>
      <c r="Z148" s="317" t="n">
        <v>28020.3</v>
      </c>
      <c r="AA148" s="39">
        <f>Z148/Z143-1</f>
        <v/>
      </c>
      <c r="AB148" s="39" t="n"/>
      <c r="AC148" s="317" t="n">
        <v>22329.2</v>
      </c>
      <c r="AD148" s="39">
        <f>AC148/AC143-1</f>
        <v/>
      </c>
      <c r="AE148" s="39" t="n"/>
      <c r="AF148" s="317" t="n">
        <v>4274.1</v>
      </c>
      <c r="AG148" s="39">
        <f>AF148/AF143-1</f>
        <v/>
      </c>
      <c r="AH148" s="39" t="n"/>
      <c r="AI148" s="317" t="n">
        <v>1416.9</v>
      </c>
      <c r="AJ148" s="39">
        <f>AI148/AI143-1</f>
        <v/>
      </c>
      <c r="AK148" s="39" t="n"/>
      <c r="AL148" s="182" t="n">
        <v>81.53333333333335</v>
      </c>
      <c r="AM148" s="182">
        <f>AL148-AL136</f>
        <v/>
      </c>
      <c r="AN148" s="317" t="n"/>
      <c r="AO148" s="182" t="n">
        <v>82.53333333333333</v>
      </c>
      <c r="AP148" s="182">
        <f>AO148-AO136</f>
        <v/>
      </c>
      <c r="AQ148" s="317" t="n"/>
      <c r="AR148" s="182" t="n">
        <v>79.86666666666666</v>
      </c>
      <c r="AS148" s="182">
        <f>AR148-AR136</f>
        <v/>
      </c>
      <c r="AT148" s="317" t="n"/>
      <c r="AU148" s="182" t="n">
        <v>81.93333333333334</v>
      </c>
      <c r="AV148" s="182">
        <f>AU148-AU136</f>
        <v/>
      </c>
      <c r="AW148" s="317" t="n"/>
      <c r="AX148" s="412" t="n"/>
      <c r="AY148" s="142" t="n"/>
      <c r="AZ148" s="39" t="n"/>
      <c r="BA148" s="317" t="n"/>
      <c r="BB148" s="39" t="n"/>
      <c r="BC148" s="317" t="n"/>
      <c r="BD148" s="39" t="n"/>
      <c r="BE148" s="317" t="n"/>
      <c r="BF148" s="39" t="n"/>
      <c r="BG148" s="317" t="n"/>
      <c r="BH148" s="39" t="n"/>
      <c r="BI148" s="317" t="n"/>
      <c r="BJ148" s="39" t="n"/>
      <c r="BK148" s="317" t="n"/>
      <c r="BL148" s="39" t="n"/>
      <c r="BM148" s="317" t="n"/>
      <c r="BN148" s="39" t="n"/>
      <c r="BO148" s="317" t="n"/>
      <c r="BP148" s="317" t="n"/>
      <c r="BQ148" s="39" t="n"/>
      <c r="BR148" s="317" t="n"/>
      <c r="BS148" s="39" t="n"/>
      <c r="BT148" s="317" t="n"/>
      <c r="BU148" s="39" t="n"/>
      <c r="BV148" s="317" t="n"/>
      <c r="BW148" s="39" t="n"/>
      <c r="BX148" s="317" t="n"/>
      <c r="BY148" s="39" t="n"/>
      <c r="BZ148" s="317" t="n"/>
      <c r="CA148" s="39" t="n"/>
      <c r="CB148" s="317" t="n"/>
      <c r="CC148" s="39" t="n"/>
      <c r="CD148" s="317" t="n"/>
      <c r="CE148" s="39" t="n"/>
      <c r="CF148" s="317" t="n"/>
      <c r="CG148" s="317" t="n"/>
      <c r="CH148" s="317" t="n"/>
      <c r="CI148" s="317" t="n"/>
      <c r="CJ148" s="317" t="n"/>
      <c r="CK148" s="317" t="n"/>
      <c r="CL148" s="317" t="n"/>
      <c r="CM148" s="317" t="n"/>
      <c r="CN148" s="317" t="n"/>
      <c r="CW148" s="317" t="n"/>
      <c r="CX148" s="39" t="n"/>
      <c r="CY148" s="317" t="n"/>
      <c r="CZ148" s="39" t="n"/>
      <c r="DA148" s="317" t="n"/>
      <c r="DB148" s="39" t="n"/>
      <c r="DC148" s="317" t="n"/>
      <c r="DD148" s="39" t="n"/>
      <c r="DE148" s="319" t="n"/>
      <c r="DF148" s="319" t="n"/>
    </row>
    <row r="149" ht="13" customFormat="1" customHeight="1" s="116">
      <c r="A149" s="342" t="inlineStr">
        <is>
          <t>19Q2</t>
        </is>
      </c>
      <c r="B149" s="317" t="n">
        <v>71409.2</v>
      </c>
      <c r="C149" s="39">
        <f>B149/B144-1</f>
        <v/>
      </c>
      <c r="D149" s="39" t="n"/>
      <c r="E149" s="317" t="n">
        <v>40210.4</v>
      </c>
      <c r="F149" s="39">
        <f>E149/E144-1</f>
        <v/>
      </c>
      <c r="G149" s="39" t="n"/>
      <c r="H149" s="317" t="n">
        <v>28280.4</v>
      </c>
      <c r="I149" s="39">
        <f>H149/H144-1</f>
        <v/>
      </c>
      <c r="J149" s="39" t="n"/>
      <c r="K149" s="317" t="n">
        <v>2918.3</v>
      </c>
      <c r="L149" s="39">
        <f>K149/K144-1</f>
        <v/>
      </c>
      <c r="M149" s="39" t="n"/>
      <c r="N149" s="317" t="n">
        <v>57514.2</v>
      </c>
      <c r="O149" s="39">
        <f>N149/N144-1</f>
        <v/>
      </c>
      <c r="P149" s="39" t="n"/>
      <c r="Q149" s="317" t="n">
        <v>32983.2</v>
      </c>
      <c r="R149" s="39">
        <f>Q149/Q144-1</f>
        <v/>
      </c>
      <c r="S149" s="39" t="n"/>
      <c r="T149" s="317" t="n">
        <v>22200.3</v>
      </c>
      <c r="U149" s="39">
        <f>T149/T144-1</f>
        <v/>
      </c>
      <c r="V149" s="39" t="n"/>
      <c r="W149" s="317" t="n">
        <v>2330.8</v>
      </c>
      <c r="X149" s="39">
        <f>W149/W144-1</f>
        <v/>
      </c>
      <c r="Y149" s="39" t="n"/>
      <c r="Z149" s="317" t="n">
        <v>28036.8</v>
      </c>
      <c r="AA149" s="39">
        <f>Z149/Z144-1</f>
        <v/>
      </c>
      <c r="AB149" s="39" t="n"/>
      <c r="AC149" s="317" t="n">
        <v>22264.7</v>
      </c>
      <c r="AD149" s="39">
        <f>AC149/AC144-1</f>
        <v/>
      </c>
      <c r="AE149" s="39" t="n"/>
      <c r="AF149" s="317" t="n">
        <v>4286.5</v>
      </c>
      <c r="AG149" s="39">
        <f>AF149/AF144-1</f>
        <v/>
      </c>
      <c r="AH149" s="39" t="n"/>
      <c r="AI149" s="317" t="n">
        <v>1485.6</v>
      </c>
      <c r="AJ149" s="39">
        <f>AI149/AI144-1</f>
        <v/>
      </c>
      <c r="AK149" s="39" t="n"/>
      <c r="AL149" s="182" t="n">
        <v>80.56666666666666</v>
      </c>
      <c r="AM149" s="182">
        <f>AL149-AL137</f>
        <v/>
      </c>
      <c r="AN149" s="317" t="n"/>
      <c r="AO149" s="182" t="n">
        <v>82.03333333333333</v>
      </c>
      <c r="AP149" s="182">
        <f>AO149-AO137</f>
        <v/>
      </c>
      <c r="AQ149" s="317" t="n"/>
      <c r="AR149" s="182" t="n">
        <v>78.53333333333333</v>
      </c>
      <c r="AS149" s="182">
        <f>AR149-AR137</f>
        <v/>
      </c>
      <c r="AT149" s="317" t="n"/>
      <c r="AU149" s="182" t="n">
        <v>79.89999999999999</v>
      </c>
      <c r="AV149" s="182">
        <f>AU149-AU137</f>
        <v/>
      </c>
      <c r="AW149" s="317" t="n"/>
      <c r="AX149" s="412" t="n"/>
      <c r="AY149" s="142" t="n"/>
      <c r="AZ149" s="39" t="n"/>
      <c r="BA149" s="317" t="n"/>
      <c r="BB149" s="39" t="n"/>
      <c r="BC149" s="317" t="n"/>
      <c r="BD149" s="39" t="n"/>
      <c r="BE149" s="317" t="n"/>
      <c r="BF149" s="39" t="n"/>
      <c r="BG149" s="317" t="n"/>
      <c r="BH149" s="39" t="n"/>
      <c r="BI149" s="317" t="n"/>
      <c r="BJ149" s="39" t="n"/>
      <c r="BK149" s="317" t="n"/>
      <c r="BL149" s="39" t="n"/>
      <c r="BM149" s="317" t="n"/>
      <c r="BN149" s="39" t="n"/>
      <c r="BO149" s="317" t="n"/>
      <c r="BP149" s="317" t="n"/>
      <c r="BQ149" s="39" t="n"/>
      <c r="BR149" s="317" t="n"/>
      <c r="BS149" s="39" t="n"/>
      <c r="BT149" s="317" t="n"/>
      <c r="BU149" s="39" t="n"/>
      <c r="BV149" s="317" t="n"/>
      <c r="BW149" s="39" t="n"/>
      <c r="BX149" s="317" t="n"/>
      <c r="BY149" s="39" t="n"/>
      <c r="BZ149" s="317" t="n"/>
      <c r="CA149" s="39" t="n"/>
      <c r="CB149" s="317" t="n"/>
      <c r="CC149" s="39" t="n"/>
      <c r="CD149" s="317" t="n"/>
      <c r="CE149" s="39" t="n"/>
      <c r="CF149" s="317" t="n"/>
      <c r="CG149" s="317" t="n"/>
      <c r="CH149" s="317" t="n"/>
      <c r="CI149" s="317" t="n"/>
      <c r="CJ149" s="317" t="n"/>
      <c r="CK149" s="317" t="n"/>
      <c r="CL149" s="317" t="n"/>
      <c r="CM149" s="317" t="n"/>
      <c r="CN149" s="317" t="n"/>
      <c r="CW149" s="317" t="n"/>
      <c r="CX149" s="39" t="n"/>
      <c r="CY149" s="317" t="n"/>
      <c r="CZ149" s="39" t="n"/>
      <c r="DA149" s="317" t="n"/>
      <c r="DB149" s="39" t="n"/>
      <c r="DC149" s="317" t="n"/>
      <c r="DD149" s="39" t="n"/>
      <c r="DE149" s="319" t="n"/>
      <c r="DF149" s="319" t="n"/>
    </row>
    <row r="150" ht="13" customFormat="1" customHeight="1" s="116">
      <c r="A150" s="342" t="inlineStr">
        <is>
          <t>19Q3</t>
        </is>
      </c>
      <c r="B150" s="317" t="n">
        <v>74024.29999999999</v>
      </c>
      <c r="C150" s="142">
        <f>B150/B145-1</f>
        <v/>
      </c>
      <c r="D150" s="142" t="n"/>
      <c r="E150" s="317" t="n">
        <v>43232.7</v>
      </c>
      <c r="F150" s="142">
        <f>E150/E145-1</f>
        <v/>
      </c>
      <c r="G150" s="142" t="n"/>
      <c r="H150" s="317" t="n">
        <v>28077.3</v>
      </c>
      <c r="I150" s="142">
        <f>H150/H145-1</f>
        <v/>
      </c>
      <c r="J150" s="142" t="n"/>
      <c r="K150" s="317" t="n">
        <v>2714.4</v>
      </c>
      <c r="L150" s="142">
        <f>K150/K145-1</f>
        <v/>
      </c>
      <c r="M150" s="142" t="n"/>
      <c r="N150" s="317" t="n">
        <v>60797.89999999999</v>
      </c>
      <c r="O150" s="142">
        <f>N150/N145-1</f>
        <v/>
      </c>
      <c r="P150" s="142" t="n"/>
      <c r="Q150" s="317" t="n">
        <v>36185.60000000001</v>
      </c>
      <c r="R150" s="142">
        <f>Q150/Q145-1</f>
        <v/>
      </c>
      <c r="S150" s="142" t="n"/>
      <c r="T150" s="317" t="n">
        <v>22556.7</v>
      </c>
      <c r="U150" s="142">
        <f>T150/T145-1</f>
        <v/>
      </c>
      <c r="V150" s="142" t="n"/>
      <c r="W150" s="317" t="n">
        <v>2055.5</v>
      </c>
      <c r="X150" s="142">
        <f>W150/W145-1</f>
        <v/>
      </c>
      <c r="Y150" s="142" t="n"/>
      <c r="Z150" s="317" t="n">
        <v>29932.6</v>
      </c>
      <c r="AA150" s="39">
        <f>Z150/Z145-1</f>
        <v/>
      </c>
      <c r="AB150" s="39" t="n"/>
      <c r="AC150" s="317" t="n">
        <v>24255.2</v>
      </c>
      <c r="AD150" s="39">
        <f>AC150/AC145-1</f>
        <v/>
      </c>
      <c r="AE150" s="39" t="n"/>
      <c r="AF150" s="317" t="n">
        <v>4330</v>
      </c>
      <c r="AG150" s="39">
        <f>AF150/AF145-1</f>
        <v/>
      </c>
      <c r="AH150" s="39" t="n"/>
      <c r="AI150" s="317" t="n">
        <v>1347.3</v>
      </c>
      <c r="AJ150" s="39">
        <f>AI150/AI145-1</f>
        <v/>
      </c>
      <c r="AK150" s="39" t="n"/>
      <c r="AL150" s="182" t="n">
        <v>82.09999999999999</v>
      </c>
      <c r="AM150" s="182">
        <f>AL150-AL138</f>
        <v/>
      </c>
      <c r="AN150" s="317" t="n"/>
      <c r="AO150" s="182" t="n">
        <v>83.66666666666667</v>
      </c>
      <c r="AP150" s="182">
        <f>AO150-AO138</f>
        <v/>
      </c>
      <c r="AQ150" s="317" t="n"/>
      <c r="AR150" s="182" t="n">
        <v>80.3</v>
      </c>
      <c r="AS150" s="182">
        <f>AR150-AR138</f>
        <v/>
      </c>
      <c r="AT150" s="317" t="n"/>
      <c r="AU150" s="182" t="n">
        <v>75.3</v>
      </c>
      <c r="AV150" s="182">
        <f>AU150-AU138</f>
        <v/>
      </c>
      <c r="AW150" s="317" t="n"/>
      <c r="AX150" s="412" t="n"/>
      <c r="AY150" s="142" t="n"/>
      <c r="AZ150" s="317" t="n"/>
      <c r="BA150" s="317" t="n"/>
      <c r="BB150" s="317" t="n"/>
      <c r="BC150" s="317" t="n"/>
      <c r="BD150" s="317" t="n"/>
      <c r="BE150" s="317" t="n"/>
      <c r="BF150" s="317" t="n"/>
      <c r="BG150" s="317" t="n"/>
      <c r="BH150" s="317" t="n"/>
      <c r="BI150" s="317" t="n"/>
      <c r="BJ150" s="317" t="n"/>
      <c r="BK150" s="317" t="n"/>
      <c r="BL150" s="317" t="n"/>
      <c r="BM150" s="317" t="n"/>
      <c r="BN150" s="317" t="n"/>
      <c r="BO150" s="317" t="n"/>
      <c r="BP150" s="317" t="n"/>
      <c r="BQ150" s="317" t="n"/>
      <c r="BR150" s="317" t="n"/>
      <c r="BS150" s="317" t="n"/>
      <c r="BT150" s="317" t="n"/>
      <c r="BU150" s="317" t="n"/>
      <c r="BV150" s="317" t="n"/>
      <c r="BW150" s="317" t="n"/>
      <c r="BX150" s="317" t="n"/>
      <c r="BY150" s="317" t="n"/>
      <c r="BZ150" s="317" t="n"/>
      <c r="CA150" s="317" t="n"/>
      <c r="CB150" s="317" t="n"/>
      <c r="CC150" s="317" t="n"/>
      <c r="CD150" s="317" t="n"/>
      <c r="CE150" s="317" t="n"/>
      <c r="CF150" s="317" t="n"/>
      <c r="CG150" s="317" t="n"/>
      <c r="CH150" s="317" t="n"/>
      <c r="CI150" s="317" t="n"/>
      <c r="CJ150" s="317" t="n"/>
      <c r="CK150" s="317" t="n"/>
      <c r="CL150" s="317" t="n"/>
      <c r="CM150" s="317" t="n"/>
      <c r="CN150" s="317" t="n"/>
      <c r="CW150" s="317" t="n"/>
      <c r="CX150" s="317" t="n"/>
      <c r="CY150" s="317" t="n"/>
      <c r="CZ150" s="317" t="n"/>
      <c r="DA150" s="317" t="n"/>
      <c r="DB150" s="317" t="n"/>
      <c r="DC150" s="317" t="n"/>
      <c r="DD150" s="317" t="n"/>
      <c r="DE150" s="319" t="n"/>
      <c r="DF150" s="319" t="n"/>
    </row>
    <row r="151" ht="13" customFormat="1" customHeight="1" s="116">
      <c r="A151" s="342" t="inlineStr">
        <is>
          <t>19Q4</t>
        </is>
      </c>
      <c r="B151" s="317" t="n">
        <v>71985.60000000001</v>
      </c>
      <c r="C151" s="39">
        <f>B151/B146-1</f>
        <v/>
      </c>
      <c r="D151" s="39" t="n"/>
      <c r="E151" s="317" t="n">
        <v>42805.3</v>
      </c>
      <c r="F151" s="39">
        <f>E151/E146-1</f>
        <v/>
      </c>
      <c r="G151" s="39" t="n"/>
      <c r="H151" s="317" t="n">
        <v>26756</v>
      </c>
      <c r="I151" s="39">
        <f>H151/H146-1</f>
        <v/>
      </c>
      <c r="J151" s="39" t="n"/>
      <c r="K151" s="317" t="n">
        <v>2424.5</v>
      </c>
      <c r="L151" s="39">
        <f>K151/K146-1</f>
        <v/>
      </c>
      <c r="M151" s="39" t="n"/>
      <c r="N151" s="317" t="n">
        <v>57611.3</v>
      </c>
      <c r="O151" s="39">
        <f>N151/N146-1</f>
        <v/>
      </c>
      <c r="P151" s="39" t="n"/>
      <c r="Q151" s="317" t="n">
        <v>34945.10000000001</v>
      </c>
      <c r="R151" s="39">
        <f>Q151/Q146-1</f>
        <v/>
      </c>
      <c r="S151" s="39" t="n"/>
      <c r="T151" s="317" t="n">
        <v>20925.6</v>
      </c>
      <c r="U151" s="39">
        <f>T151/T146-1</f>
        <v/>
      </c>
      <c r="V151" s="39" t="n"/>
      <c r="W151" s="317" t="n">
        <v>1740.6</v>
      </c>
      <c r="X151" s="39">
        <f>W151/W146-1</f>
        <v/>
      </c>
      <c r="Y151" s="39" t="n"/>
      <c r="Z151" s="317" t="n">
        <v>28606.5</v>
      </c>
      <c r="AA151" s="39">
        <f>Z151/Z146-1</f>
        <v/>
      </c>
      <c r="AB151" s="39" t="n"/>
      <c r="AC151" s="317" t="n">
        <v>23310.7</v>
      </c>
      <c r="AD151" s="39">
        <f>AC151/AC146-1</f>
        <v/>
      </c>
      <c r="AE151" s="39" t="n"/>
      <c r="AF151" s="317" t="n">
        <v>4186.5</v>
      </c>
      <c r="AG151" s="39">
        <f>AF151/AF146-1</f>
        <v/>
      </c>
      <c r="AH151" s="39" t="n"/>
      <c r="AI151" s="317" t="n">
        <v>1109.2</v>
      </c>
      <c r="AJ151" s="39">
        <f>AI151/AI146-1</f>
        <v/>
      </c>
      <c r="AK151" s="39" t="n"/>
      <c r="AL151" s="182" t="n">
        <v>80</v>
      </c>
      <c r="AM151" s="182">
        <f>AL151-AL139</f>
        <v/>
      </c>
      <c r="AN151" s="317" t="n"/>
      <c r="AO151" s="182" t="n">
        <v>81.66666666666667</v>
      </c>
      <c r="AP151" s="182">
        <f>AO151-AO139</f>
        <v/>
      </c>
      <c r="AQ151" s="317" t="n"/>
      <c r="AR151" s="182" t="n">
        <v>78.2</v>
      </c>
      <c r="AS151" s="182">
        <f>AR151-AR139</f>
        <v/>
      </c>
      <c r="AT151" s="317" t="n"/>
      <c r="AU151" s="182" t="n">
        <v>71.83333333333333</v>
      </c>
      <c r="AV151" s="182">
        <f>AU151-AU139</f>
        <v/>
      </c>
      <c r="AW151" s="317" t="n"/>
      <c r="AX151" s="412" t="n"/>
      <c r="AY151" s="142" t="n"/>
      <c r="AZ151" s="39" t="n"/>
      <c r="BA151" s="317" t="n"/>
      <c r="BB151" s="39" t="n"/>
      <c r="BC151" s="317" t="n"/>
      <c r="BD151" s="39" t="n"/>
      <c r="BE151" s="317" t="n"/>
      <c r="BF151" s="39" t="n"/>
      <c r="BG151" s="317" t="n"/>
      <c r="BH151" s="39" t="n"/>
      <c r="BI151" s="317" t="n"/>
      <c r="BJ151" s="39" t="n"/>
      <c r="BK151" s="317" t="n"/>
      <c r="BL151" s="39" t="n"/>
      <c r="BM151" s="317" t="n"/>
      <c r="BN151" s="39" t="n"/>
      <c r="BO151" s="317" t="n"/>
      <c r="BP151" s="317" t="n"/>
      <c r="BQ151" s="39" t="n"/>
      <c r="BR151" s="317" t="n"/>
      <c r="BS151" s="39" t="n"/>
      <c r="BT151" s="317" t="n"/>
      <c r="BU151" s="39" t="n"/>
      <c r="BV151" s="317" t="n"/>
      <c r="BW151" s="39" t="n"/>
      <c r="BX151" s="317" t="n"/>
      <c r="BY151" s="39" t="n"/>
      <c r="BZ151" s="317" t="n"/>
      <c r="CA151" s="39" t="n"/>
      <c r="CB151" s="317" t="n"/>
      <c r="CC151" s="39" t="n"/>
      <c r="CD151" s="317" t="n"/>
      <c r="CE151" s="39" t="n"/>
      <c r="CF151" s="317" t="n"/>
      <c r="CG151" s="317" t="n"/>
      <c r="CH151" s="317" t="n"/>
      <c r="CI151" s="317" t="n"/>
      <c r="CJ151" s="317" t="n"/>
      <c r="CK151" s="317" t="n"/>
      <c r="CL151" s="317" t="n"/>
      <c r="CM151" s="317" t="n"/>
      <c r="CN151" s="317" t="n"/>
      <c r="CW151" s="317" t="n"/>
      <c r="CX151" s="39" t="n"/>
      <c r="CY151" s="317" t="n"/>
      <c r="CZ151" s="39" t="n"/>
      <c r="DA151" s="317" t="n"/>
      <c r="DB151" s="39" t="n"/>
      <c r="DC151" s="317" t="n"/>
      <c r="DD151" s="39" t="n"/>
      <c r="DE151" s="319" t="n"/>
      <c r="DF151" s="319" t="n"/>
    </row>
    <row r="152" ht="13" customFormat="1" customHeight="1" s="116">
      <c r="A152" s="342" t="n"/>
      <c r="B152" s="317" t="n"/>
      <c r="C152" s="39" t="n"/>
      <c r="D152" s="39" t="n"/>
      <c r="E152" s="317" t="n"/>
      <c r="F152" s="39" t="n"/>
      <c r="G152" s="39" t="n"/>
      <c r="H152" s="317" t="n"/>
      <c r="I152" s="39" t="n"/>
      <c r="J152" s="39" t="n"/>
      <c r="K152" s="317" t="n"/>
      <c r="L152" s="39" t="n"/>
      <c r="M152" s="39" t="n"/>
      <c r="N152" s="317" t="n"/>
      <c r="O152" s="39" t="n"/>
      <c r="P152" s="39" t="n"/>
      <c r="Q152" s="317" t="n"/>
      <c r="R152" s="39" t="n"/>
      <c r="S152" s="39" t="n"/>
      <c r="T152" s="317" t="n"/>
      <c r="U152" s="39" t="n"/>
      <c r="V152" s="39" t="n"/>
      <c r="W152" s="317" t="n"/>
      <c r="X152" s="39" t="n"/>
      <c r="Y152" s="39" t="n"/>
      <c r="Z152" s="317" t="n"/>
      <c r="AA152" s="39" t="n"/>
      <c r="AB152" s="39" t="n"/>
      <c r="AC152" s="317" t="n"/>
      <c r="AD152" s="39" t="n"/>
      <c r="AE152" s="39" t="n"/>
      <c r="AF152" s="317" t="n"/>
      <c r="AG152" s="39" t="n"/>
      <c r="AH152" s="39" t="n"/>
      <c r="AI152" s="317" t="n"/>
      <c r="AJ152" s="39" t="n"/>
      <c r="AK152" s="39" t="n"/>
      <c r="AL152" s="317" t="n"/>
      <c r="AM152" s="317" t="n"/>
      <c r="AN152" s="317" t="n"/>
      <c r="AO152" s="317" t="n"/>
      <c r="AP152" s="317" t="n"/>
      <c r="AQ152" s="317" t="n"/>
      <c r="AR152" s="317" t="n"/>
      <c r="AS152" s="317" t="n"/>
      <c r="AT152" s="317" t="n"/>
      <c r="AU152" s="317" t="n"/>
      <c r="AV152" s="317" t="n"/>
      <c r="AW152" s="317" t="n"/>
      <c r="AX152" s="268" t="n"/>
      <c r="AY152" s="317" t="n"/>
      <c r="AZ152" s="39" t="n"/>
      <c r="BA152" s="317" t="n"/>
      <c r="BB152" s="39" t="n"/>
      <c r="BC152" s="317" t="n"/>
      <c r="BD152" s="39" t="n"/>
      <c r="BE152" s="317" t="n"/>
      <c r="BF152" s="39" t="n"/>
      <c r="BG152" s="317" t="n"/>
      <c r="BH152" s="39" t="n"/>
      <c r="BI152" s="317" t="n"/>
      <c r="BJ152" s="39" t="n"/>
      <c r="BK152" s="317" t="n"/>
      <c r="BL152" s="39" t="n"/>
      <c r="BM152" s="317" t="n"/>
      <c r="BN152" s="39" t="n"/>
      <c r="BO152" s="317" t="n"/>
      <c r="BP152" s="317" t="n"/>
      <c r="BQ152" s="39" t="n"/>
      <c r="BR152" s="317" t="n"/>
      <c r="BS152" s="39" t="n"/>
      <c r="BT152" s="317" t="n"/>
      <c r="BU152" s="39" t="n"/>
      <c r="BV152" s="317" t="n"/>
      <c r="BW152" s="39" t="n"/>
      <c r="BX152" s="317" t="n"/>
      <c r="BY152" s="39" t="n"/>
      <c r="BZ152" s="317" t="n"/>
      <c r="CA152" s="39" t="n"/>
      <c r="CB152" s="317" t="n"/>
      <c r="CC152" s="39" t="n"/>
      <c r="CD152" s="317" t="n"/>
      <c r="CE152" s="39" t="n"/>
      <c r="CF152" s="317" t="n"/>
      <c r="CG152" s="317" t="n"/>
      <c r="CH152" s="317" t="n"/>
      <c r="CI152" s="317" t="n"/>
      <c r="CJ152" s="317" t="n"/>
      <c r="CK152" s="317" t="n"/>
      <c r="CL152" s="317" t="n"/>
      <c r="CM152" s="317" t="n"/>
      <c r="CN152" s="317" t="n"/>
      <c r="CW152" s="317" t="n"/>
      <c r="CX152" s="39" t="n"/>
      <c r="CY152" s="317" t="n"/>
      <c r="CZ152" s="39" t="n"/>
      <c r="DA152" s="317" t="n"/>
      <c r="DB152" s="39" t="n"/>
      <c r="DC152" s="317" t="n"/>
      <c r="DD152" s="39" t="n"/>
      <c r="DE152" s="319" t="n"/>
      <c r="DF152" s="319" t="n"/>
    </row>
    <row r="153" ht="13" customFormat="1" customHeight="1" s="116">
      <c r="A153" s="342" t="inlineStr">
        <is>
          <t>20Q1</t>
        </is>
      </c>
      <c r="B153" s="317" t="n">
        <v>40668.89999999999</v>
      </c>
      <c r="C153" s="39">
        <f>B153/B148-1</f>
        <v/>
      </c>
      <c r="D153" s="39" t="n"/>
      <c r="E153" s="317" t="n">
        <v>25060.4</v>
      </c>
      <c r="F153" s="39">
        <f>E153/E148-1</f>
        <v/>
      </c>
      <c r="G153" s="39" t="n"/>
      <c r="H153" s="317" t="n">
        <v>14509</v>
      </c>
      <c r="I153" s="39">
        <f>H153/H148-1</f>
        <v/>
      </c>
      <c r="J153" s="39" t="n"/>
      <c r="K153" s="317" t="n">
        <v>1099.4</v>
      </c>
      <c r="L153" s="39">
        <f>K153/K148-1</f>
        <v/>
      </c>
      <c r="M153" s="39" t="n"/>
      <c r="N153" s="317" t="n">
        <v>27592.8</v>
      </c>
      <c r="O153" s="39">
        <f>N153/N148-1</f>
        <v/>
      </c>
      <c r="P153" s="39" t="n"/>
      <c r="Q153" s="317" t="n">
        <v>17136</v>
      </c>
      <c r="R153" s="39">
        <f>Q153/Q148-1</f>
        <v/>
      </c>
      <c r="S153" s="39" t="n"/>
      <c r="T153" s="317" t="n">
        <v>9785.299999999999</v>
      </c>
      <c r="U153" s="39">
        <f>T153/T148-1</f>
        <v/>
      </c>
      <c r="V153" s="39" t="n"/>
      <c r="W153" s="317" t="n">
        <v>671.3999999999999</v>
      </c>
      <c r="X153" s="39">
        <f>W153/W148-1</f>
        <v/>
      </c>
      <c r="Y153" s="39" t="n"/>
      <c r="Z153" s="317" t="n">
        <v>13713.6</v>
      </c>
      <c r="AA153" s="39">
        <f>Z153/Z148-1</f>
        <v/>
      </c>
      <c r="AB153" s="39" t="n"/>
      <c r="AC153" s="317" t="n">
        <v>11355</v>
      </c>
      <c r="AD153" s="39">
        <f>AC153/AC148-1</f>
        <v/>
      </c>
      <c r="AE153" s="39" t="n"/>
      <c r="AF153" s="317" t="n">
        <v>1927.2</v>
      </c>
      <c r="AG153" s="39">
        <f>AF153/AF148-1</f>
        <v/>
      </c>
      <c r="AH153" s="39" t="n"/>
      <c r="AI153" s="317" t="n">
        <v>431.4</v>
      </c>
      <c r="AJ153" s="39">
        <f>AI153/AI148-1</f>
        <v/>
      </c>
      <c r="AK153" s="39" t="n"/>
      <c r="AL153" s="182" t="n">
        <v>61.59999999999999</v>
      </c>
      <c r="AM153" s="182">
        <f>AL153-AL141</f>
        <v/>
      </c>
      <c r="AN153" s="317" t="n"/>
      <c r="AO153" s="182" t="n">
        <v>62.46666666666667</v>
      </c>
      <c r="AP153" s="182">
        <f>AO153-AO141</f>
        <v/>
      </c>
      <c r="AQ153" s="317" t="n"/>
      <c r="AR153" s="182" t="n">
        <v>58.63333333333333</v>
      </c>
      <c r="AS153" s="182">
        <f>AR153-AR141</f>
        <v/>
      </c>
      <c r="AT153" s="317" t="n"/>
      <c r="AU153" s="182" t="n">
        <v>41.63333333333333</v>
      </c>
      <c r="AV153" s="182">
        <f>AU153-AU141</f>
        <v/>
      </c>
      <c r="AW153" s="317" t="n"/>
      <c r="AX153" s="412" t="n"/>
      <c r="AY153" s="142" t="n"/>
      <c r="AZ153" s="39" t="n"/>
      <c r="BA153" s="317" t="n"/>
      <c r="BB153" s="39" t="n"/>
      <c r="BC153" s="317" t="n"/>
      <c r="BD153" s="39" t="n"/>
      <c r="BE153" s="317" t="n"/>
      <c r="BF153" s="39" t="n"/>
      <c r="BG153" s="317" t="n"/>
      <c r="BH153" s="39" t="n"/>
      <c r="BI153" s="317" t="n"/>
      <c r="BJ153" s="39" t="n"/>
      <c r="BK153" s="317" t="n"/>
      <c r="BL153" s="39" t="n"/>
      <c r="BM153" s="317" t="n"/>
      <c r="BN153" s="39" t="n"/>
      <c r="BO153" s="317" t="n"/>
      <c r="BP153" s="317" t="n"/>
      <c r="BQ153" s="39" t="n"/>
      <c r="BR153" s="317" t="n"/>
      <c r="BS153" s="39" t="n"/>
      <c r="BT153" s="317" t="n"/>
      <c r="BU153" s="39" t="n"/>
      <c r="BV153" s="317" t="n"/>
      <c r="BW153" s="39" t="n"/>
      <c r="BX153" s="317" t="n"/>
      <c r="BY153" s="39" t="n"/>
      <c r="BZ153" s="317" t="n"/>
      <c r="CA153" s="39" t="n"/>
      <c r="CB153" s="317" t="n"/>
      <c r="CC153" s="39" t="n"/>
      <c r="CD153" s="317" t="n"/>
      <c r="CE153" s="39" t="n"/>
      <c r="CF153" s="317" t="n"/>
      <c r="CG153" s="317" t="n"/>
      <c r="CH153" s="317" t="n"/>
      <c r="CI153" s="317" t="n"/>
      <c r="CJ153" s="317" t="n"/>
      <c r="CK153" s="317" t="n"/>
      <c r="CL153" s="317" t="n"/>
      <c r="CM153" s="317" t="n"/>
      <c r="CN153" s="317" t="n"/>
      <c r="CW153" s="317" t="n"/>
      <c r="CX153" s="39" t="n"/>
      <c r="CY153" s="317" t="n"/>
      <c r="CZ153" s="39" t="n"/>
      <c r="DA153" s="317" t="n"/>
      <c r="DB153" s="39" t="n"/>
      <c r="DC153" s="317" t="n"/>
      <c r="DD153" s="39" t="n"/>
      <c r="DE153" s="319" t="n"/>
      <c r="DF153" s="319" t="n"/>
    </row>
    <row r="154" ht="13" customFormat="1" customHeight="1" s="116">
      <c r="A154" s="342" t="inlineStr">
        <is>
          <t>20Q2</t>
        </is>
      </c>
      <c r="B154" s="317" t="n">
        <v>24897.2</v>
      </c>
      <c r="C154" s="39">
        <f>B154/B149-1</f>
        <v/>
      </c>
      <c r="D154" s="39" t="n"/>
      <c r="E154" s="317" t="n">
        <v>23798.4</v>
      </c>
      <c r="F154" s="39">
        <f>E154/E149-1</f>
        <v/>
      </c>
      <c r="G154" s="39" t="n"/>
      <c r="H154" s="317" t="n">
        <v>1024.4</v>
      </c>
      <c r="I154" s="39">
        <f>H154/H149-1</f>
        <v/>
      </c>
      <c r="J154" s="39" t="n"/>
      <c r="K154" s="317" t="n">
        <v>74.2</v>
      </c>
      <c r="L154" s="39">
        <f>K154/K149-1</f>
        <v/>
      </c>
      <c r="M154" s="39" t="n"/>
      <c r="N154" s="317" t="n">
        <v>16629.2</v>
      </c>
      <c r="O154" s="39">
        <f>N154/N149-1</f>
        <v/>
      </c>
      <c r="P154" s="39" t="n"/>
      <c r="Q154" s="317" t="n">
        <v>16111.9</v>
      </c>
      <c r="R154" s="39">
        <f>Q154/Q149-1</f>
        <v/>
      </c>
      <c r="S154" s="39" t="n"/>
      <c r="T154" s="317" t="n">
        <v>514.7</v>
      </c>
      <c r="U154" s="39">
        <f>T154/T149-1</f>
        <v/>
      </c>
      <c r="V154" s="39" t="n"/>
      <c r="W154" s="317" t="n">
        <v>2.7</v>
      </c>
      <c r="X154" s="39">
        <f>W154/W149-1</f>
        <v/>
      </c>
      <c r="Y154" s="39" t="n"/>
      <c r="Z154" s="317" t="n">
        <v>11192.2</v>
      </c>
      <c r="AA154" s="39">
        <f>Z154/Z149-1</f>
        <v/>
      </c>
      <c r="AB154" s="39" t="n"/>
      <c r="AC154" s="317" t="n">
        <v>11113.7</v>
      </c>
      <c r="AD154" s="39">
        <f>AC154/AC149-1</f>
        <v/>
      </c>
      <c r="AE154" s="39" t="n"/>
      <c r="AF154" s="317" t="n">
        <v>76.69999999999999</v>
      </c>
      <c r="AG154" s="39">
        <f>AF154/AF149-1</f>
        <v/>
      </c>
      <c r="AH154" s="39" t="n"/>
      <c r="AI154" s="317" t="n">
        <v>1.8</v>
      </c>
      <c r="AJ154" s="39">
        <f>AI154/AI149-1</f>
        <v/>
      </c>
      <c r="AK154" s="39" t="n"/>
      <c r="AL154" s="182" t="n">
        <v>66.66666666666667</v>
      </c>
      <c r="AM154" s="182">
        <f>AL154-AL142</f>
        <v/>
      </c>
      <c r="AN154" s="317" t="n"/>
      <c r="AO154" s="182" t="n">
        <v>67.63333333333333</v>
      </c>
      <c r="AP154" s="182">
        <f>AO154-AO142</f>
        <v/>
      </c>
      <c r="AQ154" s="317" t="n"/>
      <c r="AR154" s="182" t="n">
        <v>48.96666666666667</v>
      </c>
      <c r="AS154" s="182">
        <f>AR154-AR142</f>
        <v/>
      </c>
      <c r="AT154" s="317" t="n"/>
      <c r="AU154" s="182" t="n">
        <v>3.6</v>
      </c>
      <c r="AV154" s="182">
        <f>AU154-AU142</f>
        <v/>
      </c>
      <c r="AW154" s="317" t="n"/>
      <c r="AX154" s="412" t="n"/>
      <c r="AY154" s="142" t="n"/>
      <c r="AZ154" s="39" t="n"/>
      <c r="BA154" s="317" t="n"/>
      <c r="BB154" s="39" t="n"/>
      <c r="BC154" s="317" t="n"/>
      <c r="BD154" s="39" t="n"/>
      <c r="BE154" s="317" t="n"/>
      <c r="BF154" s="39" t="n"/>
      <c r="BG154" s="317" t="n"/>
      <c r="BH154" s="39" t="n"/>
      <c r="BI154" s="317" t="n"/>
      <c r="BJ154" s="39" t="n"/>
      <c r="BK154" s="317" t="n"/>
      <c r="BL154" s="39" t="n"/>
      <c r="BM154" s="317" t="n"/>
      <c r="BN154" s="39" t="n"/>
      <c r="BO154" s="317" t="n"/>
      <c r="BP154" s="317" t="n"/>
      <c r="BQ154" s="39" t="n"/>
      <c r="BR154" s="317" t="n"/>
      <c r="BS154" s="39" t="n"/>
      <c r="BT154" s="317" t="n"/>
      <c r="BU154" s="39" t="n"/>
      <c r="BV154" s="317" t="n"/>
      <c r="BW154" s="39" t="n"/>
      <c r="BX154" s="317" t="n"/>
      <c r="BY154" s="39" t="n"/>
      <c r="BZ154" s="317" t="n"/>
      <c r="CA154" s="39" t="n"/>
      <c r="CB154" s="317" t="n"/>
      <c r="CC154" s="39" t="n"/>
      <c r="CD154" s="317" t="n"/>
      <c r="CE154" s="39" t="n"/>
      <c r="CF154" s="317" t="n"/>
      <c r="CG154" s="317" t="n"/>
      <c r="CH154" s="317" t="n"/>
      <c r="CI154" s="317" t="n"/>
      <c r="CJ154" s="317" t="n"/>
      <c r="CK154" s="317" t="n"/>
      <c r="CL154" s="317" t="n"/>
      <c r="CM154" s="317" t="n"/>
      <c r="CN154" s="317" t="n"/>
      <c r="CW154" s="317" t="n"/>
      <c r="CX154" s="39" t="n"/>
      <c r="CY154" s="317" t="n"/>
      <c r="CZ154" s="39" t="n"/>
      <c r="DA154" s="317" t="n"/>
      <c r="DB154" s="39" t="n"/>
      <c r="DC154" s="317" t="n"/>
      <c r="DD154" s="39" t="n"/>
      <c r="DE154" s="319" t="n"/>
      <c r="DF154" s="319" t="n"/>
    </row>
    <row r="155" ht="13" customFormat="1" customHeight="1" s="116">
      <c r="A155" s="342" t="inlineStr">
        <is>
          <t>20Q3</t>
        </is>
      </c>
      <c r="B155" s="317" t="n">
        <v>42189.3</v>
      </c>
      <c r="C155" s="142">
        <f>B155/B150-1</f>
        <v/>
      </c>
      <c r="D155" s="142" t="n"/>
      <c r="E155" s="317" t="n">
        <v>40542.3</v>
      </c>
      <c r="F155" s="142">
        <f>E155/E150-1</f>
        <v/>
      </c>
      <c r="G155" s="142" t="n"/>
      <c r="H155" s="317" t="n">
        <v>1494.9</v>
      </c>
      <c r="I155" s="142">
        <f>H155/H150-1</f>
        <v/>
      </c>
      <c r="J155" s="142" t="n"/>
      <c r="K155" s="317" t="n">
        <v>152.2</v>
      </c>
      <c r="L155" s="142">
        <f>K155/K150-1</f>
        <v/>
      </c>
      <c r="M155" s="142" t="n"/>
      <c r="N155" s="317" t="n">
        <v>31045.4</v>
      </c>
      <c r="O155" s="142">
        <f>N155/N150-1</f>
        <v/>
      </c>
      <c r="P155" s="142" t="n"/>
      <c r="Q155" s="317" t="n">
        <v>30268.1</v>
      </c>
      <c r="R155" s="142">
        <f>Q155/Q150-1</f>
        <v/>
      </c>
      <c r="S155" s="142" t="n"/>
      <c r="T155" s="317" t="n">
        <v>755.8</v>
      </c>
      <c r="U155" s="142">
        <f>T155/T150-1</f>
        <v/>
      </c>
      <c r="V155" s="142" t="n"/>
      <c r="W155" s="317" t="n">
        <v>21.5</v>
      </c>
      <c r="X155" s="142">
        <f>W155/W150-1</f>
        <v/>
      </c>
      <c r="Y155" s="142" t="n"/>
      <c r="Z155" s="317" t="n">
        <v>20978.4</v>
      </c>
      <c r="AA155" s="39">
        <f>Z155/Z150-1</f>
        <v/>
      </c>
      <c r="AB155" s="39" t="n"/>
      <c r="AC155" s="317" t="n">
        <v>20841.9</v>
      </c>
      <c r="AD155" s="39">
        <f>AC155/AC150-1</f>
        <v/>
      </c>
      <c r="AE155" s="39" t="n"/>
      <c r="AF155" s="317" t="n">
        <v>121.7</v>
      </c>
      <c r="AG155" s="39">
        <f>AF155/AF150-1</f>
        <v/>
      </c>
      <c r="AH155" s="39" t="n"/>
      <c r="AI155" s="317" t="n">
        <v>15</v>
      </c>
      <c r="AJ155" s="39">
        <f>AI155/AI150-1</f>
        <v/>
      </c>
      <c r="AK155" s="39" t="n"/>
      <c r="AL155" s="182" t="n">
        <v>73.43333333333334</v>
      </c>
      <c r="AM155" s="182">
        <f>AL155-AL143</f>
        <v/>
      </c>
      <c r="AN155" s="317" t="n"/>
      <c r="AO155" s="182" t="n">
        <v>74.5</v>
      </c>
      <c r="AP155" s="182">
        <f>AO155-AO143</f>
        <v/>
      </c>
      <c r="AQ155" s="317" t="n"/>
      <c r="AR155" s="182" t="n">
        <v>51.2</v>
      </c>
      <c r="AS155" s="182">
        <f>AR155-AR143</f>
        <v/>
      </c>
      <c r="AT155" s="317" t="n"/>
      <c r="AU155" s="182" t="n">
        <v>12.5</v>
      </c>
      <c r="AV155" s="182">
        <f>AU155-AU143</f>
        <v/>
      </c>
      <c r="AW155" s="317" t="n"/>
      <c r="AX155" s="412" t="n"/>
      <c r="AY155" s="142" t="n"/>
      <c r="AZ155" s="317" t="n"/>
      <c r="BA155" s="317" t="n"/>
      <c r="BB155" s="317" t="n"/>
      <c r="BC155" s="317" t="n"/>
      <c r="BD155" s="317" t="n"/>
      <c r="BE155" s="317" t="n"/>
      <c r="BF155" s="317" t="n"/>
      <c r="BG155" s="317" t="n"/>
      <c r="BH155" s="317" t="n"/>
      <c r="BI155" s="317" t="n"/>
      <c r="BJ155" s="317" t="n"/>
      <c r="BK155" s="317" t="n"/>
      <c r="BL155" s="317" t="n"/>
      <c r="BM155" s="317" t="n"/>
      <c r="BN155" s="317" t="n"/>
      <c r="BO155" s="317" t="n"/>
      <c r="BP155" s="317" t="n"/>
      <c r="BQ155" s="317" t="n"/>
      <c r="BR155" s="317" t="n"/>
      <c r="BS155" s="317" t="n"/>
      <c r="BT155" s="317" t="n"/>
      <c r="BU155" s="317" t="n"/>
      <c r="BV155" s="317" t="n"/>
      <c r="BW155" s="317" t="n"/>
      <c r="BX155" s="317" t="n"/>
      <c r="BY155" s="317" t="n"/>
      <c r="BZ155" s="317" t="n"/>
      <c r="CA155" s="317" t="n"/>
      <c r="CB155" s="317" t="n"/>
      <c r="CC155" s="317" t="n"/>
      <c r="CD155" s="317" t="n"/>
      <c r="CE155" s="317" t="n"/>
      <c r="CF155" s="317" t="n"/>
      <c r="CG155" s="317" t="n"/>
      <c r="CH155" s="317" t="n"/>
      <c r="CI155" s="317" t="n"/>
      <c r="CJ155" s="317" t="n"/>
      <c r="CK155" s="317" t="n"/>
      <c r="CL155" s="317" t="n"/>
      <c r="CM155" s="317" t="n"/>
      <c r="CN155" s="317" t="n"/>
      <c r="CW155" s="317" t="n"/>
      <c r="CX155" s="317" t="n"/>
      <c r="CY155" s="317" t="n"/>
      <c r="CZ155" s="317" t="n"/>
      <c r="DA155" s="317" t="n"/>
      <c r="DB155" s="317" t="n"/>
      <c r="DC155" s="317" t="n"/>
      <c r="DD155" s="317" t="n"/>
      <c r="DE155" s="319" t="n"/>
      <c r="DF155" s="319" t="n"/>
    </row>
    <row r="156" ht="13" customFormat="1" customHeight="1" s="116">
      <c r="A156" s="342" t="inlineStr">
        <is>
          <t>20Q4</t>
        </is>
      </c>
      <c r="B156" s="317" t="n">
        <v>48306.9</v>
      </c>
      <c r="C156" s="39">
        <f>B156/B151-1</f>
        <v/>
      </c>
      <c r="D156" s="39" t="n"/>
      <c r="E156" s="317" t="n">
        <v>46150.7</v>
      </c>
      <c r="F156" s="39">
        <f>E156/E151-1</f>
        <v/>
      </c>
      <c r="G156" s="39" t="n"/>
      <c r="H156" s="317" t="n">
        <v>1615.2</v>
      </c>
      <c r="I156" s="39">
        <f>H156/H151-1</f>
        <v/>
      </c>
      <c r="J156" s="39" t="n"/>
      <c r="K156" s="317" t="n">
        <v>541.1</v>
      </c>
      <c r="L156" s="39">
        <f>K156/K151-1</f>
        <v/>
      </c>
      <c r="M156" s="39" t="n"/>
      <c r="N156" s="317" t="n">
        <v>34565</v>
      </c>
      <c r="O156" s="39">
        <f>N156/N151-1</f>
        <v/>
      </c>
      <c r="P156" s="39" t="n"/>
      <c r="Q156" s="317" t="n">
        <v>33604.2</v>
      </c>
      <c r="R156" s="39">
        <f>Q156/Q151-1</f>
        <v/>
      </c>
      <c r="S156" s="39" t="n"/>
      <c r="T156" s="317" t="n">
        <v>697.7</v>
      </c>
      <c r="U156" s="39">
        <f>T156/T151-1</f>
        <v/>
      </c>
      <c r="V156" s="39" t="n"/>
      <c r="W156" s="317" t="n">
        <v>263.1</v>
      </c>
      <c r="X156" s="39">
        <f>W156/W151-1</f>
        <v/>
      </c>
      <c r="Y156" s="39" t="n"/>
      <c r="Z156" s="317" t="n">
        <v>22807.4</v>
      </c>
      <c r="AA156" s="39">
        <f>Z156/Z151-1</f>
        <v/>
      </c>
      <c r="AB156" s="39" t="n"/>
      <c r="AC156" s="317" t="n">
        <v>22528.2</v>
      </c>
      <c r="AD156" s="39">
        <f>AC156/AC151-1</f>
        <v/>
      </c>
      <c r="AE156" s="39" t="n"/>
      <c r="AF156" s="317" t="n">
        <v>116.2</v>
      </c>
      <c r="AG156" s="39">
        <f>AF156/AF151-1</f>
        <v/>
      </c>
      <c r="AH156" s="39" t="n"/>
      <c r="AI156" s="317" t="n">
        <v>163.1</v>
      </c>
      <c r="AJ156" s="39">
        <f>AI156/AI151-1</f>
        <v/>
      </c>
      <c r="AK156" s="39" t="n"/>
      <c r="AL156" s="182" t="n">
        <v>71.43333333333332</v>
      </c>
      <c r="AM156" s="182">
        <f>AL156-AL144</f>
        <v/>
      </c>
      <c r="AN156" s="317" t="n"/>
      <c r="AO156" s="182" t="n">
        <v>72.66666666666667</v>
      </c>
      <c r="AP156" s="182">
        <f>AO156-AO144</f>
        <v/>
      </c>
      <c r="AQ156" s="317" t="n"/>
      <c r="AR156" s="182" t="n">
        <v>43.13333333333333</v>
      </c>
      <c r="AS156" s="182">
        <f>AR156-AR144</f>
        <v/>
      </c>
      <c r="AT156" s="317" t="n"/>
      <c r="AU156" s="182" t="n">
        <v>48.5</v>
      </c>
      <c r="AV156" s="182">
        <f>AU156-AU144</f>
        <v/>
      </c>
      <c r="AW156" s="317" t="n"/>
      <c r="AX156" s="412" t="n"/>
      <c r="AY156" s="142" t="n"/>
      <c r="AZ156" s="39" t="n"/>
      <c r="BA156" s="317" t="n"/>
      <c r="BB156" s="39" t="n"/>
      <c r="BC156" s="317" t="n"/>
      <c r="BD156" s="39" t="n"/>
      <c r="BE156" s="317" t="n"/>
      <c r="BF156" s="39" t="n"/>
      <c r="BG156" s="317" t="n"/>
      <c r="BH156" s="39" t="n"/>
      <c r="BI156" s="317" t="n"/>
      <c r="BJ156" s="39" t="n"/>
      <c r="BK156" s="317" t="n"/>
      <c r="BL156" s="39" t="n"/>
      <c r="BM156" s="317" t="n"/>
      <c r="BN156" s="39" t="n"/>
      <c r="BO156" s="317" t="n"/>
      <c r="BP156" s="317" t="n"/>
      <c r="BQ156" s="39" t="n"/>
      <c r="BR156" s="317" t="n"/>
      <c r="BS156" s="39" t="n"/>
      <c r="BT156" s="317" t="n"/>
      <c r="BU156" s="39" t="n"/>
      <c r="BV156" s="317" t="n"/>
      <c r="BW156" s="39" t="n"/>
      <c r="BX156" s="317" t="n"/>
      <c r="BY156" s="39" t="n"/>
      <c r="BZ156" s="317" t="n"/>
      <c r="CA156" s="39" t="n"/>
      <c r="CB156" s="317" t="n"/>
      <c r="CC156" s="39" t="n"/>
      <c r="CD156" s="317" t="n"/>
      <c r="CE156" s="39" t="n"/>
      <c r="CF156" s="317" t="n"/>
      <c r="CG156" s="317" t="n"/>
      <c r="CH156" s="317" t="n"/>
      <c r="CI156" s="317" t="n"/>
      <c r="CJ156" s="317" t="n"/>
      <c r="CK156" s="317" t="n"/>
      <c r="CL156" s="317" t="n"/>
      <c r="CM156" s="317" t="n"/>
      <c r="CN156" s="317" t="n"/>
      <c r="CW156" s="317" t="n"/>
      <c r="CX156" s="39" t="n"/>
      <c r="CY156" s="317" t="n"/>
      <c r="CZ156" s="39" t="n"/>
      <c r="DA156" s="317" t="n"/>
      <c r="DB156" s="39" t="n"/>
      <c r="DC156" s="317" t="n"/>
      <c r="DD156" s="39" t="n"/>
      <c r="DE156" s="319" t="n"/>
      <c r="DF156" s="319" t="n"/>
    </row>
    <row r="157" ht="13" customFormat="1" customHeight="1" s="116">
      <c r="A157" s="342" t="n"/>
      <c r="B157" s="317" t="n"/>
      <c r="C157" s="39" t="n"/>
      <c r="D157" s="39" t="n"/>
      <c r="E157" s="317" t="n"/>
      <c r="F157" s="39" t="n"/>
      <c r="G157" s="39" t="n"/>
      <c r="H157" s="317" t="n"/>
      <c r="I157" s="39" t="n"/>
      <c r="J157" s="39" t="n"/>
      <c r="K157" s="317" t="n"/>
      <c r="L157" s="39" t="n"/>
      <c r="M157" s="39" t="n"/>
      <c r="N157" s="317" t="n"/>
      <c r="O157" s="39" t="n"/>
      <c r="P157" s="39" t="n"/>
      <c r="Q157" s="317" t="n"/>
      <c r="R157" s="39" t="n"/>
      <c r="S157" s="39" t="n"/>
      <c r="T157" s="317" t="n"/>
      <c r="U157" s="39" t="n"/>
      <c r="V157" s="39" t="n"/>
      <c r="W157" s="317" t="n"/>
      <c r="X157" s="39" t="n"/>
      <c r="Y157" s="39" t="n"/>
      <c r="Z157" s="317" t="n"/>
      <c r="AA157" s="39" t="n"/>
      <c r="AB157" s="39" t="n"/>
      <c r="AC157" s="317" t="n"/>
      <c r="AD157" s="39" t="n"/>
      <c r="AE157" s="39" t="n"/>
      <c r="AF157" s="317" t="n"/>
      <c r="AG157" s="39" t="n"/>
      <c r="AH157" s="39" t="n"/>
      <c r="AI157" s="317" t="n"/>
      <c r="AJ157" s="39" t="n"/>
      <c r="AK157" s="39" t="n"/>
      <c r="AL157" s="317" t="n"/>
      <c r="AM157" s="317" t="n"/>
      <c r="AN157" s="317" t="n"/>
      <c r="AO157" s="317" t="n"/>
      <c r="AP157" s="317" t="n"/>
      <c r="AQ157" s="317" t="n"/>
      <c r="AR157" s="317" t="n"/>
      <c r="AS157" s="317" t="n"/>
      <c r="AT157" s="317" t="n"/>
      <c r="AU157" s="317" t="n"/>
      <c r="AV157" s="317" t="n"/>
      <c r="AW157" s="317" t="n"/>
      <c r="AX157" s="268" t="n"/>
      <c r="AY157" s="317" t="n"/>
      <c r="AZ157" s="39" t="n"/>
      <c r="BA157" s="317" t="n"/>
      <c r="BB157" s="39" t="n"/>
      <c r="BC157" s="317" t="n"/>
      <c r="BD157" s="39" t="n"/>
      <c r="BE157" s="317" t="n"/>
      <c r="BF157" s="39" t="n"/>
      <c r="BG157" s="317" t="n"/>
      <c r="BH157" s="39" t="n"/>
      <c r="BI157" s="317" t="n"/>
      <c r="BJ157" s="39" t="n"/>
      <c r="BK157" s="317" t="n"/>
      <c r="BL157" s="39" t="n"/>
      <c r="BM157" s="317" t="n"/>
      <c r="BN157" s="39" t="n"/>
      <c r="BO157" s="317" t="n"/>
      <c r="BP157" s="317" t="n"/>
      <c r="BQ157" s="39" t="n"/>
      <c r="BR157" s="317" t="n"/>
      <c r="BS157" s="39" t="n"/>
      <c r="BT157" s="317" t="n"/>
      <c r="BU157" s="39" t="n"/>
      <c r="BV157" s="317" t="n"/>
      <c r="BW157" s="39" t="n"/>
      <c r="BX157" s="317" t="n"/>
      <c r="BY157" s="39" t="n"/>
      <c r="BZ157" s="317" t="n"/>
      <c r="CA157" s="39" t="n"/>
      <c r="CB157" s="317" t="n"/>
      <c r="CC157" s="39" t="n"/>
      <c r="CD157" s="317" t="n"/>
      <c r="CE157" s="39" t="n"/>
      <c r="CF157" s="317" t="n"/>
      <c r="CG157" s="317" t="n"/>
      <c r="CH157" s="317" t="n"/>
      <c r="CI157" s="317" t="n"/>
      <c r="CJ157" s="317" t="n"/>
      <c r="CK157" s="317" t="n"/>
      <c r="CL157" s="317" t="n"/>
      <c r="CM157" s="317" t="n"/>
      <c r="CN157" s="317" t="n"/>
      <c r="CW157" s="317" t="n"/>
      <c r="CX157" s="39" t="n"/>
      <c r="CY157" s="317" t="n"/>
      <c r="CZ157" s="39" t="n"/>
      <c r="DA157" s="317" t="n"/>
      <c r="DB157" s="39" t="n"/>
      <c r="DC157" s="317" t="n"/>
      <c r="DD157" s="39" t="n"/>
      <c r="DE157" s="319" t="n"/>
      <c r="DF157" s="319" t="n"/>
    </row>
    <row r="158" ht="13" customFormat="1" customHeight="1" s="116">
      <c r="A158" s="342" t="inlineStr">
        <is>
          <t>21Q1</t>
        </is>
      </c>
      <c r="B158" s="317" t="n">
        <v>35613.5</v>
      </c>
      <c r="C158" s="39">
        <f>B158/B153-1</f>
        <v/>
      </c>
      <c r="D158" s="39" t="n"/>
      <c r="E158" s="317" t="n">
        <v>34082.39999999999</v>
      </c>
      <c r="F158" s="39">
        <f>E158/E153-1</f>
        <v/>
      </c>
      <c r="G158" s="39" t="n"/>
      <c r="H158" s="317" t="n">
        <v>1069.7</v>
      </c>
      <c r="I158" s="39">
        <f>H158/H153-1</f>
        <v/>
      </c>
      <c r="J158" s="39" t="n"/>
      <c r="K158" s="317" t="n">
        <v>461.3</v>
      </c>
      <c r="L158" s="39">
        <f>K158/K153-1</f>
        <v/>
      </c>
      <c r="M158" s="39" t="n"/>
      <c r="N158" s="317" t="n">
        <v>23533.7</v>
      </c>
      <c r="O158" s="39">
        <f>N158/N153-1</f>
        <v/>
      </c>
      <c r="P158" s="39" t="n"/>
      <c r="Q158" s="317" t="n">
        <v>22889.8</v>
      </c>
      <c r="R158" s="39">
        <f>Q158/Q153-1</f>
        <v/>
      </c>
      <c r="S158" s="39" t="n"/>
      <c r="T158" s="317" t="n">
        <v>430.3</v>
      </c>
      <c r="U158" s="39">
        <f>T158/T153-1</f>
        <v/>
      </c>
      <c r="V158" s="39" t="n"/>
      <c r="W158" s="317" t="n">
        <v>213.6</v>
      </c>
      <c r="X158" s="39">
        <f>W158/W153-1</f>
        <v/>
      </c>
      <c r="Y158" s="39" t="n"/>
      <c r="Z158" s="317" t="n">
        <v>15547.6</v>
      </c>
      <c r="AA158" s="39">
        <f>Z158/Z153-1</f>
        <v/>
      </c>
      <c r="AB158" s="39" t="n"/>
      <c r="AC158" s="317" t="n">
        <v>15338.4</v>
      </c>
      <c r="AD158" s="39">
        <f>AC158/AC153-1</f>
        <v/>
      </c>
      <c r="AE158" s="39" t="n"/>
      <c r="AF158" s="317" t="n">
        <v>74.3</v>
      </c>
      <c r="AG158" s="39">
        <f>AF158/AF153-1</f>
        <v/>
      </c>
      <c r="AH158" s="39" t="n"/>
      <c r="AI158" s="317" t="n">
        <v>134.8</v>
      </c>
      <c r="AJ158" s="39">
        <f>AI158/AI153-1</f>
        <v/>
      </c>
      <c r="AK158" s="39" t="n"/>
      <c r="AL158" s="182" t="n">
        <v>64.8</v>
      </c>
      <c r="AM158" s="182">
        <f>AL158-AL146</f>
        <v/>
      </c>
      <c r="AN158" s="317" t="n"/>
      <c r="AO158" s="182" t="n">
        <v>65.83333333333333</v>
      </c>
      <c r="AP158" s="182">
        <f>AO158-AO146</f>
        <v/>
      </c>
      <c r="AQ158" s="317" t="n"/>
      <c r="AR158" s="182" t="n">
        <v>40.43333333333334</v>
      </c>
      <c r="AS158" s="182">
        <f>AR158-AR146</f>
        <v/>
      </c>
      <c r="AT158" s="317" t="n"/>
      <c r="AU158" s="182" t="n">
        <v>45.33333333333334</v>
      </c>
      <c r="AV158" s="182">
        <f>AU158-AU146</f>
        <v/>
      </c>
      <c r="AW158" s="317" t="n"/>
      <c r="AX158" s="412" t="n"/>
      <c r="AY158" s="142" t="n"/>
      <c r="AZ158" s="39" t="n"/>
      <c r="BA158" s="317" t="n"/>
      <c r="BB158" s="39" t="n"/>
      <c r="BC158" s="317" t="n"/>
      <c r="BD158" s="39" t="n"/>
      <c r="BE158" s="317" t="n"/>
      <c r="BF158" s="39" t="n"/>
      <c r="BG158" s="317" t="n"/>
      <c r="BH158" s="39" t="n"/>
      <c r="BI158" s="317" t="n"/>
      <c r="BJ158" s="39" t="n"/>
      <c r="BK158" s="317" t="n"/>
      <c r="BL158" s="39" t="n"/>
      <c r="BM158" s="317" t="n"/>
      <c r="BN158" s="39" t="n"/>
      <c r="BO158" s="317" t="n"/>
      <c r="BP158" s="317" t="n"/>
      <c r="BQ158" s="39" t="n"/>
      <c r="BR158" s="317" t="n"/>
      <c r="BS158" s="39" t="n"/>
      <c r="BT158" s="317" t="n"/>
      <c r="BU158" s="39" t="n"/>
      <c r="BV158" s="317" t="n"/>
      <c r="BW158" s="39" t="n"/>
      <c r="BX158" s="317" t="n"/>
      <c r="BY158" s="39" t="n"/>
      <c r="BZ158" s="317" t="n"/>
      <c r="CA158" s="39" t="n"/>
      <c r="CB158" s="317" t="n"/>
      <c r="CC158" s="39" t="n"/>
      <c r="CD158" s="317" t="n"/>
      <c r="CE158" s="39" t="n"/>
      <c r="CF158" s="317" t="n"/>
      <c r="CG158" s="317" t="n"/>
      <c r="CH158" s="317" t="n"/>
      <c r="CI158" s="317" t="n"/>
      <c r="CJ158" s="317" t="n"/>
      <c r="CK158" s="317" t="n"/>
      <c r="CL158" s="317" t="n"/>
      <c r="CM158" s="317" t="n"/>
      <c r="CN158" s="317" t="n"/>
      <c r="CW158" s="317" t="n"/>
      <c r="CX158" s="39" t="n"/>
      <c r="CY158" s="317" t="n"/>
      <c r="CZ158" s="39" t="n"/>
      <c r="DA158" s="317" t="n"/>
      <c r="DB158" s="39" t="n"/>
      <c r="DC158" s="317" t="n"/>
      <c r="DD158" s="39" t="n"/>
      <c r="DE158" s="319" t="n"/>
      <c r="DF158" s="319" t="n"/>
    </row>
    <row r="159" ht="13" customFormat="1" customHeight="1" s="116">
      <c r="A159" s="342" t="inlineStr">
        <is>
          <t>21Q2</t>
        </is>
      </c>
      <c r="B159" s="317" t="n">
        <v>46864.7</v>
      </c>
      <c r="C159" s="39">
        <f>B159/B154-1</f>
        <v/>
      </c>
      <c r="D159" s="39" t="n"/>
      <c r="E159" s="317" t="n">
        <v>44987</v>
      </c>
      <c r="F159" s="39">
        <f>E159/E154-1</f>
        <v/>
      </c>
      <c r="G159" s="39" t="n"/>
      <c r="H159" s="317" t="n">
        <v>1045.3</v>
      </c>
      <c r="I159" s="39">
        <f>H159/H154-1</f>
        <v/>
      </c>
      <c r="J159" s="39" t="n"/>
      <c r="K159" s="317" t="n">
        <v>832.4</v>
      </c>
      <c r="L159" s="39">
        <f>K159/K154-1</f>
        <v/>
      </c>
      <c r="M159" s="39" t="n"/>
      <c r="N159" s="317" t="n">
        <v>34700.89999999999</v>
      </c>
      <c r="O159" s="39">
        <f>N159/N154-1</f>
        <v/>
      </c>
      <c r="P159" s="39" t="n"/>
      <c r="Q159" s="317" t="n">
        <v>33723.2</v>
      </c>
      <c r="R159" s="39">
        <f>Q159/Q154-1</f>
        <v/>
      </c>
      <c r="S159" s="39" t="n"/>
      <c r="T159" s="317" t="n">
        <v>464.6</v>
      </c>
      <c r="U159" s="39">
        <f>T159/T154-1</f>
        <v/>
      </c>
      <c r="V159" s="39" t="n"/>
      <c r="W159" s="317" t="n">
        <v>513.3000000000001</v>
      </c>
      <c r="X159" s="39">
        <f>W159/W154-1</f>
        <v/>
      </c>
      <c r="Y159" s="39" t="n"/>
      <c r="Z159" s="317" t="n">
        <v>23044.2</v>
      </c>
      <c r="AA159" s="39">
        <f>Z159/Z154-1</f>
        <v/>
      </c>
      <c r="AB159" s="39" t="n"/>
      <c r="AC159" s="317" t="n">
        <v>22666</v>
      </c>
      <c r="AD159" s="39">
        <f>AC159/AC154-1</f>
        <v/>
      </c>
      <c r="AE159" s="39" t="n"/>
      <c r="AF159" s="317" t="n">
        <v>71.60000000000001</v>
      </c>
      <c r="AG159" s="39">
        <f>AF159/AF154-1</f>
        <v/>
      </c>
      <c r="AH159" s="39" t="n"/>
      <c r="AI159" s="317" t="n">
        <v>306.7</v>
      </c>
      <c r="AJ159" s="39">
        <f>AI159/AI154-1</f>
        <v/>
      </c>
      <c r="AK159" s="39" t="n"/>
      <c r="AL159" s="182" t="n">
        <v>73.86666666666666</v>
      </c>
      <c r="AM159" s="182">
        <f>AL159-AL147</f>
        <v/>
      </c>
      <c r="AN159" s="317" t="n"/>
      <c r="AO159" s="182" t="n">
        <v>74.76666666666667</v>
      </c>
      <c r="AP159" s="182">
        <f>AO159-AO147</f>
        <v/>
      </c>
      <c r="AQ159" s="317" t="n"/>
      <c r="AR159" s="182" t="n">
        <v>44.56666666666666</v>
      </c>
      <c r="AS159" s="182">
        <f>AR159-AR147</f>
        <v/>
      </c>
      <c r="AT159" s="317" t="n"/>
      <c r="AU159" s="182" t="n">
        <v>61.73333333333333</v>
      </c>
      <c r="AV159" s="182">
        <f>AU159-AU147</f>
        <v/>
      </c>
      <c r="AW159" s="317" t="n"/>
      <c r="AX159" s="412" t="n"/>
      <c r="AY159" s="142" t="n"/>
      <c r="AZ159" s="39" t="n"/>
      <c r="BA159" s="317" t="n"/>
      <c r="BB159" s="39" t="n"/>
      <c r="BC159" s="317" t="n"/>
      <c r="BD159" s="39" t="n"/>
      <c r="BE159" s="317" t="n"/>
      <c r="BF159" s="39" t="n"/>
      <c r="BG159" s="317" t="n"/>
      <c r="BH159" s="39" t="n"/>
      <c r="BI159" s="317" t="n"/>
      <c r="BJ159" s="39" t="n"/>
      <c r="BK159" s="317" t="n"/>
      <c r="BL159" s="39" t="n"/>
      <c r="BM159" s="317" t="n"/>
      <c r="BN159" s="39" t="n"/>
      <c r="BO159" s="317" t="n"/>
      <c r="BP159" s="317" t="n"/>
      <c r="BQ159" s="39" t="n"/>
      <c r="BR159" s="317" t="n"/>
      <c r="BS159" s="39" t="n"/>
      <c r="BT159" s="317" t="n"/>
      <c r="BU159" s="39" t="n"/>
      <c r="BV159" s="317" t="n"/>
      <c r="BW159" s="39" t="n"/>
      <c r="BX159" s="317" t="n"/>
      <c r="BY159" s="39" t="n"/>
      <c r="BZ159" s="317" t="n"/>
      <c r="CA159" s="39" t="n"/>
      <c r="CB159" s="317" t="n"/>
      <c r="CC159" s="39" t="n"/>
      <c r="CD159" s="317" t="n"/>
      <c r="CE159" s="39" t="n"/>
      <c r="CF159" s="317" t="n"/>
      <c r="CG159" s="317" t="n"/>
      <c r="CH159" s="317" t="n"/>
      <c r="CI159" s="317" t="n"/>
      <c r="CJ159" s="317" t="n"/>
      <c r="CK159" s="317" t="n"/>
      <c r="CL159" s="317" t="n"/>
      <c r="CM159" s="317" t="n"/>
      <c r="CN159" s="317" t="n"/>
      <c r="CW159" s="317" t="n"/>
      <c r="CX159" s="39" t="n"/>
      <c r="CY159" s="317" t="n"/>
      <c r="CZ159" s="39" t="n"/>
      <c r="DA159" s="317" t="n"/>
      <c r="DB159" s="39" t="n"/>
      <c r="DC159" s="317" t="n"/>
      <c r="DD159" s="39" t="n"/>
      <c r="DE159" s="319" t="n"/>
      <c r="DF159" s="319" t="n"/>
    </row>
    <row r="160" ht="13" customFormat="1" customHeight="1" s="116">
      <c r="A160" t="inlineStr">
        <is>
          <t>21Q3</t>
        </is>
      </c>
      <c r="B160" s="413" t="n">
        <v>37679.5</v>
      </c>
      <c r="C160" s="176">
        <f>B160/B155-1</f>
        <v/>
      </c>
      <c r="D160" s="176" t="n"/>
      <c r="E160" s="413" t="n">
        <v>36016.5</v>
      </c>
      <c r="F160" s="176">
        <f>E160/E155-1</f>
        <v/>
      </c>
      <c r="G160" s="176" t="n"/>
      <c r="H160" s="413" t="n">
        <v>1034.4</v>
      </c>
      <c r="I160" s="176">
        <f>H160/H155-1</f>
        <v/>
      </c>
      <c r="J160" s="176" t="n"/>
      <c r="K160" s="413" t="n">
        <v>628.7</v>
      </c>
      <c r="L160" s="176">
        <f>K160/K155-1</f>
        <v/>
      </c>
      <c r="M160" s="176" t="n"/>
      <c r="N160" s="413" t="n">
        <v>25381.7</v>
      </c>
      <c r="O160" s="176">
        <f>N160/N155-1</f>
        <v/>
      </c>
      <c r="P160" s="176" t="n"/>
      <c r="Q160" s="413" t="n">
        <v>24472.2</v>
      </c>
      <c r="R160" s="176">
        <f>Q160/Q155-1</f>
        <v/>
      </c>
      <c r="S160" s="176" t="n"/>
      <c r="T160" s="413" t="n">
        <v>564.9</v>
      </c>
      <c r="U160" s="176">
        <f>T160/T155-1</f>
        <v/>
      </c>
      <c r="V160" s="176" t="n"/>
      <c r="W160" s="413" t="n">
        <v>344.6</v>
      </c>
      <c r="X160" s="176">
        <f>W160/W155-1</f>
        <v/>
      </c>
      <c r="Y160" s="176" t="n"/>
      <c r="Z160" s="413" t="n">
        <v>16493.1</v>
      </c>
      <c r="AA160" s="176">
        <f>Z160/Z155-1</f>
        <v/>
      </c>
      <c r="AB160" s="176" t="n"/>
      <c r="AC160" s="413" t="n">
        <v>16202.9</v>
      </c>
      <c r="AD160" s="176">
        <f>AC160/AC155-1</f>
        <v/>
      </c>
      <c r="AE160" s="176" t="n"/>
      <c r="AF160" s="413" t="n">
        <v>89.40000000000001</v>
      </c>
      <c r="AG160" s="176">
        <f>AF160/AF155-1</f>
        <v/>
      </c>
      <c r="AH160" s="176" t="n"/>
      <c r="AI160" s="413" t="n">
        <v>200.8</v>
      </c>
      <c r="AJ160" s="176">
        <f>AI160/AI155-1</f>
        <v/>
      </c>
      <c r="AK160" s="176" t="n"/>
      <c r="AL160" s="414" t="n">
        <v>65.8</v>
      </c>
      <c r="AM160" s="414">
        <f>AL160-AL148</f>
        <v/>
      </c>
      <c r="AO160" s="414" t="n">
        <v>66.26666666666667</v>
      </c>
      <c r="AP160" s="414">
        <f>AO160-AO148</f>
        <v/>
      </c>
      <c r="AR160" s="414" t="n">
        <v>55.13333333333333</v>
      </c>
      <c r="AS160" s="414">
        <f>AR160-AR148</f>
        <v/>
      </c>
      <c r="AU160" s="414" t="n">
        <v>50.96666666666667</v>
      </c>
      <c r="AV160" s="414">
        <f>AU160-AU148</f>
        <v/>
      </c>
      <c r="AX160" s="412" t="n"/>
      <c r="AY160" s="142" t="n"/>
      <c r="AZ160" s="317" t="n"/>
      <c r="BA160" s="317" t="n"/>
      <c r="BB160" s="317" t="n"/>
      <c r="BC160" s="317" t="n"/>
      <c r="BD160" s="317" t="n"/>
      <c r="BE160" s="317" t="n"/>
      <c r="BF160" s="317" t="n"/>
      <c r="BG160" s="317" t="n"/>
      <c r="BH160" s="317" t="n"/>
      <c r="BI160" s="317" t="n"/>
      <c r="BJ160" s="317" t="n"/>
      <c r="BK160" s="317" t="n"/>
      <c r="BL160" s="317" t="n"/>
      <c r="BM160" s="317" t="n"/>
      <c r="BN160" s="317" t="n"/>
      <c r="BO160" s="317" t="n"/>
      <c r="BP160" s="317" t="n"/>
      <c r="BQ160" s="317" t="n"/>
      <c r="BR160" s="317" t="n"/>
      <c r="BS160" s="317" t="n"/>
      <c r="BT160" s="317" t="n"/>
      <c r="BU160" s="317" t="n"/>
      <c r="BV160" s="317" t="n"/>
      <c r="BW160" s="317" t="n"/>
      <c r="BX160" s="317" t="n"/>
      <c r="BY160" s="317" t="n"/>
      <c r="BZ160" s="317" t="n"/>
      <c r="CA160" s="317" t="n"/>
      <c r="CB160" s="317" t="n"/>
      <c r="CC160" s="317" t="n"/>
      <c r="CD160" s="317" t="n"/>
      <c r="CE160" s="317" t="n"/>
      <c r="CF160" s="317" t="n"/>
      <c r="CG160" s="317" t="n"/>
      <c r="CH160" s="317" t="n"/>
      <c r="CI160" s="317" t="n"/>
      <c r="CJ160" s="317" t="n"/>
      <c r="CK160" s="317" t="n"/>
      <c r="CL160" s="317" t="n"/>
      <c r="CM160" s="317" t="n"/>
      <c r="CN160" s="317" t="n"/>
      <c r="CW160" s="317" t="n"/>
      <c r="CX160" s="317" t="n"/>
      <c r="CY160" s="317" t="n"/>
      <c r="CZ160" s="317" t="n"/>
      <c r="DA160" s="317" t="n"/>
      <c r="DB160" s="317" t="n"/>
      <c r="DC160" s="317" t="n"/>
      <c r="DD160" s="317" t="n"/>
      <c r="DE160" s="319" t="n"/>
      <c r="DF160" s="319" t="n"/>
    </row>
    <row r="161" ht="13" customFormat="1" customHeight="1" s="116">
      <c r="A161" s="342" t="inlineStr">
        <is>
          <t>21Q4</t>
        </is>
      </c>
      <c r="B161" s="317" t="n">
        <v>32191.8</v>
      </c>
      <c r="C161" s="39">
        <f>B161/B156-1</f>
        <v/>
      </c>
      <c r="D161" s="39" t="n"/>
      <c r="E161" s="317" t="n">
        <v>30744.8</v>
      </c>
      <c r="F161" s="39">
        <f>E161/E156-1</f>
        <v/>
      </c>
      <c r="G161" s="39" t="n"/>
      <c r="H161" s="317" t="n">
        <v>1016.7</v>
      </c>
      <c r="I161" s="39">
        <f>H161/H156-1</f>
        <v/>
      </c>
      <c r="J161" s="39" t="n"/>
      <c r="K161" s="317" t="n">
        <v>430.5</v>
      </c>
      <c r="L161" s="39">
        <f>K161/K156-1</f>
        <v/>
      </c>
      <c r="M161" s="39" t="n"/>
      <c r="N161" s="317" t="n">
        <v>20860.6</v>
      </c>
      <c r="O161" s="39">
        <f>N161/N156-1</f>
        <v/>
      </c>
      <c r="P161" s="39" t="n"/>
      <c r="Q161" s="317" t="n">
        <v>20260.1</v>
      </c>
      <c r="R161" s="39">
        <f>Q161/Q156-1</f>
        <v/>
      </c>
      <c r="S161" s="39" t="n"/>
      <c r="T161" s="317" t="n">
        <v>421</v>
      </c>
      <c r="U161" s="39">
        <f>T161/T156-1</f>
        <v/>
      </c>
      <c r="V161" s="39" t="n"/>
      <c r="W161" s="317" t="n">
        <v>179.3</v>
      </c>
      <c r="X161" s="39">
        <f>W161/W156-1</f>
        <v/>
      </c>
      <c r="Y161" s="39" t="n"/>
      <c r="Z161" s="317" t="n">
        <v>13834.2</v>
      </c>
      <c r="AA161" s="39">
        <f>Z161/Z156-1</f>
        <v/>
      </c>
      <c r="AB161" s="39" t="n"/>
      <c r="AC161" s="317" t="n">
        <v>13661.5</v>
      </c>
      <c r="AD161" s="39">
        <f>AC161/AC156-1</f>
        <v/>
      </c>
      <c r="AE161" s="39" t="n"/>
      <c r="AF161" s="317" t="n">
        <v>66.2</v>
      </c>
      <c r="AG161" s="39">
        <f>AF161/AF156-1</f>
        <v/>
      </c>
      <c r="AH161" s="39" t="n"/>
      <c r="AI161" s="317" t="n">
        <v>106.6</v>
      </c>
      <c r="AJ161" s="39">
        <f>AI161/AI156-1</f>
        <v/>
      </c>
      <c r="AK161" s="39" t="n"/>
      <c r="AL161" s="182" t="n">
        <v>63.86666666666667</v>
      </c>
      <c r="AM161" s="182">
        <f>AL161-AL149</f>
        <v/>
      </c>
      <c r="AN161" s="317" t="n"/>
      <c r="AO161" s="182" t="n">
        <v>64.93333333333334</v>
      </c>
      <c r="AP161" s="182">
        <f>AO161-AO149</f>
        <v/>
      </c>
      <c r="AQ161" s="317" t="n"/>
      <c r="AR161" s="182" t="n">
        <v>41.46666666666667</v>
      </c>
      <c r="AS161" s="182">
        <f>AR161-AR149</f>
        <v/>
      </c>
      <c r="AT161" s="317" t="n"/>
      <c r="AU161" s="182" t="n">
        <v>39.86666666666667</v>
      </c>
      <c r="AV161" s="182">
        <f>AU161-AU149</f>
        <v/>
      </c>
      <c r="AW161" s="317" t="n"/>
      <c r="AX161" s="412" t="n"/>
      <c r="AY161" s="142" t="n"/>
      <c r="AZ161" s="39" t="n"/>
      <c r="BA161" s="317" t="n"/>
      <c r="BB161" s="39" t="n"/>
      <c r="BC161" s="317" t="n"/>
      <c r="BD161" s="39" t="n"/>
      <c r="BE161" s="317" t="n"/>
      <c r="BF161" s="39" t="n"/>
      <c r="BG161" s="317" t="n"/>
      <c r="BH161" s="39" t="n"/>
      <c r="BI161" s="317" t="n"/>
      <c r="BJ161" s="39" t="n"/>
      <c r="BK161" s="317" t="n"/>
      <c r="BL161" s="39" t="n"/>
      <c r="BM161" s="317" t="n"/>
      <c r="BN161" s="39" t="n"/>
      <c r="BO161" s="317" t="n"/>
      <c r="BP161" s="317" t="n"/>
      <c r="BQ161" s="39" t="n"/>
      <c r="BR161" s="317" t="n"/>
      <c r="BS161" s="39" t="n"/>
      <c r="BT161" s="317" t="n"/>
      <c r="BU161" s="39" t="n"/>
      <c r="BV161" s="317" t="n"/>
      <c r="BW161" s="39" t="n"/>
      <c r="BX161" s="317" t="n"/>
      <c r="BY161" s="39" t="n"/>
      <c r="BZ161" s="317" t="n"/>
      <c r="CA161" s="39" t="n"/>
      <c r="CB161" s="317" t="n"/>
      <c r="CC161" s="39" t="n"/>
      <c r="CD161" s="317" t="n"/>
      <c r="CE161" s="39" t="n"/>
      <c r="CF161" s="317" t="n"/>
      <c r="CG161" s="39" t="n"/>
      <c r="CH161" s="317" t="n"/>
      <c r="CI161" s="39" t="n"/>
      <c r="CJ161" s="317" t="n"/>
      <c r="CK161" s="39" t="n"/>
      <c r="CL161" s="317" t="n"/>
      <c r="CM161" s="39" t="n"/>
      <c r="CN161" s="317" t="n"/>
      <c r="CW161" s="317" t="n"/>
      <c r="CX161" s="39" t="n"/>
      <c r="CY161" s="317" t="n"/>
      <c r="CZ161" s="39" t="n"/>
      <c r="DA161" s="317" t="n"/>
      <c r="DB161" s="39" t="n"/>
      <c r="DC161" s="317" t="n"/>
      <c r="DD161" s="39" t="n"/>
      <c r="DE161" s="317" t="n"/>
      <c r="DF161" s="412" t="n"/>
    </row>
    <row r="162" ht="13" customFormat="1" customHeight="1" s="116">
      <c r="A162" s="342" t="n"/>
      <c r="B162" s="317" t="n"/>
      <c r="C162" s="39" t="n"/>
      <c r="D162" s="39" t="n"/>
      <c r="E162" s="317" t="n"/>
      <c r="F162" s="39" t="n"/>
      <c r="G162" s="39" t="n"/>
      <c r="H162" s="317" t="n"/>
      <c r="I162" s="39" t="n"/>
      <c r="J162" s="39" t="n"/>
      <c r="K162" s="317" t="n"/>
      <c r="L162" s="39" t="n"/>
      <c r="M162" s="39" t="n"/>
      <c r="N162" s="317" t="n"/>
      <c r="O162" s="39" t="n"/>
      <c r="P162" s="39" t="n"/>
      <c r="Q162" s="317" t="n"/>
      <c r="R162" s="39" t="n"/>
      <c r="S162" s="39" t="n"/>
      <c r="T162" s="317" t="n"/>
      <c r="U162" s="39" t="n"/>
      <c r="V162" s="39" t="n"/>
      <c r="W162" s="317" t="n"/>
      <c r="X162" s="39" t="n"/>
      <c r="Y162" s="39" t="n"/>
      <c r="Z162" s="317" t="n"/>
      <c r="AA162" s="39" t="n"/>
      <c r="AB162" s="39" t="n"/>
      <c r="AC162" s="317" t="n"/>
      <c r="AD162" s="39" t="n"/>
      <c r="AE162" s="39" t="n"/>
      <c r="AF162" s="317" t="n"/>
      <c r="AG162" s="39" t="n"/>
      <c r="AH162" s="39" t="n"/>
      <c r="AI162" s="317" t="n"/>
      <c r="AJ162" s="39" t="n"/>
      <c r="AK162" s="39" t="n"/>
      <c r="AL162" s="317" t="n"/>
      <c r="AM162" s="317" t="n"/>
      <c r="AN162" s="317" t="n"/>
      <c r="AO162" s="317" t="n"/>
      <c r="AP162" s="317" t="n"/>
      <c r="AQ162" s="317" t="n"/>
      <c r="AR162" s="317" t="n"/>
      <c r="AS162" s="317" t="n"/>
      <c r="AT162" s="317" t="n"/>
      <c r="AU162" s="317" t="n"/>
      <c r="AV162" s="317" t="n"/>
      <c r="AW162" s="317" t="n"/>
      <c r="AX162" s="268" t="n"/>
      <c r="AY162" s="317" t="n"/>
      <c r="AZ162" s="39" t="n"/>
      <c r="BA162" s="317" t="n"/>
      <c r="BB162" s="39" t="n"/>
      <c r="BC162" s="317" t="n"/>
      <c r="BD162" s="39" t="n"/>
      <c r="BE162" s="317" t="n"/>
      <c r="BF162" s="39" t="n"/>
      <c r="BG162" s="317" t="n"/>
      <c r="BH162" s="39" t="n"/>
      <c r="BI162" s="317" t="n"/>
      <c r="BJ162" s="39" t="n"/>
      <c r="BK162" s="317" t="n"/>
      <c r="BL162" s="39" t="n"/>
      <c r="BM162" s="317" t="n"/>
      <c r="BN162" s="39" t="n"/>
      <c r="BO162" s="317" t="n"/>
      <c r="BP162" s="317" t="n"/>
      <c r="BQ162" s="39" t="n"/>
      <c r="BR162" s="317" t="n"/>
      <c r="BS162" s="39" t="n"/>
      <c r="BT162" s="317" t="n"/>
      <c r="BU162" s="39" t="n"/>
      <c r="BV162" s="317" t="n"/>
      <c r="BW162" s="39" t="n"/>
      <c r="BX162" s="317" t="n"/>
      <c r="BY162" s="39" t="n"/>
      <c r="BZ162" s="317" t="n"/>
      <c r="CA162" s="39" t="n"/>
      <c r="CB162" s="317" t="n"/>
      <c r="CC162" s="39" t="n"/>
      <c r="CD162" s="317" t="n"/>
      <c r="CE162" s="39" t="n"/>
      <c r="CF162" s="317" t="n"/>
      <c r="CG162" s="39" t="n"/>
      <c r="CH162" s="317" t="n"/>
      <c r="CI162" s="39" t="n"/>
      <c r="CJ162" s="317" t="n"/>
      <c r="CK162" s="39" t="n"/>
      <c r="CL162" s="317" t="n"/>
      <c r="CM162" s="39" t="n"/>
      <c r="CN162" s="317" t="n"/>
      <c r="CW162" s="317" t="n"/>
      <c r="CX162" s="39" t="n"/>
      <c r="CY162" s="317" t="n"/>
      <c r="CZ162" s="39" t="n"/>
      <c r="DA162" s="317" t="n"/>
      <c r="DB162" s="39" t="n"/>
      <c r="DC162" s="317" t="n"/>
      <c r="DD162" s="39" t="n"/>
      <c r="DE162" s="317" t="n"/>
      <c r="DF162" s="412" t="n"/>
    </row>
    <row r="163" ht="13" customFormat="1" customHeight="1" s="116">
      <c r="A163" s="342" t="inlineStr">
        <is>
          <t>22Q1</t>
        </is>
      </c>
      <c r="B163" s="317" t="n">
        <v>27699.2</v>
      </c>
      <c r="C163" s="39">
        <f>B163/B158-1</f>
        <v/>
      </c>
      <c r="D163" s="39" t="n"/>
      <c r="E163" s="317" t="n">
        <v>26125.8</v>
      </c>
      <c r="F163" s="39">
        <f>E163/E158-1</f>
        <v/>
      </c>
      <c r="G163" s="39" t="n"/>
      <c r="H163" s="317" t="n">
        <v>946.4</v>
      </c>
      <c r="I163" s="39">
        <f>H163/H158-1</f>
        <v/>
      </c>
      <c r="J163" s="39" t="n"/>
      <c r="K163" s="317" t="n">
        <v>627.1</v>
      </c>
      <c r="L163" s="39">
        <f>K163/K158-1</f>
        <v/>
      </c>
      <c r="M163" s="39" t="n"/>
      <c r="N163" s="317" t="n">
        <v>16985.1</v>
      </c>
      <c r="O163" s="39">
        <f>N163/N158-1</f>
        <v/>
      </c>
      <c r="P163" s="39" t="n"/>
      <c r="Q163" s="317" t="n">
        <v>16423.3</v>
      </c>
      <c r="R163" s="39">
        <f>Q163/Q158-1</f>
        <v/>
      </c>
      <c r="S163" s="39" t="n"/>
      <c r="T163" s="317" t="n">
        <v>242.9</v>
      </c>
      <c r="U163" s="39">
        <f>T163/T158-1</f>
        <v/>
      </c>
      <c r="V163" s="39" t="n"/>
      <c r="W163" s="317" t="n">
        <v>319</v>
      </c>
      <c r="X163" s="39">
        <f>W163/W158-1</f>
        <v/>
      </c>
      <c r="Y163" s="39" t="n"/>
      <c r="Z163" s="317" t="n">
        <v>11078.3</v>
      </c>
      <c r="AA163" s="39">
        <f>Z163/Z158-1</f>
        <v/>
      </c>
      <c r="AB163" s="39" t="n"/>
      <c r="AC163" s="317" t="n">
        <v>10843.5</v>
      </c>
      <c r="AD163" s="39">
        <f>AC163/AC158-1</f>
        <v/>
      </c>
      <c r="AE163" s="39" t="n"/>
      <c r="AF163" s="317" t="n">
        <v>45</v>
      </c>
      <c r="AG163" s="39">
        <f>AF163/AF158-1</f>
        <v/>
      </c>
      <c r="AH163" s="39" t="n"/>
      <c r="AI163" s="317" t="n">
        <v>189.9</v>
      </c>
      <c r="AJ163" s="39">
        <f>AI163/AI158-1</f>
        <v/>
      </c>
      <c r="AK163" s="39" t="n"/>
      <c r="AL163" s="182" t="n">
        <v>61.03333333333334</v>
      </c>
      <c r="AM163" s="182">
        <f>AL163-AL151</f>
        <v/>
      </c>
      <c r="AN163" s="317" t="n"/>
      <c r="AO163" s="182" t="n">
        <v>62.66666666666666</v>
      </c>
      <c r="AP163" s="182">
        <f>AO163-AO151</f>
        <v/>
      </c>
      <c r="AQ163" s="317" t="n"/>
      <c r="AR163" s="182" t="n">
        <v>26.16666666666667</v>
      </c>
      <c r="AS163" s="182">
        <f>AR163-AR151</f>
        <v/>
      </c>
      <c r="AT163" s="317" t="n"/>
      <c r="AU163" s="182" t="n">
        <v>49.36666666666667</v>
      </c>
      <c r="AV163" s="182">
        <f>AU163-AU151</f>
        <v/>
      </c>
      <c r="AW163" s="317" t="n"/>
      <c r="AX163" s="412" t="n"/>
      <c r="AY163" s="142" t="n"/>
      <c r="AZ163" s="39" t="n"/>
      <c r="BA163" s="317" t="n"/>
      <c r="BB163" s="39" t="n"/>
      <c r="BC163" s="317" t="n"/>
      <c r="BD163" s="39" t="n"/>
      <c r="BE163" s="317" t="n"/>
      <c r="BF163" s="39" t="n"/>
      <c r="BG163" s="317" t="n"/>
      <c r="BH163" s="39" t="n"/>
      <c r="BI163" s="317" t="n"/>
      <c r="BJ163" s="39" t="n"/>
      <c r="BK163" s="317" t="n"/>
      <c r="BL163" s="39" t="n"/>
      <c r="BM163" s="317" t="n"/>
      <c r="BN163" s="39" t="n"/>
      <c r="BO163" s="317" t="n"/>
      <c r="BP163" s="317" t="n"/>
      <c r="BQ163" s="39" t="n"/>
      <c r="BR163" s="317" t="n"/>
      <c r="BS163" s="39" t="n"/>
      <c r="BT163" s="317" t="n"/>
      <c r="BU163" s="39" t="n"/>
      <c r="BV163" s="317" t="n"/>
      <c r="BW163" s="39" t="n"/>
      <c r="BX163" s="317" t="n"/>
      <c r="BY163" s="39" t="n"/>
      <c r="BZ163" s="317" t="n"/>
      <c r="CA163" s="39" t="n"/>
      <c r="CB163" s="317" t="n"/>
      <c r="CC163" s="39" t="n"/>
      <c r="CD163" s="317" t="n"/>
      <c r="CE163" s="39" t="n"/>
      <c r="CF163" s="317" t="n"/>
      <c r="CG163" s="39" t="n"/>
      <c r="CH163" s="317" t="n"/>
      <c r="CI163" s="39" t="n"/>
      <c r="CJ163" s="317" t="n"/>
      <c r="CK163" s="39" t="n"/>
      <c r="CL163" s="317" t="n"/>
      <c r="CM163" s="39" t="n"/>
      <c r="CN163" s="317" t="n"/>
      <c r="CW163" s="317" t="n"/>
      <c r="CX163" s="39" t="n"/>
      <c r="CY163" s="317" t="n"/>
      <c r="CZ163" s="39" t="n"/>
      <c r="DA163" s="317" t="n"/>
      <c r="DB163" s="39" t="n"/>
      <c r="DC163" s="317" t="n"/>
      <c r="DD163" s="39" t="n"/>
      <c r="DE163" s="317" t="n"/>
      <c r="DF163" s="412" t="n"/>
    </row>
    <row r="164" ht="13" customFormat="1" customHeight="1" s="116">
      <c r="A164" s="342" t="inlineStr">
        <is>
          <t>22Q2</t>
        </is>
      </c>
      <c r="B164" s="317" t="n">
        <v>16582.9</v>
      </c>
      <c r="C164" s="39">
        <f>B164/B159-1</f>
        <v/>
      </c>
      <c r="D164" s="39" t="n"/>
      <c r="E164" s="317" t="n">
        <v>15743.9</v>
      </c>
      <c r="F164" s="39">
        <f>E164/E159-1</f>
        <v/>
      </c>
      <c r="G164" s="39" t="n"/>
      <c r="H164" s="317" t="n">
        <v>649.0999999999999</v>
      </c>
      <c r="I164" s="39">
        <f>H164/H159-1</f>
        <v/>
      </c>
      <c r="J164" s="39" t="n"/>
      <c r="K164" s="317" t="n">
        <v>189.8</v>
      </c>
      <c r="L164" s="39">
        <f>K164/K159-1</f>
        <v/>
      </c>
      <c r="M164" s="39" t="n"/>
      <c r="N164" s="317" t="n">
        <v>9771.700000000001</v>
      </c>
      <c r="O164" s="39">
        <f>N164/N159-1</f>
        <v/>
      </c>
      <c r="P164" s="39" t="n"/>
      <c r="Q164" s="317" t="n">
        <v>9373.200000000001</v>
      </c>
      <c r="R164" s="39">
        <f>Q164/Q159-1</f>
        <v/>
      </c>
      <c r="S164" s="39" t="n"/>
      <c r="T164" s="317" t="n">
        <v>329.7</v>
      </c>
      <c r="U164" s="39">
        <f>T164/T159-1</f>
        <v/>
      </c>
      <c r="V164" s="39" t="n"/>
      <c r="W164" s="317" t="n">
        <v>68.8</v>
      </c>
      <c r="X164" s="39">
        <f>W164/W159-1</f>
        <v/>
      </c>
      <c r="Y164" s="39" t="n"/>
      <c r="Z164" s="317" t="n">
        <v>6294.7</v>
      </c>
      <c r="AA164" s="39">
        <f>Z164/Z159-1</f>
        <v/>
      </c>
      <c r="AB164" s="39" t="n"/>
      <c r="AC164" s="317" t="n">
        <v>6208.1</v>
      </c>
      <c r="AD164" s="39">
        <f>AC164/AC159-1</f>
        <v/>
      </c>
      <c r="AE164" s="39" t="n"/>
      <c r="AF164" s="317" t="n">
        <v>49.6</v>
      </c>
      <c r="AG164" s="39">
        <f>AF164/AF159-1</f>
        <v/>
      </c>
      <c r="AH164" s="39" t="n"/>
      <c r="AI164" s="317" t="n">
        <v>37.09999999999999</v>
      </c>
      <c r="AJ164" s="39">
        <f>AI164/AI159-1</f>
        <v/>
      </c>
      <c r="AK164" s="39" t="n"/>
      <c r="AL164" s="182" t="n">
        <v>57.83333333333334</v>
      </c>
      <c r="AM164" s="182">
        <f>AL164-AL152</f>
        <v/>
      </c>
      <c r="AN164" s="317" t="n"/>
      <c r="AO164" s="182" t="n">
        <v>58.4</v>
      </c>
      <c r="AP164" s="182">
        <f>AO164-AO152</f>
        <v/>
      </c>
      <c r="AQ164" s="317" t="n"/>
      <c r="AR164" s="182" t="n">
        <v>50.7</v>
      </c>
      <c r="AS164" s="182">
        <f>AR164-AR152</f>
        <v/>
      </c>
      <c r="AT164" s="317" t="n"/>
      <c r="AU164" s="182" t="n">
        <v>36.23333333333333</v>
      </c>
      <c r="AV164" s="182">
        <f>AU164-AU152</f>
        <v/>
      </c>
      <c r="AW164" s="317" t="n"/>
      <c r="AX164" s="412" t="n"/>
      <c r="AY164" s="142" t="n"/>
      <c r="AZ164" s="39" t="n"/>
      <c r="BA164" s="317" t="n"/>
      <c r="BB164" s="39" t="n"/>
      <c r="BC164" s="317" t="n"/>
      <c r="BD164" s="39" t="n"/>
      <c r="BE164" s="317" t="n"/>
      <c r="BF164" s="39" t="n"/>
      <c r="BG164" s="317" t="n"/>
      <c r="BH164" s="39" t="n"/>
      <c r="BI164" s="317" t="n"/>
      <c r="BJ164" s="39" t="n"/>
      <c r="BK164" s="317" t="n"/>
      <c r="BL164" s="39" t="n"/>
      <c r="BM164" s="317" t="n"/>
      <c r="BN164" s="39" t="n"/>
      <c r="BO164" s="317" t="n"/>
      <c r="BP164" s="317" t="n"/>
      <c r="BQ164" s="39" t="n"/>
      <c r="BR164" s="317" t="n"/>
      <c r="BS164" s="39" t="n"/>
      <c r="BT164" s="317" t="n"/>
      <c r="BU164" s="39" t="n"/>
      <c r="BV164" s="317" t="n"/>
      <c r="BW164" s="39" t="n"/>
      <c r="BX164" s="317" t="n"/>
      <c r="BY164" s="39" t="n"/>
      <c r="BZ164" s="317" t="n"/>
      <c r="CA164" s="39" t="n"/>
      <c r="CB164" s="317" t="n"/>
      <c r="CC164" s="39" t="n"/>
      <c r="CD164" s="317" t="n"/>
      <c r="CE164" s="39" t="n"/>
      <c r="CF164" s="317" t="n"/>
      <c r="CG164" s="39" t="n"/>
      <c r="CH164" s="317" t="n"/>
      <c r="CI164" s="39" t="n"/>
      <c r="CJ164" s="317" t="n"/>
      <c r="CK164" s="39" t="n"/>
      <c r="CL164" s="317" t="n"/>
      <c r="CM164" s="39" t="n"/>
      <c r="CN164" s="317" t="n"/>
      <c r="CW164" s="317" t="n"/>
      <c r="CX164" s="39" t="n"/>
      <c r="CY164" s="317" t="n"/>
      <c r="CZ164" s="39" t="n"/>
      <c r="DA164" s="317" t="n"/>
      <c r="DB164" s="39" t="n"/>
      <c r="DC164" s="317" t="n"/>
      <c r="DD164" s="39" t="n"/>
      <c r="DE164" s="317" t="n"/>
      <c r="DF164" s="412" t="n"/>
    </row>
    <row r="165" ht="13" customFormat="1" customHeight="1" s="116">
      <c r="A165" t="inlineStr">
        <is>
          <t>22Q3</t>
        </is>
      </c>
      <c r="B165" s="413" t="n">
        <v>31685.8</v>
      </c>
      <c r="C165" s="176">
        <f>B165/B160-1</f>
        <v/>
      </c>
      <c r="D165" s="176" t="n"/>
      <c r="E165" s="413" t="n">
        <v>30248.1</v>
      </c>
      <c r="F165" s="176">
        <f>E165/E160-1</f>
        <v/>
      </c>
      <c r="G165" s="176" t="n"/>
      <c r="H165" s="413" t="n">
        <v>1176.4</v>
      </c>
      <c r="I165" s="176">
        <f>H165/H160-1</f>
        <v/>
      </c>
      <c r="J165" s="176" t="n"/>
      <c r="K165" s="413" t="n">
        <v>261.3</v>
      </c>
      <c r="L165" s="176">
        <f>K165/K160-1</f>
        <v/>
      </c>
      <c r="M165" s="176" t="n"/>
      <c r="N165" s="413" t="n">
        <v>20924.4</v>
      </c>
      <c r="O165" s="176">
        <f>N165/N160-1</f>
        <v/>
      </c>
      <c r="P165" s="176" t="n"/>
      <c r="Q165" s="413" t="n">
        <v>20170.4</v>
      </c>
      <c r="R165" s="176">
        <f>Q165/Q160-1</f>
        <v/>
      </c>
      <c r="S165" s="176" t="n"/>
      <c r="T165" s="413" t="n">
        <v>642.3</v>
      </c>
      <c r="U165" s="176">
        <f>T165/T160-1</f>
        <v/>
      </c>
      <c r="V165" s="176" t="n"/>
      <c r="W165" s="413" t="n">
        <v>111.7</v>
      </c>
      <c r="X165" s="176">
        <f>W165/W160-1</f>
        <v/>
      </c>
      <c r="Y165" s="176" t="n"/>
      <c r="Z165" s="413" t="n">
        <v>13385.4</v>
      </c>
      <c r="AA165" s="176">
        <f>Z165/Z160-1</f>
        <v/>
      </c>
      <c r="AB165" s="176" t="n"/>
      <c r="AC165" s="413" t="n">
        <v>13207.6</v>
      </c>
      <c r="AD165" s="176">
        <f>AC165/AC160-1</f>
        <v/>
      </c>
      <c r="AE165" s="176" t="n"/>
      <c r="AF165" s="413" t="n">
        <v>116.6</v>
      </c>
      <c r="AG165" s="176">
        <f>AF165/AF160-1</f>
        <v/>
      </c>
      <c r="AH165" s="176" t="n"/>
      <c r="AI165" s="413" t="n">
        <v>61</v>
      </c>
      <c r="AJ165" s="176">
        <f>AI165/AI160-1</f>
        <v/>
      </c>
      <c r="AK165" s="176" t="n"/>
      <c r="AL165" s="414" t="n">
        <v>65.86666666666667</v>
      </c>
      <c r="AM165" s="414">
        <f>AL165-AL153</f>
        <v/>
      </c>
      <c r="AO165" s="414" t="n">
        <v>66.53333333333333</v>
      </c>
      <c r="AP165" s="182">
        <f>AO165-AO153</f>
        <v/>
      </c>
      <c r="AQ165" s="317" t="n"/>
      <c r="AR165" s="414" t="n">
        <v>54.43333333333334</v>
      </c>
      <c r="AS165" s="182">
        <f>AR165-AR153</f>
        <v/>
      </c>
      <c r="AT165" s="317" t="n"/>
      <c r="AU165" s="414" t="n">
        <v>39.76666666666667</v>
      </c>
      <c r="AV165" s="182">
        <f>AU165-AU153</f>
        <v/>
      </c>
      <c r="AW165" s="317" t="n"/>
      <c r="AX165" s="412" t="n"/>
      <c r="AY165" s="142" t="n"/>
      <c r="AZ165" s="39" t="n"/>
      <c r="BA165" s="317" t="n"/>
      <c r="BB165" s="39" t="n"/>
      <c r="BC165" s="317" t="n"/>
      <c r="BD165" s="39" t="n"/>
      <c r="BE165" s="317" t="n"/>
      <c r="BF165" s="39" t="n"/>
      <c r="BG165" s="317" t="n"/>
      <c r="BH165" s="39" t="n"/>
      <c r="BI165" s="317" t="n"/>
      <c r="BJ165" s="39" t="n"/>
      <c r="BK165" s="317" t="n"/>
      <c r="BL165" s="39" t="n"/>
      <c r="BM165" s="317" t="n"/>
      <c r="BN165" s="39" t="n"/>
      <c r="BO165" s="317" t="n"/>
      <c r="BP165" s="317" t="n"/>
      <c r="BQ165" s="39" t="n"/>
      <c r="BR165" s="317" t="n"/>
      <c r="BS165" s="39" t="n"/>
      <c r="BT165" s="317" t="n"/>
      <c r="BU165" s="39" t="n"/>
      <c r="BV165" s="317" t="n"/>
      <c r="BW165" s="39" t="n"/>
      <c r="BX165" s="317" t="n"/>
      <c r="BY165" s="39" t="n"/>
      <c r="BZ165" s="317" t="n"/>
      <c r="CA165" s="39" t="n"/>
      <c r="CB165" s="317" t="n"/>
      <c r="CC165" s="39" t="n"/>
      <c r="CD165" s="317" t="n"/>
      <c r="CE165" s="39" t="n"/>
      <c r="CF165" s="317" t="n"/>
      <c r="CG165" s="39" t="n"/>
      <c r="CH165" s="317" t="n"/>
      <c r="CI165" s="39" t="n"/>
      <c r="CJ165" s="317" t="n"/>
      <c r="CK165" s="39" t="n"/>
      <c r="CL165" s="317" t="n"/>
      <c r="CM165" s="39" t="n"/>
      <c r="CN165" s="317" t="n"/>
      <c r="CW165" s="317" t="n"/>
      <c r="CX165" s="39" t="n"/>
      <c r="CY165" s="317" t="n"/>
      <c r="CZ165" s="39" t="n"/>
      <c r="DA165" s="317" t="n"/>
      <c r="DB165" s="39" t="n"/>
      <c r="DC165" s="317" t="n"/>
      <c r="DD165" s="39" t="n"/>
      <c r="DE165" s="317" t="n"/>
      <c r="DF165" s="412" t="n"/>
    </row>
    <row r="166" ht="13" customFormat="1" customHeight="1" s="116">
      <c r="A166" s="342" t="inlineStr">
        <is>
          <t>22Q4</t>
        </is>
      </c>
      <c r="B166" s="317" t="n">
        <v>20228.2</v>
      </c>
      <c r="C166" s="39">
        <f>B166/B161-1</f>
        <v/>
      </c>
      <c r="D166" s="39" t="n"/>
      <c r="E166" s="317" t="n">
        <v>17825</v>
      </c>
      <c r="F166" s="39">
        <f>E166/E161-1</f>
        <v/>
      </c>
      <c r="G166" s="39" t="n"/>
      <c r="H166" s="317" t="n">
        <v>1856.7</v>
      </c>
      <c r="I166" s="39">
        <f>H166/H161-1</f>
        <v/>
      </c>
      <c r="J166" s="39" t="n"/>
      <c r="K166" s="317" t="n">
        <v>546.5</v>
      </c>
      <c r="L166" s="39">
        <f>K166/K161-1</f>
        <v/>
      </c>
      <c r="M166" s="39" t="n"/>
      <c r="N166" s="317" t="n">
        <v>12672.8</v>
      </c>
      <c r="O166" s="39">
        <f>N166/N161-1</f>
        <v/>
      </c>
      <c r="P166" s="39" t="n"/>
      <c r="Q166" s="317" t="n">
        <v>11587.7</v>
      </c>
      <c r="R166" s="39">
        <f>Q166/Q161-1</f>
        <v/>
      </c>
      <c r="S166" s="39" t="n"/>
      <c r="T166" s="317" t="n">
        <v>831.4</v>
      </c>
      <c r="U166" s="39">
        <f>T166/T161-1</f>
        <v/>
      </c>
      <c r="V166" s="39" t="n"/>
      <c r="W166" s="317" t="n">
        <v>253.8</v>
      </c>
      <c r="X166" s="39">
        <f>W166/W161-1</f>
        <v/>
      </c>
      <c r="Y166" s="39" t="n"/>
      <c r="Z166" s="317" t="n">
        <v>7848.799999999999</v>
      </c>
      <c r="AA166" s="39">
        <f>Z166/Z161-1</f>
        <v/>
      </c>
      <c r="AB166" s="39" t="n"/>
      <c r="AC166" s="317" t="n">
        <v>7551.9</v>
      </c>
      <c r="AD166" s="39">
        <f>AC166/AC161-1</f>
        <v/>
      </c>
      <c r="AE166" s="39" t="n"/>
      <c r="AF166" s="317" t="n">
        <v>145.1</v>
      </c>
      <c r="AG166" s="39">
        <f>AF166/AF161-1</f>
        <v/>
      </c>
      <c r="AH166" s="39" t="n"/>
      <c r="AI166" s="317" t="n">
        <v>151.7</v>
      </c>
      <c r="AJ166" s="39">
        <f>AI166/AI161-1</f>
        <v/>
      </c>
      <c r="AK166" s="39" t="n"/>
      <c r="AL166" s="182" t="n">
        <v>62.7</v>
      </c>
      <c r="AM166" s="179">
        <f>AL166-AL154</f>
        <v/>
      </c>
      <c r="AN166" s="179" t="n"/>
      <c r="AO166" s="182" t="n">
        <v>65.10000000000001</v>
      </c>
      <c r="AP166" s="182">
        <f>AO166-AO154</f>
        <v/>
      </c>
      <c r="AQ166" s="179" t="n"/>
      <c r="AR166" s="182" t="n">
        <v>44.6</v>
      </c>
      <c r="AS166" s="182">
        <f>AR166-AR154</f>
        <v/>
      </c>
      <c r="AT166" s="179" t="n"/>
      <c r="AU166" s="182" t="n">
        <v>46.5</v>
      </c>
      <c r="AV166" s="182">
        <f>AU166-AU154</f>
        <v/>
      </c>
      <c r="AW166" s="179" t="n"/>
      <c r="AX166" s="412" t="n"/>
      <c r="AY166" s="142" t="n"/>
      <c r="AZ166" s="39" t="n"/>
      <c r="BA166" s="317" t="n"/>
      <c r="BB166" s="39" t="n"/>
      <c r="BC166" s="317" t="n"/>
      <c r="BD166" s="39" t="n"/>
      <c r="BE166" s="317" t="n"/>
      <c r="BF166" s="39" t="n"/>
      <c r="BG166" s="317" t="n"/>
      <c r="BH166" s="39" t="n"/>
      <c r="BI166" s="317" t="n"/>
      <c r="BJ166" s="39" t="n"/>
      <c r="BK166" s="317" t="n"/>
      <c r="BL166" s="39" t="n"/>
      <c r="BM166" s="317" t="n"/>
      <c r="BN166" s="39" t="n"/>
      <c r="BO166" s="317" t="n"/>
      <c r="BP166" s="317" t="n"/>
      <c r="BQ166" s="39" t="n"/>
      <c r="BR166" s="317" t="n"/>
      <c r="BS166" s="39" t="n"/>
      <c r="BT166" s="317" t="n"/>
      <c r="BU166" s="39" t="n"/>
      <c r="BV166" s="317" t="n"/>
      <c r="BW166" s="39" t="n"/>
      <c r="BX166" s="317" t="n"/>
      <c r="BY166" s="39" t="n"/>
      <c r="BZ166" s="317" t="n"/>
      <c r="CA166" s="39" t="n"/>
      <c r="CB166" s="317" t="n"/>
      <c r="CC166" s="39" t="n"/>
      <c r="CD166" s="317" t="n"/>
      <c r="CE166" s="39" t="n"/>
      <c r="CF166" s="317" t="n"/>
      <c r="CG166" s="39" t="n"/>
      <c r="CH166" s="317" t="n"/>
      <c r="CI166" s="39" t="n"/>
      <c r="CJ166" s="317" t="n"/>
      <c r="CK166" s="39" t="n"/>
      <c r="CL166" s="317" t="n"/>
      <c r="CM166" s="39" t="n"/>
      <c r="CN166" s="317" t="n"/>
      <c r="CW166" s="317" t="n"/>
      <c r="CX166" s="39" t="n"/>
      <c r="CY166" s="317" t="n"/>
      <c r="CZ166" s="39" t="n"/>
      <c r="DA166" s="317" t="n"/>
      <c r="DB166" s="39" t="n"/>
      <c r="DC166" s="317" t="n"/>
      <c r="DD166" s="39" t="n"/>
      <c r="DE166" s="317" t="n"/>
      <c r="DF166" s="412" t="n"/>
    </row>
    <row r="167" ht="13" customFormat="1" customHeight="1" s="116">
      <c r="A167" s="342" t="n"/>
      <c r="B167" s="317" t="n"/>
      <c r="C167" s="39" t="n"/>
      <c r="D167" s="39" t="n"/>
      <c r="E167" s="317" t="n"/>
      <c r="F167" s="39" t="n"/>
      <c r="G167" s="39" t="n"/>
      <c r="H167" s="317" t="n"/>
      <c r="I167" s="39" t="n"/>
      <c r="J167" s="39" t="n"/>
      <c r="K167" s="317" t="n"/>
      <c r="L167" s="39" t="n"/>
      <c r="M167" s="39" t="n"/>
      <c r="N167" s="317" t="n"/>
      <c r="O167" s="39" t="n"/>
      <c r="P167" s="39" t="n"/>
      <c r="Q167" s="317" t="n"/>
      <c r="R167" s="39" t="n"/>
      <c r="S167" s="39" t="n"/>
      <c r="T167" s="317" t="n"/>
      <c r="U167" s="39" t="n"/>
      <c r="V167" s="39" t="n"/>
      <c r="W167" s="317" t="n"/>
      <c r="X167" s="39" t="n"/>
      <c r="Y167" s="39" t="n"/>
      <c r="Z167" s="317" t="n"/>
      <c r="AA167" s="39" t="n"/>
      <c r="AB167" s="39" t="n"/>
      <c r="AC167" s="317" t="n"/>
      <c r="AD167" s="39" t="n"/>
      <c r="AE167" s="39" t="n"/>
      <c r="AF167" s="317" t="n"/>
      <c r="AG167" s="39" t="n"/>
      <c r="AH167" s="39" t="n"/>
      <c r="AI167" s="317" t="n"/>
      <c r="AJ167" s="39" t="n"/>
      <c r="AK167" s="39" t="n"/>
      <c r="AL167" s="317" t="n"/>
      <c r="AM167" s="338" t="n"/>
      <c r="AN167" s="179" t="n"/>
      <c r="AO167" s="317" t="n"/>
      <c r="AP167" s="317" t="n"/>
      <c r="AQ167" s="179" t="n"/>
      <c r="AR167" s="317" t="n"/>
      <c r="AS167" s="317" t="n"/>
      <c r="AT167" s="179" t="n"/>
      <c r="AU167" s="317" t="n"/>
      <c r="AV167" s="317" t="n"/>
      <c r="AW167" s="179" t="n"/>
      <c r="AX167" s="268" t="n"/>
      <c r="BN167" s="39" t="n"/>
      <c r="BO167" s="317" t="n"/>
      <c r="BP167" s="317" t="n"/>
      <c r="BQ167" s="39" t="n"/>
      <c r="BR167" s="317" t="n"/>
      <c r="BS167" s="39" t="n"/>
      <c r="BT167" s="317" t="n"/>
      <c r="BU167" s="39" t="n"/>
      <c r="BV167" s="317" t="n"/>
      <c r="BW167" s="39" t="n"/>
      <c r="BX167" s="317" t="n"/>
      <c r="BY167" s="39" t="n"/>
      <c r="BZ167" s="317" t="n"/>
      <c r="CA167" s="39" t="n"/>
      <c r="CB167" s="317" t="n"/>
      <c r="CC167" s="39" t="n"/>
      <c r="CD167" s="317" t="n"/>
      <c r="CE167" s="39" t="n"/>
      <c r="CF167" s="317" t="n"/>
      <c r="CG167" s="39" t="n"/>
      <c r="CH167" s="317" t="n"/>
      <c r="CI167" s="39" t="n"/>
      <c r="CJ167" s="317" t="n"/>
      <c r="CK167" s="39" t="n"/>
      <c r="CL167" s="317" t="n"/>
      <c r="CM167" s="39" t="n"/>
      <c r="CN167" s="317" t="n"/>
      <c r="CW167" s="317" t="n"/>
      <c r="CX167" s="39" t="n"/>
      <c r="CY167" s="317" t="n"/>
      <c r="CZ167" s="39" t="n"/>
      <c r="DA167" s="317" t="n"/>
      <c r="DB167" s="39" t="n"/>
      <c r="DC167" s="317" t="n"/>
      <c r="DD167" s="39" t="n"/>
      <c r="DE167" s="317" t="n"/>
      <c r="DF167" s="412" t="n"/>
    </row>
    <row r="168" ht="13" customFormat="1" customHeight="1" s="116">
      <c r="A168" s="342" t="inlineStr">
        <is>
          <t>23Q1</t>
        </is>
      </c>
      <c r="B168" s="317" t="n">
        <v>53135.8</v>
      </c>
      <c r="C168" s="39">
        <f>B168/B163-1</f>
        <v/>
      </c>
      <c r="D168" s="39" t="n"/>
      <c r="E168" s="317" t="n">
        <v>48585</v>
      </c>
      <c r="F168" s="39">
        <f>E168/E163-1</f>
        <v/>
      </c>
      <c r="G168" s="39" t="n"/>
      <c r="H168" s="317" t="n">
        <v>3325.1</v>
      </c>
      <c r="I168" s="39">
        <f>H168/H163-1</f>
        <v/>
      </c>
      <c r="J168" s="39" t="n"/>
      <c r="K168" s="317" t="n">
        <v>1225.8</v>
      </c>
      <c r="L168" s="39">
        <f>K168/K163-1</f>
        <v/>
      </c>
      <c r="M168" s="39" t="n"/>
      <c r="N168" s="317" t="n">
        <v>37506.1</v>
      </c>
      <c r="O168" s="39">
        <f>N168/N163-1</f>
        <v/>
      </c>
      <c r="P168" s="39" t="n"/>
      <c r="Q168" s="317" t="n">
        <v>34697.2</v>
      </c>
      <c r="R168" s="39">
        <f>Q168/Q163-1</f>
        <v/>
      </c>
      <c r="S168" s="39" t="n"/>
      <c r="T168" s="317" t="n">
        <v>2028.9</v>
      </c>
      <c r="U168" s="39">
        <f>T168/T163-1</f>
        <v/>
      </c>
      <c r="V168" s="39" t="n"/>
      <c r="W168" s="317" t="n">
        <v>780</v>
      </c>
      <c r="X168" s="39">
        <f>W168/W163-1</f>
        <v/>
      </c>
      <c r="Y168" s="39" t="n"/>
      <c r="Z168" s="317" t="n">
        <v>23375.3</v>
      </c>
      <c r="AA168" s="39">
        <f>Z168/Z163-1</f>
        <v/>
      </c>
      <c r="AB168" s="39" t="n"/>
      <c r="AC168" s="317" t="n">
        <v>22525.3</v>
      </c>
      <c r="AD168" s="39">
        <f>AC168/AC163-1</f>
        <v/>
      </c>
      <c r="AE168" s="39" t="n"/>
      <c r="AF168" s="317" t="n">
        <v>372.2</v>
      </c>
      <c r="AG168" s="39">
        <f>AF168/AF163-1</f>
        <v/>
      </c>
      <c r="AH168" s="39" t="n"/>
      <c r="AI168" s="317" t="n">
        <v>477.9</v>
      </c>
      <c r="AJ168" s="39">
        <f>AI168/AI163-1</f>
        <v/>
      </c>
      <c r="AK168" s="39" t="n"/>
      <c r="AL168" s="182" t="n">
        <v>70.7</v>
      </c>
      <c r="AM168" s="179">
        <f>AL168-AL156</f>
        <v/>
      </c>
      <c r="AN168" s="179" t="n"/>
      <c r="AO168" s="182" t="n">
        <v>71.5</v>
      </c>
      <c r="AP168" s="182">
        <f>AO168-AO156</f>
        <v/>
      </c>
      <c r="AQ168" s="179" t="n"/>
      <c r="AR168" s="182" t="n">
        <v>60.4</v>
      </c>
      <c r="AS168" s="182">
        <f>AR168-AR156</f>
        <v/>
      </c>
      <c r="AT168" s="179" t="n"/>
      <c r="AU168" s="182" t="n">
        <v>63.46666666666666</v>
      </c>
      <c r="AV168" s="182">
        <f>AU168-AU156</f>
        <v/>
      </c>
      <c r="AW168" s="179" t="n"/>
      <c r="AX168" s="412" t="n"/>
      <c r="AY168" s="142" t="n"/>
      <c r="AZ168" s="39" t="n"/>
      <c r="BA168" s="317" t="n"/>
      <c r="BB168" s="39" t="n"/>
      <c r="BC168" s="317" t="n"/>
      <c r="BD168" s="39" t="n"/>
      <c r="BE168" s="317" t="n"/>
      <c r="BF168" s="39" t="n"/>
      <c r="BG168" s="317" t="n"/>
      <c r="BH168" s="39" t="n"/>
      <c r="BI168" s="317" t="n"/>
      <c r="BJ168" s="39" t="n"/>
      <c r="BK168" s="317" t="n"/>
      <c r="BL168" s="39" t="n"/>
      <c r="BM168" s="317" t="n"/>
      <c r="BN168" s="39" t="n"/>
      <c r="BO168" s="317" t="n"/>
      <c r="BP168" s="317" t="n"/>
      <c r="BQ168" s="39" t="n"/>
      <c r="BR168" s="317" t="n"/>
      <c r="BS168" s="39" t="n"/>
      <c r="BT168" s="317" t="n"/>
      <c r="BU168" s="39" t="n"/>
      <c r="BV168" s="317" t="n"/>
      <c r="BW168" s="39" t="n"/>
      <c r="BX168" s="317" t="n"/>
      <c r="BY168" s="39" t="n"/>
      <c r="BZ168" s="317" t="n"/>
      <c r="CA168" s="39" t="n"/>
      <c r="CB168" s="317" t="n"/>
      <c r="CC168" s="39" t="n"/>
      <c r="CD168" s="317" t="n"/>
      <c r="CE168" s="39" t="n"/>
      <c r="CF168" s="317" t="n"/>
      <c r="CG168" s="39" t="n"/>
      <c r="CH168" s="317" t="n"/>
      <c r="CI168" s="39" t="n"/>
      <c r="CJ168" s="317" t="n"/>
      <c r="CK168" s="39" t="n"/>
      <c r="CL168" s="317" t="n"/>
      <c r="CM168" s="39" t="n"/>
      <c r="CN168" s="317" t="n"/>
      <c r="CW168" s="317" t="n"/>
      <c r="CX168" s="39" t="n"/>
      <c r="CY168" s="317" t="n"/>
      <c r="CZ168" s="39" t="n"/>
      <c r="DA168" s="317" t="n"/>
      <c r="DB168" s="39" t="n"/>
      <c r="DC168" s="317" t="n"/>
      <c r="DD168" s="39" t="n"/>
      <c r="DE168" s="317" t="n"/>
      <c r="DF168" s="412" t="n"/>
    </row>
    <row r="169" ht="13" customFormat="1" customHeight="1" s="119">
      <c r="A169" s="342" t="inlineStr">
        <is>
          <t>23Q2</t>
        </is>
      </c>
      <c r="B169" s="317" t="n">
        <v>75663.8</v>
      </c>
      <c r="C169" s="39">
        <f>B169/B164-1</f>
        <v/>
      </c>
      <c r="D169" s="39" t="n"/>
      <c r="E169" s="317" t="n">
        <v>62895</v>
      </c>
      <c r="F169" s="39">
        <f>E169/E164-1</f>
        <v/>
      </c>
      <c r="G169" s="39" t="n"/>
      <c r="H169" s="317" t="n">
        <v>10876.4</v>
      </c>
      <c r="I169" s="39">
        <f>H169/H164-1</f>
        <v/>
      </c>
      <c r="J169" s="39" t="n"/>
      <c r="K169" s="317" t="n">
        <v>1892.5</v>
      </c>
      <c r="L169" s="39">
        <f>K169/K164-1</f>
        <v/>
      </c>
      <c r="M169" s="39" t="n"/>
      <c r="N169" s="317" t="n">
        <v>53329.2</v>
      </c>
      <c r="O169" s="39">
        <f>N169/N164-1</f>
        <v/>
      </c>
      <c r="P169" s="39" t="n"/>
      <c r="Q169" s="317" t="n">
        <v>45494.7</v>
      </c>
      <c r="R169" s="39">
        <f>Q169/Q164-1</f>
        <v/>
      </c>
      <c r="S169" s="39" t="n"/>
      <c r="T169" s="317" t="n">
        <v>6623.2</v>
      </c>
      <c r="U169" s="39">
        <f>T169/T164-1</f>
        <v/>
      </c>
      <c r="V169" s="39" t="n"/>
      <c r="W169" s="317" t="n">
        <v>1211.3</v>
      </c>
      <c r="X169" s="39">
        <f>W169/W164-1</f>
        <v/>
      </c>
      <c r="Y169" s="39" t="n"/>
      <c r="Z169" s="317" t="n">
        <v>32169.6</v>
      </c>
      <c r="AA169" s="39">
        <f>Z169/Z164-1</f>
        <v/>
      </c>
      <c r="AB169" s="39" t="n"/>
      <c r="AC169" s="317" t="n">
        <v>30041.7</v>
      </c>
      <c r="AD169" s="39">
        <f>AC169/AC164-1</f>
        <v/>
      </c>
      <c r="AE169" s="39" t="n"/>
      <c r="AF169" s="317" t="n">
        <v>1368.5</v>
      </c>
      <c r="AG169" s="39">
        <f>AF169/AF164-1</f>
        <v/>
      </c>
      <c r="AH169" s="39" t="n"/>
      <c r="AI169" s="317" t="n">
        <v>759.5</v>
      </c>
      <c r="AJ169" s="39">
        <f>AI169/AI164-1</f>
        <v/>
      </c>
      <c r="AK169" s="39" t="n"/>
      <c r="AL169" s="182" t="n">
        <v>70.5</v>
      </c>
      <c r="AM169" s="179">
        <f>AL169-AL157</f>
        <v/>
      </c>
      <c r="AN169" s="179" t="n"/>
      <c r="AO169" s="182" t="n">
        <v>72.33333333333333</v>
      </c>
      <c r="AP169" s="182">
        <f>AO169-AO157</f>
        <v/>
      </c>
      <c r="AQ169" s="179" t="n"/>
      <c r="AR169" s="182" t="n">
        <v>60.46666666666667</v>
      </c>
      <c r="AS169" s="182">
        <f>AR169-AR157</f>
        <v/>
      </c>
      <c r="AT169" s="179" t="n"/>
      <c r="AU169" s="182" t="n">
        <v>64.03333333333333</v>
      </c>
      <c r="AV169" s="182">
        <f>AU169-AU157</f>
        <v/>
      </c>
      <c r="AW169" s="179" t="n"/>
      <c r="AX169" s="341" t="n"/>
      <c r="AY169" s="196" t="n"/>
      <c r="AZ169" s="93" t="n"/>
      <c r="BA169" s="340" t="n"/>
      <c r="BB169" s="93" t="n"/>
      <c r="BC169" s="340" t="n"/>
      <c r="BD169" s="93" t="n"/>
      <c r="BE169" s="340" t="n"/>
      <c r="BF169" s="93" t="n"/>
      <c r="BG169" s="340" t="n"/>
      <c r="BH169" s="93" t="n"/>
      <c r="BI169" s="340" t="n"/>
      <c r="BJ169" s="93" t="n"/>
      <c r="BK169" s="340" t="n"/>
      <c r="BL169" s="93" t="n"/>
      <c r="BM169" s="340" t="n"/>
      <c r="BN169" s="340" t="n"/>
      <c r="BO169" s="340" t="n"/>
      <c r="BP169" s="340" t="n"/>
      <c r="BQ169" s="340" t="n"/>
      <c r="BR169" s="340" t="n"/>
      <c r="BS169" s="340" t="n"/>
      <c r="BT169" s="340" t="n"/>
      <c r="BU169" s="340" t="n"/>
      <c r="BV169" s="340" t="n"/>
      <c r="BW169" s="340" t="n"/>
      <c r="BX169" s="340" t="n"/>
      <c r="BY169" s="340" t="n"/>
      <c r="BZ169" s="340" t="n"/>
      <c r="CA169" s="340" t="n"/>
      <c r="CB169" s="340" t="n"/>
      <c r="CC169" s="340" t="n"/>
      <c r="CD169" s="340" t="n"/>
      <c r="CE169" s="340" t="n"/>
      <c r="CF169" s="340" t="n"/>
      <c r="CG169" s="340" t="n"/>
      <c r="CH169" s="340" t="n"/>
      <c r="CI169" s="340" t="n"/>
      <c r="CJ169" s="340" t="n"/>
      <c r="CK169" s="340" t="n"/>
      <c r="CL169" s="340" t="n"/>
      <c r="CM169" s="340" t="n"/>
      <c r="CN169" s="340" t="n"/>
      <c r="CO169" s="340" t="n"/>
      <c r="CP169" s="340" t="n"/>
      <c r="CQ169" s="340" t="n"/>
      <c r="CR169" s="340" t="n"/>
      <c r="CS169" s="340" t="n"/>
      <c r="CT169" s="340" t="n"/>
      <c r="CU169" s="340" t="n"/>
      <c r="CV169" s="340" t="n"/>
      <c r="CW169" s="340" t="n"/>
      <c r="CX169" s="340" t="n"/>
      <c r="CY169" s="340" t="n"/>
      <c r="CZ169" s="340" t="n"/>
      <c r="DA169" s="340" t="n"/>
      <c r="DB169" s="340" t="n"/>
      <c r="DC169" s="340" t="n"/>
      <c r="DD169" s="340" t="n"/>
      <c r="DE169" s="341" t="n"/>
      <c r="DF169" s="341" t="n"/>
    </row>
    <row r="170" ht="13" customFormat="1" customHeight="1" s="119">
      <c r="A170" s="342" t="inlineStr">
        <is>
          <t>23Q3</t>
        </is>
      </c>
      <c r="B170" s="317" t="n">
        <v>85668.5</v>
      </c>
      <c r="C170" s="39">
        <f>B170/B165-1</f>
        <v/>
      </c>
      <c r="D170" s="39" t="n"/>
      <c r="E170" s="317" t="n">
        <v>67958.39999999999</v>
      </c>
      <c r="F170" s="39">
        <f>E170/E165-1</f>
        <v/>
      </c>
      <c r="G170" s="39" t="n"/>
      <c r="H170" s="317" t="n">
        <v>15564.3</v>
      </c>
      <c r="I170" s="39">
        <f>H170/H165-1</f>
        <v/>
      </c>
      <c r="J170" s="39" t="n"/>
      <c r="K170" s="317" t="n">
        <v>2145.9</v>
      </c>
      <c r="L170" s="39">
        <f>K170/K165-1</f>
        <v/>
      </c>
      <c r="M170" s="39" t="n"/>
      <c r="N170" s="317" t="n">
        <v>64630.2</v>
      </c>
      <c r="O170" s="39">
        <f>N170/N165-1</f>
        <v/>
      </c>
      <c r="P170" s="39" t="n"/>
      <c r="Q170" s="317" t="n">
        <v>51674.9</v>
      </c>
      <c r="R170" s="39">
        <f>Q170/Q165-1</f>
        <v/>
      </c>
      <c r="S170" s="39" t="n"/>
      <c r="T170" s="317" t="n">
        <v>11374.1</v>
      </c>
      <c r="U170" s="39">
        <f>T170/T165-1</f>
        <v/>
      </c>
      <c r="V170" s="39" t="n"/>
      <c r="W170" s="317" t="n">
        <v>1581.2</v>
      </c>
      <c r="X170" s="39">
        <f>W170/W165-1</f>
        <v/>
      </c>
      <c r="Y170" s="39" t="n"/>
      <c r="Z170" s="317" t="n">
        <v>37052.2</v>
      </c>
      <c r="AA170" s="39">
        <f>Z170/Z165-1</f>
        <v/>
      </c>
      <c r="AB170" s="39" t="n"/>
      <c r="AC170" s="317" t="n">
        <v>33682</v>
      </c>
      <c r="AD170" s="39">
        <f>AC170/AC165-1</f>
        <v/>
      </c>
      <c r="AE170" s="39" t="n"/>
      <c r="AF170" s="317" t="n">
        <v>2372.4</v>
      </c>
      <c r="AG170" s="39">
        <f>AF170/AF165-1</f>
        <v/>
      </c>
      <c r="AH170" s="39" t="n"/>
      <c r="AI170" s="317" t="n">
        <v>997.9000000000001</v>
      </c>
      <c r="AJ170" s="39">
        <f>AI170/AI165-1</f>
        <v/>
      </c>
      <c r="AK170" s="39" t="n"/>
      <c r="AL170" s="182" t="n">
        <v>75.39999999999999</v>
      </c>
      <c r="AM170" s="179">
        <f>AL170-AL158</f>
        <v/>
      </c>
      <c r="AN170" s="39" t="n"/>
      <c r="AO170" s="182" t="n">
        <v>75.96666666666667</v>
      </c>
      <c r="AP170" s="182">
        <f>AO170-AO158</f>
        <v/>
      </c>
      <c r="AQ170" s="39" t="n"/>
      <c r="AR170" s="182" t="n">
        <v>73.10000000000001</v>
      </c>
      <c r="AS170" s="182">
        <f>AR170-AR158</f>
        <v/>
      </c>
      <c r="AT170" s="39" t="n"/>
      <c r="AU170" s="182" t="n">
        <v>73.33333333333333</v>
      </c>
      <c r="AV170" s="182">
        <f>AU170-AU158</f>
        <v/>
      </c>
      <c r="AW170" s="39" t="n"/>
      <c r="AX170" s="341" t="n"/>
      <c r="AY170" s="196" t="n"/>
      <c r="AZ170" s="93" t="n"/>
      <c r="BA170" s="340" t="n"/>
      <c r="BB170" s="93" t="n"/>
      <c r="BC170" s="340" t="n"/>
      <c r="BD170" s="93" t="n"/>
      <c r="BE170" s="340" t="n"/>
      <c r="BF170" s="93" t="n"/>
      <c r="BG170" s="340" t="n"/>
      <c r="BH170" s="93" t="n"/>
      <c r="BI170" s="340" t="n"/>
      <c r="BJ170" s="93" t="n"/>
      <c r="BK170" s="340" t="n"/>
      <c r="BL170" s="93" t="n"/>
      <c r="BM170" s="340" t="n"/>
      <c r="BN170" s="340" t="n"/>
      <c r="BO170" s="340" t="n"/>
      <c r="BP170" s="340" t="n"/>
      <c r="BQ170" s="340" t="n"/>
      <c r="BR170" s="340" t="n"/>
      <c r="BS170" s="340" t="n"/>
      <c r="BT170" s="340" t="n"/>
      <c r="BU170" s="340" t="n"/>
      <c r="BV170" s="340" t="n"/>
      <c r="BW170" s="340" t="n"/>
      <c r="BX170" s="340" t="n"/>
      <c r="BY170" s="340" t="n"/>
      <c r="BZ170" s="340" t="n"/>
      <c r="CA170" s="340" t="n"/>
      <c r="CB170" s="340" t="n"/>
      <c r="CC170" s="340" t="n"/>
      <c r="CD170" s="340" t="n"/>
      <c r="CE170" s="340" t="n"/>
      <c r="CF170" s="340" t="n"/>
      <c r="CG170" s="340" t="n"/>
      <c r="CH170" s="340" t="n"/>
      <c r="CI170" s="340" t="n"/>
      <c r="CJ170" s="340" t="n"/>
      <c r="CK170" s="340" t="n"/>
      <c r="CL170" s="340" t="n"/>
      <c r="CM170" s="340" t="n"/>
      <c r="CN170" s="340" t="n"/>
      <c r="CO170" s="340" t="n"/>
      <c r="CP170" s="340" t="n"/>
      <c r="CQ170" s="340" t="n"/>
      <c r="CR170" s="340" t="n"/>
      <c r="CS170" s="340" t="n"/>
      <c r="CT170" s="340" t="n"/>
      <c r="CU170" s="340" t="n"/>
      <c r="CV170" s="340" t="n"/>
      <c r="CW170" s="340" t="n"/>
      <c r="CX170" s="340" t="n"/>
      <c r="CY170" s="340" t="n"/>
      <c r="CZ170" s="340" t="n"/>
      <c r="DA170" s="340" t="n"/>
      <c r="DB170" s="340" t="n"/>
      <c r="DC170" s="340" t="n"/>
      <c r="DD170" s="340" t="n"/>
      <c r="DE170" s="341" t="n"/>
      <c r="DF170" s="341" t="n"/>
    </row>
    <row r="171" ht="13" customFormat="1" customHeight="1" s="119">
      <c r="A171" s="342" t="inlineStr">
        <is>
          <t>23Q4</t>
        </is>
      </c>
      <c r="B171" s="317" t="n">
        <v>78045.7</v>
      </c>
      <c r="C171" s="142">
        <f>B171/B166-1</f>
        <v/>
      </c>
      <c r="D171" s="142" t="n"/>
      <c r="E171" s="317" t="n">
        <v>57888.90000000001</v>
      </c>
      <c r="F171" s="142">
        <f>E171/E166-1</f>
        <v/>
      </c>
      <c r="G171" s="142" t="n"/>
      <c r="H171" s="317" t="n">
        <v>17927.6</v>
      </c>
      <c r="I171" s="142">
        <f>H171/H166-1</f>
        <v/>
      </c>
      <c r="J171" s="142" t="n"/>
      <c r="K171" s="317" t="n">
        <v>2229.2</v>
      </c>
      <c r="L171" s="142">
        <f>K171/K166-1</f>
        <v/>
      </c>
      <c r="M171" s="142" t="n"/>
      <c r="N171" s="317" t="n">
        <v>58707.00000000001</v>
      </c>
      <c r="O171" s="142">
        <f>N171/N166-1</f>
        <v/>
      </c>
      <c r="P171" s="142" t="n"/>
      <c r="Q171" s="317" t="n">
        <v>44921.5</v>
      </c>
      <c r="R171" s="142">
        <f>Q171/Q166-1</f>
        <v/>
      </c>
      <c r="S171" s="142" t="n"/>
      <c r="T171" s="317" t="n">
        <v>12280.6</v>
      </c>
      <c r="U171" s="142">
        <f>T171/T166-1</f>
        <v/>
      </c>
      <c r="V171" s="142" t="n"/>
      <c r="W171" s="317" t="n">
        <v>1504.9</v>
      </c>
      <c r="X171" s="142">
        <f>W171/W166-1</f>
        <v/>
      </c>
      <c r="Y171" s="142" t="n"/>
      <c r="Z171" s="317" t="n">
        <v>32857.8</v>
      </c>
      <c r="AA171" s="142">
        <f>Z171/Z166-1</f>
        <v/>
      </c>
      <c r="AB171" s="142" t="n"/>
      <c r="AC171" s="317" t="n">
        <v>29298.5</v>
      </c>
      <c r="AD171" s="142">
        <f>AC171/AC166-1</f>
        <v/>
      </c>
      <c r="AE171" s="142" t="n"/>
      <c r="AF171" s="317" t="n">
        <v>2617.7</v>
      </c>
      <c r="AG171" s="142">
        <f>AF171/AF166-1</f>
        <v/>
      </c>
      <c r="AH171" s="142" t="n"/>
      <c r="AI171" s="317" t="n">
        <v>941.4</v>
      </c>
      <c r="AJ171" s="142">
        <f>AI171/AI166-1</f>
        <v/>
      </c>
      <c r="AK171" s="142" t="n"/>
      <c r="AL171" s="182" t="n">
        <v>75.16666666666667</v>
      </c>
      <c r="AM171" s="182">
        <f>AL171-AL159</f>
        <v/>
      </c>
      <c r="AN171" s="182" t="n"/>
      <c r="AO171" s="182" t="n">
        <v>77.53333333333333</v>
      </c>
      <c r="AP171" s="182">
        <f>AO171-AO159</f>
        <v/>
      </c>
      <c r="AQ171" s="182" t="n"/>
      <c r="AR171" s="182" t="n">
        <v>68.46666666666667</v>
      </c>
      <c r="AS171" s="182">
        <f>AR171-AR159</f>
        <v/>
      </c>
      <c r="AT171" s="182" t="n"/>
      <c r="AU171" s="182" t="n">
        <v>67.5</v>
      </c>
      <c r="AV171" s="182">
        <f>AU171-AU159</f>
        <v/>
      </c>
      <c r="AW171" s="182" t="n"/>
      <c r="AX171" s="341" t="n"/>
      <c r="AY171" s="196" t="n"/>
      <c r="AZ171" s="93" t="n"/>
      <c r="BA171" s="340" t="n"/>
      <c r="BB171" s="93" t="n"/>
      <c r="BC171" s="340" t="n"/>
      <c r="BD171" s="93" t="n"/>
      <c r="BE171" s="340" t="n"/>
      <c r="BF171" s="93" t="n"/>
      <c r="BG171" s="340" t="n"/>
      <c r="BH171" s="93" t="n"/>
      <c r="BI171" s="340" t="n"/>
      <c r="BJ171" s="93" t="n"/>
      <c r="BK171" s="340" t="n"/>
      <c r="BL171" s="93" t="n"/>
      <c r="BM171" s="340" t="n"/>
      <c r="BN171" s="340" t="n"/>
      <c r="BO171" s="340" t="n"/>
      <c r="BP171" s="340" t="n"/>
      <c r="BQ171" s="340" t="n"/>
      <c r="BR171" s="340" t="n"/>
      <c r="BS171" s="340" t="n"/>
      <c r="BT171" s="340" t="n"/>
      <c r="BU171" s="340" t="n"/>
      <c r="BV171" s="340" t="n"/>
      <c r="BW171" s="340" t="n"/>
      <c r="BX171" s="340" t="n"/>
      <c r="BY171" s="340" t="n"/>
      <c r="BZ171" s="340" t="n"/>
      <c r="CA171" s="340" t="n"/>
      <c r="CB171" s="340" t="n"/>
      <c r="CC171" s="340" t="n"/>
      <c r="CD171" s="340" t="n"/>
      <c r="CE171" s="340" t="n"/>
      <c r="CF171" s="340" t="n"/>
      <c r="CG171" s="340" t="n"/>
      <c r="CH171" s="340" t="n"/>
      <c r="CI171" s="340" t="n"/>
      <c r="CJ171" s="340" t="n"/>
      <c r="CK171" s="340" t="n"/>
      <c r="CL171" s="340" t="n"/>
      <c r="CM171" s="340" t="n"/>
      <c r="CN171" s="340" t="n"/>
      <c r="CO171" s="340" t="n"/>
      <c r="CP171" s="340" t="n"/>
      <c r="CQ171" s="340" t="n"/>
      <c r="CR171" s="340" t="n"/>
      <c r="CS171" s="340" t="n"/>
      <c r="CT171" s="340" t="n"/>
      <c r="CU171" s="340" t="n"/>
      <c r="CV171" s="340" t="n"/>
      <c r="CW171" s="340" t="n"/>
      <c r="CX171" s="340" t="n"/>
      <c r="CY171" s="340" t="n"/>
      <c r="CZ171" s="340" t="n"/>
      <c r="DA171" s="340" t="n"/>
      <c r="DB171" s="340" t="n"/>
      <c r="DC171" s="340" t="n"/>
      <c r="DD171" s="340" t="n"/>
      <c r="DE171" s="341" t="n"/>
      <c r="DF171" s="341" t="n"/>
    </row>
    <row r="172" ht="13" customFormat="1" customHeight="1" s="119">
      <c r="A172" s="342" t="n"/>
      <c r="B172" s="317" t="n"/>
      <c r="C172" s="142" t="n"/>
      <c r="D172" s="142" t="n"/>
      <c r="E172" s="317" t="n"/>
      <c r="F172" s="142" t="n"/>
      <c r="G172" s="142" t="n"/>
      <c r="H172" s="317" t="n"/>
      <c r="I172" s="142" t="n"/>
      <c r="J172" s="142" t="n"/>
      <c r="K172" s="317" t="n"/>
      <c r="L172" s="142" t="n"/>
      <c r="M172" s="142" t="n"/>
      <c r="N172" s="317" t="n"/>
      <c r="O172" s="142" t="n"/>
      <c r="P172" s="142" t="n"/>
      <c r="Q172" s="317" t="n"/>
      <c r="R172" s="142" t="n"/>
      <c r="S172" s="142" t="n"/>
      <c r="T172" s="317" t="n"/>
      <c r="U172" s="142" t="n"/>
      <c r="V172" s="142" t="n"/>
      <c r="W172" s="317" t="n"/>
      <c r="X172" s="142" t="n"/>
      <c r="Y172" s="142" t="n"/>
      <c r="Z172" s="317" t="n"/>
      <c r="AA172" s="142" t="n"/>
      <c r="AB172" s="142" t="n"/>
      <c r="AC172" s="317" t="n"/>
      <c r="AD172" s="142" t="n"/>
      <c r="AE172" s="142" t="n"/>
      <c r="AF172" s="317" t="n"/>
      <c r="AG172" s="142" t="n"/>
      <c r="AH172" s="142" t="n"/>
      <c r="AI172" s="317" t="n"/>
      <c r="AJ172" s="142" t="n"/>
      <c r="AK172" s="142" t="n"/>
      <c r="AL172" s="317" t="n"/>
      <c r="AM172" s="317" t="n"/>
      <c r="AN172" s="182" t="n"/>
      <c r="AO172" s="317" t="n"/>
      <c r="AP172" s="317" t="n"/>
      <c r="AQ172" s="182" t="n"/>
      <c r="AR172" s="317" t="n"/>
      <c r="AS172" s="317" t="n"/>
      <c r="AT172" s="182" t="n"/>
      <c r="AU172" s="317" t="n"/>
      <c r="AV172" s="317" t="n"/>
      <c r="AW172" s="182" t="n"/>
      <c r="AX172" s="183" t="n"/>
      <c r="AY172" s="340" t="n"/>
      <c r="AZ172" s="93" t="n"/>
      <c r="BA172" s="340" t="n"/>
      <c r="BB172" s="93" t="n"/>
      <c r="BC172" s="340" t="n"/>
      <c r="BD172" s="93" t="n"/>
      <c r="BE172" s="340" t="n"/>
      <c r="BF172" s="93" t="n"/>
      <c r="BG172" s="340" t="n"/>
      <c r="BH172" s="93" t="n"/>
      <c r="BI172" s="340" t="n"/>
      <c r="BJ172" s="93" t="n"/>
      <c r="BK172" s="340" t="n"/>
      <c r="BL172" s="93" t="n"/>
      <c r="BM172" s="340" t="n"/>
      <c r="BN172" s="340" t="n"/>
      <c r="BO172" s="340" t="n"/>
      <c r="BP172" s="340" t="n"/>
      <c r="BQ172" s="340" t="n"/>
      <c r="BR172" s="340" t="n"/>
      <c r="BS172" s="340" t="n"/>
      <c r="BT172" s="340" t="n"/>
      <c r="BU172" s="340" t="n"/>
      <c r="BV172" s="340" t="n"/>
      <c r="BW172" s="340" t="n"/>
      <c r="BX172" s="340" t="n"/>
      <c r="BY172" s="340" t="n"/>
      <c r="BZ172" s="340" t="n"/>
      <c r="CA172" s="340" t="n"/>
      <c r="CB172" s="340" t="n"/>
      <c r="CC172" s="340" t="n"/>
      <c r="CD172" s="340" t="n"/>
      <c r="CE172" s="340" t="n"/>
      <c r="CF172" s="340" t="n"/>
      <c r="CG172" s="340" t="n"/>
      <c r="CH172" s="340" t="n"/>
      <c r="CI172" s="340" t="n"/>
      <c r="CJ172" s="340" t="n"/>
      <c r="CK172" s="340" t="n"/>
      <c r="CL172" s="340" t="n"/>
      <c r="CM172" s="340" t="n"/>
      <c r="CN172" s="340" t="n"/>
      <c r="CO172" s="340" t="n"/>
      <c r="CP172" s="340" t="n"/>
      <c r="CQ172" s="340" t="n"/>
      <c r="CR172" s="340" t="n"/>
      <c r="CS172" s="340" t="n"/>
      <c r="CT172" s="340" t="n"/>
      <c r="CU172" s="340" t="n"/>
      <c r="CV172" s="340" t="n"/>
      <c r="CW172" s="340" t="n"/>
      <c r="CX172" s="340" t="n"/>
      <c r="CY172" s="340" t="n"/>
      <c r="CZ172" s="340" t="n"/>
      <c r="DA172" s="340" t="n"/>
      <c r="DB172" s="340" t="n"/>
      <c r="DC172" s="340" t="n"/>
      <c r="DD172" s="340" t="n"/>
      <c r="DE172" s="341" t="n"/>
      <c r="DF172" s="341" t="n"/>
    </row>
    <row r="173" ht="13" customFormat="1" customHeight="1" s="119">
      <c r="A173" s="342" t="inlineStr">
        <is>
          <t>24Q1</t>
        </is>
      </c>
      <c r="B173" s="317" t="n">
        <v>86181</v>
      </c>
      <c r="C173" s="142">
        <f>B173/B168-1</f>
        <v/>
      </c>
      <c r="D173" s="142" t="n"/>
      <c r="E173" s="317" t="n">
        <v>63013.7</v>
      </c>
      <c r="F173" s="142">
        <f>E173/E168-1</f>
        <v/>
      </c>
      <c r="G173" s="142" t="n"/>
      <c r="H173" s="317" t="n">
        <v>20730.8</v>
      </c>
      <c r="I173" s="142">
        <f>H173/H168-1</f>
        <v/>
      </c>
      <c r="J173" s="142" t="n"/>
      <c r="K173" s="317" t="n">
        <v>2436.5</v>
      </c>
      <c r="L173" s="142">
        <f>K173/K168-1</f>
        <v/>
      </c>
      <c r="M173" s="142" t="n"/>
      <c r="N173" s="317" t="n">
        <v>68551.10000000001</v>
      </c>
      <c r="O173" s="142">
        <f>N173/N168-1</f>
        <v/>
      </c>
      <c r="P173" s="142" t="n"/>
      <c r="Q173" s="317" t="n">
        <v>50756.89999999999</v>
      </c>
      <c r="R173" s="142">
        <f>Q173/Q168-1</f>
        <v/>
      </c>
      <c r="S173" s="142" t="n"/>
      <c r="T173" s="317" t="n">
        <v>16043.7</v>
      </c>
      <c r="U173" s="142">
        <f>T173/T168-1</f>
        <v/>
      </c>
      <c r="V173" s="142" t="n"/>
      <c r="W173" s="317" t="n">
        <v>1750.5</v>
      </c>
      <c r="X173" s="142">
        <f>W173/W168-1</f>
        <v/>
      </c>
      <c r="Y173" s="142" t="n"/>
      <c r="Z173" s="317" t="n">
        <v>37717.9</v>
      </c>
      <c r="AA173" s="142">
        <f>Z173/Z168-1</f>
        <v/>
      </c>
      <c r="AB173" s="142" t="n"/>
      <c r="AC173" s="317" t="n">
        <v>33105.2</v>
      </c>
      <c r="AD173" s="142">
        <f>AC173/AC168-1</f>
        <v/>
      </c>
      <c r="AE173" s="142" t="n"/>
      <c r="AF173" s="317" t="n">
        <v>3526.9</v>
      </c>
      <c r="AG173" s="142">
        <f>AF173/AF168-1</f>
        <v/>
      </c>
      <c r="AH173" s="142" t="n"/>
      <c r="AI173" s="317" t="n">
        <v>1085.9</v>
      </c>
      <c r="AJ173" s="142">
        <f>AI173/AI168-1</f>
        <v/>
      </c>
      <c r="AK173" s="142" t="n"/>
      <c r="AL173" s="182" t="n">
        <v>79.53333333333333</v>
      </c>
      <c r="AM173" s="182">
        <f>AL173-AL161</f>
        <v/>
      </c>
      <c r="AN173" s="182" t="n"/>
      <c r="AO173" s="182" t="n">
        <v>80.5</v>
      </c>
      <c r="AP173" s="182">
        <f>AO173-AO161</f>
        <v/>
      </c>
      <c r="AQ173" s="182" t="n"/>
      <c r="AR173" s="182" t="n">
        <v>77.39999999999999</v>
      </c>
      <c r="AS173" s="182">
        <f>AR173-AR161</f>
        <v/>
      </c>
      <c r="AT173" s="182" t="n"/>
      <c r="AU173" s="182" t="n">
        <v>71.83333333333333</v>
      </c>
      <c r="AV173" s="182">
        <f>AU173-AU161</f>
        <v/>
      </c>
      <c r="AW173" s="182" t="n"/>
      <c r="AX173" s="341" t="n"/>
      <c r="AY173" s="196" t="n"/>
      <c r="AZ173" s="93" t="n"/>
      <c r="BA173" s="340" t="n"/>
      <c r="BB173" s="93" t="n"/>
      <c r="BC173" s="340" t="n"/>
      <c r="BD173" s="93" t="n"/>
      <c r="BE173" s="340" t="n"/>
      <c r="BF173" s="93" t="n"/>
      <c r="BG173" s="340" t="n"/>
      <c r="BH173" s="93" t="n"/>
      <c r="BI173" s="340" t="n"/>
      <c r="BJ173" s="93" t="n"/>
      <c r="BK173" s="340" t="n"/>
      <c r="BL173" s="93" t="n"/>
      <c r="BM173" s="340" t="n"/>
      <c r="BN173" s="340" t="n"/>
      <c r="BO173" s="340" t="n"/>
      <c r="BP173" s="340" t="n"/>
      <c r="BQ173" s="340" t="n"/>
      <c r="BR173" s="340" t="n"/>
      <c r="BS173" s="340" t="n"/>
      <c r="BT173" s="340" t="n"/>
      <c r="BU173" s="340" t="n"/>
      <c r="BV173" s="340" t="n"/>
      <c r="BW173" s="340" t="n"/>
      <c r="BX173" s="340" t="n"/>
      <c r="BY173" s="340" t="n"/>
      <c r="BZ173" s="340" t="n"/>
      <c r="CA173" s="340" t="n"/>
      <c r="CB173" s="340" t="n"/>
      <c r="CC173" s="340" t="n"/>
      <c r="CD173" s="340" t="n"/>
      <c r="CE173" s="340" t="n"/>
      <c r="CF173" s="340" t="n"/>
      <c r="CG173" s="340" t="n"/>
      <c r="CH173" s="340" t="n"/>
      <c r="CI173" s="340" t="n"/>
      <c r="CJ173" s="340" t="n"/>
      <c r="CK173" s="340" t="n"/>
      <c r="CL173" s="340" t="n"/>
      <c r="CM173" s="340" t="n"/>
      <c r="CN173" s="340" t="n"/>
      <c r="CO173" s="340" t="n"/>
      <c r="CP173" s="340" t="n"/>
      <c r="CQ173" s="340" t="n"/>
      <c r="CR173" s="340" t="n"/>
      <c r="CS173" s="340" t="n"/>
      <c r="CT173" s="340" t="n"/>
      <c r="CU173" s="340" t="n"/>
      <c r="CV173" s="340" t="n"/>
      <c r="CW173" s="340" t="n"/>
      <c r="CX173" s="340" t="n"/>
      <c r="CY173" s="340" t="n"/>
      <c r="CZ173" s="340" t="n"/>
      <c r="DA173" s="340" t="n"/>
      <c r="DB173" s="340" t="n"/>
      <c r="DC173" s="340" t="n"/>
      <c r="DD173" s="340" t="n"/>
      <c r="DE173" s="341" t="n"/>
      <c r="DF173" s="341" t="n"/>
    </row>
    <row r="174" ht="13" customFormat="1" customHeight="1" s="119">
      <c r="A174" s="342" t="inlineStr">
        <is>
          <t>24Q2</t>
        </is>
      </c>
      <c r="B174" s="317" t="n">
        <v>85609.89999999999</v>
      </c>
      <c r="C174" s="142">
        <f>B174/B169-1</f>
        <v/>
      </c>
      <c r="D174" s="142" t="n"/>
      <c r="E174" s="317" t="n">
        <v>59661.8</v>
      </c>
      <c r="F174" s="142">
        <f>E174/E169-1</f>
        <v/>
      </c>
      <c r="G174" s="142" t="n"/>
      <c r="H174" s="317" t="n">
        <v>23351.8</v>
      </c>
      <c r="I174" s="142">
        <f>H174/H169-1</f>
        <v/>
      </c>
      <c r="J174" s="142" t="n"/>
      <c r="K174" s="317" t="n">
        <v>2596.3</v>
      </c>
      <c r="L174" s="142">
        <f>K174/K169-1</f>
        <v/>
      </c>
      <c r="M174" s="142" t="n"/>
      <c r="N174" s="317" t="n">
        <v>67662.39999999999</v>
      </c>
      <c r="O174" s="142">
        <f>N174/N169-1</f>
        <v/>
      </c>
      <c r="P174" s="142" t="n"/>
      <c r="Q174" s="317" t="n">
        <v>48209.3</v>
      </c>
      <c r="R174" s="142">
        <f>Q174/Q169-1</f>
        <v/>
      </c>
      <c r="S174" s="142" t="n"/>
      <c r="T174" s="317" t="n">
        <v>17581.3</v>
      </c>
      <c r="U174" s="142">
        <f>T174/T169-1</f>
        <v/>
      </c>
      <c r="V174" s="142" t="n"/>
      <c r="W174" s="317" t="n">
        <v>1871.7</v>
      </c>
      <c r="X174" s="142">
        <f>W174/W169-1</f>
        <v/>
      </c>
      <c r="Y174" s="142" t="n"/>
      <c r="Z174" s="317" t="n">
        <v>37241.5</v>
      </c>
      <c r="AA174" s="142">
        <f>Z174/Z169-1</f>
        <v/>
      </c>
      <c r="AB174" s="142" t="n"/>
      <c r="AC174" s="317" t="n">
        <v>32055.9</v>
      </c>
      <c r="AD174" s="142">
        <f>AC174/AC169-1</f>
        <v/>
      </c>
      <c r="AE174" s="142" t="n"/>
      <c r="AF174" s="317" t="n">
        <v>4009.2</v>
      </c>
      <c r="AG174" s="142">
        <f>AF174/AF169-1</f>
        <v/>
      </c>
      <c r="AH174" s="142" t="n"/>
      <c r="AI174" s="317" t="n">
        <v>1176.5</v>
      </c>
      <c r="AJ174" s="142">
        <f>AI174/AI169-1</f>
        <v/>
      </c>
      <c r="AK174" s="142" t="n"/>
      <c r="AL174" s="182" t="n">
        <v>79.03333333333333</v>
      </c>
      <c r="AM174" s="182">
        <f>AL174-AL162</f>
        <v/>
      </c>
      <c r="AN174" s="182" t="n"/>
      <c r="AO174" s="182" t="n">
        <v>80.8</v>
      </c>
      <c r="AP174" s="182">
        <f>AO174-AO162</f>
        <v/>
      </c>
      <c r="AQ174" s="182" t="n"/>
      <c r="AR174" s="182" t="n">
        <v>75.33333333333333</v>
      </c>
      <c r="AS174" s="182">
        <f>AR174-AR162</f>
        <v/>
      </c>
      <c r="AT174" s="182" t="n"/>
      <c r="AU174" s="182" t="n">
        <v>72.10000000000001</v>
      </c>
      <c r="AV174" s="182">
        <f>AU174-AU162</f>
        <v/>
      </c>
      <c r="AW174" s="182" t="n"/>
      <c r="AX174" s="341" t="n"/>
      <c r="AY174" s="196" t="n"/>
      <c r="AZ174" s="93" t="n"/>
      <c r="BA174" s="340" t="n"/>
      <c r="BB174" s="93" t="n"/>
      <c r="BC174" s="340" t="n"/>
      <c r="BD174" s="93" t="n"/>
      <c r="BE174" s="340" t="n"/>
      <c r="BF174" s="93" t="n"/>
      <c r="BG174" s="340" t="n"/>
      <c r="BH174" s="93" t="n"/>
      <c r="BI174" s="340" t="n"/>
      <c r="BJ174" s="93" t="n"/>
      <c r="BK174" s="340" t="n"/>
      <c r="BL174" s="93" t="n"/>
      <c r="BM174" s="340" t="n"/>
      <c r="BN174" s="340" t="n"/>
      <c r="BO174" s="340" t="n"/>
      <c r="BP174" s="340" t="n"/>
      <c r="BQ174" s="340" t="n"/>
      <c r="BR174" s="340" t="n"/>
      <c r="BS174" s="340" t="n"/>
      <c r="BT174" s="340" t="n"/>
      <c r="BU174" s="340" t="n"/>
      <c r="BV174" s="340" t="n"/>
      <c r="BW174" s="340" t="n"/>
      <c r="BX174" s="340" t="n"/>
      <c r="BY174" s="340" t="n"/>
      <c r="BZ174" s="340" t="n"/>
      <c r="CA174" s="340" t="n"/>
      <c r="CB174" s="340" t="n"/>
      <c r="CC174" s="340" t="n"/>
      <c r="CD174" s="340" t="n"/>
      <c r="CE174" s="340" t="n"/>
      <c r="CF174" s="340" t="n"/>
      <c r="CG174" s="340" t="n"/>
      <c r="CH174" s="340" t="n"/>
      <c r="CI174" s="340" t="n"/>
      <c r="CJ174" s="340" t="n"/>
      <c r="CK174" s="340" t="n"/>
      <c r="CL174" s="340" t="n"/>
      <c r="CM174" s="340" t="n"/>
      <c r="CN174" s="340" t="n"/>
      <c r="CO174" s="340" t="n"/>
      <c r="CP174" s="340" t="n"/>
      <c r="CQ174" s="340" t="n"/>
      <c r="CR174" s="340" t="n"/>
      <c r="CS174" s="340" t="n"/>
      <c r="CT174" s="340" t="n"/>
      <c r="CU174" s="340" t="n"/>
      <c r="CV174" s="340" t="n"/>
      <c r="CW174" s="340" t="n"/>
      <c r="CX174" s="340" t="n"/>
      <c r="CY174" s="340" t="n"/>
      <c r="CZ174" s="340" t="n"/>
      <c r="DA174" s="340" t="n"/>
      <c r="DB174" s="340" t="n"/>
      <c r="DC174" s="340" t="n"/>
      <c r="DD174" s="340" t="n"/>
      <c r="DE174" s="341" t="n"/>
      <c r="DF174" s="341" t="n"/>
    </row>
    <row r="175" ht="13" customFormat="1" customHeight="1" s="119">
      <c r="A175" s="342" t="inlineStr">
        <is>
          <t>24Q3</t>
        </is>
      </c>
      <c r="B175" s="317" t="n">
        <v>96358.8</v>
      </c>
      <c r="C175" s="142">
        <f>B175/B170-1</f>
        <v/>
      </c>
      <c r="D175" s="142" t="n"/>
      <c r="E175" s="317" t="n">
        <v>67797.60000000001</v>
      </c>
      <c r="F175" s="142">
        <f>E175/E170-1</f>
        <v/>
      </c>
      <c r="G175" s="142" t="n"/>
      <c r="H175" s="317" t="n">
        <v>25836.1</v>
      </c>
      <c r="I175" s="142">
        <f>H175/H170-1</f>
        <v/>
      </c>
      <c r="J175" s="142" t="n"/>
      <c r="K175" s="317" t="n">
        <v>2725.1</v>
      </c>
      <c r="L175" s="142">
        <f>K175/K170-1</f>
        <v/>
      </c>
      <c r="M175" s="142" t="n"/>
      <c r="N175" s="317" t="n">
        <v>78033.29999999999</v>
      </c>
      <c r="O175" s="142">
        <f>N175/N170-1</f>
        <v/>
      </c>
      <c r="P175" s="142" t="n"/>
      <c r="Q175" s="317" t="n">
        <v>55871.3</v>
      </c>
      <c r="R175" s="142">
        <f>Q175/Q170-1</f>
        <v/>
      </c>
      <c r="S175" s="142" t="n"/>
      <c r="T175" s="317" t="n">
        <v>20141.2</v>
      </c>
      <c r="U175" s="142">
        <f>T175/T170-1</f>
        <v/>
      </c>
      <c r="V175" s="142" t="n"/>
      <c r="W175" s="317" t="n">
        <v>2020.7</v>
      </c>
      <c r="X175" s="142">
        <f>W175/W170-1</f>
        <v/>
      </c>
      <c r="Y175" s="142" t="n"/>
      <c r="Z175" s="317" t="n">
        <v>42376.6</v>
      </c>
      <c r="AA175" s="142">
        <f>Z175/Z170-1</f>
        <v/>
      </c>
      <c r="AB175" s="142" t="n"/>
      <c r="AC175" s="317" t="n">
        <v>36587.3</v>
      </c>
      <c r="AD175" s="142">
        <f>AC175/AC170-1</f>
        <v/>
      </c>
      <c r="AE175" s="142" t="n"/>
      <c r="AF175" s="317" t="n">
        <v>4513.5</v>
      </c>
      <c r="AG175" s="142">
        <f>AF175/AF170-1</f>
        <v/>
      </c>
      <c r="AH175" s="142" t="n"/>
      <c r="AI175" s="317" t="n">
        <v>1275.8</v>
      </c>
      <c r="AJ175" s="142">
        <f>AI175/AI170-1</f>
        <v/>
      </c>
      <c r="AK175" s="142" t="n"/>
      <c r="AL175" s="182" t="n">
        <v>80.93333333333334</v>
      </c>
      <c r="AM175" s="182">
        <f>AL175-AL163</f>
        <v/>
      </c>
      <c r="AN175" s="182" t="n"/>
      <c r="AO175" s="182" t="n">
        <v>82.36666666666666</v>
      </c>
      <c r="AP175" s="182">
        <f>AO175-AO163</f>
        <v/>
      </c>
      <c r="AQ175" s="182" t="n"/>
      <c r="AR175" s="182" t="n">
        <v>77.89999999999999</v>
      </c>
      <c r="AS175" s="182">
        <f>AR175-AR163</f>
        <v/>
      </c>
      <c r="AT175" s="182" t="n"/>
      <c r="AU175" s="182" t="n">
        <v>73.83333333333333</v>
      </c>
      <c r="AV175" s="182">
        <f>AU175-AU163</f>
        <v/>
      </c>
      <c r="AW175" s="182" t="n"/>
      <c r="AX175" s="341" t="n"/>
      <c r="AY175" s="196" t="n"/>
      <c r="AZ175" s="93" t="n"/>
      <c r="BA175" s="340" t="n"/>
      <c r="BB175" s="93" t="n"/>
      <c r="BC175" s="340" t="n"/>
      <c r="BD175" s="93" t="n"/>
      <c r="BE175" s="340" t="n"/>
      <c r="BF175" s="93" t="n"/>
      <c r="BG175" s="340" t="n"/>
      <c r="BH175" s="93" t="n"/>
      <c r="BI175" s="340" t="n"/>
      <c r="BJ175" s="93" t="n"/>
      <c r="BK175" s="340" t="n"/>
      <c r="BL175" s="93" t="n"/>
      <c r="BM175" s="340" t="n"/>
      <c r="BN175" s="340" t="n"/>
      <c r="BO175" s="340" t="n"/>
      <c r="BP175" s="340" t="n"/>
      <c r="BQ175" s="340" t="n"/>
      <c r="BR175" s="340" t="n"/>
      <c r="BS175" s="340" t="n"/>
      <c r="BT175" s="340" t="n"/>
      <c r="BU175" s="340" t="n"/>
      <c r="BV175" s="340" t="n"/>
      <c r="BW175" s="340" t="n"/>
      <c r="BX175" s="340" t="n"/>
      <c r="BY175" s="340" t="n"/>
      <c r="BZ175" s="340" t="n"/>
      <c r="CA175" s="340" t="n"/>
      <c r="CB175" s="340" t="n"/>
      <c r="CC175" s="340" t="n"/>
      <c r="CD175" s="340" t="n"/>
      <c r="CE175" s="340" t="n"/>
      <c r="CF175" s="340" t="n"/>
      <c r="CG175" s="340" t="n"/>
      <c r="CH175" s="340" t="n"/>
      <c r="CI175" s="340" t="n"/>
      <c r="CJ175" s="340" t="n"/>
      <c r="CK175" s="340" t="n"/>
      <c r="CL175" s="340" t="n"/>
      <c r="CM175" s="340" t="n"/>
      <c r="CN175" s="340" t="n"/>
      <c r="CO175" s="340" t="n"/>
      <c r="CP175" s="340" t="n"/>
      <c r="CQ175" s="340" t="n"/>
      <c r="CR175" s="340" t="n"/>
      <c r="CS175" s="340" t="n"/>
      <c r="CT175" s="340" t="n"/>
      <c r="CU175" s="340" t="n"/>
      <c r="CV175" s="340" t="n"/>
      <c r="CW175" s="340" t="n"/>
      <c r="CX175" s="340" t="n"/>
      <c r="CY175" s="340" t="n"/>
      <c r="CZ175" s="340" t="n"/>
      <c r="DA175" s="340" t="n"/>
      <c r="DB175" s="340" t="n"/>
      <c r="DC175" s="340" t="n"/>
      <c r="DD175" s="340" t="n"/>
      <c r="DE175" s="341" t="n"/>
      <c r="DF175" s="341" t="n"/>
    </row>
    <row r="176" ht="13" customFormat="1" customHeight="1" s="119">
      <c r="A176" s="342" t="inlineStr">
        <is>
          <t>24Q4</t>
        </is>
      </c>
      <c r="B176" s="317" t="n">
        <v>87963.10000000001</v>
      </c>
      <c r="C176" s="142">
        <f>B176/B171-1</f>
        <v/>
      </c>
      <c r="D176" s="142" t="n"/>
      <c r="E176" s="317" t="n">
        <v>59598.8</v>
      </c>
      <c r="F176" s="142">
        <f>E176/E171-1</f>
        <v/>
      </c>
      <c r="G176" s="142" t="n"/>
      <c r="H176" s="317" t="n">
        <v>25696.9</v>
      </c>
      <c r="I176" s="142">
        <f>H176/H171-1</f>
        <v/>
      </c>
      <c r="J176" s="142" t="n"/>
      <c r="K176" s="317" t="n">
        <v>2667.5</v>
      </c>
      <c r="L176" s="142">
        <f>K176/K171-1</f>
        <v/>
      </c>
      <c r="M176" s="142" t="n"/>
      <c r="N176" s="317" t="n">
        <v>70085.60000000001</v>
      </c>
      <c r="O176" s="142">
        <f>N176/N171-1</f>
        <v/>
      </c>
      <c r="P176" s="142" t="n"/>
      <c r="Q176" s="317" t="n">
        <v>49046.60000000001</v>
      </c>
      <c r="R176" s="142">
        <f>Q176/Q171-1</f>
        <v/>
      </c>
      <c r="S176" s="142" t="n"/>
      <c r="T176" s="317" t="n">
        <v>19132.1</v>
      </c>
      <c r="U176" s="142">
        <f>T176/T171-1</f>
        <v/>
      </c>
      <c r="V176" s="142" t="n"/>
      <c r="W176" s="317" t="n">
        <v>1907</v>
      </c>
      <c r="X176" s="142">
        <f>W176/W171-1</f>
        <v/>
      </c>
      <c r="Y176" s="142" t="n"/>
      <c r="Z176" s="317" t="n">
        <v>37975.4</v>
      </c>
      <c r="AA176" s="142">
        <f>Z176/Z171-1</f>
        <v/>
      </c>
      <c r="AB176" s="142" t="n"/>
      <c r="AC176" s="317" t="n">
        <v>32508.4</v>
      </c>
      <c r="AD176" s="142">
        <f>AC176/AC171-1</f>
        <v/>
      </c>
      <c r="AE176" s="142" t="n"/>
      <c r="AF176" s="317" t="n">
        <v>4263.6</v>
      </c>
      <c r="AG176" s="142">
        <f>AF176/AF171-1</f>
        <v/>
      </c>
      <c r="AH176" s="142" t="n"/>
      <c r="AI176" s="317" t="n">
        <v>1203.4</v>
      </c>
      <c r="AJ176" s="142">
        <f>AI176/AI171-1</f>
        <v/>
      </c>
      <c r="AK176" s="142" t="n"/>
      <c r="AL176" s="182" t="n">
        <v>79.63333333333334</v>
      </c>
      <c r="AM176" s="182">
        <f>AL176-AL164</f>
        <v/>
      </c>
      <c r="AN176" s="182" t="n"/>
      <c r="AO176" s="182" t="n">
        <v>82.16666666666667</v>
      </c>
      <c r="AP176" s="182">
        <f>AO176-AO164</f>
        <v/>
      </c>
      <c r="AQ176" s="182" t="n"/>
      <c r="AR176" s="182" t="n">
        <v>74.43333333333334</v>
      </c>
      <c r="AS176" s="182">
        <f>AR176-AR164</f>
        <v/>
      </c>
      <c r="AT176" s="182" t="n"/>
      <c r="AU176" s="182" t="n">
        <v>71.5</v>
      </c>
      <c r="AV176" s="182">
        <f>AU176-AU164</f>
        <v/>
      </c>
      <c r="AW176" s="182" t="n"/>
      <c r="AX176" s="341" t="n"/>
      <c r="AY176" s="196" t="n"/>
      <c r="AZ176" s="93" t="n"/>
      <c r="BA176" s="340" t="n"/>
      <c r="BB176" s="93" t="n"/>
      <c r="BC176" s="340" t="n"/>
      <c r="BD176" s="93" t="n"/>
      <c r="BE176" s="340" t="n"/>
      <c r="BF176" s="93" t="n"/>
      <c r="BG176" s="340" t="n"/>
      <c r="BH176" s="93" t="n"/>
      <c r="BI176" s="340" t="n"/>
      <c r="BJ176" s="93" t="n"/>
      <c r="BK176" s="340" t="n"/>
      <c r="BL176" s="93" t="n"/>
      <c r="BM176" s="340" t="n"/>
      <c r="BN176" s="340" t="n"/>
      <c r="BO176" s="340" t="n"/>
      <c r="BP176" s="340" t="n"/>
      <c r="BQ176" s="340" t="n"/>
      <c r="BR176" s="340" t="n"/>
      <c r="BS176" s="340" t="n"/>
      <c r="BT176" s="340" t="n"/>
      <c r="BU176" s="340" t="n"/>
      <c r="BV176" s="340" t="n"/>
      <c r="BW176" s="340" t="n"/>
      <c r="BX176" s="340" t="n"/>
      <c r="BY176" s="340" t="n"/>
      <c r="BZ176" s="340" t="n"/>
      <c r="CA176" s="340" t="n"/>
      <c r="CB176" s="340" t="n"/>
      <c r="CC176" s="340" t="n"/>
      <c r="CD176" s="340" t="n"/>
      <c r="CE176" s="340" t="n"/>
      <c r="CF176" s="340" t="n"/>
      <c r="CG176" s="340" t="n"/>
      <c r="CH176" s="340" t="n"/>
      <c r="CI176" s="340" t="n"/>
      <c r="CJ176" s="340" t="n"/>
      <c r="CK176" s="340" t="n"/>
      <c r="CL176" s="340" t="n"/>
      <c r="CM176" s="340" t="n"/>
      <c r="CN176" s="340" t="n"/>
      <c r="CO176" s="340" t="n"/>
      <c r="CP176" s="340" t="n"/>
      <c r="CQ176" s="340" t="n"/>
      <c r="CR176" s="340" t="n"/>
      <c r="CS176" s="340" t="n"/>
      <c r="CT176" s="340" t="n"/>
      <c r="CU176" s="340" t="n"/>
      <c r="CV176" s="340" t="n"/>
      <c r="CW176" s="340" t="n"/>
      <c r="CX176" s="340" t="n"/>
      <c r="CY176" s="340" t="n"/>
      <c r="CZ176" s="340" t="n"/>
      <c r="DA176" s="340" t="n"/>
      <c r="DB176" s="340" t="n"/>
      <c r="DC176" s="340" t="n"/>
      <c r="DD176" s="340" t="n"/>
      <c r="DE176" s="341" t="n"/>
      <c r="DF176" s="341" t="n"/>
    </row>
    <row r="177" ht="13" customFormat="1" customHeight="1" s="119">
      <c r="A177" s="342" t="n"/>
      <c r="B177" s="317" t="n"/>
      <c r="C177" s="142" t="n"/>
      <c r="D177" s="142" t="n"/>
      <c r="E177" s="317" t="n"/>
      <c r="F177" s="142" t="n"/>
      <c r="G177" s="142" t="n"/>
      <c r="H177" s="317" t="n"/>
      <c r="I177" s="142" t="n"/>
      <c r="J177" s="142" t="n"/>
      <c r="K177" s="317" t="n"/>
      <c r="L177" s="142" t="n"/>
      <c r="M177" s="142" t="n"/>
      <c r="N177" s="317" t="n"/>
      <c r="O177" s="142" t="n"/>
      <c r="P177" s="142" t="n"/>
      <c r="Q177" s="317" t="n"/>
      <c r="R177" s="142" t="n"/>
      <c r="S177" s="142" t="n"/>
      <c r="T177" s="317" t="n"/>
      <c r="U177" s="142" t="n"/>
      <c r="V177" s="142" t="n"/>
      <c r="W177" s="317" t="n"/>
      <c r="X177" s="142" t="n"/>
      <c r="Y177" s="142" t="n"/>
      <c r="Z177" s="317" t="n"/>
      <c r="AA177" s="142" t="n"/>
      <c r="AB177" s="142" t="n"/>
      <c r="AC177" s="317" t="n"/>
      <c r="AD177" s="142" t="n"/>
      <c r="AE177" s="142" t="n"/>
      <c r="AF177" s="317" t="n"/>
      <c r="AG177" s="142" t="n"/>
      <c r="AH177" s="142" t="n"/>
      <c r="AI177" s="317" t="n"/>
      <c r="AJ177" s="142" t="n"/>
      <c r="AK177" s="142" t="n"/>
      <c r="AL177" s="317" t="n"/>
      <c r="AM177" s="317" t="n"/>
      <c r="AN177" s="182" t="n"/>
      <c r="AO177" s="317" t="n"/>
      <c r="AP177" s="317" t="n"/>
      <c r="AQ177" s="182" t="n"/>
      <c r="AR177" s="317" t="n"/>
      <c r="AS177" s="317" t="n"/>
      <c r="AT177" s="182" t="n"/>
      <c r="AU177" s="317" t="n"/>
      <c r="AV177" s="317" t="n"/>
      <c r="AW177" s="182" t="n"/>
      <c r="AX177" s="183" t="n"/>
      <c r="AY177" s="340" t="n"/>
      <c r="AZ177" s="93" t="n"/>
      <c r="BA177" s="340" t="n"/>
      <c r="BB177" s="93" t="n"/>
      <c r="BC177" s="340" t="n"/>
      <c r="BD177" s="93" t="n"/>
      <c r="BE177" s="340" t="n"/>
      <c r="BF177" s="93" t="n"/>
      <c r="BG177" s="340" t="n"/>
      <c r="BH177" s="93" t="n"/>
      <c r="BI177" s="340" t="n"/>
      <c r="BJ177" s="93" t="n"/>
      <c r="BK177" s="340" t="n"/>
      <c r="BL177" s="93" t="n"/>
      <c r="BM177" s="340" t="n"/>
      <c r="BN177" s="340" t="n"/>
      <c r="BO177" s="340" t="n"/>
      <c r="BP177" s="340" t="n"/>
      <c r="BQ177" s="340" t="n"/>
      <c r="BR177" s="340" t="n"/>
      <c r="BS177" s="340" t="n"/>
      <c r="BT177" s="340" t="n"/>
      <c r="BU177" s="340" t="n"/>
      <c r="BV177" s="340" t="n"/>
      <c r="BW177" s="340" t="n"/>
      <c r="BX177" s="340" t="n"/>
      <c r="BY177" s="340" t="n"/>
      <c r="BZ177" s="340" t="n"/>
      <c r="CA177" s="340" t="n"/>
      <c r="CB177" s="340" t="n"/>
      <c r="CC177" s="340" t="n"/>
      <c r="CD177" s="340" t="n"/>
      <c r="CE177" s="340" t="n"/>
      <c r="CF177" s="340" t="n"/>
      <c r="CG177" s="340" t="n"/>
      <c r="CH177" s="340" t="n"/>
      <c r="CI177" s="340" t="n"/>
      <c r="CJ177" s="340" t="n"/>
      <c r="CK177" s="340" t="n"/>
      <c r="CL177" s="340" t="n"/>
      <c r="CM177" s="340" t="n"/>
      <c r="CN177" s="340" t="n"/>
      <c r="CO177" s="340" t="n"/>
      <c r="CP177" s="340" t="n"/>
      <c r="CQ177" s="340" t="n"/>
      <c r="CR177" s="340" t="n"/>
      <c r="CS177" s="340" t="n"/>
      <c r="CT177" s="340" t="n"/>
      <c r="CU177" s="340" t="n"/>
      <c r="CV177" s="340" t="n"/>
      <c r="CW177" s="340" t="n"/>
      <c r="CX177" s="340" t="n"/>
      <c r="CY177" s="340" t="n"/>
      <c r="CZ177" s="340" t="n"/>
      <c r="DA177" s="340" t="n"/>
      <c r="DB177" s="340" t="n"/>
      <c r="DC177" s="340" t="n"/>
      <c r="DD177" s="340" t="n"/>
      <c r="DE177" s="341" t="n"/>
      <c r="DF177" s="341" t="n"/>
    </row>
    <row r="178" ht="13" customFormat="1" customHeight="1" s="119">
      <c r="A178" s="342" t="inlineStr">
        <is>
          <t>25Q1</t>
        </is>
      </c>
      <c r="B178" s="317" t="n">
        <v>88459.8</v>
      </c>
      <c r="C178" s="142">
        <f>B178/B173-1</f>
        <v/>
      </c>
      <c r="D178" s="142" t="n"/>
      <c r="E178" s="317" t="n">
        <v>60788.3</v>
      </c>
      <c r="F178" s="142">
        <f>E178/E173-1</f>
        <v/>
      </c>
      <c r="G178" s="142" t="n"/>
      <c r="H178" s="317" t="n">
        <v>25203.8</v>
      </c>
      <c r="I178" s="142">
        <f>H178/H173-1</f>
        <v/>
      </c>
      <c r="J178" s="142" t="n"/>
      <c r="K178" s="317" t="n">
        <v>2467.6</v>
      </c>
      <c r="L178" s="142">
        <f>K178/K173-1</f>
        <v/>
      </c>
      <c r="M178" s="142" t="n"/>
      <c r="N178" s="317" t="n">
        <v>70971.2</v>
      </c>
      <c r="O178" s="142">
        <f>N178/N173-1</f>
        <v/>
      </c>
      <c r="P178" s="142" t="n"/>
      <c r="Q178" s="317" t="n">
        <v>49927.8</v>
      </c>
      <c r="R178" s="142">
        <f>Q178/Q173-1</f>
        <v/>
      </c>
      <c r="S178" s="142" t="n"/>
      <c r="T178" s="317" t="n">
        <v>19263.8</v>
      </c>
      <c r="U178" s="142">
        <f>T178/T173-1</f>
        <v/>
      </c>
      <c r="V178" s="142" t="n"/>
      <c r="W178" s="317" t="n">
        <v>1779.8</v>
      </c>
      <c r="X178" s="142">
        <f>W178/W173-1</f>
        <v/>
      </c>
      <c r="Y178" s="142" t="n"/>
      <c r="Z178" s="317" t="n">
        <v>38115.2</v>
      </c>
      <c r="AA178" s="142">
        <f>Z178/Z173-1</f>
        <v/>
      </c>
      <c r="AB178" s="142" t="n"/>
      <c r="AC178" s="317" t="n">
        <v>32577.7</v>
      </c>
      <c r="AD178" s="142">
        <f>AC178/AC173-1</f>
        <v/>
      </c>
      <c r="AE178" s="142" t="n"/>
      <c r="AF178" s="317" t="n">
        <v>4399.2</v>
      </c>
      <c r="AG178" s="142">
        <f>AF178/AF173-1</f>
        <v/>
      </c>
      <c r="AH178" s="142" t="n"/>
      <c r="AI178" s="317" t="n">
        <v>1138.2</v>
      </c>
      <c r="AJ178" s="142">
        <f>AI178/AI173-1</f>
        <v/>
      </c>
      <c r="AK178" s="142" t="n"/>
      <c r="AL178" s="182" t="n">
        <v>80.3</v>
      </c>
      <c r="AM178" s="182">
        <f>AL178-AL166</f>
        <v/>
      </c>
      <c r="AN178" s="317" t="n"/>
      <c r="AO178" s="182" t="n">
        <v>82.16666666666667</v>
      </c>
      <c r="AP178" s="182">
        <f>AO178-AO166</f>
        <v/>
      </c>
      <c r="AQ178" s="317" t="n"/>
      <c r="AR178" s="182" t="n">
        <v>76.39999999999999</v>
      </c>
      <c r="AS178" s="182">
        <f>AR178-AR166</f>
        <v/>
      </c>
      <c r="AT178" s="317" t="n"/>
      <c r="AU178" s="182" t="n">
        <v>72.13333333333334</v>
      </c>
      <c r="AV178" s="182">
        <f>AU178-AU166</f>
        <v/>
      </c>
      <c r="AW178" s="317" t="n"/>
      <c r="AX178" s="341" t="n"/>
      <c r="AY178" s="196" t="n"/>
      <c r="AZ178" s="93" t="n"/>
      <c r="BA178" s="340" t="n"/>
      <c r="BB178" s="93" t="n"/>
      <c r="BC178" s="340" t="n"/>
      <c r="BD178" s="93" t="n"/>
      <c r="BE178" s="340" t="n"/>
      <c r="BF178" s="93" t="n"/>
      <c r="BG178" s="340" t="n"/>
      <c r="BH178" s="93" t="n"/>
      <c r="BI178" s="340" t="n"/>
      <c r="BJ178" s="93" t="n"/>
      <c r="BK178" s="340" t="n"/>
      <c r="BL178" s="93" t="n"/>
      <c r="BM178" s="340" t="n"/>
      <c r="BN178" s="340" t="n"/>
      <c r="BO178" s="340" t="n"/>
      <c r="BP178" s="340" t="n"/>
      <c r="BQ178" s="340" t="n"/>
      <c r="BR178" s="340" t="n"/>
      <c r="BS178" s="340" t="n"/>
      <c r="BT178" s="340" t="n"/>
      <c r="BU178" s="340" t="n"/>
      <c r="BV178" s="340" t="n"/>
      <c r="BW178" s="340" t="n"/>
      <c r="BX178" s="340" t="n"/>
      <c r="BY178" s="340" t="n"/>
      <c r="BZ178" s="340" t="n"/>
      <c r="CA178" s="340" t="n"/>
      <c r="CB178" s="340" t="n"/>
      <c r="CC178" s="340" t="n"/>
      <c r="CD178" s="340" t="n"/>
      <c r="CE178" s="340" t="n"/>
      <c r="CF178" s="340" t="n"/>
      <c r="CG178" s="340" t="n"/>
      <c r="CH178" s="340" t="n"/>
      <c r="CI178" s="340" t="n"/>
      <c r="CJ178" s="340" t="n"/>
      <c r="CK178" s="340" t="n"/>
      <c r="CL178" s="340" t="n"/>
      <c r="CM178" s="340" t="n"/>
      <c r="CN178" s="340" t="n"/>
      <c r="CO178" s="340" t="n"/>
      <c r="CP178" s="340" t="n"/>
      <c r="CQ178" s="340" t="n"/>
      <c r="CR178" s="340" t="n"/>
      <c r="CS178" s="340" t="n"/>
      <c r="CT178" s="340" t="n"/>
      <c r="CU178" s="340" t="n"/>
      <c r="CV178" s="340" t="n"/>
      <c r="CW178" s="340" t="n"/>
      <c r="CX178" s="340" t="n"/>
      <c r="CY178" s="340" t="n"/>
      <c r="CZ178" s="340" t="n"/>
      <c r="DA178" s="340" t="n"/>
      <c r="DB178" s="340" t="n"/>
      <c r="DC178" s="340" t="n"/>
      <c r="DD178" s="340" t="n"/>
      <c r="DE178" s="341" t="n"/>
      <c r="DF178" s="341" t="n"/>
    </row>
    <row r="179" ht="13" customFormat="1" customHeight="1" s="116">
      <c r="A179" s="415" t="n"/>
      <c r="B179" s="317" t="n"/>
      <c r="C179" s="142" t="n"/>
      <c r="D179" s="142" t="n"/>
      <c r="E179" s="317" t="n"/>
      <c r="F179" s="142" t="n"/>
      <c r="G179" s="142" t="n"/>
      <c r="H179" s="317" t="n"/>
      <c r="I179" s="142" t="n"/>
      <c r="J179" s="142" t="n"/>
      <c r="K179" s="317" t="n"/>
      <c r="L179" s="142" t="n"/>
      <c r="M179" s="142" t="n"/>
      <c r="N179" s="317" t="n"/>
      <c r="O179" s="142" t="n"/>
      <c r="P179" s="142" t="n"/>
      <c r="Q179" s="317" t="n"/>
      <c r="R179" s="142" t="n"/>
      <c r="S179" s="142" t="n"/>
      <c r="T179" s="317" t="n"/>
      <c r="U179" s="142" t="n"/>
      <c r="V179" s="142" t="n"/>
      <c r="W179" s="317" t="n"/>
      <c r="X179" s="142" t="n"/>
      <c r="Y179" s="142" t="n"/>
      <c r="Z179" s="317" t="n"/>
      <c r="AA179" s="142" t="n"/>
      <c r="AB179" s="142" t="n"/>
      <c r="AC179" s="317" t="n"/>
      <c r="AD179" s="142" t="n"/>
      <c r="AE179" s="142" t="n"/>
      <c r="AF179" s="317" t="n"/>
      <c r="AG179" s="142" t="n"/>
      <c r="AH179" s="142" t="n"/>
      <c r="AI179" s="317" t="n"/>
      <c r="AJ179" s="142" t="n"/>
      <c r="AK179" s="142" t="n"/>
      <c r="AL179" s="317" t="n"/>
      <c r="AM179" s="317" t="n"/>
      <c r="AN179" s="317" t="n"/>
      <c r="AO179" s="317" t="n"/>
      <c r="AP179" s="317" t="n"/>
      <c r="AQ179" s="317" t="n"/>
      <c r="AR179" s="317" t="n"/>
      <c r="AS179" s="317" t="n"/>
      <c r="AT179" s="317" t="n"/>
      <c r="AU179" s="317" t="n"/>
      <c r="AV179" s="317" t="n"/>
      <c r="AW179" s="317" t="n"/>
      <c r="AX179" s="268" t="n"/>
      <c r="AY179" s="317" t="n"/>
      <c r="AZ179" s="317" t="n"/>
      <c r="BA179" s="317" t="n"/>
      <c r="BB179" s="317" t="n"/>
      <c r="BC179" s="317" t="n"/>
      <c r="BD179" s="317" t="n"/>
      <c r="BE179" s="317" t="n"/>
      <c r="BF179" s="317" t="n"/>
      <c r="BG179" s="317" t="n"/>
      <c r="BH179" s="317" t="n"/>
      <c r="BI179" s="317" t="n"/>
      <c r="BJ179" s="317" t="n"/>
      <c r="BK179" s="317" t="n"/>
      <c r="BL179" s="317" t="n"/>
      <c r="BM179" s="317" t="n"/>
      <c r="BN179" s="317" t="n"/>
      <c r="BO179" s="317" t="n"/>
      <c r="BP179" s="317" t="n"/>
      <c r="BQ179" s="317" t="n"/>
      <c r="BR179" s="317" t="n"/>
      <c r="BS179" s="317" t="n"/>
      <c r="BT179" s="317" t="n"/>
      <c r="BU179" s="317" t="n"/>
      <c r="BV179" s="317" t="n"/>
      <c r="BW179" s="317" t="n"/>
      <c r="BX179" s="317" t="n"/>
      <c r="BY179" s="317" t="n"/>
      <c r="BZ179" s="317" t="n"/>
      <c r="CA179" s="317" t="n"/>
      <c r="CB179" s="317" t="n"/>
      <c r="CC179" s="317" t="n"/>
      <c r="CD179" s="317" t="n"/>
      <c r="CE179" s="317" t="n"/>
      <c r="CF179" s="317" t="n"/>
      <c r="CG179" s="317" t="n"/>
      <c r="CH179" s="317" t="n"/>
      <c r="CI179" s="317" t="n"/>
      <c r="CJ179" s="317" t="n"/>
      <c r="CK179" s="317" t="n"/>
      <c r="CL179" s="317" t="n"/>
      <c r="CM179" s="317" t="n"/>
      <c r="CN179" s="317" t="n"/>
      <c r="CO179" s="317" t="n"/>
      <c r="CP179" s="343" t="n"/>
      <c r="CQ179" s="317" t="n"/>
      <c r="CR179" s="343" t="n"/>
      <c r="CS179" s="317" t="n"/>
      <c r="CT179" s="343" t="n"/>
      <c r="CU179" s="317" t="n"/>
      <c r="CV179" s="343" t="n"/>
      <c r="CW179" s="317" t="n"/>
      <c r="CX179" s="317" t="n"/>
      <c r="CY179" s="317" t="n"/>
      <c r="CZ179" s="317" t="n"/>
      <c r="DA179" s="317" t="n"/>
      <c r="DB179" s="317" t="n"/>
      <c r="DC179" s="317" t="n"/>
      <c r="DD179" s="317" t="n"/>
      <c r="DE179" s="319" t="n"/>
      <c r="DF179" s="319" t="n"/>
    </row>
    <row r="180" ht="13" customFormat="1" customHeight="1" s="116">
      <c r="A180" s="416">
        <f>"YTD"</f>
        <v/>
      </c>
      <c r="B180" s="317" t="n"/>
      <c r="C180" s="142" t="n"/>
      <c r="D180" s="142" t="n"/>
      <c r="E180" s="317" t="n"/>
      <c r="F180" s="142" t="n"/>
      <c r="G180" s="142" t="n"/>
      <c r="H180" s="317" t="n"/>
      <c r="I180" s="142" t="n"/>
      <c r="J180" s="142" t="n"/>
      <c r="K180" s="317" t="n"/>
      <c r="L180" s="142" t="n"/>
      <c r="M180" s="142" t="n"/>
      <c r="N180" s="317" t="n"/>
      <c r="O180" s="142" t="n"/>
      <c r="P180" s="142" t="n"/>
      <c r="Q180" s="317" t="n"/>
      <c r="R180" s="142" t="n"/>
      <c r="S180" s="142" t="n"/>
      <c r="T180" s="317" t="n"/>
      <c r="U180" s="142" t="n"/>
      <c r="V180" s="142" t="n"/>
      <c r="W180" s="317" t="n"/>
      <c r="X180" s="142" t="n"/>
      <c r="Y180" s="142" t="n"/>
      <c r="Z180" s="317" t="n"/>
      <c r="AA180" s="142" t="n"/>
      <c r="AB180" s="142" t="n"/>
      <c r="AC180" s="317" t="n"/>
      <c r="AD180" s="142" t="n"/>
      <c r="AE180" s="142" t="n"/>
      <c r="AF180" s="317" t="n"/>
      <c r="AG180" s="142" t="n"/>
      <c r="AH180" s="142" t="n"/>
      <c r="AI180" s="317" t="n"/>
      <c r="AJ180" s="142" t="n"/>
      <c r="AK180" s="142" t="n"/>
      <c r="AL180" s="317" t="n"/>
      <c r="AM180" s="182">
        <f>AL180-AL168</f>
        <v/>
      </c>
      <c r="AN180" s="317" t="n"/>
      <c r="AO180" s="317" t="n"/>
      <c r="AP180" s="182">
        <f>AO180-AO168</f>
        <v/>
      </c>
      <c r="AQ180" s="317" t="n"/>
      <c r="AR180" s="317" t="n"/>
      <c r="AS180" s="182">
        <f>AR180-AR168</f>
        <v/>
      </c>
      <c r="AT180" s="317" t="n"/>
      <c r="AU180" s="317" t="n"/>
      <c r="AV180" s="182">
        <f>AU180-AU168</f>
        <v/>
      </c>
      <c r="AW180" s="317" t="n"/>
      <c r="AX180" s="268" t="n"/>
      <c r="AY180" s="317" t="n"/>
      <c r="AZ180" s="317" t="n"/>
      <c r="BA180" s="317" t="n"/>
      <c r="BB180" s="317" t="n"/>
      <c r="BC180" s="317" t="n"/>
      <c r="BD180" s="317" t="n"/>
      <c r="BE180" s="317" t="n"/>
      <c r="BF180" s="317" t="n"/>
      <c r="BG180" s="317" t="n"/>
      <c r="BH180" s="317" t="n"/>
      <c r="BI180" s="317" t="n"/>
      <c r="BJ180" s="317" t="n"/>
      <c r="BK180" s="317" t="n"/>
      <c r="BL180" s="317" t="n"/>
      <c r="BM180" s="317" t="n"/>
      <c r="BN180" s="317" t="n"/>
      <c r="BO180" s="317" t="n"/>
      <c r="BP180" s="317" t="n"/>
      <c r="BQ180" s="317" t="n"/>
      <c r="BR180" s="317" t="n"/>
      <c r="BS180" s="317" t="n"/>
      <c r="BT180" s="317" t="n"/>
      <c r="BU180" s="317" t="n"/>
      <c r="BV180" s="317" t="n"/>
      <c r="BW180" s="317" t="n"/>
      <c r="BX180" s="317" t="n"/>
      <c r="BY180" s="317" t="n"/>
      <c r="BZ180" s="317" t="n"/>
      <c r="CA180" s="317" t="n"/>
      <c r="CB180" s="317" t="n"/>
      <c r="CC180" s="317" t="n"/>
      <c r="CD180" s="317" t="n"/>
      <c r="CE180" s="317" t="n"/>
      <c r="CF180" s="317" t="n"/>
      <c r="CG180" s="317" t="n"/>
      <c r="CH180" s="317" t="n"/>
      <c r="CI180" s="317" t="n"/>
      <c r="CJ180" s="317" t="n"/>
      <c r="CK180" s="317" t="n"/>
      <c r="CL180" s="317" t="n"/>
      <c r="CM180" s="317" t="n"/>
      <c r="CN180" s="317" t="n"/>
      <c r="CO180" s="317" t="n"/>
      <c r="CP180" s="343" t="n"/>
      <c r="CQ180" s="317" t="n"/>
      <c r="CR180" s="343" t="n"/>
      <c r="CS180" s="317" t="n"/>
      <c r="CT180" s="343" t="n"/>
      <c r="CU180" s="317" t="n"/>
      <c r="CV180" s="343" t="n"/>
      <c r="CW180" s="317" t="n"/>
      <c r="CX180" s="317" t="n"/>
      <c r="CY180" s="317" t="n"/>
      <c r="CZ180" s="317" t="n"/>
      <c r="DA180" s="317" t="n"/>
      <c r="DB180" s="317" t="n"/>
      <c r="DC180" s="317" t="n"/>
      <c r="DD180" s="317" t="n"/>
      <c r="DE180" s="319" t="n"/>
      <c r="DF180" s="319" t="n"/>
    </row>
    <row r="181" ht="13" customFormat="1" customHeight="1" s="116">
      <c r="A181" s="417">
        <f>5</f>
        <v/>
      </c>
      <c r="B181" s="317" t="n"/>
      <c r="C181" s="142" t="n"/>
      <c r="D181" s="142" t="n"/>
      <c r="E181" s="317" t="n"/>
      <c r="F181" s="142" t="n"/>
      <c r="G181" s="142" t="n"/>
      <c r="H181" s="317" t="n"/>
      <c r="I181" s="142" t="n"/>
      <c r="J181" s="142" t="n"/>
      <c r="K181" s="317" t="n"/>
      <c r="L181" s="142" t="n"/>
      <c r="M181" s="142" t="n"/>
      <c r="N181" s="317" t="n"/>
      <c r="O181" s="142" t="n"/>
      <c r="P181" s="142" t="n"/>
      <c r="Q181" s="317" t="n"/>
      <c r="R181" s="142" t="n"/>
      <c r="S181" s="142" t="n"/>
      <c r="T181" s="317" t="n"/>
      <c r="U181" s="142" t="n"/>
      <c r="V181" s="142" t="n"/>
      <c r="W181" s="317" t="n"/>
      <c r="X181" s="142" t="n"/>
      <c r="Y181" s="142" t="n"/>
      <c r="Z181" s="317" t="n"/>
      <c r="AA181" s="142" t="n"/>
      <c r="AB181" s="142" t="n"/>
      <c r="AC181" s="317" t="n"/>
      <c r="AD181" s="142" t="n"/>
      <c r="AE181" s="142" t="n"/>
      <c r="AF181" s="317" t="n"/>
      <c r="AG181" s="142" t="n"/>
      <c r="AH181" s="142" t="n"/>
      <c r="AI181" s="317" t="n"/>
      <c r="AJ181" s="142" t="n"/>
      <c r="AK181" s="142" t="n"/>
      <c r="AL181" s="317" t="n"/>
      <c r="AM181" s="182">
        <f>AL181-AL169</f>
        <v/>
      </c>
      <c r="AN181" s="317" t="n"/>
      <c r="AO181" s="317" t="n"/>
      <c r="AP181" s="182">
        <f>AO181-AO169</f>
        <v/>
      </c>
      <c r="AQ181" s="317" t="n"/>
      <c r="AR181" s="317" t="n"/>
      <c r="AS181" s="182">
        <f>AR181-AR169</f>
        <v/>
      </c>
      <c r="AT181" s="317" t="n"/>
      <c r="AU181" s="317" t="n"/>
      <c r="AV181" s="182">
        <f>AU181-AU169</f>
        <v/>
      </c>
      <c r="AW181" s="317" t="n"/>
      <c r="AX181" s="268" t="n"/>
      <c r="AY181" s="317" t="n"/>
      <c r="AZ181" s="317" t="n"/>
      <c r="BA181" s="317" t="n"/>
      <c r="BB181" s="317" t="n"/>
      <c r="BC181" s="317" t="n"/>
      <c r="BD181" s="317" t="n"/>
      <c r="BE181" s="317" t="n"/>
      <c r="BF181" s="317" t="n"/>
      <c r="BG181" s="317" t="n"/>
      <c r="BH181" s="317" t="n"/>
      <c r="BI181" s="317" t="n"/>
      <c r="BJ181" s="317" t="n"/>
      <c r="BK181" s="317" t="n"/>
      <c r="BL181" s="317" t="n"/>
      <c r="BM181" s="317" t="n"/>
      <c r="BN181" s="317" t="n"/>
      <c r="BO181" s="317" t="n"/>
      <c r="BP181" s="317" t="n"/>
      <c r="BQ181" s="317" t="n"/>
      <c r="BR181" s="317" t="n"/>
      <c r="BS181" s="317" t="n"/>
      <c r="BT181" s="317" t="n"/>
      <c r="BU181" s="317" t="n"/>
      <c r="BV181" s="317" t="n"/>
      <c r="BW181" s="317" t="n"/>
      <c r="BX181" s="317" t="n"/>
      <c r="BY181" s="317" t="n"/>
      <c r="BZ181" s="317" t="n"/>
      <c r="CA181" s="317" t="n"/>
      <c r="CB181" s="317" t="n"/>
      <c r="CC181" s="317" t="n"/>
      <c r="CD181" s="317" t="n"/>
      <c r="CE181" s="317" t="n"/>
      <c r="CF181" s="317" t="n"/>
      <c r="CG181" s="317" t="n"/>
      <c r="CH181" s="317" t="n"/>
      <c r="CI181" s="317" t="n"/>
      <c r="CJ181" s="317" t="n"/>
      <c r="CK181" s="317" t="n"/>
      <c r="CL181" s="317" t="n"/>
      <c r="CM181" s="317" t="n"/>
      <c r="CN181" s="317" t="n"/>
      <c r="CO181" s="317" t="n"/>
      <c r="CP181" s="343" t="n"/>
      <c r="CQ181" s="317" t="n"/>
      <c r="CR181" s="343" t="n"/>
      <c r="CS181" s="317" t="n"/>
      <c r="CT181" s="343" t="n"/>
      <c r="CU181" s="317" t="n"/>
      <c r="CV181" s="343" t="n"/>
      <c r="CW181" s="317" t="n"/>
      <c r="CX181" s="317" t="n"/>
      <c r="CY181" s="317" t="n"/>
      <c r="CZ181" s="317" t="n"/>
      <c r="DA181" s="317" t="n"/>
      <c r="DB181" s="317" t="n"/>
      <c r="DC181" s="317" t="n"/>
      <c r="DD181" s="317" t="n"/>
      <c r="DE181" s="319" t="n"/>
      <c r="DF181" s="319" t="n"/>
    </row>
    <row r="182" ht="13" customFormat="1" customHeight="1" s="116">
      <c r="A182" s="351" t="inlineStr">
        <is>
          <t>月份</t>
        </is>
      </c>
      <c r="B182" s="317" t="n"/>
      <c r="C182" s="97" t="n"/>
      <c r="D182" s="97" t="n"/>
      <c r="E182" s="317" t="n"/>
      <c r="F182" s="97" t="n"/>
      <c r="G182" s="97" t="n"/>
      <c r="H182" s="317" t="n"/>
      <c r="I182" s="97" t="n"/>
      <c r="J182" s="97" t="n"/>
      <c r="K182" s="317" t="n"/>
      <c r="L182" s="97" t="n"/>
      <c r="M182" s="97" t="n"/>
      <c r="N182" s="317" t="n"/>
      <c r="O182" s="97" t="n"/>
      <c r="P182" s="97" t="n"/>
      <c r="Q182" s="317" t="n"/>
      <c r="R182" s="97" t="n"/>
      <c r="S182" s="97" t="n"/>
      <c r="T182" s="317" t="n"/>
      <c r="U182" s="97" t="n"/>
      <c r="V182" s="97" t="n"/>
      <c r="W182" s="317" t="n"/>
      <c r="X182" s="97" t="n"/>
      <c r="Y182" s="97" t="n"/>
      <c r="Z182" s="317" t="n"/>
      <c r="AA182" s="97" t="n"/>
      <c r="AB182" s="97" t="n"/>
      <c r="AC182" s="317" t="n"/>
      <c r="AD182" s="97" t="n"/>
      <c r="AE182" s="97" t="n"/>
      <c r="AF182" s="317" t="n"/>
      <c r="AG182" s="97" t="n"/>
      <c r="AH182" s="97" t="n"/>
      <c r="AI182" s="317" t="n"/>
      <c r="AJ182" s="97" t="n"/>
      <c r="AK182" s="97" t="n"/>
      <c r="AL182" s="317" t="n"/>
      <c r="AM182" s="418">
        <f>AL182-AL170</f>
        <v/>
      </c>
      <c r="AN182" s="97" t="n"/>
      <c r="AO182" s="317" t="n"/>
      <c r="AP182" s="418">
        <f>AO182-AO170</f>
        <v/>
      </c>
      <c r="AQ182" s="97" t="n"/>
      <c r="AR182" s="317" t="n"/>
      <c r="AS182" s="418">
        <f>AR182-AR170</f>
        <v/>
      </c>
      <c r="AT182" s="97" t="n"/>
      <c r="AU182" s="317" t="n"/>
      <c r="AV182" s="418">
        <f>AU182-AU170</f>
        <v/>
      </c>
      <c r="AW182" s="97" t="n"/>
      <c r="AX182" s="268" t="n"/>
      <c r="AY182" s="317" t="n"/>
      <c r="AZ182" s="97" t="n"/>
      <c r="BA182" s="317" t="n"/>
      <c r="BB182" s="97" t="n"/>
      <c r="BC182" s="317" t="n"/>
      <c r="BD182" s="97" t="n"/>
      <c r="BE182" s="317" t="n"/>
      <c r="BF182" s="97" t="n"/>
      <c r="BG182" s="317" t="n"/>
      <c r="BH182" s="97" t="n"/>
      <c r="BI182" s="317" t="n"/>
      <c r="BJ182" s="97" t="n"/>
      <c r="BK182" s="317" t="n"/>
      <c r="BL182" s="97" t="n"/>
      <c r="BM182" s="317" t="n"/>
      <c r="BN182" s="97" t="n"/>
      <c r="BO182" s="317" t="n"/>
      <c r="BP182" s="317" t="n"/>
      <c r="BQ182" s="97" t="n"/>
      <c r="BR182" s="317" t="n"/>
      <c r="BS182" s="97" t="n"/>
      <c r="BT182" s="317" t="n"/>
      <c r="BU182" s="97" t="n"/>
      <c r="BV182" s="317" t="n"/>
      <c r="BW182" s="97" t="n"/>
      <c r="BX182" s="317" t="n"/>
      <c r="BY182" s="97" t="n"/>
      <c r="BZ182" s="317" t="n"/>
      <c r="CA182" s="97" t="n"/>
      <c r="CB182" s="317" t="n"/>
      <c r="CC182" s="97" t="n"/>
      <c r="CD182" s="317" t="n"/>
      <c r="CE182" s="97" t="n"/>
      <c r="CF182" s="317" t="n"/>
      <c r="CG182" s="97" t="n"/>
      <c r="CH182" s="317" t="n"/>
      <c r="CI182" s="97" t="n"/>
      <c r="CJ182" s="317" t="n"/>
      <c r="CK182" s="97" t="n"/>
      <c r="CL182" s="317" t="n"/>
      <c r="CM182" s="97" t="n"/>
      <c r="CN182" s="317" t="n"/>
      <c r="CO182" s="97" t="n"/>
      <c r="CP182" s="317" t="n"/>
      <c r="CQ182" s="97" t="n"/>
      <c r="CR182" s="317" t="n"/>
      <c r="CS182" s="97" t="n"/>
      <c r="CT182" s="317" t="n"/>
      <c r="CU182" s="97" t="n"/>
      <c r="CV182" s="346" t="n"/>
      <c r="CW182" s="317" t="n"/>
      <c r="CX182" s="97" t="n"/>
      <c r="CY182" s="317" t="n"/>
      <c r="CZ182" s="97" t="n"/>
      <c r="DA182" s="317" t="n"/>
      <c r="DB182" s="97" t="n"/>
      <c r="DC182" s="317" t="n"/>
      <c r="DD182" s="97" t="n"/>
      <c r="DE182" s="319" t="n"/>
      <c r="DF182" s="319" t="n"/>
    </row>
    <row r="183" ht="13" customFormat="1" customHeight="1" s="116">
      <c r="A183" s="188" t="inlineStr">
        <is>
          <t>2018年</t>
        </is>
      </c>
      <c r="B183" s="317">
        <f>SUM(B52:INDEX(B:B, 52+$A181-1))</f>
        <v/>
      </c>
      <c r="C183" s="39" t="inlineStr"/>
      <c r="D183" s="39" t="n"/>
      <c r="E183" s="317">
        <f>SUM(E52:INDEX(E:E, 52+$A181-1))</f>
        <v/>
      </c>
      <c r="F183" s="39" t="inlineStr"/>
      <c r="G183" s="39" t="n"/>
      <c r="H183" s="317">
        <f>SUM(H52:INDEX(H:H, 52+$A181-1))</f>
        <v/>
      </c>
      <c r="I183" s="39" t="inlineStr"/>
      <c r="J183" s="39" t="n"/>
      <c r="K183" s="317">
        <f>SUM(K52:INDEX(K:K, 52+$A181-1))</f>
        <v/>
      </c>
      <c r="L183" s="39" t="inlineStr"/>
      <c r="M183" s="39" t="n"/>
      <c r="N183" s="317">
        <f>SUM(N52:INDEX(N:N, 52+$A181-1))</f>
        <v/>
      </c>
      <c r="O183" s="39" t="inlineStr"/>
      <c r="P183" s="39" t="n"/>
      <c r="Q183" s="317">
        <f>SUM(Q52:INDEX(Q:Q, 52+$A181-1))</f>
        <v/>
      </c>
      <c r="R183" s="39" t="inlineStr"/>
      <c r="S183" s="39" t="n"/>
      <c r="T183" s="317">
        <f>SUM(T52:INDEX(T:T, 52+$A181-1))</f>
        <v/>
      </c>
      <c r="U183" s="39" t="inlineStr"/>
      <c r="V183" s="39" t="n"/>
      <c r="W183" s="317">
        <f>SUM(W52:INDEX(W:W, 52+$A181-1))</f>
        <v/>
      </c>
      <c r="X183" s="39" t="inlineStr"/>
      <c r="Y183" s="39" t="n"/>
      <c r="Z183" s="317">
        <f>SUM(Z52:INDEX(Z:Z, 52+$A181-1))</f>
        <v/>
      </c>
      <c r="AA183" s="39" t="inlineStr"/>
      <c r="AB183" s="39" t="n"/>
      <c r="AC183" s="317">
        <f>SUM(AC52:INDEX(AC:AC, 52+$A181-1))</f>
        <v/>
      </c>
      <c r="AD183" s="39" t="inlineStr"/>
      <c r="AE183" s="39" t="n"/>
      <c r="AF183" s="317">
        <f>SUM(AF52:INDEX(AF:AF, 52+$A181-1))</f>
        <v/>
      </c>
      <c r="AG183" s="39" t="inlineStr"/>
      <c r="AH183" s="39" t="n"/>
      <c r="AI183" s="317">
        <f>SUM(AI52:INDEX(AI:AI, 52+$A181-1))</f>
        <v/>
      </c>
      <c r="AJ183" s="39" t="inlineStr"/>
      <c r="AK183" s="39" t="n"/>
      <c r="AL183" s="182">
        <f>AVERAGE(AL52:INDEX(AL:AL, 52+$A181-1))</f>
        <v/>
      </c>
      <c r="AM183" s="268" t="n"/>
      <c r="AN183" s="317" t="n"/>
      <c r="AO183" s="182">
        <f>AVERAGE(AO52:INDEX(AO:AO, 52+$A181-1))</f>
        <v/>
      </c>
      <c r="AP183" s="268" t="n"/>
      <c r="AQ183" s="317" t="n"/>
      <c r="AR183" s="182">
        <f>AVERAGE(AR52:INDEX(AR:AR, 52+$A181-1))</f>
        <v/>
      </c>
      <c r="AS183" s="268" t="n"/>
      <c r="AT183" s="317" t="n"/>
      <c r="AU183" s="182">
        <f>AVERAGE(AU52:INDEX(AU:AU, 52+$A181-1))</f>
        <v/>
      </c>
      <c r="AV183" s="268" t="n"/>
      <c r="AW183" s="317" t="n"/>
      <c r="AX183" s="268" t="n"/>
      <c r="AY183" s="317" t="n"/>
      <c r="AZ183" s="39" t="n"/>
      <c r="BA183" s="317" t="n"/>
      <c r="BB183" s="39" t="n"/>
      <c r="BC183" s="317" t="n"/>
      <c r="BD183" s="39" t="n"/>
      <c r="BE183" s="317" t="n"/>
      <c r="BF183" s="39" t="n"/>
      <c r="BG183" s="317" t="n"/>
      <c r="BH183" s="39" t="n"/>
      <c r="BI183" s="317" t="n"/>
      <c r="BJ183" s="39" t="n"/>
      <c r="BK183" s="317" t="n"/>
      <c r="BL183" s="39" t="n"/>
      <c r="BM183" s="317" t="n"/>
      <c r="BN183" s="39" t="n"/>
      <c r="BO183" s="317" t="n"/>
      <c r="BP183" s="317" t="n"/>
      <c r="BQ183" s="39" t="n"/>
      <c r="BR183" s="317" t="n"/>
      <c r="BS183" s="39" t="n"/>
      <c r="BT183" s="317" t="n"/>
      <c r="BU183" s="39" t="n"/>
      <c r="BV183" s="317" t="n"/>
      <c r="BW183" s="39" t="n"/>
      <c r="BX183" s="317" t="n"/>
      <c r="BY183" s="39" t="n"/>
      <c r="BZ183" s="317" t="n"/>
      <c r="CA183" s="39" t="n"/>
      <c r="CB183" s="317" t="n"/>
      <c r="CC183" s="39" t="n"/>
      <c r="CD183" s="317" t="n"/>
      <c r="CE183" s="39" t="n"/>
      <c r="CF183" s="317" t="n"/>
      <c r="CG183" s="317" t="n"/>
      <c r="CH183" s="317" t="n"/>
      <c r="CI183" s="317" t="n"/>
      <c r="CJ183" s="317" t="n"/>
      <c r="CK183" s="317" t="n"/>
      <c r="CL183" s="317" t="n"/>
      <c r="CM183" s="317" t="n"/>
      <c r="CN183" s="317" t="n"/>
      <c r="CO183" s="317" t="n"/>
      <c r="CP183" s="317" t="n"/>
      <c r="CQ183" s="317" t="n"/>
      <c r="CR183" s="317" t="n"/>
      <c r="CS183" s="317" t="n"/>
      <c r="CT183" s="317" t="n"/>
      <c r="CU183" s="317" t="n"/>
      <c r="CV183" s="343" t="n"/>
      <c r="CW183" s="317" t="n"/>
      <c r="CX183" s="39" t="n"/>
      <c r="CY183" s="317" t="n"/>
      <c r="CZ183" s="39" t="n"/>
      <c r="DA183" s="317" t="n"/>
      <c r="DB183" s="39" t="n"/>
      <c r="DC183" s="317" t="n"/>
      <c r="DD183" s="39" t="n"/>
      <c r="DE183" s="319" t="n"/>
      <c r="DF183" s="319" t="n"/>
    </row>
    <row r="184" ht="13" customFormat="1" customHeight="1" s="116">
      <c r="A184" s="351" t="n"/>
      <c r="B184" s="317" t="n"/>
      <c r="C184" s="39" t="n"/>
      <c r="D184" s="39" t="n"/>
      <c r="E184" s="317" t="n"/>
      <c r="F184" s="39" t="n"/>
      <c r="G184" s="39" t="n"/>
      <c r="H184" s="317" t="n"/>
      <c r="I184" s="39" t="n"/>
      <c r="J184" s="39" t="n"/>
      <c r="K184" s="317" t="n"/>
      <c r="L184" s="39" t="n"/>
      <c r="M184" s="39" t="n"/>
      <c r="N184" s="317" t="n"/>
      <c r="O184" s="39" t="n"/>
      <c r="P184" s="39" t="n"/>
      <c r="Q184" s="317" t="n"/>
      <c r="R184" s="39" t="n"/>
      <c r="S184" s="39" t="n"/>
      <c r="T184" s="317" t="n"/>
      <c r="U184" s="39" t="n"/>
      <c r="V184" s="39" t="n"/>
      <c r="W184" s="317" t="n"/>
      <c r="X184" s="39" t="n"/>
      <c r="Y184" s="39" t="n"/>
      <c r="Z184" s="317" t="n"/>
      <c r="AA184" s="39" t="n"/>
      <c r="AB184" s="39" t="n"/>
      <c r="AC184" s="317" t="n"/>
      <c r="AD184" s="39" t="n"/>
      <c r="AE184" s="39" t="n"/>
      <c r="AF184" s="317" t="n"/>
      <c r="AG184" s="39" t="n"/>
      <c r="AH184" s="39" t="n"/>
      <c r="AI184" s="317" t="n"/>
      <c r="AJ184" s="39" t="n"/>
      <c r="AK184" s="39" t="n"/>
      <c r="AL184" s="317" t="n"/>
      <c r="AM184" s="352" t="n"/>
      <c r="AN184" s="39" t="n"/>
      <c r="AO184" s="317" t="n"/>
      <c r="AP184" s="352" t="n"/>
      <c r="AQ184" s="39" t="n"/>
      <c r="AR184" s="317" t="n"/>
      <c r="AS184" s="352" t="n"/>
      <c r="AT184" s="39" t="n"/>
      <c r="AU184" s="317" t="n"/>
      <c r="AV184" s="352" t="n"/>
      <c r="AW184" s="39" t="n"/>
      <c r="AX184" s="268" t="n"/>
      <c r="AY184" s="317" t="n"/>
      <c r="AZ184" s="39" t="n"/>
      <c r="BA184" s="317" t="n"/>
      <c r="BB184" s="39" t="n"/>
      <c r="BC184" s="317" t="n"/>
      <c r="BD184" s="39" t="n"/>
      <c r="BE184" s="317" t="n"/>
      <c r="BF184" s="39" t="n"/>
      <c r="BG184" s="317" t="n"/>
      <c r="BH184" s="39" t="n"/>
      <c r="BI184" s="317" t="n"/>
      <c r="BJ184" s="39" t="n"/>
      <c r="BK184" s="317" t="n"/>
      <c r="BL184" s="39" t="n"/>
      <c r="BM184" s="317" t="n"/>
      <c r="BN184" s="39" t="n"/>
      <c r="BO184" s="317" t="n"/>
      <c r="BP184" s="317" t="n"/>
      <c r="BQ184" s="39" t="n"/>
      <c r="BR184" s="317" t="n"/>
      <c r="BS184" s="39" t="n"/>
      <c r="BT184" s="317" t="n"/>
      <c r="BU184" s="39" t="n"/>
      <c r="BV184" s="317" t="n"/>
      <c r="BW184" s="39" t="n"/>
      <c r="BX184" s="317" t="n"/>
      <c r="BY184" s="39" t="n"/>
      <c r="BZ184" s="317" t="n"/>
      <c r="CA184" s="39" t="n"/>
      <c r="CB184" s="317" t="n"/>
      <c r="CC184" s="39" t="n"/>
      <c r="CD184" s="317" t="n"/>
      <c r="CE184" s="39" t="n"/>
      <c r="CF184" s="317" t="n"/>
      <c r="CG184" s="39" t="n"/>
      <c r="CH184" s="317" t="n"/>
      <c r="CI184" s="39" t="n"/>
      <c r="CJ184" s="317" t="n"/>
      <c r="CK184" s="39" t="n"/>
      <c r="CL184" s="317" t="n"/>
      <c r="CM184" s="39" t="n"/>
      <c r="CN184" s="317" t="n"/>
      <c r="CO184" s="39" t="n"/>
      <c r="CP184" s="317" t="n"/>
      <c r="CQ184" s="39" t="n"/>
      <c r="CR184" s="317" t="n"/>
      <c r="CS184" s="39" t="n"/>
      <c r="CT184" s="317" t="n"/>
      <c r="CU184" s="39" t="n"/>
      <c r="CV184" s="343" t="n"/>
      <c r="CW184" s="317" t="n"/>
      <c r="CX184" s="39" t="n"/>
      <c r="CY184" s="317" t="n"/>
      <c r="CZ184" s="39" t="n"/>
      <c r="DA184" s="317" t="n"/>
      <c r="DB184" s="39" t="n"/>
      <c r="DC184" s="317" t="n"/>
      <c r="DD184" s="39" t="n"/>
      <c r="DE184" s="319" t="n"/>
      <c r="DF184" s="319" t="n"/>
    </row>
    <row r="185" ht="13" customFormat="1" customHeight="1" s="116">
      <c r="A185" s="188" t="inlineStr">
        <is>
          <t>2019年</t>
        </is>
      </c>
      <c r="B185" s="317">
        <f>SUM(B64:INDEX(B:B, 64+$A181-1))</f>
        <v/>
      </c>
      <c r="C185" s="39">
        <f>B185/B183-1</f>
        <v/>
      </c>
      <c r="D185" s="39" t="n"/>
      <c r="E185" s="317">
        <f>SUM(E64:INDEX(E:E, 64+$A181-1))</f>
        <v/>
      </c>
      <c r="F185" s="39">
        <f>E185/E183-1</f>
        <v/>
      </c>
      <c r="G185" s="39" t="n"/>
      <c r="H185" s="317">
        <f>SUM(H64:INDEX(H:H, 64+$A181-1))</f>
        <v/>
      </c>
      <c r="I185" s="39">
        <f>H185/H183-1</f>
        <v/>
      </c>
      <c r="J185" s="39" t="n"/>
      <c r="K185" s="317">
        <f>SUM(K64:INDEX(K:K, 64+$A181-1))</f>
        <v/>
      </c>
      <c r="L185" s="39">
        <f>K185/K183-1</f>
        <v/>
      </c>
      <c r="M185" s="39" t="n"/>
      <c r="N185" s="317">
        <f>SUM(N64:INDEX(N:N, 64+$A181-1))</f>
        <v/>
      </c>
      <c r="O185" s="39">
        <f>N185/N183-1</f>
        <v/>
      </c>
      <c r="P185" s="39" t="n"/>
      <c r="Q185" s="317">
        <f>SUM(Q64:INDEX(Q:Q, 64+$A181-1))</f>
        <v/>
      </c>
      <c r="R185" s="39">
        <f>Q185/Q183-1</f>
        <v/>
      </c>
      <c r="S185" s="39" t="n"/>
      <c r="T185" s="317">
        <f>SUM(T64:INDEX(T:T, 64+$A181-1))</f>
        <v/>
      </c>
      <c r="U185" s="39">
        <f>T185/T183-1</f>
        <v/>
      </c>
      <c r="V185" s="39" t="n"/>
      <c r="W185" s="317">
        <f>SUM(W64:INDEX(W:W, 64+$A181-1))</f>
        <v/>
      </c>
      <c r="X185" s="39">
        <f>W185/W183-1</f>
        <v/>
      </c>
      <c r="Y185" s="39" t="n"/>
      <c r="Z185" s="317">
        <f>SUM(Z64:INDEX(Z:Z, 64+$A181-1))</f>
        <v/>
      </c>
      <c r="AA185" s="39">
        <f>Z185/Z183-1</f>
        <v/>
      </c>
      <c r="AB185" s="39" t="n"/>
      <c r="AC185" s="317">
        <f>SUM(AC64:INDEX(AC:AC, 64+$A181-1))</f>
        <v/>
      </c>
      <c r="AD185" s="39">
        <f>AC185/AC183-1</f>
        <v/>
      </c>
      <c r="AE185" s="39" t="n"/>
      <c r="AF185" s="317">
        <f>SUM(AF64:INDEX(AF:AF, 64+$A181-1))</f>
        <v/>
      </c>
      <c r="AG185" s="39">
        <f>AF185/AF183-1</f>
        <v/>
      </c>
      <c r="AH185" s="39" t="n"/>
      <c r="AI185" s="317">
        <f>SUM(AI64:INDEX(AI:AI, 64+$A181-1))</f>
        <v/>
      </c>
      <c r="AJ185" s="39">
        <f>AI185/AI183-1</f>
        <v/>
      </c>
      <c r="AK185" s="39" t="n"/>
      <c r="AL185" s="182">
        <f>AVERAGE(AL64:INDEX(AL:AL, 64+$A181-1))</f>
        <v/>
      </c>
      <c r="AM185" s="179">
        <f>AL185-AL183</f>
        <v/>
      </c>
      <c r="AN185" s="39" t="n"/>
      <c r="AO185" s="182">
        <f>AVERAGE(AO64:INDEX(AO:AO, 64+$A181-1))</f>
        <v/>
      </c>
      <c r="AP185" s="179">
        <f>AO185-AO183</f>
        <v/>
      </c>
      <c r="AQ185" s="39" t="n"/>
      <c r="AR185" s="182">
        <f>AVERAGE(AR64:INDEX(AR:AR, 64+$A181-1))</f>
        <v/>
      </c>
      <c r="AS185" s="179">
        <f>AR185-AR183</f>
        <v/>
      </c>
      <c r="AT185" s="39" t="n"/>
      <c r="AU185" s="182">
        <f>AVERAGE(AU64:INDEX(AU:AU, 64+$A181-1))</f>
        <v/>
      </c>
      <c r="AV185" s="179">
        <f>AU185-AU183</f>
        <v/>
      </c>
      <c r="AW185" s="39" t="n"/>
      <c r="AX185" s="268" t="n"/>
      <c r="AY185" s="142" t="n"/>
      <c r="AZ185" s="39" t="n"/>
      <c r="BA185" s="317" t="n"/>
      <c r="BB185" s="39" t="n"/>
      <c r="BC185" s="317" t="n"/>
      <c r="BD185" s="39" t="n"/>
      <c r="BE185" s="317" t="n"/>
      <c r="BF185" s="39" t="n"/>
      <c r="BG185" s="317" t="n"/>
      <c r="BH185" s="39" t="n"/>
      <c r="BI185" s="317" t="n"/>
      <c r="BJ185" s="39" t="n"/>
      <c r="BK185" s="317" t="n"/>
      <c r="BL185" s="39" t="n"/>
      <c r="BM185" s="317" t="n"/>
      <c r="BN185" s="39" t="n"/>
      <c r="BO185" s="317" t="n"/>
      <c r="BP185" s="317" t="n"/>
      <c r="BQ185" s="39" t="n"/>
      <c r="BR185" s="317" t="n"/>
      <c r="BS185" s="39" t="n"/>
      <c r="BT185" s="317" t="n"/>
      <c r="BU185" s="39" t="n"/>
      <c r="BV185" s="317" t="n"/>
      <c r="BW185" s="39" t="n"/>
      <c r="BX185" s="317" t="n"/>
      <c r="BY185" s="39" t="n"/>
      <c r="BZ185" s="317" t="n"/>
      <c r="CA185" s="39" t="n"/>
      <c r="CB185" s="317" t="n"/>
      <c r="CC185" s="39" t="n"/>
      <c r="CD185" s="317" t="n"/>
      <c r="CE185" s="39" t="n"/>
      <c r="CF185" s="317" t="n"/>
      <c r="CG185" s="39" t="n"/>
      <c r="CH185" s="317" t="n"/>
      <c r="CI185" s="39" t="n"/>
      <c r="CJ185" s="317" t="n"/>
      <c r="CK185" s="39" t="n"/>
      <c r="CL185" s="317" t="n"/>
      <c r="CM185" s="39" t="n"/>
      <c r="CN185" s="317" t="n"/>
      <c r="CO185" s="39" t="n"/>
      <c r="CP185" s="317" t="n"/>
      <c r="CQ185" s="39" t="n"/>
      <c r="CR185" s="317" t="n"/>
      <c r="CS185" s="39" t="n"/>
      <c r="CT185" s="317" t="n"/>
      <c r="CU185" s="39" t="n"/>
      <c r="CV185" s="343" t="n"/>
      <c r="CW185" s="317" t="n"/>
      <c r="CX185" s="39" t="n"/>
      <c r="CY185" s="317" t="n"/>
      <c r="CZ185" s="39" t="n"/>
      <c r="DA185" s="317" t="n"/>
      <c r="DB185" s="39" t="n"/>
      <c r="DC185" s="317" t="n"/>
      <c r="DD185" s="39" t="n"/>
      <c r="DE185" s="319" t="n"/>
      <c r="DF185" s="319" t="n"/>
    </row>
    <row r="186" ht="13" customFormat="1" customHeight="1" s="116">
      <c r="A186" s="351" t="n"/>
      <c r="B186" s="317" t="n"/>
      <c r="C186" s="39" t="n"/>
      <c r="D186" s="39" t="n"/>
      <c r="E186" s="317" t="n"/>
      <c r="F186" s="39" t="n"/>
      <c r="G186" s="39" t="n"/>
      <c r="H186" s="317" t="n"/>
      <c r="I186" s="39" t="n"/>
      <c r="J186" s="39" t="n"/>
      <c r="K186" s="317" t="n"/>
      <c r="L186" s="39" t="n"/>
      <c r="M186" s="39" t="n"/>
      <c r="N186" s="317" t="n"/>
      <c r="O186" s="39" t="n"/>
      <c r="P186" s="39" t="n"/>
      <c r="Q186" s="317" t="n"/>
      <c r="R186" s="39" t="n"/>
      <c r="S186" s="39" t="n"/>
      <c r="T186" s="317" t="n"/>
      <c r="U186" s="39" t="n"/>
      <c r="V186" s="39" t="n"/>
      <c r="W186" s="317" t="n"/>
      <c r="X186" s="39" t="n"/>
      <c r="Y186" s="39" t="n"/>
      <c r="Z186" s="317" t="n"/>
      <c r="AA186" s="39" t="n"/>
      <c r="AB186" s="39" t="n"/>
      <c r="AC186" s="317" t="n"/>
      <c r="AD186" s="39" t="n"/>
      <c r="AE186" s="39" t="n"/>
      <c r="AF186" s="317" t="n"/>
      <c r="AG186" s="39" t="n"/>
      <c r="AH186" s="39" t="n"/>
      <c r="AI186" s="317" t="n"/>
      <c r="AJ186" s="39" t="n"/>
      <c r="AK186" s="39" t="n"/>
      <c r="AL186" s="317" t="n"/>
      <c r="AM186" s="352" t="n"/>
      <c r="AN186" s="39" t="n"/>
      <c r="AO186" s="317" t="n"/>
      <c r="AP186" s="352" t="n"/>
      <c r="AQ186" s="39" t="n"/>
      <c r="AR186" s="317" t="n"/>
      <c r="AS186" s="352" t="n"/>
      <c r="AT186" s="39" t="n"/>
      <c r="AU186" s="317" t="n"/>
      <c r="AV186" s="352" t="n"/>
      <c r="AW186" s="39" t="n"/>
      <c r="AX186" s="268" t="n"/>
      <c r="AY186" s="317" t="n"/>
      <c r="AZ186" s="39" t="n"/>
      <c r="BA186" s="317" t="n"/>
      <c r="BB186" s="39" t="n"/>
      <c r="BC186" s="317" t="n"/>
      <c r="BD186" s="39" t="n"/>
      <c r="BE186" s="317" t="n"/>
      <c r="BF186" s="39" t="n"/>
      <c r="BG186" s="317" t="n"/>
      <c r="BH186" s="39" t="n"/>
      <c r="BI186" s="317" t="n"/>
      <c r="BJ186" s="39" t="n"/>
      <c r="BK186" s="317" t="n"/>
      <c r="BL186" s="39" t="n"/>
      <c r="BM186" s="317" t="n"/>
      <c r="BN186" s="39" t="n"/>
      <c r="BO186" s="317" t="n"/>
      <c r="BP186" s="317" t="n"/>
      <c r="BQ186" s="39" t="n"/>
      <c r="BR186" s="317" t="n"/>
      <c r="BS186" s="39" t="n"/>
      <c r="BT186" s="317" t="n"/>
      <c r="BU186" s="39" t="n"/>
      <c r="BV186" s="317" t="n"/>
      <c r="BW186" s="39" t="n"/>
      <c r="BX186" s="317" t="n"/>
      <c r="BY186" s="39" t="n"/>
      <c r="BZ186" s="317" t="n"/>
      <c r="CA186" s="39" t="n"/>
      <c r="CB186" s="317" t="n"/>
      <c r="CC186" s="39" t="n"/>
      <c r="CD186" s="317" t="n"/>
      <c r="CE186" s="39" t="n"/>
      <c r="CF186" s="317" t="n"/>
      <c r="CG186" s="39" t="n"/>
      <c r="CH186" s="317" t="n"/>
      <c r="CI186" s="39" t="n"/>
      <c r="CJ186" s="317" t="n"/>
      <c r="CK186" s="39" t="n"/>
      <c r="CL186" s="317" t="n"/>
      <c r="CM186" s="39" t="n"/>
      <c r="CN186" s="317" t="n"/>
      <c r="CO186" s="39" t="n"/>
      <c r="CP186" s="317" t="n"/>
      <c r="CQ186" s="39" t="n"/>
      <c r="CR186" s="317" t="n"/>
      <c r="CS186" s="39" t="n"/>
      <c r="CT186" s="317" t="n"/>
      <c r="CU186" s="39" t="n"/>
      <c r="CV186" s="343" t="n"/>
      <c r="CW186" s="317" t="n"/>
      <c r="CX186" s="39" t="n"/>
      <c r="CY186" s="317" t="n"/>
      <c r="CZ186" s="39" t="n"/>
      <c r="DA186" s="317" t="n"/>
      <c r="DB186" s="39" t="n"/>
      <c r="DC186" s="317" t="n"/>
      <c r="DD186" s="39" t="n"/>
      <c r="DE186" s="319" t="n"/>
      <c r="DF186" s="319" t="n"/>
    </row>
    <row r="187" ht="13" customFormat="1" customHeight="1" s="116">
      <c r="A187" s="188" t="inlineStr">
        <is>
          <t>2020年</t>
        </is>
      </c>
      <c r="B187" s="317">
        <f>SUM(B76:INDEX(B:B, 76+$A181-1))</f>
        <v/>
      </c>
      <c r="C187" s="39">
        <f>B187/B185-1</f>
        <v/>
      </c>
      <c r="D187" s="39" t="n"/>
      <c r="E187" s="317">
        <f>SUM(E76:INDEX(E:E, 76+$A181-1))</f>
        <v/>
      </c>
      <c r="F187" s="39">
        <f>E187/E185-1</f>
        <v/>
      </c>
      <c r="G187" s="39" t="n"/>
      <c r="H187" s="317">
        <f>SUM(H76:INDEX(H:H, 76+$A181-1))</f>
        <v/>
      </c>
      <c r="I187" s="39">
        <f>H187/H185-1</f>
        <v/>
      </c>
      <c r="J187" s="39" t="n"/>
      <c r="K187" s="317">
        <f>SUM(K76:INDEX(K:K, 76+$A181-1))</f>
        <v/>
      </c>
      <c r="L187" s="39">
        <f>K187/K185-1</f>
        <v/>
      </c>
      <c r="M187" s="39" t="n"/>
      <c r="N187" s="317">
        <f>SUM(N76:INDEX(N:N, 76+$A181-1))</f>
        <v/>
      </c>
      <c r="O187" s="39">
        <f>N187/N185-1</f>
        <v/>
      </c>
      <c r="P187" s="39" t="n"/>
      <c r="Q187" s="317">
        <f>SUM(Q76:INDEX(Q:Q, 76+$A181-1))</f>
        <v/>
      </c>
      <c r="R187" s="39">
        <f>Q187/Q185-1</f>
        <v/>
      </c>
      <c r="S187" s="39" t="n"/>
      <c r="T187" s="317">
        <f>SUM(T76:INDEX(T:T, 76+$A181-1))</f>
        <v/>
      </c>
      <c r="U187" s="39">
        <f>T187/T185-1</f>
        <v/>
      </c>
      <c r="V187" s="39" t="n"/>
      <c r="W187" s="317">
        <f>SUM(W76:INDEX(W:W, 76+$A181-1))</f>
        <v/>
      </c>
      <c r="X187" s="39">
        <f>W187/W185-1</f>
        <v/>
      </c>
      <c r="Y187" s="39" t="n"/>
      <c r="Z187" s="317">
        <f>SUM(Z76:INDEX(Z:Z, 76+$A181-1))</f>
        <v/>
      </c>
      <c r="AA187" s="39">
        <f>Z187/Z185-1</f>
        <v/>
      </c>
      <c r="AB187" s="39" t="n"/>
      <c r="AC187" s="317">
        <f>SUM(AC76:INDEX(AC:AC, 76+$A181-1))</f>
        <v/>
      </c>
      <c r="AD187" s="39">
        <f>AC187/AC185-1</f>
        <v/>
      </c>
      <c r="AE187" s="39" t="n"/>
      <c r="AF187" s="317">
        <f>SUM(AF76:INDEX(AF:AF, 76+$A181-1))</f>
        <v/>
      </c>
      <c r="AG187" s="39">
        <f>AF187/AF185-1</f>
        <v/>
      </c>
      <c r="AH187" s="39" t="n"/>
      <c r="AI187" s="317">
        <f>SUM(AI76:INDEX(AI:AI, 76+$A181-1))</f>
        <v/>
      </c>
      <c r="AJ187" s="39">
        <f>AI187/AI185-1</f>
        <v/>
      </c>
      <c r="AK187" s="39" t="n"/>
      <c r="AL187" s="182">
        <f>AVERAGE(AL76:INDEX(AL:AL, 76+$A181-1))</f>
        <v/>
      </c>
      <c r="AM187" s="179">
        <f>AL187-AL185</f>
        <v/>
      </c>
      <c r="AN187" s="39" t="n"/>
      <c r="AO187" s="182">
        <f>AVERAGE(AO76:INDEX(AO:AO, 76+$A181-1))</f>
        <v/>
      </c>
      <c r="AP187" s="179">
        <f>AO187-AO185</f>
        <v/>
      </c>
      <c r="AQ187" s="39" t="n"/>
      <c r="AR187" s="182">
        <f>AVERAGE(AR76:INDEX(AR:AR, 76+$A181-1))</f>
        <v/>
      </c>
      <c r="AS187" s="179">
        <f>AR187-AR185</f>
        <v/>
      </c>
      <c r="AT187" s="39" t="n"/>
      <c r="AU187" s="182">
        <f>AVERAGE(AU76:INDEX(AU:AU, 76+$A181-1))</f>
        <v/>
      </c>
      <c r="AV187" s="179">
        <f>AU187-AU185</f>
        <v/>
      </c>
      <c r="AW187" s="39" t="n"/>
      <c r="AX187" s="268" t="n"/>
      <c r="AY187" s="142" t="n"/>
      <c r="AZ187" s="39" t="n"/>
      <c r="BA187" s="317" t="n"/>
      <c r="BB187" s="39" t="n"/>
      <c r="BC187" s="317" t="n"/>
      <c r="BD187" s="39" t="n"/>
      <c r="BE187" s="317" t="n"/>
      <c r="BF187" s="39" t="n"/>
      <c r="BG187" s="317" t="n"/>
      <c r="BH187" s="39" t="n"/>
      <c r="BI187" s="317" t="n"/>
      <c r="BJ187" s="39" t="n"/>
      <c r="BK187" s="317" t="n"/>
      <c r="BL187" s="39" t="n"/>
      <c r="BM187" s="317" t="n"/>
      <c r="BN187" s="39" t="n"/>
      <c r="BO187" s="317" t="n"/>
      <c r="BP187" s="317" t="n"/>
      <c r="BQ187" s="39" t="n"/>
      <c r="BR187" s="317" t="n"/>
      <c r="BS187" s="39" t="n"/>
      <c r="BT187" s="317" t="n"/>
      <c r="BU187" s="39" t="n"/>
      <c r="BV187" s="317" t="n"/>
      <c r="BW187" s="39" t="n"/>
      <c r="BX187" s="317" t="n"/>
      <c r="BY187" s="39" t="n"/>
      <c r="BZ187" s="317" t="n"/>
      <c r="CA187" s="39" t="n"/>
      <c r="CB187" s="317" t="n"/>
      <c r="CC187" s="39" t="n"/>
      <c r="CD187" s="317" t="n"/>
      <c r="CE187" s="39" t="n"/>
      <c r="CF187" s="317" t="n"/>
      <c r="CG187" s="39" t="n"/>
      <c r="CH187" s="317" t="n"/>
      <c r="CI187" s="39" t="n"/>
      <c r="CJ187" s="317" t="n"/>
      <c r="CK187" s="39" t="n"/>
      <c r="CL187" s="317" t="n"/>
      <c r="CM187" s="39" t="n"/>
      <c r="CN187" s="317" t="n"/>
      <c r="CO187" s="39" t="n"/>
      <c r="CP187" s="317" t="n"/>
      <c r="CQ187" s="39" t="n"/>
      <c r="CR187" s="317" t="n"/>
      <c r="CS187" s="39" t="n"/>
      <c r="CT187" s="317" t="n"/>
      <c r="CU187" s="39" t="n"/>
      <c r="CV187" s="343" t="n"/>
      <c r="CW187" s="317" t="n"/>
      <c r="CX187" s="39" t="n"/>
      <c r="CY187" s="317" t="n"/>
      <c r="CZ187" s="39" t="n"/>
      <c r="DA187" s="317" t="n"/>
      <c r="DB187" s="39" t="n"/>
      <c r="DC187" s="317" t="n"/>
      <c r="DD187" s="39" t="n"/>
      <c r="DE187" s="319" t="n"/>
      <c r="DF187" s="319" t="n"/>
    </row>
    <row r="188" ht="13" customFormat="1" customHeight="1" s="116">
      <c r="A188" s="351" t="n"/>
      <c r="B188" s="317" t="n"/>
      <c r="C188" s="39" t="n"/>
      <c r="D188" s="39" t="n"/>
      <c r="E188" s="317" t="n"/>
      <c r="F188" s="39" t="n"/>
      <c r="G188" s="39" t="n"/>
      <c r="H188" s="317" t="n"/>
      <c r="I188" s="39" t="n"/>
      <c r="J188" s="39" t="n"/>
      <c r="K188" s="317" t="n"/>
      <c r="L188" s="39" t="n"/>
      <c r="M188" s="39" t="n"/>
      <c r="N188" s="317" t="n"/>
      <c r="O188" s="39" t="n"/>
      <c r="P188" s="39" t="n"/>
      <c r="Q188" s="317" t="n"/>
      <c r="R188" s="39" t="n"/>
      <c r="S188" s="39" t="n"/>
      <c r="T188" s="317" t="n"/>
      <c r="U188" s="39" t="n"/>
      <c r="V188" s="39" t="n"/>
      <c r="W188" s="317" t="n"/>
      <c r="X188" s="39" t="n"/>
      <c r="Y188" s="39" t="n"/>
      <c r="Z188" s="317" t="n"/>
      <c r="AA188" s="39" t="n"/>
      <c r="AB188" s="39" t="n"/>
      <c r="AC188" s="317" t="n"/>
      <c r="AD188" s="39" t="n"/>
      <c r="AE188" s="39" t="n"/>
      <c r="AF188" s="317" t="n"/>
      <c r="AG188" s="39" t="n"/>
      <c r="AH188" s="39" t="n"/>
      <c r="AI188" s="317" t="n"/>
      <c r="AJ188" s="39" t="n"/>
      <c r="AK188" s="39" t="n"/>
      <c r="AL188" s="317" t="n"/>
      <c r="AM188" s="352" t="n"/>
      <c r="AN188" s="39" t="n"/>
      <c r="AO188" s="317" t="n"/>
      <c r="AP188" s="352" t="n"/>
      <c r="AQ188" s="39" t="n"/>
      <c r="AR188" s="317" t="n"/>
      <c r="AS188" s="352" t="n"/>
      <c r="AT188" s="39" t="n"/>
      <c r="AU188" s="317" t="n"/>
      <c r="AV188" s="352" t="n"/>
      <c r="AW188" s="39" t="n"/>
      <c r="AX188" s="268" t="n"/>
      <c r="AY188" s="317" t="n"/>
      <c r="AZ188" s="39" t="n"/>
      <c r="BA188" s="317" t="n"/>
      <c r="BB188" s="39" t="n"/>
      <c r="BC188" s="317" t="n"/>
      <c r="BD188" s="39" t="n"/>
      <c r="BE188" s="317" t="n"/>
      <c r="BF188" s="39" t="n"/>
      <c r="BG188" s="317" t="n"/>
      <c r="BH188" s="39" t="n"/>
      <c r="BI188" s="317" t="n"/>
      <c r="BJ188" s="39" t="n"/>
      <c r="BK188" s="317" t="n"/>
      <c r="BL188" s="39" t="n"/>
      <c r="BM188" s="317" t="n"/>
      <c r="BN188" s="39" t="n"/>
      <c r="BO188" s="317" t="n"/>
      <c r="BP188" s="317" t="n"/>
      <c r="BQ188" s="39" t="n"/>
      <c r="BR188" s="317" t="n"/>
      <c r="BS188" s="39" t="n"/>
      <c r="BT188" s="317" t="n"/>
      <c r="BU188" s="39" t="n"/>
      <c r="BV188" s="317" t="n"/>
      <c r="BW188" s="39" t="n"/>
      <c r="BX188" s="317" t="n"/>
      <c r="BY188" s="39" t="n"/>
      <c r="BZ188" s="317" t="n"/>
      <c r="CA188" s="39" t="n"/>
      <c r="CB188" s="317" t="n"/>
      <c r="CC188" s="39" t="n"/>
      <c r="CD188" s="317" t="n"/>
      <c r="CE188" s="39" t="n"/>
      <c r="CF188" s="317" t="n"/>
      <c r="CG188" s="39" t="n"/>
      <c r="CH188" s="317" t="n"/>
      <c r="CI188" s="39" t="n"/>
      <c r="CJ188" s="317" t="n"/>
      <c r="CK188" s="39" t="n"/>
      <c r="CL188" s="317" t="n"/>
      <c r="CM188" s="39" t="n"/>
      <c r="CN188" s="317" t="n"/>
      <c r="CO188" s="39" t="n"/>
      <c r="CP188" s="317" t="n"/>
      <c r="CQ188" s="39" t="n"/>
      <c r="CR188" s="317" t="n"/>
      <c r="CS188" s="39" t="n"/>
      <c r="CT188" s="317" t="n"/>
      <c r="CU188" s="39" t="n"/>
      <c r="CV188" s="343" t="n"/>
      <c r="CW188" s="317" t="n"/>
      <c r="CX188" s="39" t="n"/>
      <c r="CY188" s="317" t="n"/>
      <c r="CZ188" s="39" t="n"/>
      <c r="DA188" s="317" t="n"/>
      <c r="DB188" s="39" t="n"/>
      <c r="DC188" s="317" t="n"/>
      <c r="DD188" s="39" t="n"/>
      <c r="DE188" s="319" t="n"/>
      <c r="DF188" s="319" t="n"/>
    </row>
    <row r="189" ht="13" customFormat="1" customHeight="1" s="116">
      <c r="A189" s="351" t="inlineStr">
        <is>
          <t>2021年</t>
        </is>
      </c>
      <c r="B189" s="317">
        <f>SUM(B88:INDEX(B:B, 88+$A181-1))</f>
        <v/>
      </c>
      <c r="C189" s="39">
        <f>B189/B187-1</f>
        <v/>
      </c>
      <c r="D189" s="39" t="n"/>
      <c r="E189" s="317">
        <f>SUM(E88:INDEX(E:E, 88+$A181-1))</f>
        <v/>
      </c>
      <c r="F189" s="39">
        <f>E189/E187-1</f>
        <v/>
      </c>
      <c r="G189" s="39" t="n"/>
      <c r="H189" s="317">
        <f>SUM(H88:INDEX(H:H, 88+$A181-1))</f>
        <v/>
      </c>
      <c r="I189" s="39">
        <f>H189/H187-1</f>
        <v/>
      </c>
      <c r="J189" s="39" t="n"/>
      <c r="K189" s="317">
        <f>SUM(K88:INDEX(K:K, 88+$A181-1))</f>
        <v/>
      </c>
      <c r="L189" s="39">
        <f>K189/K187-1</f>
        <v/>
      </c>
      <c r="M189" s="39" t="n"/>
      <c r="N189" s="317">
        <f>SUM(N88:INDEX(N:N, 88+$A181-1))</f>
        <v/>
      </c>
      <c r="O189" s="39">
        <f>N189/N187-1</f>
        <v/>
      </c>
      <c r="P189" s="39" t="n"/>
      <c r="Q189" s="317">
        <f>SUM(Q88:INDEX(Q:Q, 88+$A181-1))</f>
        <v/>
      </c>
      <c r="R189" s="39">
        <f>Q189/Q187-1</f>
        <v/>
      </c>
      <c r="S189" s="39" t="n"/>
      <c r="T189" s="317">
        <f>SUM(T88:INDEX(T:T, 88+$A181-1))</f>
        <v/>
      </c>
      <c r="U189" s="39">
        <f>T189/T187-1</f>
        <v/>
      </c>
      <c r="V189" s="39" t="n"/>
      <c r="W189" s="317">
        <f>SUM(W88:INDEX(W:W, 88+$A181-1))</f>
        <v/>
      </c>
      <c r="X189" s="39">
        <f>W189/W187-1</f>
        <v/>
      </c>
      <c r="Y189" s="39" t="n"/>
      <c r="Z189" s="317">
        <f>SUM(Z88:INDEX(Z:Z, 88+$A181-1))</f>
        <v/>
      </c>
      <c r="AA189" s="39">
        <f>Z189/Z187-1</f>
        <v/>
      </c>
      <c r="AB189" s="39" t="n"/>
      <c r="AC189" s="317">
        <f>SUM(AC88:INDEX(AC:AC, 88+$A181-1))</f>
        <v/>
      </c>
      <c r="AD189" s="39">
        <f>AC189/AC187-1</f>
        <v/>
      </c>
      <c r="AE189" s="39" t="n"/>
      <c r="AF189" s="317">
        <f>SUM(AF88:INDEX(AF:AF, 88+$A181-1))</f>
        <v/>
      </c>
      <c r="AG189" s="39">
        <f>AF189/AF187-1</f>
        <v/>
      </c>
      <c r="AH189" s="39" t="n"/>
      <c r="AI189" s="317">
        <f>SUM(AI88:INDEX(AI:AI, 88+$A181-1))</f>
        <v/>
      </c>
      <c r="AJ189" s="39">
        <f>AI189/AI187-1</f>
        <v/>
      </c>
      <c r="AK189" s="39" t="n"/>
      <c r="AL189" s="182">
        <f>AVERAGE(AL88:INDEX(AL:AL, 88+$A181-1))</f>
        <v/>
      </c>
      <c r="AM189" s="179">
        <f>AL189-AL187</f>
        <v/>
      </c>
      <c r="AN189" s="39" t="n"/>
      <c r="AO189" s="182">
        <f>AVERAGE(AO88:INDEX(AO:AO, 88+$A181-1))</f>
        <v/>
      </c>
      <c r="AP189" s="179">
        <f>AO189-AO187</f>
        <v/>
      </c>
      <c r="AQ189" s="39" t="n"/>
      <c r="AR189" s="182">
        <f>AVERAGE(AR88:INDEX(AR:AR, 88+$A181-1))</f>
        <v/>
      </c>
      <c r="AS189" s="179">
        <f>AR189-AR187</f>
        <v/>
      </c>
      <c r="AT189" s="39" t="n"/>
      <c r="AU189" s="182">
        <f>AVERAGE(AU88:INDEX(AU:AU, 88+$A181-1))</f>
        <v/>
      </c>
      <c r="AV189" s="179">
        <f>AU189-AU187</f>
        <v/>
      </c>
      <c r="AW189" s="39" t="n"/>
      <c r="AX189" s="268" t="n"/>
      <c r="AY189" s="142" t="n"/>
      <c r="AZ189" s="39" t="n"/>
      <c r="BA189" s="317" t="n"/>
      <c r="BB189" s="39" t="n"/>
      <c r="BC189" s="317" t="n"/>
      <c r="BD189" s="39" t="n"/>
      <c r="BE189" s="317" t="n"/>
      <c r="BF189" s="39" t="n"/>
      <c r="BG189" s="317" t="n"/>
      <c r="BH189" s="39" t="n"/>
      <c r="BI189" s="317" t="n"/>
      <c r="BJ189" s="39" t="n"/>
      <c r="BK189" s="317" t="n"/>
      <c r="BL189" s="39" t="n"/>
      <c r="BM189" s="317" t="n"/>
      <c r="BN189" s="39" t="n"/>
      <c r="BO189" s="317" t="n"/>
      <c r="BP189" s="317" t="n"/>
      <c r="BQ189" s="39" t="n"/>
      <c r="BR189" s="317" t="n"/>
      <c r="BS189" s="39" t="n"/>
      <c r="BT189" s="317" t="n"/>
      <c r="BU189" s="39" t="n"/>
      <c r="BV189" s="317" t="n"/>
      <c r="BW189" s="39" t="n"/>
      <c r="BX189" s="317" t="n"/>
      <c r="BY189" s="39" t="n"/>
      <c r="BZ189" s="317" t="n"/>
      <c r="CA189" s="39" t="n"/>
      <c r="CB189" s="317" t="n"/>
      <c r="CC189" s="39" t="n"/>
      <c r="CD189" s="317" t="n"/>
      <c r="CE189" s="39" t="n"/>
      <c r="CF189" s="317" t="n"/>
      <c r="CG189" s="39" t="n"/>
      <c r="CH189" s="317" t="n"/>
      <c r="CI189" s="39" t="n"/>
      <c r="CJ189" s="317" t="n"/>
      <c r="CK189" s="39" t="n"/>
      <c r="CL189" s="317" t="n"/>
      <c r="CM189" s="39" t="n"/>
      <c r="CN189" s="317" t="n"/>
      <c r="CO189" s="39" t="n"/>
      <c r="CP189" s="317" t="n"/>
      <c r="CQ189" s="39" t="n"/>
      <c r="CR189" s="317" t="n"/>
      <c r="CS189" s="39" t="n"/>
      <c r="CT189" s="317" t="n"/>
      <c r="CU189" s="39" t="n"/>
      <c r="CV189" s="343" t="n"/>
      <c r="CW189" s="317" t="n"/>
      <c r="CX189" s="39" t="n"/>
      <c r="CY189" s="317" t="n"/>
      <c r="CZ189" s="39" t="n"/>
      <c r="DA189" s="317" t="n"/>
      <c r="DB189" s="39" t="n"/>
      <c r="DC189" s="317" t="n"/>
      <c r="DD189" s="39" t="n"/>
      <c r="DE189" s="319" t="n"/>
      <c r="DF189" s="319" t="n"/>
    </row>
    <row r="190" customFormat="1" s="116">
      <c r="A190" s="351" t="n"/>
      <c r="B190" s="317" t="n"/>
      <c r="C190" s="39" t="n"/>
      <c r="D190" s="39" t="n"/>
      <c r="E190" s="317" t="n"/>
      <c r="F190" s="39" t="n"/>
      <c r="G190" s="39" t="n"/>
      <c r="H190" s="317" t="n"/>
      <c r="I190" s="39" t="n"/>
      <c r="J190" s="39" t="n"/>
      <c r="K190" s="317" t="n"/>
      <c r="L190" s="39" t="n"/>
      <c r="M190" s="39" t="n"/>
      <c r="N190" s="317" t="n"/>
      <c r="O190" s="39" t="n"/>
      <c r="P190" s="39" t="n"/>
      <c r="Q190" s="317" t="n"/>
      <c r="R190" s="39" t="n"/>
      <c r="S190" s="39" t="n"/>
      <c r="T190" s="317" t="n"/>
      <c r="U190" s="39" t="n"/>
      <c r="V190" s="39" t="n"/>
      <c r="W190" s="317" t="n"/>
      <c r="X190" s="39" t="n"/>
      <c r="Y190" s="39" t="n"/>
      <c r="Z190" s="317" t="n"/>
      <c r="AA190" s="39" t="n"/>
      <c r="AB190" s="39" t="n"/>
      <c r="AC190" s="317" t="n"/>
      <c r="AD190" s="39" t="n"/>
      <c r="AE190" s="39" t="n"/>
      <c r="AF190" s="317" t="n"/>
      <c r="AG190" s="39" t="n"/>
      <c r="AH190" s="39" t="n"/>
      <c r="AI190" s="317" t="n"/>
      <c r="AJ190" s="39" t="n"/>
      <c r="AK190" s="39" t="n"/>
      <c r="AL190" s="317" t="n"/>
      <c r="AM190" s="352" t="n"/>
      <c r="AN190" s="39" t="n"/>
      <c r="AO190" s="317" t="n"/>
      <c r="AP190" s="352" t="n"/>
      <c r="AQ190" s="39" t="n"/>
      <c r="AR190" s="317" t="n"/>
      <c r="AS190" s="352" t="n"/>
      <c r="AT190" s="39" t="n"/>
      <c r="AU190" s="317" t="n"/>
      <c r="AV190" s="352" t="n"/>
      <c r="AW190" s="39" t="n"/>
      <c r="AX190" s="268" t="n"/>
      <c r="AY190" s="317" t="n"/>
      <c r="AZ190" s="39" t="n"/>
      <c r="BA190" s="317" t="n"/>
      <c r="BB190" s="39" t="n"/>
      <c r="BC190" s="317" t="n"/>
      <c r="BD190" s="39" t="n"/>
      <c r="BE190" s="317" t="n"/>
      <c r="BF190" s="39" t="n"/>
      <c r="BG190" s="317" t="n"/>
      <c r="BH190" s="39" t="n"/>
      <c r="BI190" s="317" t="n"/>
      <c r="BJ190" s="39" t="n"/>
      <c r="BK190" s="317" t="n"/>
      <c r="BL190" s="39" t="n"/>
      <c r="BM190" s="317" t="n"/>
      <c r="BN190" s="39" t="n"/>
      <c r="BO190" s="317" t="n"/>
      <c r="BP190" s="354" t="n"/>
      <c r="BQ190" s="39" t="n"/>
      <c r="BR190" s="317" t="n"/>
      <c r="BS190" s="39" t="n"/>
      <c r="BT190" s="317" t="n"/>
      <c r="BU190" s="39" t="n"/>
      <c r="BV190" s="317" t="n"/>
      <c r="BW190" s="39" t="n"/>
      <c r="BX190" s="317" t="n"/>
      <c r="BY190" s="39" t="n"/>
      <c r="BZ190" s="317" t="n"/>
      <c r="CA190" s="39" t="n"/>
      <c r="CB190" s="317" t="n"/>
      <c r="CC190" s="39" t="n"/>
      <c r="CD190" s="317" t="n"/>
      <c r="CE190" s="39" t="n"/>
      <c r="CF190" s="317" t="n"/>
      <c r="CG190" s="39" t="n"/>
      <c r="CH190" s="317" t="n"/>
      <c r="CI190" s="39" t="n"/>
      <c r="CJ190" s="317" t="n"/>
      <c r="CK190" s="39" t="n"/>
      <c r="CL190" s="317" t="n"/>
      <c r="CM190" s="39" t="n"/>
      <c r="CN190" s="317" t="n"/>
      <c r="CO190" s="39" t="n"/>
      <c r="CP190" s="317" t="n"/>
      <c r="CQ190" s="39" t="n"/>
      <c r="CR190" s="317" t="n"/>
      <c r="CS190" s="39" t="n"/>
      <c r="CT190" s="317" t="n"/>
      <c r="CU190" s="39" t="n"/>
      <c r="CV190" s="39" t="n"/>
      <c r="CW190" s="355" t="n"/>
      <c r="CX190" s="39" t="n"/>
      <c r="CY190" s="355" t="n"/>
      <c r="CZ190" s="39" t="n"/>
      <c r="DA190" s="355" t="n"/>
      <c r="DB190" s="39" t="n"/>
      <c r="DC190" s="117" t="n"/>
      <c r="DD190" s="39" t="n"/>
      <c r="DE190" s="356" t="n"/>
      <c r="DF190" s="356" t="n"/>
    </row>
    <row r="191" customFormat="1" s="116">
      <c r="A191" s="351" t="inlineStr">
        <is>
          <t>2022年</t>
        </is>
      </c>
      <c r="B191" s="317">
        <f>SUM(B100:INDEX(B:B, 100+$A181-1))</f>
        <v/>
      </c>
      <c r="C191" s="39">
        <f>B191/B189-1</f>
        <v/>
      </c>
      <c r="D191" s="39" t="n"/>
      <c r="E191" s="317">
        <f>SUM(E100:INDEX(E:E, 100+$A181-1))</f>
        <v/>
      </c>
      <c r="F191" s="39">
        <f>E191/E189-1</f>
        <v/>
      </c>
      <c r="G191" s="39" t="n"/>
      <c r="H191" s="317">
        <f>SUM(H100:INDEX(H:H, 100+$A181-1))</f>
        <v/>
      </c>
      <c r="I191" s="39">
        <f>H191/H189-1</f>
        <v/>
      </c>
      <c r="J191" s="39" t="n"/>
      <c r="K191" s="317">
        <f>SUM(K100:INDEX(K:K, 100+$A181-1))</f>
        <v/>
      </c>
      <c r="L191" s="39">
        <f>K191/K189-1</f>
        <v/>
      </c>
      <c r="M191" s="39" t="n"/>
      <c r="N191" s="317">
        <f>SUM(N100:INDEX(N:N, 100+$A181-1))</f>
        <v/>
      </c>
      <c r="O191" s="39">
        <f>N191/N189-1</f>
        <v/>
      </c>
      <c r="P191" s="39" t="n"/>
      <c r="Q191" s="317">
        <f>SUM(Q100:INDEX(Q:Q, 100+$A181-1))</f>
        <v/>
      </c>
      <c r="R191" s="39">
        <f>Q191/Q189-1</f>
        <v/>
      </c>
      <c r="S191" s="39" t="n"/>
      <c r="T191" s="317">
        <f>SUM(T100:INDEX(T:T, 100+$A181-1))</f>
        <v/>
      </c>
      <c r="U191" s="39">
        <f>T191/T189-1</f>
        <v/>
      </c>
      <c r="V191" s="39" t="n"/>
      <c r="W191" s="317">
        <f>SUM(W100:INDEX(W:W, 100+$A181-1))</f>
        <v/>
      </c>
      <c r="X191" s="39">
        <f>W191/W189-1</f>
        <v/>
      </c>
      <c r="Y191" s="39" t="n"/>
      <c r="Z191" s="317">
        <f>SUM(Z100:INDEX(Z:Z, 100+$A181-1))</f>
        <v/>
      </c>
      <c r="AA191" s="39">
        <f>Z191/Z189-1</f>
        <v/>
      </c>
      <c r="AB191" s="39" t="n"/>
      <c r="AC191" s="317">
        <f>SUM(AC100:INDEX(AC:AC, 100+$A181-1))</f>
        <v/>
      </c>
      <c r="AD191" s="39">
        <f>AC191/AC189-1</f>
        <v/>
      </c>
      <c r="AE191" s="39" t="n"/>
      <c r="AF191" s="317">
        <f>SUM(AF100:INDEX(AF:AF, 100+$A181-1))</f>
        <v/>
      </c>
      <c r="AG191" s="39">
        <f>AF191/AF189-1</f>
        <v/>
      </c>
      <c r="AH191" s="39" t="n"/>
      <c r="AI191" s="317">
        <f>SUM(AI100:INDEX(AI:AI, 100+$A181-1))</f>
        <v/>
      </c>
      <c r="AJ191" s="39">
        <f>AI191/AI189-1</f>
        <v/>
      </c>
      <c r="AK191" s="39" t="n"/>
      <c r="AL191" s="182">
        <f>AVERAGE(AL100:INDEX(AL:AL, 100+$A181-1))</f>
        <v/>
      </c>
      <c r="AM191" s="179">
        <f>AL191-AL189</f>
        <v/>
      </c>
      <c r="AN191" s="39" t="n"/>
      <c r="AO191" s="182">
        <f>AVERAGE(AO100:INDEX(AO:AO, 100+$A181-1))</f>
        <v/>
      </c>
      <c r="AP191" s="179">
        <f>AO191-AO189</f>
        <v/>
      </c>
      <c r="AQ191" s="39" t="n"/>
      <c r="AR191" s="182">
        <f>AVERAGE(AR100:INDEX(AR:AR, 100+$A181-1))</f>
        <v/>
      </c>
      <c r="AS191" s="179">
        <f>AR191-AR189</f>
        <v/>
      </c>
      <c r="AT191" s="39" t="n"/>
      <c r="AU191" s="182">
        <f>AVERAGE(AU100:INDEX(AU:AU, 100+$A181-1))</f>
        <v/>
      </c>
      <c r="AV191" s="179">
        <f>AU191-AU189</f>
        <v/>
      </c>
      <c r="AW191" s="39" t="n"/>
      <c r="AX191" s="268" t="n"/>
      <c r="AY191" s="142" t="n"/>
      <c r="AZ191" s="39" t="n"/>
      <c r="BA191" s="317" t="n"/>
      <c r="BB191" s="39" t="n"/>
      <c r="BC191" s="317" t="n"/>
      <c r="BD191" s="39" t="n"/>
      <c r="BE191" s="317" t="n"/>
      <c r="BF191" s="39" t="n"/>
      <c r="BG191" s="317" t="n"/>
      <c r="BH191" s="39" t="n"/>
      <c r="BI191" s="317" t="n"/>
      <c r="BJ191" s="39" t="n"/>
      <c r="BK191" s="317" t="n"/>
      <c r="BL191" s="39" t="n"/>
      <c r="BM191" s="317" t="n"/>
      <c r="BN191" s="39" t="n"/>
      <c r="BO191" s="317" t="n"/>
      <c r="BP191" s="354" t="n"/>
      <c r="BQ191" s="39" t="n"/>
      <c r="BR191" s="317" t="n"/>
      <c r="BS191" s="39" t="n"/>
      <c r="BT191" s="317" t="n"/>
      <c r="BU191" s="39" t="n"/>
      <c r="BV191" s="317" t="n"/>
      <c r="BW191" s="39" t="n"/>
      <c r="BX191" s="317" t="n"/>
      <c r="BY191" s="39" t="n"/>
      <c r="BZ191" s="317" t="n"/>
      <c r="CA191" s="39" t="n"/>
      <c r="CB191" s="317" t="n"/>
      <c r="CC191" s="39" t="n"/>
      <c r="CD191" s="317" t="n"/>
      <c r="CE191" s="39" t="n"/>
      <c r="CF191" s="317" t="n"/>
      <c r="CG191" s="39" t="n"/>
      <c r="CH191" s="317" t="n"/>
      <c r="CI191" s="39" t="n"/>
      <c r="CJ191" s="317" t="n"/>
      <c r="CK191" s="39" t="n"/>
      <c r="CL191" s="317" t="n"/>
      <c r="CM191" s="39" t="n"/>
      <c r="CN191" s="317" t="n"/>
      <c r="CO191" s="39" t="n"/>
      <c r="CP191" s="317" t="n"/>
      <c r="CQ191" s="39" t="n"/>
      <c r="CR191" s="317" t="n"/>
      <c r="CS191" s="39" t="n"/>
      <c r="CT191" s="317" t="n"/>
      <c r="CU191" s="39" t="n"/>
      <c r="CV191" s="39" t="n"/>
      <c r="CW191" s="355" t="n"/>
      <c r="CX191" s="39" t="n"/>
      <c r="CY191" s="355" t="n"/>
      <c r="CZ191" s="39" t="n"/>
      <c r="DA191" s="355" t="n"/>
      <c r="DB191" s="39" t="n"/>
      <c r="DC191" s="117" t="n"/>
      <c r="DD191" s="39" t="n"/>
      <c r="DE191" s="356" t="n"/>
      <c r="DF191" s="356" t="n"/>
    </row>
    <row r="192" customFormat="1" s="116">
      <c r="A192" s="351" t="n"/>
      <c r="B192" s="317" t="n"/>
      <c r="C192" s="39" t="n"/>
      <c r="D192" s="39" t="n"/>
      <c r="E192" s="317" t="n"/>
      <c r="F192" s="39" t="n"/>
      <c r="G192" s="39" t="n"/>
      <c r="H192" s="317" t="n"/>
      <c r="I192" s="39" t="n"/>
      <c r="J192" s="39" t="n"/>
      <c r="K192" s="317" t="n"/>
      <c r="L192" s="39" t="n"/>
      <c r="M192" s="39" t="n"/>
      <c r="N192" s="317" t="n"/>
      <c r="O192" s="39" t="n"/>
      <c r="P192" s="39" t="n"/>
      <c r="Q192" s="317" t="n"/>
      <c r="R192" s="39" t="n"/>
      <c r="S192" s="39" t="n"/>
      <c r="T192" s="317" t="n"/>
      <c r="U192" s="39" t="n"/>
      <c r="V192" s="39" t="n"/>
      <c r="W192" s="317" t="n"/>
      <c r="X192" s="39" t="n"/>
      <c r="Y192" s="39" t="n"/>
      <c r="Z192" s="317" t="n"/>
      <c r="AA192" s="39" t="n"/>
      <c r="AB192" s="39" t="n"/>
      <c r="AC192" s="317" t="n"/>
      <c r="AD192" s="39" t="n"/>
      <c r="AE192" s="39" t="n"/>
      <c r="AF192" s="317" t="n"/>
      <c r="AG192" s="39" t="n"/>
      <c r="AH192" s="39" t="n"/>
      <c r="AI192" s="317" t="n"/>
      <c r="AJ192" s="39" t="n"/>
      <c r="AK192" s="39" t="n"/>
      <c r="AL192" s="317" t="n"/>
      <c r="AM192" s="352" t="n"/>
      <c r="AN192" s="352" t="n"/>
      <c r="AO192" s="317" t="n"/>
      <c r="AP192" s="352" t="n"/>
      <c r="AQ192" s="352" t="n"/>
      <c r="AR192" s="317" t="n"/>
      <c r="AS192" s="352" t="n"/>
      <c r="AT192" s="352" t="n"/>
      <c r="AU192" s="317" t="n"/>
      <c r="AV192" s="352" t="n"/>
      <c r="AW192" s="352" t="n"/>
      <c r="AX192" s="268" t="n"/>
      <c r="AY192" s="317" t="n"/>
      <c r="AZ192" s="39" t="n"/>
      <c r="BA192" s="317" t="n"/>
      <c r="BB192" s="39" t="n"/>
      <c r="BC192" s="317" t="n"/>
      <c r="BD192" s="39" t="n"/>
      <c r="BE192" s="317" t="n"/>
      <c r="BF192" s="39" t="n"/>
      <c r="BG192" s="317" t="n"/>
      <c r="BH192" s="39" t="n"/>
      <c r="BI192" s="317" t="n"/>
      <c r="BJ192" s="39" t="n"/>
      <c r="BK192" s="317" t="n"/>
      <c r="BL192" s="39" t="n"/>
      <c r="BM192" s="317" t="n"/>
      <c r="BN192" s="39" t="n"/>
      <c r="BO192" s="317" t="n"/>
      <c r="BP192" s="354" t="n"/>
      <c r="BQ192" s="39" t="n"/>
      <c r="BR192" s="317" t="n"/>
      <c r="BS192" s="39" t="n"/>
      <c r="BT192" s="317" t="n"/>
      <c r="BU192" s="39" t="n"/>
      <c r="BV192" s="317" t="n"/>
      <c r="BW192" s="39" t="n"/>
      <c r="BX192" s="317" t="n"/>
      <c r="BY192" s="39" t="n"/>
      <c r="BZ192" s="317" t="n"/>
      <c r="CA192" s="39" t="n"/>
      <c r="CB192" s="317" t="n"/>
      <c r="CC192" s="39" t="n"/>
      <c r="CD192" s="317" t="n"/>
      <c r="CE192" s="39" t="n"/>
      <c r="CF192" s="317" t="n"/>
      <c r="CG192" s="39" t="n"/>
      <c r="CH192" s="317" t="n"/>
      <c r="CI192" s="39" t="n"/>
      <c r="CJ192" s="317" t="n"/>
      <c r="CK192" s="39" t="n"/>
      <c r="CL192" s="317" t="n"/>
      <c r="CM192" s="39" t="n"/>
      <c r="CN192" s="317" t="n"/>
      <c r="CO192" s="39" t="n"/>
      <c r="CP192" s="317" t="n"/>
      <c r="CQ192" s="39" t="n"/>
      <c r="CR192" s="317" t="n"/>
      <c r="CS192" s="39" t="n"/>
      <c r="CT192" s="317" t="n"/>
      <c r="CU192" s="39" t="n"/>
      <c r="CV192" s="39" t="n"/>
      <c r="CW192" s="355" t="n"/>
      <c r="CX192" s="39" t="n"/>
      <c r="CY192" s="355" t="n"/>
      <c r="CZ192" s="39" t="n"/>
      <c r="DA192" s="355" t="n"/>
      <c r="DB192" s="39" t="n"/>
      <c r="DC192" s="117" t="n"/>
      <c r="DD192" s="39" t="n"/>
      <c r="DE192" s="356" t="n"/>
      <c r="DF192" s="356" t="n"/>
    </row>
    <row r="193" customFormat="1" s="116">
      <c r="A193" s="351" t="inlineStr">
        <is>
          <t>2023年</t>
        </is>
      </c>
      <c r="B193" s="317">
        <f>SUM(B112:INDEX(B:B, 112+$A181-1))</f>
        <v/>
      </c>
      <c r="C193" s="39">
        <f>B193/B191-1</f>
        <v/>
      </c>
      <c r="D193" s="39">
        <f>B193/B185-1</f>
        <v/>
      </c>
      <c r="E193" s="317">
        <f>SUM(E112:INDEX(E:E, 112+$A181-1))</f>
        <v/>
      </c>
      <c r="F193" s="39">
        <f>E193/E191-1</f>
        <v/>
      </c>
      <c r="G193" s="39">
        <f>E193/E185-1</f>
        <v/>
      </c>
      <c r="H193" s="317">
        <f>SUM(H112:INDEX(H:H, 112+$A181-1))</f>
        <v/>
      </c>
      <c r="I193" s="39">
        <f>H193/H191-1</f>
        <v/>
      </c>
      <c r="J193" s="39">
        <f>H193/H185-1</f>
        <v/>
      </c>
      <c r="K193" s="317">
        <f>SUM(K112:INDEX(K:K, 112+$A181-1))</f>
        <v/>
      </c>
      <c r="L193" s="39">
        <f>K193/K191-1</f>
        <v/>
      </c>
      <c r="M193" s="39">
        <f>K193/K185-1</f>
        <v/>
      </c>
      <c r="N193" s="317">
        <f>SUM(N112:INDEX(N:N, 112+$A181-1))</f>
        <v/>
      </c>
      <c r="O193" s="39">
        <f>N193/N191-1</f>
        <v/>
      </c>
      <c r="P193" s="39">
        <f>N193/N185-1</f>
        <v/>
      </c>
      <c r="Q193" s="317">
        <f>SUM(Q112:INDEX(Q:Q, 112+$A181-1))</f>
        <v/>
      </c>
      <c r="R193" s="39">
        <f>Q193/Q191-1</f>
        <v/>
      </c>
      <c r="S193" s="39">
        <f>Q193/Q185-1</f>
        <v/>
      </c>
      <c r="T193" s="317">
        <f>SUM(T112:INDEX(T:T, 112+$A181-1))</f>
        <v/>
      </c>
      <c r="U193" s="39">
        <f>T193/T191-1</f>
        <v/>
      </c>
      <c r="V193" s="39">
        <f>T193/T185-1</f>
        <v/>
      </c>
      <c r="W193" s="317">
        <f>SUM(W112:INDEX(W:W, 112+$A181-1))</f>
        <v/>
      </c>
      <c r="X193" s="39">
        <f>W193/W191-1</f>
        <v/>
      </c>
      <c r="Y193" s="39">
        <f>W193/W185-1</f>
        <v/>
      </c>
      <c r="Z193" s="317">
        <f>SUM(Z112:INDEX(Z:Z, 112+$A181-1))</f>
        <v/>
      </c>
      <c r="AA193" s="39">
        <f>Z193/Z191-1</f>
        <v/>
      </c>
      <c r="AB193" s="39">
        <f>Z193/Z185-1</f>
        <v/>
      </c>
      <c r="AC193" s="317">
        <f>SUM(AC112:INDEX(AC:AC, 112+$A181-1))</f>
        <v/>
      </c>
      <c r="AD193" s="39">
        <f>AC193/AC191-1</f>
        <v/>
      </c>
      <c r="AE193" s="39">
        <f>AC193/AC185-1</f>
        <v/>
      </c>
      <c r="AF193" s="317">
        <f>SUM(AF112:INDEX(AF:AF, 112+$A181-1))</f>
        <v/>
      </c>
      <c r="AG193" s="39">
        <f>AF193/AF191-1</f>
        <v/>
      </c>
      <c r="AH193" s="39">
        <f>AF193/AF185-1</f>
        <v/>
      </c>
      <c r="AI193" s="317">
        <f>SUM(AI112:INDEX(AI:AI, 112+$A181-1))</f>
        <v/>
      </c>
      <c r="AJ193" s="39">
        <f>AI193/AI191-1</f>
        <v/>
      </c>
      <c r="AK193" s="39">
        <f>AI193/AI185-1</f>
        <v/>
      </c>
      <c r="AL193" s="182">
        <f>AVERAGE(AL112:INDEX(AL:AL, 112+$A181-1))</f>
        <v/>
      </c>
      <c r="AM193" s="179">
        <f>AL193-AL191</f>
        <v/>
      </c>
      <c r="AN193" s="179">
        <f>AL193-AL185</f>
        <v/>
      </c>
      <c r="AO193" s="182">
        <f>AVERAGE(AO112:INDEX(AO:AO, 112+$A181-1))</f>
        <v/>
      </c>
      <c r="AP193" s="179">
        <f>AO193-AO191</f>
        <v/>
      </c>
      <c r="AQ193" s="179">
        <f>AO193-AO185</f>
        <v/>
      </c>
      <c r="AR193" s="182">
        <f>AVERAGE(AR112:INDEX(AR:AR, 112+$A181-1))</f>
        <v/>
      </c>
      <c r="AS193" s="179">
        <f>AR193-AR191</f>
        <v/>
      </c>
      <c r="AT193" s="179">
        <f>AR193-AR185</f>
        <v/>
      </c>
      <c r="AU193" s="182">
        <f>AVERAGE(AU112:INDEX(AU:AU, 112+$A181-1))</f>
        <v/>
      </c>
      <c r="AV193" s="179">
        <f>AU193-AU191</f>
        <v/>
      </c>
      <c r="AW193" s="179">
        <f>AU193-AU185</f>
        <v/>
      </c>
      <c r="AX193" s="268" t="n"/>
      <c r="AY193" s="142" t="n"/>
      <c r="AZ193" s="39" t="n"/>
      <c r="BA193" s="317" t="n"/>
      <c r="BB193" s="39" t="n"/>
      <c r="BC193" s="317" t="n"/>
      <c r="BD193" s="39" t="n"/>
      <c r="BE193" s="317" t="n"/>
      <c r="BF193" s="39" t="n"/>
      <c r="BG193" s="317" t="n"/>
      <c r="BH193" s="39" t="n"/>
      <c r="BI193" s="317" t="n"/>
      <c r="BJ193" s="39" t="n"/>
      <c r="BK193" s="317" t="n"/>
      <c r="BL193" s="39" t="n"/>
      <c r="BM193" s="317" t="n"/>
      <c r="BN193" s="39" t="n"/>
      <c r="BO193" s="317" t="n"/>
      <c r="BP193" s="354" t="n"/>
      <c r="BQ193" s="39" t="n"/>
      <c r="BR193" s="317" t="n"/>
      <c r="BS193" s="39" t="n"/>
      <c r="BT193" s="317" t="n"/>
      <c r="BU193" s="39" t="n"/>
      <c r="BV193" s="317" t="n"/>
      <c r="BW193" s="39" t="n"/>
      <c r="BX193" s="317" t="n"/>
      <c r="BY193" s="39" t="n"/>
      <c r="BZ193" s="317" t="n"/>
      <c r="CA193" s="39" t="n"/>
      <c r="CB193" s="317" t="n"/>
      <c r="CC193" s="39" t="n"/>
      <c r="CD193" s="317" t="n"/>
      <c r="CE193" s="39" t="n"/>
      <c r="CF193" s="317" t="n"/>
      <c r="CG193" s="39" t="n"/>
      <c r="CH193" s="317" t="n"/>
      <c r="CI193" s="39" t="n"/>
      <c r="CJ193" s="317" t="n"/>
      <c r="CK193" s="39" t="n"/>
      <c r="CL193" s="317" t="n"/>
      <c r="CM193" s="39" t="n"/>
      <c r="CN193" s="317" t="n"/>
      <c r="CO193" s="39" t="n"/>
      <c r="CP193" s="317" t="n"/>
      <c r="CQ193" s="39" t="n"/>
      <c r="CR193" s="317" t="n"/>
      <c r="CS193" s="39" t="n"/>
      <c r="CT193" s="317" t="n"/>
      <c r="CU193" s="39" t="n"/>
      <c r="CV193" s="39" t="n"/>
      <c r="CW193" s="355" t="n"/>
      <c r="CX193" s="39" t="n"/>
      <c r="CY193" s="355" t="n"/>
      <c r="CZ193" s="39" t="n"/>
      <c r="DA193" s="355" t="n"/>
      <c r="DB193" s="39" t="n"/>
      <c r="DC193" s="117" t="n"/>
      <c r="DD193" s="39" t="n"/>
      <c r="DE193" s="356" t="n"/>
      <c r="DF193" s="356" t="n"/>
    </row>
    <row r="194" customFormat="1" s="116">
      <c r="A194" s="351" t="n"/>
      <c r="B194" s="317" t="n"/>
      <c r="C194" s="39" t="n"/>
      <c r="D194" s="39" t="n"/>
      <c r="E194" s="317" t="n"/>
      <c r="F194" s="39" t="n"/>
      <c r="G194" s="39" t="n"/>
      <c r="H194" s="317" t="n"/>
      <c r="I194" s="39" t="n"/>
      <c r="J194" s="39" t="n"/>
      <c r="K194" s="317" t="n"/>
      <c r="L194" s="39" t="n"/>
      <c r="M194" s="39" t="n"/>
      <c r="N194" s="317" t="n"/>
      <c r="O194" s="39" t="n"/>
      <c r="P194" s="39" t="n"/>
      <c r="Q194" s="317" t="n"/>
      <c r="R194" s="39" t="n"/>
      <c r="S194" s="39" t="n"/>
      <c r="T194" s="317" t="n"/>
      <c r="U194" s="39" t="n"/>
      <c r="V194" s="39" t="n"/>
      <c r="W194" s="317" t="n"/>
      <c r="X194" s="39" t="n"/>
      <c r="Y194" s="39" t="n"/>
      <c r="Z194" s="317" t="n"/>
      <c r="AA194" s="39" t="n"/>
      <c r="AB194" s="39" t="n"/>
      <c r="AC194" s="317" t="n"/>
      <c r="AD194" s="39" t="n"/>
      <c r="AE194" s="39" t="n"/>
      <c r="AF194" s="317" t="n"/>
      <c r="AG194" s="39" t="n"/>
      <c r="AH194" s="39" t="n"/>
      <c r="AI194" s="317" t="n"/>
      <c r="AJ194" s="39" t="n"/>
      <c r="AK194" s="39" t="n"/>
      <c r="AL194" s="317" t="n"/>
      <c r="AM194" s="352" t="n"/>
      <c r="AN194" s="352" t="n"/>
      <c r="AO194" s="317" t="n"/>
      <c r="AP194" s="352" t="n"/>
      <c r="AQ194" s="352" t="n"/>
      <c r="AR194" s="317" t="n"/>
      <c r="AS194" s="352" t="n"/>
      <c r="AT194" s="352" t="n"/>
      <c r="AU194" s="317" t="n"/>
      <c r="AV194" s="352" t="n"/>
      <c r="AW194" s="352" t="n"/>
      <c r="AX194" s="268" t="n"/>
      <c r="AY194" s="317" t="n"/>
      <c r="AZ194" s="39" t="n"/>
      <c r="BA194" s="317" t="n"/>
      <c r="BB194" s="39" t="n"/>
      <c r="BC194" s="317" t="n"/>
      <c r="BD194" s="39" t="n"/>
      <c r="BE194" s="317" t="n"/>
      <c r="BF194" s="39" t="n"/>
      <c r="BG194" s="317" t="n"/>
      <c r="BH194" s="39" t="n"/>
      <c r="BI194" s="317" t="n"/>
      <c r="BJ194" s="39" t="n"/>
      <c r="BK194" s="317" t="n"/>
      <c r="BL194" s="39" t="n"/>
      <c r="BM194" s="317" t="n"/>
      <c r="BN194" s="39" t="n"/>
      <c r="BO194" s="317" t="n"/>
      <c r="BP194" s="354" t="n"/>
      <c r="BQ194" s="39" t="n"/>
      <c r="BR194" s="317" t="n"/>
      <c r="BS194" s="39" t="n"/>
      <c r="BT194" s="317" t="n"/>
      <c r="BU194" s="39" t="n"/>
      <c r="BV194" s="317" t="n"/>
      <c r="BW194" s="39" t="n"/>
      <c r="BX194" s="317" t="n"/>
      <c r="BY194" s="39" t="n"/>
      <c r="BZ194" s="317" t="n"/>
      <c r="CA194" s="39" t="n"/>
      <c r="CB194" s="317" t="n"/>
      <c r="CC194" s="39" t="n"/>
      <c r="CD194" s="317" t="n"/>
      <c r="CE194" s="39" t="n"/>
      <c r="CF194" s="317" t="n"/>
      <c r="CG194" s="39" t="n"/>
      <c r="CH194" s="317" t="n"/>
      <c r="CI194" s="39" t="n"/>
      <c r="CJ194" s="317" t="n"/>
      <c r="CK194" s="39" t="n"/>
      <c r="CL194" s="317" t="n"/>
      <c r="CM194" s="39" t="n"/>
      <c r="CN194" s="317" t="n"/>
      <c r="CO194" s="39" t="n"/>
      <c r="CP194" s="317" t="n"/>
      <c r="CQ194" s="39" t="n"/>
      <c r="CR194" s="317" t="n"/>
      <c r="CS194" s="39" t="n"/>
      <c r="CT194" s="317" t="n"/>
      <c r="CU194" s="39" t="n"/>
      <c r="CV194" s="39" t="n"/>
      <c r="CW194" s="355" t="n"/>
      <c r="CX194" s="39" t="n"/>
      <c r="CY194" s="355" t="n"/>
      <c r="CZ194" s="39" t="n"/>
      <c r="DA194" s="355" t="n"/>
      <c r="DB194" s="39" t="n"/>
      <c r="DC194" s="117" t="n"/>
      <c r="DD194" s="39" t="n"/>
      <c r="DE194" s="356" t="n"/>
      <c r="DF194" s="356" t="n"/>
    </row>
    <row r="195" ht="13" customFormat="1" customHeight="1" s="116">
      <c r="A195" s="342" t="inlineStr">
        <is>
          <t>2024年</t>
        </is>
      </c>
      <c r="B195" s="317">
        <f>SUM(B124:INDEX(B:B, 124+$A181-1))</f>
        <v/>
      </c>
      <c r="C195" s="39">
        <f>B195/B193-1</f>
        <v/>
      </c>
      <c r="D195" s="39">
        <f>B195/B185-1</f>
        <v/>
      </c>
      <c r="E195" s="317">
        <f>SUM(E124:INDEX(E:E, 124+$A181-1))</f>
        <v/>
      </c>
      <c r="F195" s="39">
        <f>E195/E193-1</f>
        <v/>
      </c>
      <c r="G195" s="39">
        <f>E195/E185-1</f>
        <v/>
      </c>
      <c r="H195" s="317">
        <f>SUM(H124:INDEX(H:H, 124+$A181-1))</f>
        <v/>
      </c>
      <c r="I195" s="39">
        <f>H195/H193-1</f>
        <v/>
      </c>
      <c r="J195" s="39">
        <f>H195/H185-1</f>
        <v/>
      </c>
      <c r="K195" s="317">
        <f>SUM(K124:INDEX(K:K, 124+$A181-1))</f>
        <v/>
      </c>
      <c r="L195" s="39">
        <f>K195/K193-1</f>
        <v/>
      </c>
      <c r="M195" s="39">
        <f>K195/K185-1</f>
        <v/>
      </c>
      <c r="N195" s="317">
        <f>SUM(N124:INDEX(N:N, 124+$A181-1))</f>
        <v/>
      </c>
      <c r="O195" s="39">
        <f>N195/N193-1</f>
        <v/>
      </c>
      <c r="P195" s="39">
        <f>N195/N185-1</f>
        <v/>
      </c>
      <c r="Q195" s="317">
        <f>SUM(Q124:INDEX(Q:Q, 124+$A181-1))</f>
        <v/>
      </c>
      <c r="R195" s="39">
        <f>Q195/Q193-1</f>
        <v/>
      </c>
      <c r="S195" s="39">
        <f>Q195/Q185-1</f>
        <v/>
      </c>
      <c r="T195" s="317">
        <f>SUM(T124:INDEX(T:T, 124+$A181-1))</f>
        <v/>
      </c>
      <c r="U195" s="39">
        <f>T195/T193-1</f>
        <v/>
      </c>
      <c r="V195" s="39">
        <f>T195/T185-1</f>
        <v/>
      </c>
      <c r="W195" s="317">
        <f>SUM(W124:INDEX(W:W, 124+$A181-1))</f>
        <v/>
      </c>
      <c r="X195" s="39">
        <f>W195/W193-1</f>
        <v/>
      </c>
      <c r="Y195" s="39">
        <f>W195/W185-1</f>
        <v/>
      </c>
      <c r="Z195" s="317">
        <f>SUM(Z124:INDEX(Z:Z, 124+$A181-1))</f>
        <v/>
      </c>
      <c r="AA195" s="142">
        <f>Z195/Z193-1</f>
        <v/>
      </c>
      <c r="AB195" s="142">
        <f>Z195/Z185-1</f>
        <v/>
      </c>
      <c r="AC195" s="317">
        <f>SUM(AC124:INDEX(AC:AC, 124+$A181-1))</f>
        <v/>
      </c>
      <c r="AD195" s="142">
        <f>AC195/AC193-1</f>
        <v/>
      </c>
      <c r="AE195" s="142">
        <f>AC195/AC185-1</f>
        <v/>
      </c>
      <c r="AF195" s="317">
        <f>SUM(AF124:INDEX(AF:AF, 124+$A181-1))</f>
        <v/>
      </c>
      <c r="AG195" s="142">
        <f>AF195/AF193-1</f>
        <v/>
      </c>
      <c r="AH195" s="142">
        <f>AF195/AF185-1</f>
        <v/>
      </c>
      <c r="AI195" s="317">
        <f>SUM(AI124:INDEX(AI:AI, 124+$A181-1))</f>
        <v/>
      </c>
      <c r="AJ195" s="142">
        <f>AI195/AI193-1</f>
        <v/>
      </c>
      <c r="AK195" s="142">
        <f>AI195/AI185-1</f>
        <v/>
      </c>
      <c r="AL195" s="182">
        <f>AVERAGE(AL124:INDEX(AL:AL, 124+$A181-1))</f>
        <v/>
      </c>
      <c r="AM195" s="182">
        <f>AL195-AL193</f>
        <v/>
      </c>
      <c r="AN195" s="182">
        <f>AL195-AL185</f>
        <v/>
      </c>
      <c r="AO195" s="182">
        <f>AVERAGE(AO124:INDEX(AO:AO, 124+$A181-1))</f>
        <v/>
      </c>
      <c r="AP195" s="182">
        <f>AO195-AO193</f>
        <v/>
      </c>
      <c r="AQ195" s="182">
        <f>AO195-AO185</f>
        <v/>
      </c>
      <c r="AR195" s="182">
        <f>AVERAGE(AR124:INDEX(AR:AR, 124+$A181-1))</f>
        <v/>
      </c>
      <c r="AS195" s="182">
        <f>AR195-AR193</f>
        <v/>
      </c>
      <c r="AT195" s="182">
        <f>AR195-AR185</f>
        <v/>
      </c>
      <c r="AU195" s="182">
        <f>AVERAGE(AU124:INDEX(AU:AU, 124+$A181-1))</f>
        <v/>
      </c>
      <c r="AV195" s="182">
        <f>AU195-AU193</f>
        <v/>
      </c>
      <c r="AW195" s="182">
        <f>AU195-AU185</f>
        <v/>
      </c>
      <c r="AX195" s="268" t="n"/>
      <c r="AY195" s="142" t="n"/>
      <c r="AZ195" s="39" t="n"/>
      <c r="BA195" s="317" t="n"/>
      <c r="BB195" s="39" t="n"/>
      <c r="BC195" s="317" t="n"/>
      <c r="BD195" s="39" t="n"/>
      <c r="BE195" s="317" t="n"/>
      <c r="BF195" s="39" t="n"/>
      <c r="BG195" s="317" t="n"/>
      <c r="BH195" s="39" t="n"/>
      <c r="BI195" s="317" t="n"/>
      <c r="BJ195" s="39" t="n"/>
      <c r="BK195" s="317" t="n"/>
      <c r="BL195" s="39" t="n"/>
      <c r="BM195" s="317" t="n"/>
      <c r="BN195" s="39" t="n"/>
      <c r="BO195" s="317" t="n"/>
      <c r="BP195" s="317" t="n"/>
      <c r="BQ195" s="39" t="n"/>
      <c r="BR195" s="317" t="n"/>
      <c r="BS195" s="39" t="n"/>
      <c r="BT195" s="317" t="n"/>
      <c r="BU195" s="39" t="n"/>
      <c r="BV195" s="317" t="n"/>
      <c r="BW195" s="39" t="n"/>
      <c r="BX195" s="317" t="n"/>
      <c r="BY195" s="39" t="n"/>
      <c r="BZ195" s="317" t="n"/>
      <c r="CA195" s="39" t="n"/>
      <c r="CB195" s="317" t="n"/>
      <c r="CC195" s="39" t="n"/>
      <c r="CD195" s="317" t="n"/>
      <c r="CE195" s="39" t="n"/>
      <c r="CF195" s="317" t="n"/>
      <c r="CG195" s="317" t="n"/>
      <c r="CH195" s="317" t="n"/>
      <c r="CI195" s="317" t="n"/>
      <c r="CJ195" s="317" t="n"/>
      <c r="CK195" s="317" t="n"/>
      <c r="CL195" s="317" t="n"/>
      <c r="CM195" s="317" t="n"/>
      <c r="CN195" s="317" t="n"/>
      <c r="CO195" s="317" t="n"/>
      <c r="CP195" s="343" t="n"/>
      <c r="CQ195" s="317" t="n"/>
      <c r="CR195" s="343" t="n"/>
      <c r="CS195" s="317" t="n"/>
      <c r="CT195" s="343" t="n"/>
      <c r="CU195" s="317" t="n"/>
      <c r="CV195" s="343" t="n"/>
      <c r="CW195" s="317" t="n"/>
      <c r="CX195" s="39" t="n"/>
      <c r="CY195" s="317" t="n"/>
      <c r="CZ195" s="39" t="n"/>
      <c r="DA195" s="317" t="n"/>
      <c r="DB195" s="39" t="n"/>
      <c r="DC195" s="317" t="n"/>
      <c r="DD195" s="39" t="n"/>
      <c r="DE195" s="319" t="n"/>
      <c r="DF195" s="319" t="n"/>
    </row>
    <row r="196" ht="13" customFormat="1" customHeight="1" s="116">
      <c r="A196" s="415" t="n"/>
      <c r="B196" s="317" t="n"/>
      <c r="C196" s="142" t="n"/>
      <c r="D196" s="142" t="n"/>
      <c r="E196" s="317" t="n"/>
      <c r="F196" s="142" t="n"/>
      <c r="G196" s="142" t="n"/>
      <c r="H196" s="317" t="n"/>
      <c r="I196" s="142" t="n"/>
      <c r="J196" s="142" t="n"/>
      <c r="K196" s="317" t="n"/>
      <c r="L196" s="142" t="n"/>
      <c r="M196" s="142" t="n"/>
      <c r="N196" s="317" t="n"/>
      <c r="O196" s="142" t="n"/>
      <c r="P196" s="142" t="n"/>
      <c r="Q196" s="317" t="n"/>
      <c r="R196" s="142" t="n"/>
      <c r="S196" s="142" t="n"/>
      <c r="T196" s="317" t="n"/>
      <c r="U196" s="142" t="n"/>
      <c r="V196" s="142" t="n"/>
      <c r="W196" s="317" t="n"/>
      <c r="X196" s="142" t="n"/>
      <c r="Y196" s="142" t="n"/>
      <c r="Z196" s="317" t="n"/>
      <c r="AA196" s="142" t="n"/>
      <c r="AB196" s="142" t="n"/>
      <c r="AC196" s="317" t="n"/>
      <c r="AD196" s="142" t="n"/>
      <c r="AE196" s="142" t="n"/>
      <c r="AF196" s="317" t="n"/>
      <c r="AG196" s="142" t="n"/>
      <c r="AH196" s="142" t="n"/>
      <c r="AI196" s="317" t="n"/>
      <c r="AJ196" s="142" t="n"/>
      <c r="AK196" s="142" t="n"/>
      <c r="AL196" s="317" t="n"/>
      <c r="AM196" s="317" t="n"/>
      <c r="AN196" s="317" t="n"/>
      <c r="AO196" s="317" t="n"/>
      <c r="AP196" s="317" t="n"/>
      <c r="AQ196" s="317" t="n"/>
      <c r="AR196" s="317" t="n"/>
      <c r="AS196" s="317" t="n"/>
      <c r="AT196" s="317" t="n"/>
      <c r="AU196" s="317" t="n"/>
      <c r="AV196" s="317" t="n"/>
      <c r="AW196" s="317" t="n"/>
      <c r="AX196" s="268" t="n"/>
      <c r="AY196" s="317" t="n"/>
      <c r="AZ196" s="317" t="n"/>
      <c r="BA196" s="317" t="n"/>
      <c r="BB196" s="317" t="n"/>
      <c r="BC196" s="317" t="n"/>
      <c r="BD196" s="317" t="n"/>
      <c r="BE196" s="317" t="n"/>
      <c r="BF196" s="317" t="n"/>
      <c r="BG196" s="317" t="n"/>
      <c r="BH196" s="317" t="n"/>
      <c r="BI196" s="317" t="n"/>
      <c r="BJ196" s="317" t="n"/>
      <c r="BK196" s="317" t="n"/>
      <c r="BL196" s="317" t="n"/>
      <c r="BM196" s="317" t="n"/>
      <c r="BN196" s="317" t="n"/>
      <c r="BO196" s="317" t="n"/>
      <c r="BP196" s="317" t="n"/>
      <c r="BQ196" s="317" t="n"/>
      <c r="BR196" s="317" t="n"/>
      <c r="BS196" s="317" t="n"/>
      <c r="BT196" s="317" t="n"/>
      <c r="BU196" s="317" t="n"/>
      <c r="BV196" s="317" t="n"/>
      <c r="BW196" s="317" t="n"/>
      <c r="BX196" s="317" t="n"/>
      <c r="BY196" s="317" t="n"/>
      <c r="BZ196" s="317" t="n"/>
      <c r="CA196" s="317" t="n"/>
      <c r="CB196" s="317" t="n"/>
      <c r="CC196" s="317" t="n"/>
      <c r="CD196" s="317" t="n"/>
      <c r="CE196" s="317" t="n"/>
      <c r="CF196" s="317" t="n"/>
      <c r="CG196" s="317" t="n"/>
      <c r="CH196" s="317" t="n"/>
      <c r="CI196" s="317" t="n"/>
      <c r="CJ196" s="317" t="n"/>
      <c r="CK196" s="317" t="n"/>
      <c r="CL196" s="317" t="n"/>
      <c r="CM196" s="317" t="n"/>
      <c r="CN196" s="317" t="n"/>
      <c r="CO196" s="317" t="n"/>
      <c r="CP196" s="343" t="n"/>
      <c r="CQ196" s="317" t="n"/>
      <c r="CR196" s="343" t="n"/>
      <c r="CS196" s="317" t="n"/>
      <c r="CT196" s="343" t="n"/>
      <c r="CU196" s="317" t="n"/>
      <c r="CV196" s="343" t="n"/>
      <c r="CW196" s="317" t="n"/>
      <c r="CX196" s="317" t="n"/>
      <c r="CY196" s="317" t="n"/>
      <c r="CZ196" s="317" t="n"/>
      <c r="DA196" s="317" t="n"/>
      <c r="DB196" s="317" t="n"/>
      <c r="DC196" s="317" t="n"/>
      <c r="DD196" s="317" t="n"/>
      <c r="DE196" s="319" t="n"/>
      <c r="DF196" s="319" t="n"/>
    </row>
    <row r="197" ht="13" customFormat="1" customHeight="1" s="116">
      <c r="A197" s="342" t="inlineStr">
        <is>
          <t>2025年</t>
        </is>
      </c>
      <c r="B197" s="317">
        <f>SUM(B136:INDEX(B:B, 136+$A181-1))</f>
        <v/>
      </c>
      <c r="C197" s="142">
        <f>B197/B195-1</f>
        <v/>
      </c>
      <c r="D197" s="142">
        <f>B197/B185-1</f>
        <v/>
      </c>
      <c r="E197" s="317">
        <f>SUM(E136:INDEX(E:E, 136+$A181-1))</f>
        <v/>
      </c>
      <c r="F197" s="142">
        <f>E197/E195-1</f>
        <v/>
      </c>
      <c r="G197" s="142">
        <f>E197/E185-1</f>
        <v/>
      </c>
      <c r="H197" s="317">
        <f>SUM(H136:INDEX(H:H, 136+$A181-1))</f>
        <v/>
      </c>
      <c r="I197" s="142">
        <f>H197/H195-1</f>
        <v/>
      </c>
      <c r="J197" s="142">
        <f>H197/H185-1</f>
        <v/>
      </c>
      <c r="K197" s="317">
        <f>SUM(K136:INDEX(K:K, 136+$A181-1))</f>
        <v/>
      </c>
      <c r="L197" s="142">
        <f>K197/K195-1</f>
        <v/>
      </c>
      <c r="M197" s="142">
        <f>K197/K185-1</f>
        <v/>
      </c>
      <c r="N197" s="317">
        <f>SUM(N136:INDEX(N:N, 136+$A181-1))</f>
        <v/>
      </c>
      <c r="O197" s="142">
        <f>N197/N195-1</f>
        <v/>
      </c>
      <c r="P197" s="142">
        <f>N197/N185-1</f>
        <v/>
      </c>
      <c r="Q197" s="317">
        <f>SUM(Q136:INDEX(Q:Q, 136+$A181-1))</f>
        <v/>
      </c>
      <c r="R197" s="142">
        <f>Q197/Q195-1</f>
        <v/>
      </c>
      <c r="S197" s="142">
        <f>Q197/Q185-1</f>
        <v/>
      </c>
      <c r="T197" s="317">
        <f>SUM(T136:INDEX(T:T, 136+$A181-1))</f>
        <v/>
      </c>
      <c r="U197" s="142">
        <f>T197/T195-1</f>
        <v/>
      </c>
      <c r="V197" s="142">
        <f>T197/T185-1</f>
        <v/>
      </c>
      <c r="W197" s="317">
        <f>SUM(W136:INDEX(W:W, 136+$A181-1))</f>
        <v/>
      </c>
      <c r="X197" s="142">
        <f>W197/W195-1</f>
        <v/>
      </c>
      <c r="Y197" s="142">
        <f>W197/W185-1</f>
        <v/>
      </c>
      <c r="Z197" s="317">
        <f>SUM(Z136:INDEX(Z:Z, 136+$A181-1))</f>
        <v/>
      </c>
      <c r="AA197" s="142">
        <f>Z197/Z195-1</f>
        <v/>
      </c>
      <c r="AB197" s="142">
        <f>Z197/Z185-1</f>
        <v/>
      </c>
      <c r="AC197" s="317">
        <f>SUM(AC136:INDEX(AC:AC, 136+$A181-1))</f>
        <v/>
      </c>
      <c r="AD197" s="142">
        <f>AC197/AC195-1</f>
        <v/>
      </c>
      <c r="AE197" s="142">
        <f>AC197/AC185-1</f>
        <v/>
      </c>
      <c r="AF197" s="317">
        <f>SUM(AF136:INDEX(AF:AF, 136+$A181-1))</f>
        <v/>
      </c>
      <c r="AG197" s="142">
        <f>AF197/AF195-1</f>
        <v/>
      </c>
      <c r="AH197" s="142">
        <f>AF197/AF185-1</f>
        <v/>
      </c>
      <c r="AI197" s="317">
        <f>SUM(AI136:INDEX(AI:AI, 136+$A181-1))</f>
        <v/>
      </c>
      <c r="AJ197" s="142">
        <f>AI197/AI195-1</f>
        <v/>
      </c>
      <c r="AK197" s="142">
        <f>AI197/AI185-1</f>
        <v/>
      </c>
      <c r="AL197" s="182">
        <f>AVERAGE(AL136:INDEX(AL:AL, 136+$A181-1))</f>
        <v/>
      </c>
      <c r="AM197" s="182">
        <f>AL197-AL195</f>
        <v/>
      </c>
      <c r="AN197" s="182">
        <f>AL197-AL185</f>
        <v/>
      </c>
      <c r="AO197" s="182">
        <f>AVERAGE(AO136:INDEX(AO:AO, 136+$A181-1))</f>
        <v/>
      </c>
      <c r="AP197" s="182">
        <f>AO197-AO195</f>
        <v/>
      </c>
      <c r="AQ197" s="182">
        <f>AO197-AO185</f>
        <v/>
      </c>
      <c r="AR197" s="182">
        <f>AVERAGE(AR136:INDEX(AR:AR, 136+$A181-1))</f>
        <v/>
      </c>
      <c r="AS197" s="182">
        <f>AR197-AR195</f>
        <v/>
      </c>
      <c r="AT197" s="182">
        <f>AR197-AR185</f>
        <v/>
      </c>
      <c r="AU197" s="182">
        <f>AVERAGE(AU136:INDEX(AU:AU, 136+$A181-1))</f>
        <v/>
      </c>
      <c r="AV197" s="182">
        <f>AU197-AU195</f>
        <v/>
      </c>
      <c r="AW197" s="182">
        <f>AU197-AU185</f>
        <v/>
      </c>
      <c r="AX197" s="268" t="n"/>
      <c r="AY197" s="142" t="n"/>
      <c r="AZ197" s="142" t="n"/>
      <c r="BA197" s="317" t="n"/>
      <c r="BB197" s="317" t="n"/>
      <c r="BC197" s="317" t="n"/>
      <c r="BD197" s="317" t="n"/>
      <c r="BE197" s="317" t="n"/>
      <c r="BF197" s="317" t="n"/>
      <c r="BG197" s="317" t="n"/>
      <c r="BH197" s="317" t="n"/>
      <c r="BI197" s="317" t="n"/>
      <c r="BJ197" s="317" t="n"/>
      <c r="BK197" s="317" t="n"/>
      <c r="BL197" s="317" t="n"/>
      <c r="BM197" s="317" t="n"/>
      <c r="BN197" s="317" t="n"/>
      <c r="BO197" s="317" t="n"/>
      <c r="BP197" s="317" t="n"/>
      <c r="BQ197" s="317" t="n"/>
      <c r="BR197" s="317" t="n"/>
      <c r="BS197" s="317" t="n"/>
      <c r="BT197" s="317" t="n"/>
      <c r="BU197" s="317" t="n"/>
      <c r="BV197" s="317" t="n"/>
      <c r="BW197" s="317" t="n"/>
      <c r="BX197" s="317" t="n"/>
      <c r="BY197" s="317" t="n"/>
      <c r="BZ197" s="317" t="n"/>
      <c r="CA197" s="317" t="n"/>
      <c r="CB197" s="317" t="n"/>
      <c r="CC197" s="317" t="n"/>
      <c r="CD197" s="317" t="n"/>
      <c r="CE197" s="317" t="n"/>
      <c r="CF197" s="317" t="n"/>
      <c r="CG197" s="317" t="n"/>
      <c r="CH197" s="317" t="n"/>
      <c r="CI197" s="317" t="n"/>
      <c r="CJ197" s="317" t="n"/>
      <c r="CK197" s="317" t="n"/>
      <c r="CL197" s="317" t="n"/>
      <c r="CM197" s="317" t="n"/>
      <c r="CN197" s="317" t="n"/>
      <c r="CO197" s="317" t="n"/>
      <c r="CP197" s="343" t="n"/>
      <c r="CQ197" s="317" t="n"/>
      <c r="CR197" s="343" t="n"/>
      <c r="CS197" s="317" t="n"/>
      <c r="CT197" s="343" t="n"/>
      <c r="CU197" s="317" t="n"/>
      <c r="CV197" s="343" t="n"/>
      <c r="CW197" s="317" t="n"/>
      <c r="CX197" s="317" t="n"/>
      <c r="CY197" s="317" t="n"/>
      <c r="CZ197" s="317" t="n"/>
      <c r="DA197" s="317" t="n"/>
      <c r="DB197" s="317" t="n"/>
      <c r="DC197" s="317" t="n"/>
      <c r="DD197" s="317" t="n"/>
      <c r="DE197" s="319" t="n"/>
      <c r="DF197" s="319" t="n"/>
    </row>
    <row r="198" ht="13" customFormat="1" customHeight="1" s="116">
      <c r="A198" s="342" t="n"/>
      <c r="B198" s="317" t="n"/>
      <c r="C198" s="142" t="n"/>
      <c r="D198" s="142" t="n"/>
      <c r="E198" s="317" t="n"/>
      <c r="F198" s="142" t="n"/>
      <c r="G198" s="142" t="n"/>
      <c r="H198" s="317" t="n"/>
      <c r="I198" s="142" t="n"/>
      <c r="J198" s="142" t="n"/>
      <c r="K198" s="317" t="n"/>
      <c r="L198" s="142" t="n"/>
      <c r="M198" s="142" t="n"/>
      <c r="N198" s="317" t="n"/>
      <c r="O198" s="142" t="n"/>
      <c r="P198" s="142" t="n"/>
      <c r="Q198" s="317" t="n"/>
      <c r="R198" s="142" t="n"/>
      <c r="S198" s="142" t="n"/>
      <c r="T198" s="317" t="n"/>
      <c r="U198" s="142" t="n"/>
      <c r="V198" s="142" t="n"/>
      <c r="W198" s="317" t="n"/>
      <c r="X198" s="142" t="n"/>
      <c r="Y198" s="142" t="n"/>
      <c r="Z198" s="317" t="n"/>
      <c r="AA198" s="142" t="n"/>
      <c r="AB198" s="142" t="n"/>
      <c r="AC198" s="317" t="n"/>
      <c r="AD198" s="142" t="n"/>
      <c r="AE198" s="142" t="n"/>
      <c r="AF198" s="317" t="n"/>
      <c r="AG198" s="142" t="n"/>
      <c r="AH198" s="142" t="n"/>
      <c r="AI198" s="317" t="n"/>
      <c r="AJ198" s="142" t="n"/>
      <c r="AK198" s="142" t="n"/>
      <c r="AL198" s="317" t="n"/>
      <c r="AM198" s="317" t="n"/>
      <c r="AN198" s="317" t="n"/>
      <c r="AO198" s="317" t="n"/>
      <c r="AP198" s="317" t="n"/>
      <c r="AQ198" s="317" t="n"/>
      <c r="AR198" s="317" t="n"/>
      <c r="AS198" s="317" t="n"/>
      <c r="AT198" s="317" t="n"/>
      <c r="AU198" s="317" t="n"/>
      <c r="AV198" s="39" t="n"/>
      <c r="AW198" s="39" t="n"/>
      <c r="AX198" s="268" t="n"/>
      <c r="AY198" s="317" t="n"/>
      <c r="AZ198" s="317" t="n"/>
      <c r="BA198" s="317" t="n"/>
      <c r="BB198" s="317" t="n"/>
      <c r="BC198" s="317" t="n"/>
      <c r="BD198" s="317" t="n"/>
      <c r="BE198" s="317" t="n"/>
      <c r="BF198" s="317" t="n"/>
      <c r="BG198" s="317" t="n"/>
      <c r="BH198" s="317" t="n"/>
      <c r="BI198" s="317" t="n"/>
      <c r="BJ198" s="317" t="n"/>
      <c r="BK198" s="317" t="n"/>
      <c r="BL198" s="317" t="n"/>
      <c r="BM198" s="317" t="n"/>
      <c r="BN198" s="317" t="n"/>
      <c r="BO198" s="317" t="n"/>
      <c r="BP198" s="317" t="n"/>
      <c r="BQ198" s="317" t="n"/>
      <c r="BR198" s="317" t="n"/>
      <c r="BS198" s="317" t="n"/>
      <c r="BT198" s="317" t="n"/>
      <c r="BU198" s="317" t="n"/>
      <c r="BV198" s="317" t="n"/>
      <c r="BW198" s="317" t="n"/>
      <c r="BX198" s="317" t="n"/>
      <c r="BY198" s="317" t="n"/>
      <c r="BZ198" s="317" t="n"/>
      <c r="CA198" s="317" t="n"/>
      <c r="CB198" s="317" t="n"/>
      <c r="CC198" s="317" t="n"/>
      <c r="CD198" s="317" t="n"/>
      <c r="CE198" s="317" t="n"/>
      <c r="CF198" s="317" t="n"/>
      <c r="CG198" s="317" t="n"/>
      <c r="CH198" s="317" t="n"/>
      <c r="CI198" s="317" t="n"/>
      <c r="CJ198" s="317" t="n"/>
      <c r="CK198" s="317" t="n"/>
      <c r="CL198" s="317" t="n"/>
      <c r="CM198" s="317" t="n"/>
      <c r="CN198" s="317" t="n"/>
      <c r="CO198" s="317" t="n"/>
      <c r="CP198" s="317" t="n"/>
      <c r="CQ198" s="317" t="n"/>
      <c r="CR198" s="317" t="n"/>
      <c r="CS198" s="317" t="n"/>
      <c r="CT198" s="317" t="n"/>
      <c r="CU198" s="317" t="n"/>
      <c r="CV198" s="343" t="n"/>
      <c r="CW198" s="317" t="n"/>
      <c r="CX198" s="317" t="n"/>
      <c r="CY198" s="317" t="n"/>
      <c r="CZ198" s="317" t="n"/>
      <c r="DA198" s="317" t="n"/>
      <c r="DB198" s="317" t="n"/>
      <c r="DC198" s="317" t="n"/>
      <c r="DD198" s="317" t="n"/>
      <c r="DE198" s="319" t="n"/>
      <c r="DF198" s="319" t="n"/>
    </row>
    <row r="199" ht="13" customFormat="1" customHeight="1" s="116">
      <c r="A199" s="342" t="n"/>
      <c r="B199" s="317" t="n"/>
      <c r="C199" s="142" t="n"/>
      <c r="D199" s="142" t="n"/>
      <c r="E199" s="317" t="n"/>
      <c r="F199" s="142" t="n"/>
      <c r="G199" s="142" t="n"/>
      <c r="H199" s="317" t="n"/>
      <c r="I199" s="142" t="n"/>
      <c r="J199" s="142" t="n"/>
      <c r="K199" s="317" t="n"/>
      <c r="L199" s="142" t="n"/>
      <c r="M199" s="142" t="n"/>
      <c r="N199" s="317" t="n"/>
      <c r="O199" s="142" t="n"/>
      <c r="P199" s="142" t="n"/>
      <c r="Q199" s="317" t="n"/>
      <c r="R199" s="142" t="n"/>
      <c r="S199" s="142" t="n"/>
      <c r="T199" s="317" t="n"/>
      <c r="U199" s="142" t="n"/>
      <c r="V199" s="142" t="n"/>
      <c r="W199" s="317" t="n"/>
      <c r="X199" s="142" t="n"/>
      <c r="Y199" s="142" t="n"/>
      <c r="Z199" s="317" t="n"/>
      <c r="AA199" s="142" t="n"/>
      <c r="AB199" s="142" t="n"/>
      <c r="AC199" s="317" t="n"/>
      <c r="AD199" s="142" t="n"/>
      <c r="AE199" s="142" t="n"/>
      <c r="AF199" s="317" t="n"/>
      <c r="AG199" s="142" t="n"/>
      <c r="AH199" s="142" t="n"/>
      <c r="AI199" s="317" t="n"/>
      <c r="AJ199" s="142" t="n"/>
      <c r="AK199" s="142" t="n"/>
      <c r="AL199" s="317" t="n"/>
      <c r="AM199" s="317" t="n"/>
      <c r="AN199" s="317" t="n"/>
      <c r="AO199" s="317" t="n"/>
      <c r="AP199" s="317" t="n"/>
      <c r="AQ199" s="317" t="n"/>
      <c r="AR199" s="317" t="n"/>
      <c r="AS199" s="317" t="n"/>
      <c r="AT199" s="317" t="n"/>
      <c r="AU199" s="317" t="n"/>
      <c r="AV199" s="317" t="n"/>
      <c r="AW199" s="317" t="n"/>
      <c r="AX199" s="268" t="n"/>
      <c r="AY199" s="317" t="n"/>
      <c r="AZ199" s="317" t="n"/>
      <c r="BA199" s="317" t="n"/>
      <c r="BB199" s="317" t="n"/>
      <c r="BC199" s="317" t="n"/>
      <c r="BD199" s="317" t="n"/>
      <c r="BE199" s="317" t="n"/>
      <c r="BF199" s="317" t="n"/>
      <c r="BG199" s="317" t="n"/>
      <c r="BH199" s="317" t="n"/>
      <c r="BI199" s="317" t="n"/>
      <c r="BJ199" s="317" t="n"/>
      <c r="BK199" s="317" t="n"/>
      <c r="BL199" s="317" t="n"/>
      <c r="BM199" s="317" t="n"/>
      <c r="BN199" s="317" t="n"/>
      <c r="BO199" s="317" t="n"/>
      <c r="BP199" s="317" t="n"/>
      <c r="BQ199" s="317" t="n"/>
      <c r="BR199" s="317" t="n"/>
      <c r="BS199" s="317" t="n"/>
      <c r="BT199" s="317" t="n"/>
      <c r="BU199" s="317" t="n"/>
      <c r="BV199" s="317" t="n"/>
      <c r="BW199" s="317" t="n"/>
      <c r="BX199" s="317" t="n"/>
      <c r="BY199" s="317" t="n"/>
      <c r="BZ199" s="317" t="n"/>
      <c r="CA199" s="317" t="n"/>
      <c r="CB199" s="317" t="n"/>
      <c r="CC199" s="317" t="n"/>
      <c r="CD199" s="317" t="n"/>
      <c r="CE199" s="317" t="n"/>
      <c r="CF199" s="317" t="n"/>
      <c r="CG199" s="317" t="n"/>
      <c r="CH199" s="317" t="n"/>
      <c r="CI199" s="317" t="n"/>
      <c r="CJ199" s="317" t="n"/>
      <c r="CK199" s="317" t="n"/>
      <c r="CL199" s="317" t="n"/>
      <c r="CM199" s="317" t="n"/>
      <c r="CN199" s="317" t="n"/>
      <c r="CO199" s="317" t="n"/>
      <c r="CP199" s="317" t="n"/>
      <c r="CQ199" s="317" t="n"/>
      <c r="CR199" s="317" t="n"/>
      <c r="CS199" s="317" t="n"/>
      <c r="CT199" s="317" t="n"/>
      <c r="CU199" s="317" t="n"/>
      <c r="CV199" s="343" t="n"/>
      <c r="CW199" s="317" t="n"/>
      <c r="CX199" s="317" t="n"/>
      <c r="CY199" s="317" t="n"/>
      <c r="CZ199" s="317" t="n"/>
      <c r="DA199" s="317" t="n"/>
      <c r="DB199" s="317" t="n"/>
      <c r="DC199" s="317" t="n"/>
      <c r="DD199" s="317" t="n"/>
      <c r="DE199" s="319" t="n"/>
      <c r="DF199" s="319" t="n"/>
    </row>
    <row r="200" ht="13" customFormat="1" customHeight="1" s="116">
      <c r="A200" s="411" t="inlineStr">
        <is>
          <t>全年</t>
        </is>
      </c>
      <c r="B200" s="317" t="n"/>
      <c r="C200" s="142" t="n"/>
      <c r="D200" s="142" t="n"/>
      <c r="E200" s="317" t="n"/>
      <c r="F200" s="142" t="n"/>
      <c r="G200" s="142" t="n"/>
      <c r="H200" s="317" t="n"/>
      <c r="I200" s="142" t="n"/>
      <c r="J200" s="142" t="n"/>
      <c r="K200" s="317" t="n"/>
      <c r="L200" s="142" t="n"/>
      <c r="M200" s="142" t="n"/>
      <c r="N200" s="317" t="n"/>
      <c r="O200" s="142" t="n"/>
      <c r="P200" s="142" t="n"/>
      <c r="Q200" s="317" t="n"/>
      <c r="R200" s="142" t="n"/>
      <c r="S200" s="142" t="n"/>
      <c r="T200" s="317" t="n"/>
      <c r="U200" s="142" t="n"/>
      <c r="V200" s="142" t="n"/>
      <c r="W200" s="317" t="n"/>
      <c r="X200" s="142" t="n"/>
      <c r="Y200" s="142" t="n"/>
      <c r="Z200" s="317" t="n"/>
      <c r="AA200" s="142" t="n"/>
      <c r="AB200" s="142" t="n"/>
      <c r="AC200" s="317" t="n"/>
      <c r="AD200" s="142" t="n"/>
      <c r="AE200" s="142" t="n"/>
      <c r="AF200" s="317" t="n"/>
      <c r="AG200" s="142" t="n"/>
      <c r="AH200" s="142" t="n"/>
      <c r="AI200" s="317" t="n"/>
      <c r="AJ200" s="142" t="n"/>
      <c r="AK200" s="142" t="n"/>
      <c r="AL200" s="317" t="n"/>
      <c r="AM200" s="182">
        <f>AL200-AL198</f>
        <v/>
      </c>
      <c r="AN200" s="317" t="n"/>
      <c r="AO200" s="317" t="n"/>
      <c r="AP200" s="182">
        <f>AO200-AO198</f>
        <v/>
      </c>
      <c r="AQ200" s="317" t="n"/>
      <c r="AR200" s="317" t="n"/>
      <c r="AS200" s="182">
        <f>AR200-AR198</f>
        <v/>
      </c>
      <c r="AT200" s="317" t="n"/>
      <c r="AU200" s="317" t="n"/>
      <c r="AV200" s="182">
        <f>AU200-AU198</f>
        <v/>
      </c>
      <c r="AW200" s="317" t="n"/>
      <c r="AX200" s="268" t="n"/>
      <c r="AY200" s="317" t="n"/>
      <c r="AZ200" s="317" t="n"/>
      <c r="BA200" s="317" t="n"/>
      <c r="BB200" s="317" t="n"/>
      <c r="BC200" s="317" t="n"/>
      <c r="BD200" s="317" t="n"/>
      <c r="BE200" s="317" t="n"/>
      <c r="BF200" s="317" t="n"/>
      <c r="BG200" s="317" t="n"/>
      <c r="BH200" s="317" t="n"/>
      <c r="BI200" s="317" t="n"/>
      <c r="BJ200" s="317" t="n"/>
      <c r="BK200" s="317" t="n"/>
      <c r="BL200" s="317" t="n"/>
      <c r="BM200" s="317" t="n"/>
      <c r="BN200" s="317" t="n"/>
      <c r="BO200" s="317" t="n"/>
      <c r="BP200" s="317" t="n"/>
      <c r="BQ200" s="317" t="n"/>
      <c r="BR200" s="317" t="n"/>
      <c r="BS200" s="317" t="n"/>
      <c r="BT200" s="317" t="n"/>
      <c r="BU200" s="317" t="n"/>
      <c r="BV200" s="317" t="n"/>
      <c r="BW200" s="317" t="n"/>
      <c r="BX200" s="317" t="n"/>
      <c r="BY200" s="317" t="n"/>
      <c r="BZ200" s="317" t="n"/>
      <c r="CA200" s="317" t="n"/>
      <c r="CB200" s="317" t="n"/>
      <c r="CC200" s="317" t="n"/>
      <c r="CD200" s="317" t="n"/>
      <c r="CE200" s="317" t="n"/>
      <c r="CF200" s="317" t="n"/>
      <c r="CG200" s="317" t="n"/>
      <c r="CH200" s="317" t="n"/>
      <c r="CI200" s="317" t="n"/>
      <c r="CJ200" s="317" t="n"/>
      <c r="CK200" s="317" t="n"/>
      <c r="CL200" s="317" t="n"/>
      <c r="CM200" s="317" t="n"/>
      <c r="CN200" s="317" t="n"/>
      <c r="CO200" s="317" t="n"/>
      <c r="CP200" s="317" t="n"/>
      <c r="CQ200" s="317" t="n"/>
      <c r="CR200" s="317" t="n"/>
      <c r="CS200" s="317" t="n"/>
      <c r="CT200" s="317" t="n"/>
      <c r="CU200" s="317" t="n"/>
      <c r="CV200" s="343" t="n"/>
      <c r="CW200" s="317" t="n"/>
      <c r="CX200" s="317" t="n"/>
      <c r="CY200" s="317" t="n"/>
      <c r="CZ200" s="317" t="n"/>
      <c r="DA200" s="317" t="n"/>
      <c r="DB200" s="317" t="n"/>
      <c r="DC200" s="317" t="n"/>
      <c r="DD200" s="317" t="n"/>
      <c r="DE200" s="319" t="n"/>
      <c r="DF200" s="319" t="n"/>
    </row>
    <row r="201" ht="13" customFormat="1" customHeight="1" s="116">
      <c r="A201" s="342" t="inlineStr">
        <is>
          <t>2014年</t>
        </is>
      </c>
      <c r="B201" s="317" t="n">
        <v>193595.3</v>
      </c>
      <c r="C201" s="39" t="n"/>
      <c r="D201" s="39" t="n"/>
      <c r="E201" s="317" t="n">
        <v>123118.7</v>
      </c>
      <c r="F201" s="39" t="n"/>
      <c r="G201" s="39" t="n"/>
      <c r="H201" s="317" t="n">
        <v>60951.19999999999</v>
      </c>
      <c r="I201" s="39" t="n"/>
      <c r="J201" s="39" t="n"/>
      <c r="K201" s="317" t="n">
        <v>9525.199999999999</v>
      </c>
      <c r="L201" s="39" t="n"/>
      <c r="M201" s="39" t="n"/>
      <c r="N201" s="317" t="n">
        <v>154682.7</v>
      </c>
      <c r="O201" s="39" t="n"/>
      <c r="P201" s="39" t="n"/>
      <c r="Q201" s="317" t="n">
        <v>100099</v>
      </c>
      <c r="R201" s="39" t="n"/>
      <c r="S201" s="39" t="n"/>
      <c r="T201" s="317" t="n">
        <v>47583.3</v>
      </c>
      <c r="U201" s="39" t="n"/>
      <c r="V201" s="39" t="n"/>
      <c r="W201" s="317" t="n">
        <v>7000.099999999999</v>
      </c>
      <c r="X201" s="39" t="n"/>
      <c r="Y201" s="39" t="n"/>
      <c r="Z201" s="317" t="n">
        <v>83008.3</v>
      </c>
      <c r="AA201" s="39" t="n"/>
      <c r="AB201" s="39" t="n"/>
      <c r="AC201" s="317" t="n">
        <v>69370.2</v>
      </c>
      <c r="AD201" s="39" t="n"/>
      <c r="AE201" s="39" t="n"/>
      <c r="AF201" s="317" t="n">
        <v>9236.899999999998</v>
      </c>
      <c r="AG201" s="39" t="n"/>
      <c r="AH201" s="39" t="n"/>
      <c r="AI201" s="317" t="n">
        <v>4401.2</v>
      </c>
      <c r="AJ201" s="39" t="n"/>
      <c r="AK201" s="39" t="n"/>
      <c r="AL201" s="182" t="n">
        <v>79.925</v>
      </c>
      <c r="AM201" s="182">
        <f>AL201-AL199</f>
        <v/>
      </c>
      <c r="AN201" s="39" t="n"/>
      <c r="AO201" s="182" t="n">
        <v>81.33333333333333</v>
      </c>
      <c r="AP201" s="182">
        <f>AO201-AO199</f>
        <v/>
      </c>
      <c r="AQ201" s="39" t="n"/>
      <c r="AR201" s="182" t="n">
        <v>78.08333333333333</v>
      </c>
      <c r="AS201" s="182">
        <f>AR201-AR199</f>
        <v/>
      </c>
      <c r="AT201" s="39" t="n"/>
      <c r="AU201" s="182" t="n">
        <v>73.50833333333334</v>
      </c>
      <c r="AV201" s="182">
        <f>AU201-AU199</f>
        <v/>
      </c>
      <c r="AW201" s="39" t="n"/>
      <c r="AX201" s="268" t="n"/>
      <c r="AY201" s="142" t="n"/>
      <c r="AZ201" s="39" t="n"/>
      <c r="BA201" s="317" t="n"/>
      <c r="BB201" s="39" t="n"/>
      <c r="BC201" s="317" t="n"/>
      <c r="BD201" s="39" t="n"/>
      <c r="BE201" s="317" t="n"/>
      <c r="BF201" s="39" t="n"/>
      <c r="BG201" s="317" t="n"/>
      <c r="BH201" s="39" t="n"/>
      <c r="BI201" s="317" t="n"/>
      <c r="BJ201" s="39" t="n"/>
      <c r="BK201" s="317" t="n"/>
      <c r="BL201" s="39" t="n"/>
      <c r="BM201" s="317" t="n"/>
      <c r="BN201" s="39" t="n"/>
      <c r="BO201" s="317" t="n"/>
      <c r="BP201" s="317" t="n"/>
      <c r="BQ201" s="39" t="n"/>
      <c r="BR201" s="317" t="n"/>
      <c r="BS201" s="39" t="n"/>
      <c r="BT201" s="317" t="n"/>
      <c r="BU201" s="39" t="n"/>
      <c r="BV201" s="317" t="n"/>
      <c r="BW201" s="39" t="n"/>
      <c r="BX201" s="317" t="n"/>
      <c r="BY201" s="39" t="n"/>
      <c r="BZ201" s="317" t="n"/>
      <c r="CA201" s="39" t="n"/>
      <c r="CB201" s="317" t="n"/>
      <c r="CC201" s="39" t="n"/>
      <c r="CD201" s="317" t="n"/>
      <c r="CE201" s="39" t="n"/>
      <c r="CF201" s="317" t="n"/>
      <c r="CG201" s="39" t="n"/>
      <c r="CH201" s="317" t="n"/>
      <c r="CI201" s="39" t="n"/>
      <c r="CJ201" s="317" t="n"/>
      <c r="CK201" s="39" t="n"/>
      <c r="CL201" s="317" t="n"/>
      <c r="CM201" s="39" t="n"/>
      <c r="CN201" s="317" t="n"/>
      <c r="CO201" s="39" t="n"/>
      <c r="CP201" s="317" t="n"/>
      <c r="CQ201" s="39" t="n"/>
      <c r="CR201" s="317" t="n"/>
      <c r="CS201" s="39" t="n"/>
      <c r="CT201" s="317" t="n"/>
      <c r="CU201" s="39" t="n"/>
      <c r="CV201" s="343" t="n"/>
      <c r="CW201" s="317" t="n"/>
      <c r="CX201" s="39" t="n"/>
      <c r="CY201" s="317" t="n"/>
      <c r="CZ201" s="39" t="n"/>
      <c r="DA201" s="317" t="n"/>
      <c r="DB201" s="39" t="n"/>
      <c r="DC201" s="317" t="n"/>
      <c r="DD201" s="39" t="n"/>
      <c r="DE201" s="319" t="n"/>
      <c r="DF201" s="319" t="n"/>
    </row>
    <row r="202" ht="13" customFormat="1" customHeight="1" s="116">
      <c r="A202" s="342" t="inlineStr">
        <is>
          <t>2015年</t>
        </is>
      </c>
      <c r="B202" s="317" t="n">
        <v>214808.1</v>
      </c>
      <c r="C202" s="39" t="n"/>
      <c r="D202" s="39" t="n"/>
      <c r="E202" s="317" t="n">
        <v>132400.3</v>
      </c>
      <c r="F202" s="39" t="n"/>
      <c r="G202" s="39" t="n"/>
      <c r="H202" s="317" t="n">
        <v>72638.39999999999</v>
      </c>
      <c r="I202" s="39" t="n"/>
      <c r="J202" s="39" t="n"/>
      <c r="K202" s="317" t="n">
        <v>9769.199999999999</v>
      </c>
      <c r="L202" s="39" t="n"/>
      <c r="M202" s="39" t="n"/>
      <c r="N202" s="317" t="n">
        <v>171696.4</v>
      </c>
      <c r="O202" s="39" t="n"/>
      <c r="P202" s="39" t="n"/>
      <c r="Q202" s="317" t="n">
        <v>108576.3</v>
      </c>
      <c r="R202" s="39" t="n"/>
      <c r="S202" s="39" t="n"/>
      <c r="T202" s="317" t="n">
        <v>56197.8</v>
      </c>
      <c r="U202" s="39" t="n"/>
      <c r="V202" s="39" t="n"/>
      <c r="W202" s="317" t="n">
        <v>6922.2</v>
      </c>
      <c r="X202" s="39" t="n"/>
      <c r="Y202" s="39" t="n"/>
      <c r="Z202" s="317" t="n">
        <v>89807.70000000001</v>
      </c>
      <c r="AA202" s="39" t="n"/>
      <c r="AB202" s="39" t="n"/>
      <c r="AC202" s="317" t="n">
        <v>74322.7</v>
      </c>
      <c r="AD202" s="39" t="n"/>
      <c r="AE202" s="39" t="n"/>
      <c r="AF202" s="317" t="n">
        <v>11072.7</v>
      </c>
      <c r="AG202" s="39" t="n"/>
      <c r="AH202" s="39" t="n"/>
      <c r="AI202" s="317" t="n">
        <v>4412.500000000001</v>
      </c>
      <c r="AJ202" s="39" t="n"/>
      <c r="AK202" s="39" t="n"/>
      <c r="AL202" s="182" t="n">
        <v>79.90833333333333</v>
      </c>
      <c r="AM202" s="182">
        <f>AL202-AL200</f>
        <v/>
      </c>
      <c r="AN202" s="39" t="n"/>
      <c r="AO202" s="182" t="n">
        <v>81.98333333333333</v>
      </c>
      <c r="AP202" s="182">
        <f>AO202-AO200</f>
        <v/>
      </c>
      <c r="AQ202" s="39" t="n"/>
      <c r="AR202" s="182" t="n">
        <v>77.39166666666667</v>
      </c>
      <c r="AS202" s="182">
        <f>AR202-AR200</f>
        <v/>
      </c>
      <c r="AT202" s="39" t="n"/>
      <c r="AU202" s="182" t="n">
        <v>70.79166666666667</v>
      </c>
      <c r="AV202" s="182">
        <f>AU202-AU200</f>
        <v/>
      </c>
      <c r="AW202" s="39" t="n"/>
      <c r="AX202" s="268" t="n"/>
      <c r="AY202" s="142" t="n"/>
      <c r="AZ202" s="39" t="n"/>
      <c r="BA202" s="317" t="n"/>
      <c r="BB202" s="39" t="n"/>
      <c r="BC202" s="317" t="n"/>
      <c r="BD202" s="39" t="n"/>
      <c r="BE202" s="317" t="n"/>
      <c r="BF202" s="39" t="n"/>
      <c r="BG202" s="317" t="n"/>
      <c r="BH202" s="39" t="n"/>
      <c r="BI202" s="317" t="n"/>
      <c r="BJ202" s="39" t="n"/>
      <c r="BK202" s="317" t="n"/>
      <c r="BL202" s="39" t="n"/>
      <c r="BM202" s="317" t="n"/>
      <c r="BN202" s="39" t="n"/>
      <c r="BO202" s="317" t="n"/>
      <c r="BP202" s="317" t="n"/>
      <c r="BQ202" s="39" t="n"/>
      <c r="BR202" s="317" t="n"/>
      <c r="BS202" s="39" t="n"/>
      <c r="BT202" s="317" t="n"/>
      <c r="BU202" s="39" t="n"/>
      <c r="BV202" s="317" t="n"/>
      <c r="BW202" s="39" t="n"/>
      <c r="BX202" s="317" t="n"/>
      <c r="BY202" s="39" t="n"/>
      <c r="BZ202" s="317" t="n"/>
      <c r="CA202" s="39" t="n"/>
      <c r="CB202" s="317" t="n"/>
      <c r="CC202" s="39" t="n"/>
      <c r="CD202" s="317" t="n"/>
      <c r="CE202" s="39" t="n"/>
      <c r="CF202" s="317" t="n"/>
      <c r="CG202" s="39" t="n"/>
      <c r="CH202" s="317" t="n"/>
      <c r="CI202" s="39" t="n"/>
      <c r="CJ202" s="317" t="n"/>
      <c r="CK202" s="39" t="n"/>
      <c r="CL202" s="317" t="n"/>
      <c r="CM202" s="39" t="n"/>
      <c r="CN202" s="317" t="n"/>
      <c r="CO202" s="39" t="n"/>
      <c r="CP202" s="317" t="n"/>
      <c r="CQ202" s="39" t="n"/>
      <c r="CR202" s="317" t="n"/>
      <c r="CS202" s="39" t="n"/>
      <c r="CT202" s="317" t="n"/>
      <c r="CU202" s="39" t="n"/>
      <c r="CV202" s="343" t="n"/>
      <c r="CW202" s="317" t="n"/>
      <c r="CX202" s="39" t="n"/>
      <c r="CY202" s="317" t="n"/>
      <c r="CZ202" s="39" t="n"/>
      <c r="DA202" s="317" t="n"/>
      <c r="DB202" s="39" t="n"/>
      <c r="DC202" s="317" t="n"/>
      <c r="DD202" s="39" t="n"/>
      <c r="DE202" s="319" t="n"/>
      <c r="DF202" s="319" t="n"/>
    </row>
    <row r="203" ht="13" customFormat="1" customHeight="1" s="116">
      <c r="A203" s="342" t="inlineStr">
        <is>
          <t>2016年</t>
        </is>
      </c>
      <c r="B203" s="317" t="n">
        <v>233050.7</v>
      </c>
      <c r="C203" s="39" t="n"/>
      <c r="D203" s="39" t="n"/>
      <c r="E203" s="317" t="n">
        <v>139689.5</v>
      </c>
      <c r="F203" s="39" t="n"/>
      <c r="G203" s="39" t="n"/>
      <c r="H203" s="317" t="n">
        <v>84022.70000000001</v>
      </c>
      <c r="I203" s="39" t="n"/>
      <c r="J203" s="39" t="n"/>
      <c r="K203" s="317" t="n">
        <v>9338.699999999999</v>
      </c>
      <c r="L203" s="39" t="n"/>
      <c r="M203" s="39" t="n"/>
      <c r="N203" s="317" t="n">
        <v>188136.9</v>
      </c>
      <c r="O203" s="39" t="n"/>
      <c r="P203" s="39" t="n"/>
      <c r="Q203" s="317" t="n">
        <v>115729.5</v>
      </c>
      <c r="R203" s="39" t="n"/>
      <c r="S203" s="39" t="n"/>
      <c r="T203" s="317" t="n">
        <v>65439.4</v>
      </c>
      <c r="U203" s="39" t="n"/>
      <c r="V203" s="39" t="n"/>
      <c r="W203" s="317" t="n">
        <v>6968.099999999999</v>
      </c>
      <c r="X203" s="39" t="n"/>
      <c r="Y203" s="39" t="n"/>
      <c r="Z203" s="317" t="n">
        <v>96593.29999999999</v>
      </c>
      <c r="AA203" s="39" t="n"/>
      <c r="AB203" s="39" t="n"/>
      <c r="AC203" s="317" t="n">
        <v>78890.3</v>
      </c>
      <c r="AD203" s="39" t="n"/>
      <c r="AE203" s="39" t="n"/>
      <c r="AF203" s="317" t="n">
        <v>13248.8</v>
      </c>
      <c r="AG203" s="39" t="n"/>
      <c r="AH203" s="39" t="n"/>
      <c r="AI203" s="317" t="n">
        <v>4454.500000000001</v>
      </c>
      <c r="AJ203" s="39" t="n"/>
      <c r="AK203" s="39" t="n"/>
      <c r="AL203" s="182" t="n">
        <v>80.68333333333334</v>
      </c>
      <c r="AM203" s="182">
        <f>AL203-AL201</f>
        <v/>
      </c>
      <c r="AN203" s="39" t="n"/>
      <c r="AO203" s="182" t="n">
        <v>82.80833333333334</v>
      </c>
      <c r="AP203" s="182">
        <f>AO203-AO201</f>
        <v/>
      </c>
      <c r="AQ203" s="39" t="n"/>
      <c r="AR203" s="182" t="n">
        <v>77.75</v>
      </c>
      <c r="AS203" s="182">
        <f>AR203-AR201</f>
        <v/>
      </c>
      <c r="AT203" s="39" t="n"/>
      <c r="AU203" s="182" t="n">
        <v>74.56666666666666</v>
      </c>
      <c r="AV203" s="182">
        <f>AU203-AU201</f>
        <v/>
      </c>
      <c r="AW203" s="39" t="n"/>
      <c r="AX203" s="268" t="n"/>
      <c r="AY203" s="142" t="n"/>
      <c r="AZ203" s="39" t="n"/>
      <c r="BA203" s="317" t="n"/>
      <c r="BB203" s="39" t="n"/>
      <c r="BC203" s="317" t="n"/>
      <c r="BD203" s="39" t="n"/>
      <c r="BE203" s="317" t="n"/>
      <c r="BF203" s="39" t="n"/>
      <c r="BG203" s="317" t="n"/>
      <c r="BH203" s="39" t="n"/>
      <c r="BI203" s="317" t="n"/>
      <c r="BJ203" s="39" t="n"/>
      <c r="BK203" s="317" t="n"/>
      <c r="BL203" s="39" t="n"/>
      <c r="BM203" s="317" t="n"/>
      <c r="BN203" s="39" t="n"/>
      <c r="BO203" s="317" t="n"/>
      <c r="BP203" s="317" t="n"/>
      <c r="BQ203" s="39" t="n"/>
      <c r="BR203" s="317" t="n"/>
      <c r="BS203" s="39" t="n"/>
      <c r="BT203" s="317" t="n"/>
      <c r="BU203" s="39" t="n"/>
      <c r="BV203" s="317" t="n"/>
      <c r="BW203" s="39" t="n"/>
      <c r="BX203" s="317" t="n"/>
      <c r="BY203" s="39" t="n"/>
      <c r="BZ203" s="317" t="n"/>
      <c r="CA203" s="39" t="n"/>
      <c r="CB203" s="317" t="n"/>
      <c r="CC203" s="39" t="n"/>
      <c r="CD203" s="317" t="n"/>
      <c r="CE203" s="39" t="n"/>
      <c r="CF203" s="317" t="n"/>
      <c r="CG203" s="39" t="n"/>
      <c r="CH203" s="317" t="n"/>
      <c r="CI203" s="39" t="n"/>
      <c r="CJ203" s="317" t="n"/>
      <c r="CK203" s="39" t="n"/>
      <c r="CL203" s="317" t="n"/>
      <c r="CM203" s="39" t="n"/>
      <c r="CN203" s="317" t="n"/>
      <c r="CO203" s="39" t="n"/>
      <c r="CP203" s="317" t="n"/>
      <c r="CQ203" s="39" t="n"/>
      <c r="CR203" s="317" t="n"/>
      <c r="CS203" s="39" t="n"/>
      <c r="CT203" s="317" t="n"/>
      <c r="CU203" s="39" t="n"/>
      <c r="CV203" s="343" t="n"/>
      <c r="CW203" s="317" t="n"/>
      <c r="CX203" s="39" t="n"/>
      <c r="CY203" s="317" t="n"/>
      <c r="CZ203" s="39" t="n"/>
      <c r="DA203" s="317" t="n"/>
      <c r="DB203" s="39" t="n"/>
      <c r="DC203" s="317" t="n"/>
      <c r="DD203" s="39" t="n"/>
      <c r="DE203" s="319" t="n"/>
      <c r="DF203" s="319" t="n"/>
    </row>
    <row r="204" ht="13" customFormat="1" customHeight="1" s="116">
      <c r="A204" s="342" t="inlineStr">
        <is>
          <t>2017年</t>
        </is>
      </c>
      <c r="B204" s="317" t="n">
        <v>247796.8</v>
      </c>
      <c r="C204" s="39" t="n"/>
      <c r="D204" s="39" t="n"/>
      <c r="E204" s="317" t="n">
        <v>147979</v>
      </c>
      <c r="F204" s="39" t="n"/>
      <c r="G204" s="39" t="n"/>
      <c r="H204" s="317" t="n">
        <v>90744.2</v>
      </c>
      <c r="I204" s="39" t="n"/>
      <c r="J204" s="39" t="n"/>
      <c r="K204" s="317" t="n">
        <v>9073.5</v>
      </c>
      <c r="L204" s="39" t="n"/>
      <c r="M204" s="39" t="n"/>
      <c r="N204" s="317" t="n">
        <v>201075.7</v>
      </c>
      <c r="O204" s="39" t="n"/>
      <c r="P204" s="39" t="n"/>
      <c r="Q204" s="317" t="n">
        <v>122866.8</v>
      </c>
      <c r="R204" s="39" t="n"/>
      <c r="S204" s="39" t="n"/>
      <c r="T204" s="317" t="n">
        <v>71071.2</v>
      </c>
      <c r="U204" s="39" t="n"/>
      <c r="V204" s="39" t="n"/>
      <c r="W204" s="317" t="n">
        <v>7137.699999999999</v>
      </c>
      <c r="X204" s="39" t="n"/>
      <c r="Y204" s="39" t="n"/>
      <c r="Z204" s="317" t="n">
        <v>101574.9</v>
      </c>
      <c r="AA204" s="39" t="n"/>
      <c r="AB204" s="39" t="n"/>
      <c r="AC204" s="317" t="n">
        <v>83523.5</v>
      </c>
      <c r="AD204" s="39" t="n"/>
      <c r="AE204" s="39" t="n"/>
      <c r="AF204" s="317" t="n">
        <v>13501.5</v>
      </c>
      <c r="AG204" s="39" t="n"/>
      <c r="AH204" s="39" t="n"/>
      <c r="AI204" s="317" t="n">
        <v>4549.900000000001</v>
      </c>
      <c r="AJ204" s="39" t="n"/>
      <c r="AK204" s="39" t="n"/>
      <c r="AL204" s="182" t="n">
        <v>81.14166666666667</v>
      </c>
      <c r="AM204" s="182">
        <f>AL204-AL202</f>
        <v/>
      </c>
      <c r="AN204" s="39" t="n"/>
      <c r="AO204" s="182" t="n">
        <v>83.05</v>
      </c>
      <c r="AP204" s="182">
        <f>AO204-AO202</f>
        <v/>
      </c>
      <c r="AQ204" s="39" t="n"/>
      <c r="AR204" s="182" t="n">
        <v>78.34166666666667</v>
      </c>
      <c r="AS204" s="182">
        <f>AR204-AR202</f>
        <v/>
      </c>
      <c r="AT204" s="39" t="n"/>
      <c r="AU204" s="182" t="n">
        <v>78.60000000000001</v>
      </c>
      <c r="AV204" s="182">
        <f>AU204-AU202</f>
        <v/>
      </c>
      <c r="AW204" s="39" t="n"/>
      <c r="AX204" s="268" t="n"/>
      <c r="AY204" s="142" t="n"/>
      <c r="AZ204" s="39" t="n"/>
      <c r="BA204" s="317" t="n"/>
      <c r="BB204" s="39" t="n"/>
      <c r="BC204" s="317" t="n"/>
      <c r="BD204" s="39" t="n"/>
      <c r="BE204" s="317" t="n"/>
      <c r="BF204" s="39" t="n"/>
      <c r="BG204" s="317" t="n"/>
      <c r="BH204" s="39" t="n"/>
      <c r="BI204" s="317" t="n"/>
      <c r="BJ204" s="39" t="n"/>
      <c r="BK204" s="317" t="n"/>
      <c r="BL204" s="39" t="n"/>
      <c r="BM204" s="317" t="n"/>
      <c r="BN204" s="39" t="n"/>
      <c r="BO204" s="317" t="n"/>
      <c r="BP204" s="317" t="n"/>
      <c r="BQ204" s="39" t="n"/>
      <c r="BR204" s="317" t="n"/>
      <c r="BS204" s="39" t="n"/>
      <c r="BT204" s="317" t="n"/>
      <c r="BU204" s="39" t="n"/>
      <c r="BV204" s="317" t="n"/>
      <c r="BW204" s="39" t="n"/>
      <c r="BX204" s="317" t="n"/>
      <c r="BY204" s="39" t="n"/>
      <c r="BZ204" s="317" t="n"/>
      <c r="CA204" s="39" t="n"/>
      <c r="CB204" s="317" t="n"/>
      <c r="CC204" s="39" t="n"/>
      <c r="CD204" s="317" t="n"/>
      <c r="CE204" s="39" t="n"/>
      <c r="CF204" s="317" t="n"/>
      <c r="CG204" s="39" t="n"/>
      <c r="CH204" s="317" t="n"/>
      <c r="CI204" s="39" t="n"/>
      <c r="CJ204" s="317" t="n"/>
      <c r="CK204" s="39" t="n"/>
      <c r="CL204" s="317" t="n"/>
      <c r="CM204" s="39" t="n"/>
      <c r="CN204" s="317" t="n"/>
      <c r="CO204" s="39" t="n"/>
      <c r="CP204" s="317" t="n"/>
      <c r="CQ204" s="39" t="n"/>
      <c r="CR204" s="317" t="n"/>
      <c r="CS204" s="39" t="n"/>
      <c r="CT204" s="317" t="n"/>
      <c r="CU204" s="39" t="n"/>
      <c r="CV204" s="343" t="n"/>
      <c r="CW204" s="317" t="n"/>
      <c r="CX204" s="39" t="n"/>
      <c r="CY204" s="317" t="n"/>
      <c r="CZ204" s="39" t="n"/>
      <c r="DA204" s="317" t="n"/>
      <c r="DB204" s="39" t="n"/>
      <c r="DC204" s="317" t="n"/>
      <c r="DD204" s="39" t="n"/>
      <c r="DE204" s="319" t="n"/>
      <c r="DF204" s="319" t="n"/>
    </row>
    <row r="205" ht="13" customFormat="1" customHeight="1" s="116">
      <c r="A205" s="342" t="inlineStr">
        <is>
          <t>2018年</t>
        </is>
      </c>
      <c r="B205" s="317" t="n">
        <v>273546.9</v>
      </c>
      <c r="C205" s="343">
        <f>B205/B204-1</f>
        <v/>
      </c>
      <c r="D205" s="39" t="n"/>
      <c r="E205" s="317" t="n">
        <v>160128.9</v>
      </c>
      <c r="F205" s="343">
        <f>E205/E204-1</f>
        <v/>
      </c>
      <c r="G205" s="39" t="n"/>
      <c r="H205" s="317" t="n">
        <v>103570.7</v>
      </c>
      <c r="I205" s="343">
        <f>H205/H204-1</f>
        <v/>
      </c>
      <c r="J205" s="39" t="n"/>
      <c r="K205" s="317" t="n">
        <v>9847.799999999999</v>
      </c>
      <c r="L205" s="343">
        <f>K205/K204-1</f>
        <v/>
      </c>
      <c r="M205" s="39" t="n"/>
      <c r="N205" s="317" t="n">
        <v>220462.3</v>
      </c>
      <c r="O205" s="343">
        <f>N205/N204-1</f>
        <v/>
      </c>
      <c r="P205" s="39" t="n"/>
      <c r="Q205" s="317" t="n">
        <v>132047.6</v>
      </c>
      <c r="R205" s="343">
        <f>Q205/Q204-1</f>
        <v/>
      </c>
      <c r="S205" s="39" t="n"/>
      <c r="T205" s="317" t="n">
        <v>80459</v>
      </c>
      <c r="U205" s="343">
        <f>T205/T204-1</f>
        <v/>
      </c>
      <c r="V205" s="39" t="n"/>
      <c r="W205" s="317" t="n">
        <v>7956.1</v>
      </c>
      <c r="X205" s="343">
        <f>W205/W204-1</f>
        <v/>
      </c>
      <c r="Y205" s="39" t="n"/>
      <c r="Z205" s="317" t="n">
        <v>109685</v>
      </c>
      <c r="AA205" s="343">
        <f>Z205/Z204-1</f>
        <v/>
      </c>
      <c r="AB205" s="39" t="n"/>
      <c r="AC205" s="317" t="n">
        <v>89219.50000000001</v>
      </c>
      <c r="AD205" s="343">
        <f>AC205/AC204-1</f>
        <v/>
      </c>
      <c r="AE205" s="39" t="n"/>
      <c r="AF205" s="317" t="n">
        <v>15406.9</v>
      </c>
      <c r="AG205" s="343">
        <f>AF205/AF204-1</f>
        <v/>
      </c>
      <c r="AH205" s="39" t="n"/>
      <c r="AI205" s="317" t="n">
        <v>5058.599999999999</v>
      </c>
      <c r="AJ205" s="343">
        <f>AI205/AI204-1</f>
        <v/>
      </c>
      <c r="AK205" s="39" t="n"/>
      <c r="AL205" s="182" t="n">
        <v>80.59166666666665</v>
      </c>
      <c r="AM205" s="353" t="n">
        <v>0.006824526936201059</v>
      </c>
      <c r="AN205" s="39" t="n"/>
      <c r="AO205" s="182" t="n">
        <v>82.46666666666667</v>
      </c>
      <c r="AP205" s="353" t="n">
        <v>0.007073565076798571</v>
      </c>
      <c r="AQ205" s="39" t="n"/>
      <c r="AR205" s="182" t="n">
        <v>77.68333333333334</v>
      </c>
      <c r="AS205" s="353" t="n">
        <v>0.008474576271186418</v>
      </c>
      <c r="AT205" s="39" t="n"/>
      <c r="AU205" s="182" t="n">
        <v>80.75833333333334</v>
      </c>
      <c r="AV205" s="353" t="n">
        <v>-0.02672582808791657</v>
      </c>
      <c r="AW205" s="39" t="n"/>
      <c r="AX205" s="268" t="n"/>
      <c r="AY205" s="353" t="n"/>
      <c r="AZ205" s="39" t="n"/>
      <c r="BA205" s="317" t="n"/>
      <c r="BB205" s="39" t="n"/>
      <c r="BC205" s="317" t="n"/>
      <c r="BD205" s="39" t="n"/>
      <c r="BE205" s="317" t="n"/>
      <c r="BF205" s="39" t="n"/>
      <c r="BG205" s="317" t="n"/>
      <c r="BH205" s="39" t="n"/>
      <c r="BI205" s="317" t="n"/>
      <c r="BJ205" s="39" t="n"/>
      <c r="BK205" s="317" t="n"/>
      <c r="BL205" s="39" t="n"/>
      <c r="BM205" s="317" t="n"/>
      <c r="BN205" s="39" t="n"/>
      <c r="BO205" s="317" t="n"/>
      <c r="BP205" s="317" t="n"/>
      <c r="BQ205" s="39" t="n"/>
      <c r="BR205" s="317" t="n"/>
      <c r="BS205" s="39" t="n"/>
      <c r="BT205" s="317" t="n"/>
      <c r="BU205" s="39" t="n"/>
      <c r="BV205" s="317" t="n"/>
      <c r="BW205" s="39" t="n"/>
      <c r="BX205" s="317" t="n"/>
      <c r="BY205" s="39" t="n"/>
      <c r="BZ205" s="317" t="n"/>
      <c r="CA205" s="39" t="n"/>
      <c r="CB205" s="317" t="n"/>
      <c r="CC205" s="39" t="n"/>
      <c r="CD205" s="317" t="n"/>
      <c r="CE205" s="39" t="n"/>
      <c r="CF205" s="317" t="n"/>
      <c r="CG205" s="39" t="n"/>
      <c r="CH205" s="317" t="n"/>
      <c r="CI205" s="39" t="n"/>
      <c r="CJ205" s="317" t="n"/>
      <c r="CK205" s="39" t="n"/>
      <c r="CL205" s="317" t="n"/>
      <c r="CM205" s="39" t="n"/>
      <c r="CN205" s="317" t="n"/>
      <c r="CO205" s="39" t="n"/>
      <c r="CP205" s="317" t="n"/>
      <c r="CQ205" s="39" t="n"/>
      <c r="CR205" s="317" t="n"/>
      <c r="CS205" s="39" t="n"/>
      <c r="CT205" s="317" t="n"/>
      <c r="CU205" s="39" t="n"/>
      <c r="CV205" s="343" t="n"/>
      <c r="CW205" s="317" t="n"/>
      <c r="CX205" s="39" t="n"/>
      <c r="CY205" s="317" t="n"/>
      <c r="CZ205" s="39" t="n"/>
      <c r="DA205" s="317" t="n"/>
      <c r="DB205" s="39" t="n"/>
      <c r="DC205" s="317" t="n"/>
      <c r="DD205" s="39" t="n"/>
      <c r="DE205" s="319" t="n"/>
      <c r="DF205" s="319" t="n"/>
    </row>
    <row r="206" ht="13" customFormat="1" customHeight="1" s="116">
      <c r="A206" s="342" t="inlineStr">
        <is>
          <t>2019年</t>
        </is>
      </c>
      <c r="B206" s="317" t="n">
        <v>287062.8</v>
      </c>
      <c r="C206" s="343">
        <f>B206/B205-1</f>
        <v/>
      </c>
      <c r="D206" s="39" t="n"/>
      <c r="E206" s="317" t="n">
        <v>166979.5</v>
      </c>
      <c r="F206" s="343">
        <f>E206/E205-1</f>
        <v/>
      </c>
      <c r="G206" s="39" t="n"/>
      <c r="H206" s="317" t="n">
        <v>109294.8</v>
      </c>
      <c r="I206" s="343">
        <f>H206/H205-1</f>
        <v/>
      </c>
      <c r="J206" s="39" t="n"/>
      <c r="K206" s="317" t="n">
        <v>10788.8</v>
      </c>
      <c r="L206" s="343">
        <f>K206/K205-1</f>
        <v/>
      </c>
      <c r="M206" s="39" t="n"/>
      <c r="N206" s="317" t="n">
        <v>232672</v>
      </c>
      <c r="O206" s="343">
        <f>N206/N205-1</f>
        <v/>
      </c>
      <c r="P206" s="39" t="n"/>
      <c r="Q206" s="317" t="n">
        <v>137723</v>
      </c>
      <c r="R206" s="343">
        <f>Q206/Q205-1</f>
        <v/>
      </c>
      <c r="S206" s="39" t="n"/>
      <c r="T206" s="317" t="n">
        <v>86584.40000000001</v>
      </c>
      <c r="U206" s="343">
        <f>T206/T205-1</f>
        <v/>
      </c>
      <c r="V206" s="39" t="n"/>
      <c r="W206" s="317" t="n">
        <v>8364.5</v>
      </c>
      <c r="X206" s="343">
        <f>W206/W205-1</f>
        <v/>
      </c>
      <c r="Y206" s="39" t="n"/>
      <c r="Z206" s="317" t="n">
        <v>114596.2</v>
      </c>
      <c r="AA206" s="343">
        <f>Z206/Z205-1</f>
        <v/>
      </c>
      <c r="AB206" s="39" t="n"/>
      <c r="AC206" s="317" t="n">
        <v>92159.8</v>
      </c>
      <c r="AD206" s="343">
        <f>AC206/AC205-1</f>
        <v/>
      </c>
      <c r="AE206" s="39" t="n"/>
      <c r="AF206" s="317" t="n">
        <v>17077.1</v>
      </c>
      <c r="AG206" s="343">
        <f>AF206/AF205-1</f>
        <v/>
      </c>
      <c r="AH206" s="39" t="n"/>
      <c r="AI206" s="317" t="n">
        <v>5358.999999999999</v>
      </c>
      <c r="AJ206" s="343">
        <f>AI206/AI205-1</f>
        <v/>
      </c>
      <c r="AK206" s="39" t="n"/>
      <c r="AL206" s="182" t="n">
        <v>81.05</v>
      </c>
      <c r="AM206" s="182">
        <f>AL206-AL204</f>
        <v/>
      </c>
      <c r="AN206" s="179" t="n"/>
      <c r="AO206" s="182" t="n">
        <v>82.47499999999999</v>
      </c>
      <c r="AP206" s="182">
        <f>AO206-AO204</f>
        <v/>
      </c>
      <c r="AQ206" s="179" t="n"/>
      <c r="AR206" s="182" t="n">
        <v>79.22500000000001</v>
      </c>
      <c r="AS206" s="182">
        <f>AR206-AR204</f>
        <v/>
      </c>
      <c r="AT206" s="179" t="n"/>
      <c r="AU206" s="182" t="n">
        <v>77.24166666666666</v>
      </c>
      <c r="AV206" s="182">
        <f>AU206-AU204</f>
        <v/>
      </c>
      <c r="AW206" s="179" t="n"/>
      <c r="AX206" s="268" t="n"/>
      <c r="AY206" s="353" t="n"/>
      <c r="AZ206" s="39" t="n"/>
      <c r="BA206" s="317" t="n"/>
      <c r="BB206" s="39" t="n"/>
      <c r="BC206" s="317" t="n"/>
      <c r="BD206" s="39" t="n"/>
      <c r="BE206" s="317" t="n"/>
      <c r="BF206" s="39" t="n"/>
      <c r="BG206" s="317" t="n"/>
      <c r="BH206" s="39" t="n"/>
      <c r="BI206" s="317" t="n"/>
      <c r="BJ206" s="39" t="n"/>
      <c r="BK206" s="317" t="n"/>
      <c r="BL206" s="39" t="n"/>
      <c r="BM206" s="317" t="n"/>
      <c r="BN206" s="39" t="n"/>
      <c r="BO206" s="317" t="n"/>
      <c r="BP206" s="317" t="n"/>
      <c r="BQ206" s="39" t="n"/>
      <c r="BR206" s="317" t="n"/>
      <c r="BS206" s="39" t="n"/>
      <c r="BT206" s="317" t="n"/>
      <c r="BU206" s="39" t="n"/>
      <c r="BV206" s="317" t="n"/>
      <c r="BW206" s="39" t="n"/>
      <c r="BX206" s="317" t="n"/>
      <c r="BY206" s="39" t="n"/>
      <c r="BZ206" s="317" t="n"/>
      <c r="CA206" s="39" t="n"/>
      <c r="CB206" s="317" t="n"/>
      <c r="CC206" s="39" t="n"/>
      <c r="CD206" s="317" t="n"/>
      <c r="CE206" s="39" t="n"/>
      <c r="CF206" s="317" t="n"/>
      <c r="CG206" s="39" t="n"/>
      <c r="CH206" s="317" t="n"/>
      <c r="CI206" s="39" t="n"/>
      <c r="CJ206" s="317" t="n"/>
      <c r="CK206" s="39" t="n"/>
      <c r="CL206" s="317" t="n"/>
      <c r="CM206" s="39" t="n"/>
      <c r="CN206" s="317" t="n"/>
      <c r="CO206" s="39" t="n"/>
      <c r="CP206" s="317" t="n"/>
      <c r="CQ206" s="39" t="n"/>
      <c r="CR206" s="317" t="n"/>
      <c r="CS206" s="39" t="n"/>
      <c r="CT206" s="317" t="n"/>
      <c r="CU206" s="39" t="n"/>
      <c r="CV206" s="343" t="n"/>
      <c r="CW206" s="317" t="n"/>
      <c r="CX206" s="39" t="n"/>
      <c r="CY206" s="317" t="n"/>
      <c r="CZ206" s="39" t="n"/>
      <c r="DA206" s="317" t="n"/>
      <c r="DB206" s="39" t="n"/>
      <c r="DC206" s="317" t="n"/>
      <c r="DD206" s="39" t="n"/>
      <c r="DE206" s="319" t="n"/>
      <c r="DF206" s="319" t="n"/>
    </row>
    <row r="207" ht="13" customFormat="1" customHeight="1" s="116">
      <c r="A207" s="342" t="inlineStr">
        <is>
          <t>2020年</t>
        </is>
      </c>
      <c r="B207" s="317" t="n">
        <v>156062.3</v>
      </c>
      <c r="C207" s="343">
        <f>B207/B206-1</f>
        <v/>
      </c>
      <c r="D207" s="39" t="n"/>
      <c r="E207" s="317" t="n">
        <v>135551.8</v>
      </c>
      <c r="F207" s="343">
        <f>E207/E206-1</f>
        <v/>
      </c>
      <c r="G207" s="39" t="n"/>
      <c r="H207" s="317" t="n">
        <v>18643.5</v>
      </c>
      <c r="I207" s="343">
        <f>H207/H206-1</f>
        <v/>
      </c>
      <c r="J207" s="39" t="n"/>
      <c r="K207" s="317" t="n">
        <v>1866.899999999999</v>
      </c>
      <c r="L207" s="343">
        <f>K207/K206-1</f>
        <v/>
      </c>
      <c r="M207" s="39" t="n"/>
      <c r="N207" s="317" t="n">
        <v>109832.4</v>
      </c>
      <c r="O207" s="343">
        <f>N207/N206-1</f>
        <v/>
      </c>
      <c r="P207" s="39" t="n"/>
      <c r="Q207" s="317" t="n">
        <v>97120.19999999998</v>
      </c>
      <c r="R207" s="343">
        <f>Q207/Q206-1</f>
        <v/>
      </c>
      <c r="S207" s="39" t="n"/>
      <c r="T207" s="317" t="n">
        <v>11753.5</v>
      </c>
      <c r="U207" s="343">
        <f>T207/T206-1</f>
        <v/>
      </c>
      <c r="V207" s="39" t="n"/>
      <c r="W207" s="317" t="n">
        <v>958.6999999999998</v>
      </c>
      <c r="X207" s="343">
        <f>W207/W206-1</f>
        <v/>
      </c>
      <c r="Y207" s="39" t="n"/>
      <c r="Z207" s="317" t="n">
        <v>68691.59999999999</v>
      </c>
      <c r="AA207" s="343">
        <f>Z207/Z206-1</f>
        <v/>
      </c>
      <c r="AB207" s="39" t="n"/>
      <c r="AC207" s="317" t="n">
        <v>65838.79999999999</v>
      </c>
      <c r="AD207" s="343">
        <f>AC207/AC206-1</f>
        <v/>
      </c>
      <c r="AE207" s="39" t="n"/>
      <c r="AF207" s="317" t="n">
        <v>2241.8</v>
      </c>
      <c r="AG207" s="343">
        <f>AF207/AF206-1</f>
        <v/>
      </c>
      <c r="AH207" s="39" t="n"/>
      <c r="AI207" s="317" t="n">
        <v>611.3000000000001</v>
      </c>
      <c r="AJ207" s="343">
        <f>AI207/AI206-1</f>
        <v/>
      </c>
      <c r="AK207" s="39" t="n"/>
      <c r="AL207" s="182" t="n">
        <v>68.28333333333333</v>
      </c>
      <c r="AM207" s="182">
        <f>AL207-AL205</f>
        <v/>
      </c>
      <c r="AN207" s="179" t="n"/>
      <c r="AO207" s="182" t="n">
        <v>69.31666666666666</v>
      </c>
      <c r="AP207" s="182">
        <f>AO207-AO205</f>
        <v/>
      </c>
      <c r="AQ207" s="179" t="n"/>
      <c r="AR207" s="182" t="n">
        <v>50.48333333333333</v>
      </c>
      <c r="AS207" s="182">
        <f>AR207-AR205</f>
        <v/>
      </c>
      <c r="AT207" s="179" t="n"/>
      <c r="AU207" s="182" t="n">
        <v>26.55833333333333</v>
      </c>
      <c r="AV207" s="182">
        <f>AU207-AU205</f>
        <v/>
      </c>
      <c r="AW207" s="179" t="n"/>
      <c r="AX207" s="268" t="n"/>
      <c r="AY207" s="353" t="n"/>
      <c r="AZ207" s="39" t="n"/>
      <c r="BA207" s="317" t="n"/>
      <c r="BB207" s="39" t="n"/>
      <c r="BC207" s="317" t="n"/>
      <c r="BD207" s="39" t="n"/>
      <c r="BE207" s="317" t="n"/>
      <c r="BF207" s="39" t="n"/>
      <c r="BG207" s="317" t="n"/>
      <c r="BH207" s="39" t="n"/>
      <c r="BI207" s="317" t="n"/>
      <c r="BJ207" s="39" t="n"/>
      <c r="BK207" s="317" t="n"/>
      <c r="BL207" s="39" t="n"/>
      <c r="BM207" s="317" t="n"/>
      <c r="BN207" s="39" t="n"/>
      <c r="BO207" s="317" t="n"/>
      <c r="BP207" s="317" t="n"/>
      <c r="BQ207" s="39" t="n"/>
      <c r="BR207" s="317" t="n"/>
      <c r="BS207" s="39" t="n"/>
      <c r="BT207" s="317" t="n"/>
      <c r="BU207" s="39" t="n"/>
      <c r="BV207" s="317" t="n"/>
      <c r="BW207" s="39" t="n"/>
      <c r="BX207" s="317" t="n"/>
      <c r="BY207" s="39" t="n"/>
      <c r="BZ207" s="317" t="n"/>
      <c r="CA207" s="39" t="n"/>
      <c r="CB207" s="317" t="n"/>
      <c r="CC207" s="39" t="n"/>
      <c r="CD207" s="317" t="n"/>
      <c r="CE207" s="39" t="n"/>
      <c r="CF207" s="317" t="n"/>
      <c r="CG207" s="39" t="n"/>
      <c r="CH207" s="317" t="n"/>
      <c r="CI207" s="39" t="n"/>
      <c r="CJ207" s="317" t="n"/>
      <c r="CK207" s="39" t="n"/>
      <c r="CL207" s="317" t="n"/>
      <c r="CM207" s="39" t="n"/>
      <c r="CN207" s="317" t="n"/>
      <c r="CO207" s="39" t="n"/>
      <c r="CP207" s="317" t="n"/>
      <c r="CQ207" s="39" t="n"/>
      <c r="CR207" s="317" t="n"/>
      <c r="CS207" s="39" t="n"/>
      <c r="CT207" s="317" t="n"/>
      <c r="CU207" s="39" t="n"/>
      <c r="CV207" s="343" t="n"/>
      <c r="CW207" s="317" t="n"/>
      <c r="CX207" s="39" t="n"/>
      <c r="CY207" s="317" t="n"/>
      <c r="CZ207" s="39" t="n"/>
      <c r="DA207" s="317" t="n"/>
      <c r="DB207" s="39" t="n"/>
      <c r="DC207" s="317" t="n"/>
      <c r="DD207" s="39" t="n"/>
      <c r="DE207" s="319" t="n"/>
      <c r="DF207" s="319" t="n"/>
    </row>
    <row r="208" ht="13" customFormat="1" customHeight="1" s="119">
      <c r="A208" s="419" t="inlineStr">
        <is>
          <t>2021年</t>
        </is>
      </c>
      <c r="B208" s="340" t="n">
        <v>152349.5</v>
      </c>
      <c r="C208" s="343">
        <f>B208/B207-1</f>
        <v/>
      </c>
      <c r="D208" s="39" t="n"/>
      <c r="E208" s="340" t="n">
        <v>145830.7</v>
      </c>
      <c r="F208" s="420">
        <f>E208/E207-1</f>
        <v/>
      </c>
      <c r="G208" s="196" t="n"/>
      <c r="H208" s="340" t="n">
        <v>4166.1</v>
      </c>
      <c r="I208" s="420">
        <f>H208/H207-1</f>
        <v/>
      </c>
      <c r="J208" s="196" t="n"/>
      <c r="K208" s="340" t="n">
        <v>2352.9</v>
      </c>
      <c r="L208" s="420">
        <f>K208/K207-1</f>
        <v/>
      </c>
      <c r="M208" s="196" t="n"/>
      <c r="N208" s="340" t="n">
        <v>104476.9</v>
      </c>
      <c r="O208" s="420">
        <f>N208/N207-1</f>
        <v/>
      </c>
      <c r="P208" s="196" t="n"/>
      <c r="Q208" s="340" t="n">
        <v>101345.3</v>
      </c>
      <c r="R208" s="420">
        <f>Q208/Q207-1</f>
        <v/>
      </c>
      <c r="S208" s="196" t="n"/>
      <c r="T208" s="340" t="n">
        <v>1880.8</v>
      </c>
      <c r="U208" s="420">
        <f>T208/T207-1</f>
        <v/>
      </c>
      <c r="V208" s="196" t="n"/>
      <c r="W208" s="340" t="n">
        <v>1250.8</v>
      </c>
      <c r="X208" s="420">
        <f>W208/W207-1</f>
        <v/>
      </c>
      <c r="Y208" s="196" t="n"/>
      <c r="Z208" s="340" t="n">
        <v>68919.09999999999</v>
      </c>
      <c r="AA208" s="420">
        <f>Z208/Z207-1</f>
        <v/>
      </c>
      <c r="AB208" s="196" t="n"/>
      <c r="AC208" s="340" t="n">
        <v>67868.79999999999</v>
      </c>
      <c r="AD208" s="420">
        <f>AC208/AC207-1</f>
        <v/>
      </c>
      <c r="AE208" s="196" t="n"/>
      <c r="AF208" s="340" t="n">
        <v>301.5</v>
      </c>
      <c r="AG208" s="420">
        <f>AF208/AF207-1</f>
        <v/>
      </c>
      <c r="AH208" s="196" t="n"/>
      <c r="AI208" s="340" t="n">
        <v>748.9000000000001</v>
      </c>
      <c r="AJ208" s="420">
        <f>AI208/AI207-1</f>
        <v/>
      </c>
      <c r="AK208" s="196" t="n"/>
      <c r="AL208" s="421" t="n">
        <v>67.08333333333333</v>
      </c>
      <c r="AM208" s="421">
        <f>AL208-AL206</f>
        <v/>
      </c>
      <c r="AN208" s="340" t="n"/>
      <c r="AO208" s="421" t="n">
        <v>67.95</v>
      </c>
      <c r="AP208" s="421">
        <f>AO208-AO206</f>
        <v/>
      </c>
      <c r="AQ208" s="340" t="n"/>
      <c r="AR208" s="421" t="n">
        <v>45.4</v>
      </c>
      <c r="AS208" s="421">
        <f>AR208-AR206</f>
        <v/>
      </c>
      <c r="AT208" s="340" t="n"/>
      <c r="AU208" s="421" t="n">
        <v>49.475</v>
      </c>
      <c r="AV208" s="421">
        <f>AU208-AU206</f>
        <v/>
      </c>
      <c r="AW208" s="340" t="n"/>
      <c r="AX208" s="340" t="n"/>
      <c r="AY208" s="420" t="n"/>
      <c r="AZ208" s="340" t="n"/>
      <c r="BA208" s="340" t="n"/>
      <c r="BB208" s="340" t="n"/>
      <c r="BC208" s="340" t="n"/>
      <c r="BD208" s="340" t="n"/>
      <c r="BE208" s="340" t="n"/>
      <c r="BF208" s="340" t="n"/>
      <c r="BG208" s="340" t="n"/>
      <c r="BH208" s="340" t="n"/>
      <c r="BI208" s="340" t="n"/>
      <c r="BJ208" s="340" t="n"/>
      <c r="BK208" s="340" t="n"/>
      <c r="BL208" s="340" t="n"/>
      <c r="BM208" s="340" t="n"/>
      <c r="BN208" s="340" t="n"/>
      <c r="BO208" s="340" t="n"/>
      <c r="BP208" s="340" t="n"/>
      <c r="BQ208" s="340" t="n"/>
      <c r="BR208" s="340" t="n"/>
      <c r="BS208" s="340" t="n"/>
      <c r="BT208" s="340" t="n"/>
      <c r="BU208" s="340" t="n"/>
      <c r="BV208" s="340" t="n"/>
      <c r="BW208" s="340" t="n"/>
      <c r="BX208" s="340" t="n"/>
      <c r="BY208" s="340" t="n"/>
      <c r="BZ208" s="340" t="n"/>
      <c r="CA208" s="340" t="n"/>
      <c r="CB208" s="340" t="n"/>
      <c r="CC208" s="340" t="n"/>
      <c r="CD208" s="340" t="n"/>
      <c r="CE208" s="340" t="n"/>
      <c r="CF208" s="340" t="n"/>
      <c r="CG208" s="340" t="n"/>
      <c r="CH208" s="340" t="n"/>
      <c r="CI208" s="340" t="n"/>
      <c r="CJ208" s="340" t="n"/>
      <c r="CK208" s="340" t="n"/>
      <c r="CL208" s="340" t="n"/>
      <c r="CM208" s="340" t="n"/>
      <c r="CN208" s="340" t="n"/>
      <c r="CO208" s="340" t="n"/>
      <c r="CP208" s="340" t="n"/>
      <c r="CQ208" s="340" t="n"/>
      <c r="CR208" s="340" t="n"/>
      <c r="CS208" s="340" t="n"/>
      <c r="CT208" s="340" t="n"/>
      <c r="CU208" s="340" t="n"/>
      <c r="CV208" s="340" t="n"/>
      <c r="CW208" s="340" t="n"/>
      <c r="CX208" s="340" t="n"/>
      <c r="CY208" s="340" t="n"/>
      <c r="CZ208" s="340" t="n"/>
      <c r="DA208" s="340" t="n"/>
      <c r="DB208" s="340" t="n"/>
      <c r="DC208" s="340" t="n"/>
      <c r="DD208" s="340" t="n"/>
      <c r="DE208" s="340" t="n"/>
      <c r="DF208" s="340" t="n"/>
    </row>
    <row r="209" ht="13" customFormat="1" customHeight="1" s="119">
      <c r="A209" s="419" t="inlineStr">
        <is>
          <t>2022年</t>
        </is>
      </c>
      <c r="B209" s="340" t="n">
        <v>96196.10000000001</v>
      </c>
      <c r="C209" s="422">
        <f>B209/B208-1</f>
        <v/>
      </c>
      <c r="D209" s="39" t="n"/>
      <c r="E209" s="340" t="n">
        <v>89942.79999999999</v>
      </c>
      <c r="F209" s="420">
        <f>E209/E208-1</f>
        <v/>
      </c>
      <c r="G209" s="196" t="n"/>
      <c r="H209" s="340" t="n">
        <v>4628.6</v>
      </c>
      <c r="I209" s="420">
        <f>H209/H208-1</f>
        <v/>
      </c>
      <c r="J209" s="196" t="n"/>
      <c r="K209" s="340" t="n">
        <v>1624.7</v>
      </c>
      <c r="L209" s="420">
        <f>K209/K208-1</f>
        <v/>
      </c>
      <c r="M209" s="196" t="n"/>
      <c r="N209" s="340" t="n">
        <v>60354</v>
      </c>
      <c r="O209" s="420">
        <f>N209/N208-1</f>
        <v/>
      </c>
      <c r="P209" s="196" t="n"/>
      <c r="Q209" s="340" t="n">
        <v>57554.6</v>
      </c>
      <c r="R209" s="420">
        <f>Q209/Q208-1</f>
        <v/>
      </c>
      <c r="S209" s="196" t="n"/>
      <c r="T209" s="340" t="n">
        <v>2046.3</v>
      </c>
      <c r="U209" s="420">
        <f>T209/T208-1</f>
        <v/>
      </c>
      <c r="V209" s="196" t="n"/>
      <c r="W209" s="340" t="n">
        <v>753.3</v>
      </c>
      <c r="X209" s="420">
        <f>W209/W208-1</f>
        <v/>
      </c>
      <c r="Y209" s="196" t="n"/>
      <c r="Z209" s="340" t="n">
        <v>38607.2</v>
      </c>
      <c r="AA209" s="420">
        <f>Z209/Z208-1</f>
        <v/>
      </c>
      <c r="AB209" s="196" t="n"/>
      <c r="AC209" s="340" t="n">
        <v>37811.1</v>
      </c>
      <c r="AD209" s="420">
        <f>AC209/AC208-1</f>
        <v/>
      </c>
      <c r="AE209" s="196" t="n"/>
      <c r="AF209" s="340" t="n">
        <v>356.3</v>
      </c>
      <c r="AG209" s="420">
        <f>AF209/AF208-1</f>
        <v/>
      </c>
      <c r="AH209" s="196" t="n"/>
      <c r="AI209" s="340" t="n">
        <v>439.7</v>
      </c>
      <c r="AJ209" s="420">
        <f>AI209/AI208-1</f>
        <v/>
      </c>
      <c r="AK209" s="196" t="n"/>
      <c r="AL209" s="421" t="n">
        <v>61.85833333333334</v>
      </c>
      <c r="AM209" s="421">
        <f>AL209-AL207</f>
        <v/>
      </c>
      <c r="AN209" s="340" t="n"/>
      <c r="AO209" s="421" t="n">
        <v>63.175</v>
      </c>
      <c r="AP209" s="421">
        <f>AO209-AO207</f>
        <v/>
      </c>
      <c r="AQ209" s="340" t="n"/>
      <c r="AR209" s="421" t="n">
        <v>43.975</v>
      </c>
      <c r="AS209" s="421">
        <f>AR209-AR207</f>
        <v/>
      </c>
      <c r="AT209" s="340" t="n"/>
      <c r="AU209" s="421" t="n">
        <v>42.96666666666667</v>
      </c>
      <c r="AV209" s="421">
        <f>AU209-AU207</f>
        <v/>
      </c>
      <c r="AW209" s="340" t="n"/>
      <c r="AX209" s="340" t="n"/>
      <c r="AY209" s="420" t="n"/>
      <c r="AZ209" s="340" t="n"/>
      <c r="BA209" s="340" t="n"/>
      <c r="BB209" s="340" t="n"/>
      <c r="BC209" s="340" t="n"/>
      <c r="BD209" s="340" t="n"/>
      <c r="BE209" s="340" t="n"/>
      <c r="BF209" s="340" t="n"/>
      <c r="BG209" s="340" t="n"/>
      <c r="BH209" s="340" t="n"/>
      <c r="BI209" s="340" t="n"/>
      <c r="BJ209" s="340" t="n"/>
      <c r="BK209" s="340" t="n"/>
      <c r="BL209" s="340" t="n"/>
      <c r="BM209" s="340" t="n"/>
      <c r="BN209" s="340" t="n"/>
      <c r="BO209" s="340" t="n"/>
      <c r="BP209" s="340" t="n"/>
      <c r="BQ209" s="340" t="n"/>
      <c r="BR209" s="340" t="n"/>
      <c r="BS209" s="340" t="n"/>
      <c r="BT209" s="340" t="n"/>
      <c r="BU209" s="340" t="n"/>
      <c r="BV209" s="340" t="n"/>
      <c r="BW209" s="340" t="n"/>
      <c r="BX209" s="340" t="n"/>
      <c r="BY209" s="340" t="n"/>
      <c r="BZ209" s="340" t="n"/>
      <c r="CA209" s="340" t="n"/>
      <c r="CB209" s="340" t="n"/>
      <c r="CC209" s="340" t="n"/>
      <c r="CD209" s="340" t="n"/>
      <c r="CE209" s="340" t="n"/>
      <c r="CF209" s="340" t="n"/>
      <c r="CG209" s="340" t="n"/>
      <c r="CH209" s="340" t="n"/>
      <c r="CI209" s="340" t="n"/>
      <c r="CJ209" s="340" t="n"/>
      <c r="CK209" s="340" t="n"/>
      <c r="CL209" s="340" t="n"/>
      <c r="CM209" s="340" t="n"/>
      <c r="CN209" s="340" t="n"/>
      <c r="CO209" s="340" t="n"/>
      <c r="CP209" s="340" t="n"/>
      <c r="CQ209" s="340" t="n"/>
      <c r="CR209" s="340" t="n"/>
      <c r="CS209" s="340" t="n"/>
      <c r="CT209" s="340" t="n"/>
      <c r="CU209" s="340" t="n"/>
      <c r="CV209" s="340" t="n"/>
      <c r="CW209" s="340" t="n"/>
      <c r="CX209" s="340" t="n"/>
      <c r="CY209" s="340" t="n"/>
      <c r="CZ209" s="340" t="n"/>
      <c r="DA209" s="340" t="n"/>
      <c r="DB209" s="340" t="n"/>
      <c r="DC209" s="340" t="n"/>
      <c r="DD209" s="340" t="n"/>
      <c r="DE209" s="340" t="n"/>
      <c r="DF209" s="340" t="n"/>
    </row>
    <row r="210" ht="13" customFormat="1" customHeight="1" s="116">
      <c r="A210" s="342" t="inlineStr">
        <is>
          <t>2023年</t>
        </is>
      </c>
      <c r="B210" s="317" t="n">
        <v>292513.8</v>
      </c>
      <c r="C210" s="422">
        <f>B210/B209-1</f>
        <v/>
      </c>
      <c r="D210" s="353">
        <f>B210/B206-1</f>
        <v/>
      </c>
      <c r="E210" s="317" t="n">
        <v>237327.3</v>
      </c>
      <c r="F210" s="353">
        <f>E210/E209-1</f>
        <v/>
      </c>
      <c r="G210" s="353">
        <f>E210/E206-1</f>
        <v/>
      </c>
      <c r="H210" s="317" t="n">
        <v>47693.4</v>
      </c>
      <c r="I210" s="353">
        <f>H210/H209-1</f>
        <v/>
      </c>
      <c r="J210" s="353">
        <f>H210/H206-1</f>
        <v/>
      </c>
      <c r="K210" s="317" t="n">
        <v>7493.4</v>
      </c>
      <c r="L210" s="353">
        <f>K210/K209-1</f>
        <v/>
      </c>
      <c r="M210" s="353">
        <f>K210/K206-1</f>
        <v/>
      </c>
      <c r="N210" s="317" t="n">
        <v>214172.5</v>
      </c>
      <c r="O210" s="353">
        <f>N210/N209-1</f>
        <v/>
      </c>
      <c r="P210" s="353">
        <f>N210/N206-1</f>
        <v/>
      </c>
      <c r="Q210" s="317" t="n">
        <v>176788.3</v>
      </c>
      <c r="R210" s="353">
        <f>Q210/Q209-1</f>
        <v/>
      </c>
      <c r="S210" s="353">
        <f>Q210/Q206-1</f>
        <v/>
      </c>
      <c r="T210" s="317" t="n">
        <v>32306.8</v>
      </c>
      <c r="U210" s="353">
        <f>T210/T209-1</f>
        <v/>
      </c>
      <c r="V210" s="353">
        <f>T210/T206-1</f>
        <v/>
      </c>
      <c r="W210" s="317" t="n">
        <v>5077.400000000001</v>
      </c>
      <c r="X210" s="353">
        <f>W210/W209-1</f>
        <v/>
      </c>
      <c r="Y210" s="353">
        <f>W210/W206-1</f>
        <v/>
      </c>
      <c r="Z210" s="317" t="n">
        <v>125454.9</v>
      </c>
      <c r="AA210" s="353">
        <f>Z210/Z209-1</f>
        <v/>
      </c>
      <c r="AB210" s="353">
        <f>Z210/Z206-1</f>
        <v/>
      </c>
      <c r="AC210" s="317" t="n">
        <v>115547.5</v>
      </c>
      <c r="AD210" s="353">
        <f>AC210/AC209-1</f>
        <v/>
      </c>
      <c r="AE210" s="353">
        <f>AC210/AC206-1</f>
        <v/>
      </c>
      <c r="AF210" s="317" t="n">
        <v>6730.800000000001</v>
      </c>
      <c r="AG210" s="353">
        <f>AF210/AF209-1</f>
        <v/>
      </c>
      <c r="AH210" s="353">
        <f>AF210/AF206-1</f>
        <v/>
      </c>
      <c r="AI210" s="317" t="n">
        <v>3176.7</v>
      </c>
      <c r="AJ210" s="353">
        <f>AI210/AI209-1</f>
        <v/>
      </c>
      <c r="AK210" s="353">
        <f>AI210/AI206-1</f>
        <v/>
      </c>
      <c r="AL210" s="182" t="n">
        <v>72.94166666666666</v>
      </c>
      <c r="AM210" s="182">
        <f>AL210-AL208</f>
        <v/>
      </c>
      <c r="AN210" s="182">
        <f>AL210-AL206</f>
        <v/>
      </c>
      <c r="AO210" s="182" t="n">
        <v>74.33333333333333</v>
      </c>
      <c r="AP210" s="182">
        <f>AO210-AO208</f>
        <v/>
      </c>
      <c r="AQ210" s="182">
        <f>AO210-AO206</f>
        <v/>
      </c>
      <c r="AR210" s="182" t="n">
        <v>65.60833333333333</v>
      </c>
      <c r="AS210" s="182">
        <f>AR210-AR208</f>
        <v/>
      </c>
      <c r="AT210" s="182">
        <f>AR210-AR206</f>
        <v/>
      </c>
      <c r="AU210" s="182" t="n">
        <v>67.08333333333333</v>
      </c>
      <c r="AV210" s="182">
        <f>AU210-AU208</f>
        <v/>
      </c>
      <c r="AW210" s="182">
        <f>AU210-AU206</f>
        <v/>
      </c>
      <c r="AX210" s="142" t="n"/>
      <c r="AY210" s="353" t="n"/>
      <c r="AZ210" s="353" t="n"/>
      <c r="BA210" s="317" t="n"/>
      <c r="BB210" s="142" t="n"/>
      <c r="BC210" s="317" t="n"/>
      <c r="BD210" s="142" t="n"/>
      <c r="BE210" s="317" t="n"/>
      <c r="BF210" s="142" t="n"/>
      <c r="BG210" s="317" t="n"/>
      <c r="BH210" s="317" t="n"/>
      <c r="BI210" s="317" t="n"/>
      <c r="BJ210" s="317" t="n"/>
      <c r="BK210" s="317" t="n"/>
      <c r="BL210" s="317" t="n"/>
      <c r="BM210" s="317" t="n"/>
      <c r="BN210" s="317" t="n"/>
      <c r="BO210" s="317" t="n"/>
      <c r="BP210" s="317" t="n"/>
      <c r="BQ210" s="142" t="n"/>
      <c r="BR210" s="317" t="n"/>
      <c r="BS210" s="142" t="n"/>
      <c r="BT210" s="317" t="n"/>
      <c r="BU210" s="142" t="n"/>
      <c r="BV210" s="317" t="n"/>
      <c r="BW210" s="142" t="n"/>
      <c r="BX210" s="317" t="n"/>
      <c r="BY210" s="142" t="n"/>
      <c r="BZ210" s="317" t="n"/>
      <c r="CA210" s="142" t="n"/>
      <c r="CB210" s="317" t="n"/>
      <c r="CC210" s="142" t="n"/>
      <c r="CD210" s="317" t="n"/>
      <c r="CE210" s="142" t="n"/>
      <c r="CF210" s="317" t="n"/>
      <c r="CG210" s="317" t="n"/>
      <c r="CH210" s="317" t="n"/>
      <c r="CI210" s="317" t="n"/>
      <c r="CJ210" s="317" t="n"/>
      <c r="CK210" s="317" t="n"/>
      <c r="CL210" s="317" t="n"/>
      <c r="CM210" s="317" t="n"/>
      <c r="CN210" s="317" t="n"/>
      <c r="CO210" s="317" t="n"/>
      <c r="CP210" s="142" t="n"/>
      <c r="CQ210" s="317" t="n"/>
      <c r="CR210" s="142" t="n"/>
      <c r="CS210" s="317" t="n"/>
      <c r="CT210" s="142" t="n"/>
      <c r="CU210" s="317" t="n"/>
      <c r="CV210" s="142" t="n"/>
      <c r="CW210" s="317" t="n"/>
      <c r="CX210" s="142" t="n"/>
      <c r="CY210" s="317" t="n"/>
      <c r="CZ210" s="142" t="n"/>
      <c r="DA210" s="317" t="n"/>
      <c r="DB210" s="142" t="n"/>
      <c r="DC210" s="317" t="n"/>
      <c r="DD210" s="142" t="n"/>
      <c r="DE210" s="317" t="n"/>
      <c r="DF210" s="317" t="n"/>
    </row>
    <row r="211" ht="13" customFormat="1" customHeight="1" s="119">
      <c r="A211" s="419" t="inlineStr">
        <is>
          <t>2024年</t>
        </is>
      </c>
      <c r="B211" s="340" t="n">
        <v>356112.8</v>
      </c>
      <c r="C211" s="422">
        <f>B211/B210-1</f>
        <v/>
      </c>
      <c r="D211" s="420">
        <f>B211/B206-1</f>
        <v/>
      </c>
      <c r="E211" s="340" t="n">
        <v>250071.9</v>
      </c>
      <c r="F211" s="420">
        <f>E211/E210-1</f>
        <v/>
      </c>
      <c r="G211" s="420">
        <f>E211/E206-1</f>
        <v/>
      </c>
      <c r="H211" s="340" t="n">
        <v>95615.60000000001</v>
      </c>
      <c r="I211" s="420">
        <f>H211/H210-1</f>
        <v/>
      </c>
      <c r="J211" s="420">
        <f>H211/H206-1</f>
        <v/>
      </c>
      <c r="K211" s="340" t="n">
        <v>10425.4</v>
      </c>
      <c r="L211" s="420">
        <f>K211/K210-1</f>
        <v/>
      </c>
      <c r="M211" s="420">
        <f>K211/K206-1</f>
        <v/>
      </c>
      <c r="N211" s="340" t="n">
        <v>284332.4</v>
      </c>
      <c r="O211" s="420">
        <f>N211/N210-1</f>
        <v/>
      </c>
      <c r="P211" s="420">
        <f>N211/N206-1</f>
        <v/>
      </c>
      <c r="Q211" s="340" t="n">
        <v>203884.1</v>
      </c>
      <c r="R211" s="420">
        <f>Q211/Q210-1</f>
        <v/>
      </c>
      <c r="S211" s="420">
        <f>Q211/Q206-1</f>
        <v/>
      </c>
      <c r="T211" s="340" t="n">
        <v>72898.3</v>
      </c>
      <c r="U211" s="420">
        <f>T211/T210-1</f>
        <v/>
      </c>
      <c r="V211" s="420">
        <f>T211/T206-1</f>
        <v/>
      </c>
      <c r="W211" s="340" t="n">
        <v>7549.9</v>
      </c>
      <c r="X211" s="420">
        <f>W211/W210-1</f>
        <v/>
      </c>
      <c r="Y211" s="420">
        <f>W211/W206-1</f>
        <v/>
      </c>
      <c r="Z211" s="340" t="n">
        <v>155311.4</v>
      </c>
      <c r="AA211" s="420">
        <f>Z211/Z210-1</f>
        <v/>
      </c>
      <c r="AB211" s="420">
        <f>Z211/Z206-1</f>
        <v/>
      </c>
      <c r="AC211" s="340" t="n">
        <v>134256.8</v>
      </c>
      <c r="AD211" s="420">
        <f>AC211/AC210-1</f>
        <v/>
      </c>
      <c r="AE211" s="420">
        <f>AC211/AC206-1</f>
        <v/>
      </c>
      <c r="AF211" s="340" t="n">
        <v>16313.2</v>
      </c>
      <c r="AG211" s="420">
        <f>AF211/AF210-1</f>
        <v/>
      </c>
      <c r="AH211" s="420">
        <f>AF211/AF206-1</f>
        <v/>
      </c>
      <c r="AI211" s="340" t="n">
        <v>4741.6</v>
      </c>
      <c r="AJ211" s="420">
        <f>AI211/AI210-1</f>
        <v/>
      </c>
      <c r="AK211" s="420">
        <f>AI211/AI206-1</f>
        <v/>
      </c>
      <c r="AL211" s="421" t="n">
        <v>79.78333333333333</v>
      </c>
      <c r="AM211" s="421">
        <f>AL211-AL209</f>
        <v/>
      </c>
      <c r="AN211" s="421">
        <f>AL211-AL206</f>
        <v/>
      </c>
      <c r="AO211" s="421" t="n">
        <v>81.45833333333333</v>
      </c>
      <c r="AP211" s="421">
        <f>AO211-AO209</f>
        <v/>
      </c>
      <c r="AQ211" s="421">
        <f>AO211-AO206</f>
        <v/>
      </c>
      <c r="AR211" s="421" t="n">
        <v>76.26666666666667</v>
      </c>
      <c r="AS211" s="421">
        <f>AR211-AR209</f>
        <v/>
      </c>
      <c r="AT211" s="421">
        <f>AR211-AR206</f>
        <v/>
      </c>
      <c r="AU211" s="421" t="n">
        <v>72.31666666666666</v>
      </c>
      <c r="AV211" s="421">
        <f>AU211-AU209</f>
        <v/>
      </c>
      <c r="AW211" s="421">
        <f>AU211-AU206</f>
        <v/>
      </c>
      <c r="AX211" s="340" t="n"/>
      <c r="AY211" s="420" t="n"/>
      <c r="AZ211" s="420" t="n"/>
      <c r="BA211" s="340" t="n"/>
      <c r="BB211" s="340" t="n"/>
      <c r="BC211" s="340" t="n"/>
      <c r="BD211" s="340" t="n"/>
      <c r="BE211" s="340" t="n"/>
      <c r="BF211" s="340" t="n"/>
      <c r="BG211" s="340" t="n"/>
      <c r="BH211" s="340" t="n"/>
      <c r="BI211" s="340" t="n"/>
      <c r="BJ211" s="340" t="n"/>
      <c r="BK211" s="340" t="n"/>
      <c r="BL211" s="340" t="n"/>
      <c r="BM211" s="340" t="n"/>
      <c r="BN211" s="340" t="n"/>
      <c r="BO211" s="340" t="n"/>
      <c r="BP211" s="340" t="n"/>
      <c r="BQ211" s="340" t="n"/>
      <c r="BR211" s="340" t="n"/>
      <c r="BS211" s="340" t="n"/>
      <c r="BT211" s="340" t="n"/>
      <c r="BU211" s="340" t="n"/>
      <c r="BV211" s="340" t="n"/>
      <c r="BW211" s="340" t="n"/>
      <c r="BX211" s="340" t="n"/>
      <c r="BY211" s="340" t="n"/>
      <c r="BZ211" s="340" t="n"/>
      <c r="CA211" s="340" t="n"/>
      <c r="CB211" s="340" t="n"/>
      <c r="CC211" s="340" t="n"/>
      <c r="CD211" s="340" t="n"/>
      <c r="CE211" s="340" t="n"/>
      <c r="CF211" s="340" t="n"/>
      <c r="CG211" s="340" t="n"/>
      <c r="CH211" s="340" t="n"/>
      <c r="CI211" s="340" t="n"/>
      <c r="CJ211" s="340" t="n"/>
      <c r="CK211" s="340" t="n"/>
      <c r="CL211" s="340" t="n"/>
      <c r="CM211" s="340" t="n"/>
      <c r="CN211" s="340" t="n"/>
      <c r="CO211" s="340" t="n"/>
      <c r="CP211" s="340" t="n"/>
      <c r="CQ211" s="340" t="n"/>
      <c r="CR211" s="340" t="n"/>
      <c r="CS211" s="340" t="n"/>
      <c r="CT211" s="340" t="n"/>
      <c r="CU211" s="340" t="n"/>
      <c r="CV211" s="340" t="n"/>
      <c r="CW211" s="340" t="n"/>
      <c r="CX211" s="340" t="n"/>
      <c r="CY211" s="340" t="n"/>
      <c r="CZ211" s="340" t="n"/>
      <c r="DA211" s="340" t="n"/>
      <c r="DB211" s="340" t="n"/>
      <c r="DC211" s="340" t="n"/>
      <c r="DD211" s="340" t="n"/>
      <c r="DE211" s="340" t="n"/>
      <c r="DF211" s="340" t="n"/>
      <c r="DG211" s="340" t="n"/>
    </row>
    <row r="212" ht="13" customFormat="1" customHeight="1" s="119">
      <c r="A212" s="419" t="n"/>
      <c r="B212" s="340" t="n"/>
      <c r="C212" s="196" t="n"/>
      <c r="D212" s="196" t="n"/>
      <c r="E212" s="340" t="n"/>
      <c r="F212" s="196" t="n"/>
      <c r="G212" s="196" t="n"/>
      <c r="H212" s="340" t="n"/>
      <c r="I212" s="196" t="n"/>
      <c r="J212" s="196" t="n"/>
      <c r="K212" s="340" t="n"/>
      <c r="L212" s="196" t="n"/>
      <c r="M212" s="196" t="n"/>
      <c r="N212" s="340" t="n"/>
      <c r="O212" s="196" t="n"/>
      <c r="P212" s="196" t="n"/>
      <c r="Q212" s="340" t="n"/>
      <c r="R212" s="196" t="n"/>
      <c r="S212" s="196" t="n"/>
      <c r="T212" s="340" t="n"/>
      <c r="U212" s="196" t="n"/>
      <c r="V212" s="196" t="n"/>
      <c r="W212" s="340" t="n"/>
      <c r="X212" s="196" t="n"/>
      <c r="Y212" s="196" t="n"/>
      <c r="Z212" s="340" t="n"/>
      <c r="AA212" s="196" t="n"/>
      <c r="AB212" s="196" t="n"/>
      <c r="AC212" s="340" t="n"/>
      <c r="AD212" s="196" t="n"/>
      <c r="AE212" s="196" t="n"/>
      <c r="AF212" s="340" t="n"/>
      <c r="AG212" s="196" t="n"/>
      <c r="AH212" s="196" t="n"/>
      <c r="AI212" s="340" t="n"/>
      <c r="AJ212" s="196" t="n"/>
      <c r="AK212" s="196" t="n"/>
      <c r="AL212" s="340" t="n"/>
      <c r="AM212" s="340" t="n"/>
      <c r="AN212" s="340" t="n"/>
      <c r="AO212" s="340" t="n"/>
      <c r="AP212" s="340" t="n"/>
      <c r="AQ212" s="340" t="n"/>
      <c r="AR212" s="340" t="n"/>
      <c r="AS212" s="340" t="n"/>
      <c r="AT212" s="340" t="n"/>
      <c r="AU212" s="340" t="n"/>
      <c r="AV212" s="340" t="n"/>
      <c r="AW212" s="340" t="n"/>
      <c r="AX212" s="340" t="n"/>
      <c r="AY212" s="340" t="n"/>
      <c r="AZ212" s="340" t="n"/>
      <c r="BA212" s="340" t="n"/>
      <c r="BB212" s="340" t="n"/>
      <c r="BC212" s="340" t="n"/>
      <c r="BD212" s="340" t="n"/>
      <c r="BE212" s="340" t="n"/>
      <c r="BF212" s="340" t="n"/>
      <c r="BG212" s="340" t="n"/>
      <c r="BH212" s="340" t="n"/>
      <c r="BI212" s="340" t="n"/>
      <c r="BJ212" s="340" t="n"/>
      <c r="BK212" s="340" t="n"/>
      <c r="BL212" s="340" t="n"/>
      <c r="BM212" s="340" t="n"/>
      <c r="BN212" s="340" t="n"/>
      <c r="BO212" s="340" t="n"/>
      <c r="BP212" s="340" t="n"/>
      <c r="BQ212" s="340" t="n"/>
      <c r="BR212" s="340" t="n"/>
      <c r="BS212" s="340" t="n"/>
      <c r="BT212" s="340" t="n"/>
      <c r="BU212" s="340" t="n"/>
      <c r="BV212" s="340" t="n"/>
      <c r="BW212" s="340" t="n"/>
      <c r="BX212" s="340" t="n"/>
      <c r="BY212" s="340" t="n"/>
      <c r="BZ212" s="340" t="n"/>
      <c r="CA212" s="340" t="n"/>
      <c r="CB212" s="340" t="n"/>
      <c r="CC212" s="340" t="n"/>
      <c r="CD212" s="340" t="n"/>
      <c r="CE212" s="340" t="n"/>
      <c r="CF212" s="340" t="n"/>
      <c r="CG212" s="340" t="n"/>
      <c r="CH212" s="340" t="n"/>
      <c r="CI212" s="340" t="n"/>
      <c r="CJ212" s="340" t="n"/>
      <c r="CK212" s="340" t="n"/>
      <c r="CL212" s="340" t="n"/>
      <c r="CM212" s="340" t="n"/>
      <c r="CN212" s="340" t="n"/>
      <c r="CO212" s="340" t="n"/>
      <c r="CP212" s="340" t="n"/>
      <c r="CQ212" s="340" t="n"/>
      <c r="CR212" s="340" t="n"/>
      <c r="CS212" s="340" t="n"/>
      <c r="CT212" s="340" t="n"/>
      <c r="CU212" s="340" t="n"/>
      <c r="CV212" s="340" t="n"/>
      <c r="CW212" s="340" t="n"/>
      <c r="CX212" s="340" t="n"/>
      <c r="CY212" s="340" t="n"/>
      <c r="CZ212" s="340" t="n"/>
      <c r="DA212" s="340" t="n"/>
      <c r="DB212" s="340" t="n"/>
      <c r="DC212" s="340" t="n"/>
      <c r="DD212" s="340" t="n"/>
      <c r="DE212" s="340" t="n"/>
      <c r="DF212" s="340" t="n"/>
      <c r="DG212" s="340" t="n"/>
    </row>
    <row r="213" ht="13" customFormat="1" customHeight="1" s="119">
      <c r="A213" s="419" t="n"/>
      <c r="B213" s="340" t="n"/>
      <c r="C213" s="196" t="n"/>
      <c r="D213" s="196" t="n"/>
      <c r="E213" s="340" t="n"/>
      <c r="F213" s="196" t="n"/>
      <c r="G213" s="196" t="n"/>
      <c r="H213" s="340" t="n"/>
      <c r="I213" s="196" t="n"/>
      <c r="J213" s="196" t="n"/>
      <c r="K213" s="340" t="n"/>
      <c r="L213" s="196" t="n"/>
      <c r="M213" s="196" t="n"/>
      <c r="N213" s="340" t="n"/>
      <c r="O213" s="196" t="n"/>
      <c r="P213" s="196" t="n"/>
      <c r="Q213" s="340" t="n"/>
      <c r="R213" s="196" t="n"/>
      <c r="S213" s="196" t="n"/>
      <c r="T213" s="340" t="n"/>
      <c r="U213" s="196" t="n"/>
      <c r="V213" s="196" t="n"/>
      <c r="W213" s="340" t="n"/>
      <c r="X213" s="196" t="n"/>
      <c r="Y213" s="196" t="n"/>
      <c r="Z213" s="340" t="n"/>
      <c r="AA213" s="196" t="n"/>
      <c r="AB213" s="196" t="n"/>
      <c r="AC213" s="340" t="n"/>
      <c r="AD213" s="196" t="n"/>
      <c r="AE213" s="196" t="n"/>
      <c r="AF213" s="340" t="n"/>
      <c r="AG213" s="196" t="n"/>
      <c r="AH213" s="196" t="n"/>
      <c r="AI213" s="340" t="n"/>
      <c r="AJ213" s="196" t="n"/>
      <c r="AK213" s="196" t="n"/>
      <c r="AL213" s="340" t="n"/>
      <c r="AM213" s="340" t="n"/>
      <c r="AN213" s="340" t="n"/>
      <c r="AO213" s="196" t="n"/>
      <c r="AP213" s="340" t="n"/>
      <c r="AQ213" s="340" t="n"/>
      <c r="AR213" s="196" t="n"/>
      <c r="AS213" s="340" t="n"/>
      <c r="AT213" s="340" t="n"/>
      <c r="AU213" s="196" t="n"/>
      <c r="AV213" s="423" t="n"/>
      <c r="AW213" s="423" t="n"/>
      <c r="AX213" s="196" t="n"/>
      <c r="AY213" s="340" t="n"/>
      <c r="AZ213" s="196" t="n"/>
      <c r="BA213" s="340" t="n"/>
      <c r="BB213" s="196" t="n"/>
      <c r="BC213" s="340" t="n"/>
      <c r="BD213" s="196" t="n"/>
      <c r="BE213" s="340" t="n"/>
      <c r="BF213" s="196" t="n"/>
      <c r="BG213" s="340" t="n"/>
      <c r="BH213" s="340" t="n"/>
      <c r="BI213" s="340" t="n"/>
      <c r="BJ213" s="340" t="n"/>
      <c r="BK213" s="340" t="n"/>
      <c r="BL213" s="340" t="n"/>
      <c r="BM213" s="340" t="n"/>
      <c r="BN213" s="340" t="n"/>
      <c r="BO213" s="340" t="n"/>
      <c r="BP213" s="340" t="n"/>
      <c r="BQ213" s="196" t="n"/>
      <c r="BR213" s="340" t="n"/>
      <c r="BS213" s="196" t="n"/>
      <c r="BT213" s="340" t="n"/>
      <c r="BU213" s="196" t="n"/>
      <c r="BV213" s="340" t="n"/>
      <c r="BW213" s="196" t="n"/>
      <c r="BX213" s="340" t="n"/>
      <c r="BY213" s="196" t="n"/>
      <c r="BZ213" s="340" t="n"/>
      <c r="CA213" s="196" t="n"/>
      <c r="CB213" s="340" t="n"/>
      <c r="CC213" s="196" t="n"/>
      <c r="CD213" s="340" t="n"/>
      <c r="CE213" s="196" t="n"/>
      <c r="CF213" s="340" t="n"/>
      <c r="CG213" s="340" t="n"/>
      <c r="CH213" s="340" t="n"/>
      <c r="CI213" s="340" t="n"/>
      <c r="CJ213" s="340" t="n"/>
      <c r="CK213" s="340" t="n"/>
      <c r="CL213" s="340" t="n"/>
      <c r="CM213" s="340" t="n"/>
      <c r="CN213" s="340" t="n"/>
      <c r="CO213" s="340" t="n"/>
      <c r="CP213" s="196" t="n"/>
      <c r="CQ213" s="340" t="n"/>
      <c r="CR213" s="196" t="n"/>
      <c r="CS213" s="340" t="n"/>
      <c r="CT213" s="196" t="n"/>
      <c r="CU213" s="340" t="n"/>
      <c r="CV213" s="196" t="n"/>
      <c r="CW213" s="340" t="n"/>
      <c r="CX213" s="196" t="n"/>
      <c r="CY213" s="340" t="n"/>
      <c r="CZ213" s="196" t="n"/>
      <c r="DA213" s="340" t="n"/>
      <c r="DB213" s="196" t="n"/>
      <c r="DC213" s="340" t="n"/>
      <c r="DD213" s="196" t="n"/>
      <c r="DE213" s="340" t="n"/>
      <c r="DF213" s="340" t="n"/>
    </row>
    <row r="214" ht="13" customFormat="1" customHeight="1" s="119">
      <c r="A214" s="419" t="n"/>
      <c r="B214" s="340" t="n"/>
      <c r="C214" s="196" t="n"/>
      <c r="D214" s="196" t="n"/>
      <c r="E214" s="340" t="n"/>
      <c r="F214" s="196" t="n"/>
      <c r="G214" s="196" t="n"/>
      <c r="H214" s="340" t="n"/>
      <c r="I214" s="196" t="n"/>
      <c r="J214" s="196" t="n"/>
      <c r="K214" s="340" t="n"/>
      <c r="L214" s="196" t="n"/>
      <c r="M214" s="196" t="n"/>
      <c r="N214" s="340" t="n"/>
      <c r="O214" s="196" t="n"/>
      <c r="P214" s="196" t="n"/>
      <c r="Q214" s="340" t="n"/>
      <c r="R214" s="196" t="n"/>
      <c r="S214" s="196" t="n"/>
      <c r="T214" s="340" t="n"/>
      <c r="U214" s="196" t="n"/>
      <c r="V214" s="196" t="n"/>
      <c r="W214" s="340" t="n"/>
      <c r="X214" s="196" t="n"/>
      <c r="Y214" s="196" t="n"/>
      <c r="Z214" s="340" t="n"/>
      <c r="AA214" s="196" t="n"/>
      <c r="AB214" s="196" t="n"/>
      <c r="AC214" s="340" t="n"/>
      <c r="AD214" s="196" t="n"/>
      <c r="AE214" s="196" t="n"/>
      <c r="AF214" s="340" t="n"/>
      <c r="AG214" s="196" t="n"/>
      <c r="AH214" s="196" t="n"/>
      <c r="AI214" s="340" t="n"/>
      <c r="AJ214" s="196" t="n"/>
      <c r="AK214" s="196" t="n"/>
      <c r="AL214" s="340" t="n"/>
      <c r="AM214" s="340" t="n"/>
      <c r="AN214" s="340" t="n"/>
      <c r="AO214" s="196" t="n"/>
      <c r="AP214" s="340" t="n"/>
      <c r="AQ214" s="340" t="n"/>
      <c r="AR214" s="196" t="n"/>
      <c r="AS214" s="340" t="n"/>
      <c r="AT214" s="340" t="n"/>
      <c r="AU214" s="196" t="n"/>
      <c r="AV214" s="423" t="n"/>
      <c r="AW214" s="423" t="n"/>
      <c r="AX214" s="196" t="n"/>
      <c r="AY214" s="340" t="n"/>
      <c r="AZ214" s="196" t="n"/>
      <c r="BA214" s="340" t="n"/>
      <c r="BB214" s="196" t="n"/>
      <c r="BC214" s="340" t="n"/>
      <c r="BD214" s="196" t="n"/>
      <c r="BE214" s="340" t="n"/>
      <c r="BF214" s="196" t="n"/>
      <c r="BG214" s="340" t="n"/>
      <c r="BH214" s="340" t="n"/>
      <c r="BI214" s="340" t="n"/>
      <c r="BJ214" s="340" t="n"/>
      <c r="BK214" s="340" t="n"/>
      <c r="BL214" s="340" t="n"/>
      <c r="BM214" s="340" t="n"/>
      <c r="BN214" s="340" t="n"/>
      <c r="BO214" s="340" t="n"/>
      <c r="BP214" s="340" t="n"/>
      <c r="BQ214" s="196" t="n"/>
      <c r="BR214" s="340" t="n"/>
      <c r="BS214" s="196" t="n"/>
      <c r="BT214" s="340" t="n"/>
      <c r="BU214" s="196" t="n"/>
      <c r="BV214" s="340" t="n"/>
      <c r="BW214" s="196" t="n"/>
      <c r="BX214" s="340" t="n"/>
      <c r="BY214" s="196" t="n"/>
      <c r="BZ214" s="340" t="n"/>
      <c r="CA214" s="196" t="n"/>
      <c r="CB214" s="340" t="n"/>
      <c r="CC214" s="196" t="n"/>
      <c r="CD214" s="340" t="n"/>
      <c r="CE214" s="196" t="n"/>
      <c r="CF214" s="340" t="n"/>
      <c r="CG214" s="340" t="n"/>
      <c r="CH214" s="340" t="n"/>
      <c r="CI214" s="340" t="n"/>
      <c r="CJ214" s="340" t="n"/>
      <c r="CK214" s="340" t="n"/>
      <c r="CL214" s="340" t="n"/>
      <c r="CM214" s="340" t="n"/>
      <c r="CN214" s="340" t="n"/>
      <c r="CO214" s="340" t="n"/>
      <c r="CP214" s="196" t="n"/>
      <c r="CQ214" s="340" t="n"/>
      <c r="CR214" s="196" t="n"/>
      <c r="CS214" s="340" t="n"/>
      <c r="CT214" s="196" t="n"/>
      <c r="CU214" s="340" t="n"/>
      <c r="CV214" s="196" t="n"/>
      <c r="CW214" s="340" t="n"/>
      <c r="CX214" s="196" t="n"/>
      <c r="CY214" s="340" t="n"/>
      <c r="CZ214" s="196" t="n"/>
      <c r="DA214" s="340" t="n"/>
      <c r="DB214" s="196" t="n"/>
      <c r="DC214" s="340" t="n"/>
      <c r="DD214" s="196" t="n"/>
      <c r="DE214" s="340" t="n"/>
      <c r="DF214" s="340" t="n"/>
    </row>
    <row r="215" ht="13" customFormat="1" customHeight="1" s="119">
      <c r="A215" s="419" t="n"/>
      <c r="B215" s="340" t="n"/>
      <c r="C215" s="196" t="n"/>
      <c r="D215" s="196" t="n"/>
      <c r="E215" s="340" t="n"/>
      <c r="F215" s="196" t="n"/>
      <c r="G215" s="196" t="n"/>
      <c r="H215" s="340" t="n"/>
      <c r="I215" s="196" t="n"/>
      <c r="J215" s="196" t="n"/>
      <c r="K215" s="340" t="n"/>
      <c r="L215" s="196" t="n"/>
      <c r="M215" s="196" t="n"/>
      <c r="N215" s="340" t="n"/>
      <c r="O215" s="196" t="n"/>
      <c r="P215" s="196" t="n"/>
      <c r="Q215" s="340" t="n"/>
      <c r="R215" s="196" t="n"/>
      <c r="S215" s="196" t="n"/>
      <c r="T215" s="340" t="n"/>
      <c r="U215" s="196" t="n"/>
      <c r="V215" s="196" t="n"/>
      <c r="W215" s="340" t="n"/>
      <c r="X215" s="196" t="n"/>
      <c r="Y215" s="196" t="n"/>
      <c r="Z215" s="340" t="n"/>
      <c r="AA215" s="196" t="n"/>
      <c r="AB215" s="196" t="n"/>
      <c r="AC215" s="340" t="n"/>
      <c r="AD215" s="196" t="n"/>
      <c r="AE215" s="196" t="n"/>
      <c r="AF215" s="340" t="n"/>
      <c r="AG215" s="196" t="n"/>
      <c r="AH215" s="196" t="n"/>
      <c r="AI215" s="340" t="n"/>
      <c r="AJ215" s="196" t="n"/>
      <c r="AK215" s="196" t="n"/>
      <c r="AL215" s="340" t="n"/>
      <c r="AM215" s="340" t="n"/>
      <c r="AN215" s="340" t="n"/>
      <c r="AO215" s="340" t="n"/>
      <c r="AP215" s="340" t="n"/>
      <c r="AQ215" s="340" t="n"/>
      <c r="AR215" s="340" t="n"/>
      <c r="AS215" s="340" t="n"/>
      <c r="AT215" s="340" t="n"/>
      <c r="AU215" s="340" t="n"/>
      <c r="AV215" s="340" t="n"/>
      <c r="AW215" s="340" t="n"/>
      <c r="AX215" s="340" t="n"/>
      <c r="AY215" s="340" t="n"/>
      <c r="AZ215" s="340" t="n"/>
      <c r="BA215" s="340" t="n"/>
      <c r="BB215" s="340" t="n"/>
      <c r="BC215" s="340" t="n"/>
      <c r="BD215" s="340" t="n"/>
      <c r="BE215" s="340" t="n"/>
      <c r="BF215" s="340" t="n"/>
      <c r="BG215" s="340" t="n"/>
      <c r="BH215" s="340" t="n"/>
      <c r="BI215" s="340" t="n"/>
      <c r="BJ215" s="340" t="n"/>
      <c r="BK215" s="340" t="n"/>
      <c r="BL215" s="340" t="n"/>
      <c r="BM215" s="340" t="n"/>
      <c r="BN215" s="340" t="n"/>
      <c r="BO215" s="340" t="n"/>
      <c r="BP215" s="340" t="n"/>
      <c r="BQ215" s="340" t="n"/>
      <c r="BR215" s="340" t="n"/>
      <c r="BS215" s="340" t="n"/>
      <c r="BT215" s="340" t="n"/>
      <c r="BU215" s="340" t="n"/>
      <c r="BV215" s="340" t="n"/>
      <c r="BW215" s="340" t="n"/>
      <c r="BX215" s="340" t="n"/>
      <c r="BY215" s="340" t="n"/>
      <c r="BZ215" s="340" t="n"/>
      <c r="CA215" s="340" t="n"/>
      <c r="CB215" s="340" t="n"/>
      <c r="CC215" s="340" t="n"/>
      <c r="CD215" s="340" t="n"/>
      <c r="CE215" s="340" t="n"/>
      <c r="CF215" s="340" t="n"/>
      <c r="CG215" s="340" t="n"/>
      <c r="CH215" s="340" t="n"/>
      <c r="CI215" s="340" t="n"/>
      <c r="CJ215" s="340" t="n"/>
      <c r="CK215" s="340" t="n"/>
      <c r="CL215" s="340" t="n"/>
      <c r="CM215" s="340" t="n"/>
      <c r="CN215" s="340" t="n"/>
      <c r="CO215" s="340" t="n"/>
      <c r="CP215" s="340" t="n"/>
      <c r="CQ215" s="340" t="n"/>
      <c r="CR215" s="340" t="n"/>
      <c r="CS215" s="340" t="n"/>
      <c r="CT215" s="340" t="n"/>
      <c r="CU215" s="340" t="n"/>
      <c r="CV215" s="340" t="n"/>
      <c r="CW215" s="340" t="n"/>
      <c r="CX215" s="340" t="n"/>
      <c r="CY215" s="340" t="n"/>
      <c r="CZ215" s="340" t="n"/>
      <c r="DA215" s="340" t="n"/>
      <c r="DB215" s="340" t="n"/>
      <c r="DC215" s="340" t="n"/>
      <c r="DD215" s="340" t="n"/>
      <c r="DE215" s="340" t="n"/>
      <c r="DF215" s="340" t="n"/>
      <c r="DG215" s="340" t="n"/>
      <c r="DH215" s="340" t="n"/>
      <c r="DI215" s="340" t="n"/>
      <c r="DJ215" s="340" t="n"/>
      <c r="DK215" s="340" t="n"/>
      <c r="DL215" s="340" t="n"/>
      <c r="DM215" s="340" t="n"/>
      <c r="DN215" s="340" t="n"/>
      <c r="DO215" s="340" t="n"/>
      <c r="DP215" s="340" t="n"/>
      <c r="DQ215" s="340" t="n"/>
      <c r="DR215" s="340" t="n"/>
      <c r="DS215" s="340" t="n"/>
      <c r="DT215" s="340" t="n"/>
      <c r="DU215" s="340" t="n"/>
      <c r="DV215" s="340" t="n"/>
    </row>
    <row r="216" ht="13" customFormat="1" customHeight="1" s="119">
      <c r="A216" s="419" t="n"/>
      <c r="B216" s="340" t="n"/>
      <c r="C216" s="196" t="n"/>
      <c r="D216" s="196" t="n"/>
      <c r="E216" s="340" t="n"/>
      <c r="F216" s="196" t="n"/>
      <c r="G216" s="196" t="n"/>
      <c r="H216" s="340" t="n"/>
      <c r="I216" s="196" t="n"/>
      <c r="J216" s="196" t="n"/>
      <c r="K216" s="340" t="n"/>
      <c r="L216" s="196" t="n"/>
      <c r="M216" s="196" t="n"/>
      <c r="N216" s="340" t="n"/>
      <c r="O216" s="196" t="n"/>
      <c r="P216" s="196" t="n"/>
      <c r="Q216" s="340" t="n"/>
      <c r="R216" s="196" t="n"/>
      <c r="S216" s="196" t="n"/>
      <c r="T216" s="340" t="n"/>
      <c r="U216" s="196" t="n"/>
      <c r="V216" s="196" t="n"/>
      <c r="W216" s="340" t="n"/>
      <c r="X216" s="196" t="n"/>
      <c r="Y216" s="196" t="n"/>
      <c r="Z216" s="340" t="n"/>
      <c r="AA216" s="196" t="n"/>
      <c r="AB216" s="196" t="n"/>
      <c r="AC216" s="340" t="n"/>
      <c r="AD216" s="196" t="n"/>
      <c r="AE216" s="196" t="n"/>
      <c r="AF216" s="340" t="n"/>
      <c r="AG216" s="196" t="n"/>
      <c r="AH216" s="196" t="n"/>
      <c r="AI216" s="340" t="n"/>
      <c r="AJ216" s="196" t="n"/>
      <c r="AK216" s="196" t="n"/>
      <c r="AL216" s="340" t="n"/>
      <c r="AM216" s="340" t="n"/>
      <c r="AN216" s="340" t="n"/>
      <c r="AO216" s="340" t="n"/>
      <c r="AP216" s="340" t="n"/>
      <c r="AQ216" s="340" t="n"/>
      <c r="AR216" s="340" t="n"/>
      <c r="AS216" s="340" t="n"/>
      <c r="AT216" s="340" t="n"/>
      <c r="AU216" s="340" t="n"/>
      <c r="AV216" s="340" t="n"/>
      <c r="AW216" s="340" t="n"/>
      <c r="AX216" s="340" t="n"/>
      <c r="AY216" s="340" t="n"/>
      <c r="AZ216" s="340" t="n"/>
      <c r="BA216" s="340" t="n"/>
      <c r="BB216" s="340" t="n"/>
      <c r="BC216" s="340" t="n"/>
      <c r="BD216" s="340" t="n"/>
      <c r="BE216" s="340" t="n"/>
      <c r="BF216" s="340" t="n"/>
      <c r="BG216" s="340" t="n"/>
      <c r="BH216" s="340" t="n"/>
      <c r="BI216" s="340" t="n"/>
      <c r="BJ216" s="340" t="n"/>
      <c r="BK216" s="340" t="n"/>
      <c r="BL216" s="340" t="n"/>
      <c r="BM216" s="340" t="n"/>
      <c r="BN216" s="340" t="n"/>
      <c r="BO216" s="340" t="n"/>
      <c r="BP216" s="340" t="n"/>
      <c r="BQ216" s="340" t="n"/>
      <c r="BR216" s="340" t="n"/>
      <c r="BS216" s="340" t="n"/>
      <c r="BT216" s="340" t="n"/>
      <c r="BU216" s="340" t="n"/>
      <c r="BV216" s="340" t="n"/>
      <c r="BW216" s="340" t="n"/>
      <c r="BX216" s="340" t="n"/>
      <c r="BY216" s="340" t="n"/>
      <c r="BZ216" s="340" t="n"/>
      <c r="CA216" s="340" t="n"/>
      <c r="CB216" s="340" t="n"/>
      <c r="CC216" s="340" t="n"/>
      <c r="CD216" s="340" t="n"/>
      <c r="CE216" s="340" t="n"/>
      <c r="CF216" s="340" t="n"/>
      <c r="CG216" s="340" t="n"/>
      <c r="CH216" s="340" t="n"/>
      <c r="CI216" s="340" t="n"/>
      <c r="CJ216" s="340" t="n"/>
      <c r="CK216" s="340" t="n"/>
      <c r="CL216" s="340" t="n"/>
      <c r="CM216" s="340" t="n"/>
      <c r="CN216" s="340" t="n"/>
      <c r="CO216" s="340" t="n"/>
      <c r="CP216" s="340" t="n"/>
      <c r="CQ216" s="340" t="n"/>
      <c r="CR216" s="340" t="n"/>
      <c r="CS216" s="340" t="n"/>
      <c r="CT216" s="340" t="n"/>
      <c r="CU216" s="340" t="n"/>
      <c r="CV216" s="340" t="n"/>
      <c r="CW216" s="340" t="n"/>
      <c r="CX216" s="340" t="n"/>
      <c r="CY216" s="340" t="n"/>
      <c r="CZ216" s="340" t="n"/>
      <c r="DA216" s="340" t="n"/>
      <c r="DB216" s="340" t="n"/>
      <c r="DC216" s="340" t="n"/>
      <c r="DD216" s="340" t="n"/>
      <c r="DE216" s="340" t="n"/>
      <c r="DF216" s="340" t="n"/>
      <c r="DG216" s="340" t="n"/>
      <c r="DH216" s="340" t="n"/>
      <c r="DI216" s="340" t="n"/>
      <c r="DJ216" s="340" t="n"/>
      <c r="DK216" s="340" t="n"/>
      <c r="DL216" s="340" t="n"/>
      <c r="DM216" s="340" t="n"/>
      <c r="DN216" s="340" t="n"/>
      <c r="DO216" s="340" t="n"/>
      <c r="DP216" s="340" t="n"/>
      <c r="DQ216" s="340" t="n"/>
      <c r="DR216" s="340" t="n"/>
      <c r="DS216" s="340" t="n"/>
      <c r="DT216" s="340" t="n"/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FFCCFF"/>
    <outlinePr summaryBelow="1" summaryRight="1"/>
    <pageSetUpPr/>
  </sheetPr>
  <dimension ref="A1:DV215"/>
  <sheetViews>
    <sheetView workbookViewId="0">
      <pane xSplit="1" ySplit="3" topLeftCell="B203" activePane="bottomRight" state="frozen"/>
      <selection activeCell="A1" sqref="A1"/>
      <selection pane="topRight" activeCell="A1" sqref="A1"/>
      <selection pane="bottomLeft" activeCell="A1" sqref="A1"/>
      <selection pane="bottomRight" activeCell="B223" sqref="B223"/>
    </sheetView>
  </sheetViews>
  <sheetFormatPr baseColWidth="8" defaultColWidth="8.75" defaultRowHeight="14"/>
  <cols>
    <col width="8.75" customWidth="1" style="117" min="1" max="1"/>
    <col width="16.75" customWidth="1" style="117" min="2" max="2"/>
    <col width="9.75" customWidth="1" style="120" min="3" max="3"/>
    <col width="8" customWidth="1" style="120" min="4" max="4"/>
    <col width="16.75" customWidth="1" style="117" min="5" max="5"/>
    <col width="9.75" customWidth="1" style="120" min="6" max="6"/>
    <col width="7.91666666666667" customWidth="1" style="120" min="7" max="7"/>
    <col width="16.75" customWidth="1" style="117" min="8" max="8"/>
    <col width="9.75" customWidth="1" style="120" min="9" max="9"/>
    <col width="8" customWidth="1" style="120" min="10" max="10"/>
    <col width="16.75" customWidth="1" style="117" min="11" max="11"/>
    <col width="9.75" customWidth="1" style="120" min="12" max="12"/>
    <col width="8" customWidth="1" style="120" min="13" max="13"/>
    <col width="16.75" customWidth="1" style="117" min="14" max="14"/>
    <col width="9.75" customWidth="1" style="120" min="15" max="15"/>
    <col width="8" customWidth="1" style="120" min="16" max="16"/>
    <col width="16.75" customWidth="1" style="117" min="17" max="17"/>
    <col width="9.33333333333333" customWidth="1" style="120" min="18" max="19"/>
    <col width="16.75" customWidth="1" style="117" min="20" max="20"/>
    <col width="8.33333333333333" customWidth="1" style="120" min="21" max="22"/>
    <col width="16.75" customWidth="1" style="117" min="23" max="23"/>
    <col width="10" customWidth="1" style="120" min="24" max="24"/>
    <col width="8" customWidth="1" style="120" min="25" max="25"/>
    <col width="16.75" customWidth="1" style="117" min="26" max="26"/>
    <col width="9.75" customWidth="1" style="120" min="27" max="27"/>
    <col width="8" customWidth="1" style="120" min="28" max="28"/>
    <col width="16.75" customWidth="1" style="117" min="29" max="29"/>
    <col width="9.75" customWidth="1" style="120" min="30" max="30"/>
    <col width="7.91666666666667" customWidth="1" style="120" min="31" max="31"/>
    <col width="16.75" customWidth="1" style="117" min="32" max="32"/>
    <col width="9.75" customWidth="1" style="120" min="33" max="33"/>
    <col width="8" customWidth="1" style="120" min="34" max="34"/>
    <col width="16.75" customWidth="1" style="117" min="35" max="35"/>
    <col width="10" customWidth="1" style="120" min="36" max="36"/>
    <col width="8" customWidth="1" style="120" min="37" max="37"/>
    <col width="16.75" customWidth="1" style="117" min="38" max="38"/>
    <col width="9.75" customWidth="1" style="117" min="39" max="39"/>
    <col width="10" customWidth="1" style="117" min="40" max="40"/>
    <col width="16.75" customWidth="1" style="117" min="41" max="41"/>
    <col width="9.75" customWidth="1" style="117" min="42" max="42"/>
    <col width="7.91666666666667" customWidth="1" style="117" min="43" max="43"/>
    <col width="16.75" customWidth="1" style="117" min="44" max="44"/>
    <col width="9.75" customWidth="1" style="117" min="45" max="45"/>
    <col width="7.91666666666667" customWidth="1" style="117" min="46" max="46"/>
    <col width="16.75" customWidth="1" style="117" min="47" max="47"/>
    <col width="9.75" customWidth="1" style="117" min="48" max="48"/>
    <col width="7.91666666666667" customWidth="1" style="117" min="49" max="49"/>
    <col width="16.75" customWidth="1" style="117" min="50" max="50"/>
    <col width="11.3333333333333" customWidth="1" style="117" min="51" max="51"/>
    <col width="8.33333333333333" customWidth="1" style="117" min="52" max="52"/>
    <col width="10.3333333333333" customWidth="1" style="117" min="53" max="53"/>
    <col width="8.33333333333333" customWidth="1" style="117" min="54" max="54"/>
    <col width="9" customWidth="1" style="117" min="55" max="55"/>
    <col width="8.33333333333333" customWidth="1" style="117" min="56" max="57"/>
    <col width="17.3333333333333" customWidth="1" style="117" min="58" max="58"/>
    <col width="31" customWidth="1" style="117" min="59" max="59"/>
    <col width="20.3333333333333" customWidth="1" style="117" min="60" max="60"/>
    <col width="16.0833333333333" customWidth="1" style="117" min="61" max="61"/>
    <col width="18.3333333333333" customWidth="1" style="117" min="62" max="62"/>
    <col width="16.3333333333333" customWidth="1" style="117" min="63" max="63"/>
    <col width="14.6666666666667" customWidth="1" style="117" min="64" max="64"/>
    <col width="8.33333333333333" customWidth="1" style="117" min="65" max="65"/>
    <col width="27" customWidth="1" style="117" min="66" max="66"/>
    <col width="9" customWidth="1" style="117" min="67" max="67"/>
    <col width="16" customWidth="1" style="117" min="68" max="68"/>
    <col width="8.33333333333333" customWidth="1" style="117" min="69" max="73"/>
    <col width="14.6666666666667" customWidth="1" style="117" min="74" max="74"/>
    <col width="8.33333333333333" customWidth="1" style="117" min="75" max="75"/>
    <col width="16" customWidth="1" style="117" min="76" max="76"/>
    <col width="8.33333333333333" customWidth="1" style="117" min="77" max="79"/>
    <col width="18.3333333333333" customWidth="1" style="117" min="80" max="80"/>
    <col width="17.3333333333333" customWidth="1" style="117" min="81" max="81"/>
    <col width="13.6666666666667" customWidth="1" style="117" min="82" max="82"/>
    <col width="24" customWidth="1" style="117" min="83" max="83"/>
    <col width="12" customWidth="1" style="117" min="84" max="84"/>
    <col width="17.6666666666667" customWidth="1" style="117" min="85" max="85"/>
    <col width="15.75" customWidth="1" style="117" min="86" max="86"/>
    <col width="20.3333333333333" customWidth="1" style="117" min="87" max="87"/>
    <col width="18.75" customWidth="1" style="117" min="88" max="88"/>
    <col width="21.75" customWidth="1" style="117" min="89" max="89"/>
    <col width="12.3333333333333" customWidth="1" style="117" min="90" max="90"/>
    <col width="14.3333333333333" customWidth="1" style="117" min="91" max="91"/>
    <col width="10.3333333333333" customWidth="1" style="117" min="92" max="92"/>
    <col width="14.3333333333333" customWidth="1" style="117" min="93" max="93"/>
    <col width="15.3333333333333" customWidth="1" style="361" min="94" max="94"/>
    <col width="15.0833333333333" customWidth="1" style="117" min="95" max="95"/>
    <col width="19.3333333333333" customWidth="1" style="361" min="96" max="96"/>
    <col width="15.0833333333333" customWidth="1" style="117" min="97" max="97"/>
    <col width="10" customWidth="1" style="361" min="98" max="98"/>
    <col width="16.3333333333333" customWidth="1" style="117" min="99" max="99"/>
    <col width="14.6666666666667" customWidth="1" style="361" min="100" max="100"/>
    <col width="12" customWidth="1" style="117" min="101" max="101"/>
    <col width="8.33333333333333" customWidth="1" style="117" min="102" max="102"/>
    <col width="10.3333333333333" customWidth="1" style="117" min="103" max="103"/>
    <col width="8.33333333333333" customWidth="1" style="117" min="104" max="104"/>
    <col width="10.3333333333333" customWidth="1" style="117" min="105" max="105"/>
    <col width="13.6666666666667" customWidth="1" style="117" min="106" max="106"/>
    <col width="18.6666666666667" customWidth="1" style="117" min="107" max="107"/>
    <col width="17.75" customWidth="1" style="117" min="108" max="108"/>
    <col width="8.75" customWidth="1" style="356" min="109" max="110"/>
    <col width="8.75" customWidth="1" style="117" min="111" max="16384"/>
  </cols>
  <sheetData>
    <row r="1" customFormat="1" s="113">
      <c r="A1" s="362" t="inlineStr">
        <is>
          <t>指标名称</t>
        </is>
      </c>
      <c r="B1" s="362" t="inlineStr">
        <is>
          <t>可用座公里（百万）</t>
        </is>
      </c>
      <c r="C1" s="123" t="inlineStr">
        <is>
          <t>同比上年</t>
        </is>
      </c>
      <c r="D1" s="123" t="inlineStr">
        <is>
          <t>同比19</t>
        </is>
      </c>
      <c r="E1" s="362" t="inlineStr">
        <is>
          <t>可用座公里:国内</t>
        </is>
      </c>
      <c r="F1" s="123" t="inlineStr">
        <is>
          <t>同比上年</t>
        </is>
      </c>
      <c r="G1" s="123" t="inlineStr">
        <is>
          <t>同比19</t>
        </is>
      </c>
      <c r="H1" s="362" t="inlineStr">
        <is>
          <t>可用座公里:国际</t>
        </is>
      </c>
      <c r="I1" s="123" t="inlineStr">
        <is>
          <t>同比上年</t>
        </is>
      </c>
      <c r="J1" s="123" t="inlineStr">
        <is>
          <t>同比19</t>
        </is>
      </c>
      <c r="K1" s="362" t="inlineStr">
        <is>
          <t>可用座公里:地区</t>
        </is>
      </c>
      <c r="L1" s="123" t="inlineStr">
        <is>
          <t>同比上年</t>
        </is>
      </c>
      <c r="M1" s="123" t="inlineStr">
        <is>
          <t>同比19</t>
        </is>
      </c>
      <c r="N1" s="362" t="inlineStr">
        <is>
          <t>收入客公里（百万）</t>
        </is>
      </c>
      <c r="O1" s="123" t="inlineStr">
        <is>
          <t>同比上年</t>
        </is>
      </c>
      <c r="P1" s="123" t="inlineStr">
        <is>
          <t>同比19</t>
        </is>
      </c>
      <c r="Q1" s="362" t="inlineStr">
        <is>
          <t>收入客公里:国内</t>
        </is>
      </c>
      <c r="R1" s="123" t="inlineStr">
        <is>
          <t>同比上年</t>
        </is>
      </c>
      <c r="S1" s="123" t="inlineStr">
        <is>
          <t>同比19</t>
        </is>
      </c>
      <c r="T1" s="362" t="inlineStr">
        <is>
          <t>收入客公里:国际</t>
        </is>
      </c>
      <c r="U1" s="123" t="inlineStr">
        <is>
          <t>同比上年</t>
        </is>
      </c>
      <c r="V1" s="123" t="inlineStr">
        <is>
          <t>同比19</t>
        </is>
      </c>
      <c r="W1" s="362" t="inlineStr">
        <is>
          <t>收入客公里:地区</t>
        </is>
      </c>
      <c r="X1" s="123" t="inlineStr">
        <is>
          <t>同比上年</t>
        </is>
      </c>
      <c r="Y1" s="123" t="inlineStr">
        <is>
          <t>同比19</t>
        </is>
      </c>
      <c r="Z1" s="362" t="inlineStr">
        <is>
          <t>客运量（千人次）</t>
        </is>
      </c>
      <c r="AA1" s="123" t="inlineStr">
        <is>
          <t>同比上年</t>
        </is>
      </c>
      <c r="AB1" s="123" t="inlineStr">
        <is>
          <t>同比19</t>
        </is>
      </c>
      <c r="AC1" s="362" t="inlineStr">
        <is>
          <t>客运量:国内</t>
        </is>
      </c>
      <c r="AD1" s="123" t="inlineStr">
        <is>
          <t>同比上年</t>
        </is>
      </c>
      <c r="AE1" s="123" t="inlineStr">
        <is>
          <t>同比19</t>
        </is>
      </c>
      <c r="AF1" s="362" t="inlineStr">
        <is>
          <t>客运量:国际</t>
        </is>
      </c>
      <c r="AG1" s="123" t="inlineStr">
        <is>
          <t>同比上年</t>
        </is>
      </c>
      <c r="AH1" s="123" t="inlineStr">
        <is>
          <t>同比19</t>
        </is>
      </c>
      <c r="AI1" s="362" t="inlineStr">
        <is>
          <t>客运量:地区</t>
        </is>
      </c>
      <c r="AJ1" s="123" t="inlineStr">
        <is>
          <t>同比上年</t>
        </is>
      </c>
      <c r="AK1" s="123" t="inlineStr">
        <is>
          <t>同比19</t>
        </is>
      </c>
      <c r="AL1" s="362" t="inlineStr">
        <is>
          <t>客座率</t>
        </is>
      </c>
      <c r="AM1" s="123" t="inlineStr">
        <is>
          <t>同比上年</t>
        </is>
      </c>
      <c r="AN1" s="123" t="inlineStr">
        <is>
          <t>同比19</t>
        </is>
      </c>
      <c r="AO1" s="362" t="inlineStr">
        <is>
          <t>客座率:国内</t>
        </is>
      </c>
      <c r="AP1" s="123" t="inlineStr">
        <is>
          <t>同比上年</t>
        </is>
      </c>
      <c r="AQ1" s="123" t="inlineStr">
        <is>
          <t>同比19</t>
        </is>
      </c>
      <c r="AR1" s="362" t="inlineStr">
        <is>
          <t>客座率:国际</t>
        </is>
      </c>
      <c r="AS1" s="123" t="inlineStr">
        <is>
          <t>同比上年</t>
        </is>
      </c>
      <c r="AT1" s="123" t="inlineStr">
        <is>
          <t>同比19</t>
        </is>
      </c>
      <c r="AU1" s="362" t="inlineStr">
        <is>
          <t>客座率:地区</t>
        </is>
      </c>
      <c r="AV1" s="123" t="inlineStr">
        <is>
          <t>同比上年</t>
        </is>
      </c>
      <c r="AW1" s="123" t="inlineStr">
        <is>
          <t>同比19</t>
        </is>
      </c>
      <c r="AX1" s="362" t="inlineStr">
        <is>
          <t>运营飞机数</t>
        </is>
      </c>
      <c r="AY1" s="123" t="inlineStr">
        <is>
          <t>同比上年</t>
        </is>
      </c>
      <c r="AZ1" s="123" t="inlineStr">
        <is>
          <t>同比19</t>
        </is>
      </c>
      <c r="BA1" s="362" t="n"/>
      <c r="BB1" s="362" t="n"/>
      <c r="BC1" s="362" t="n"/>
      <c r="BD1" s="362" t="n"/>
      <c r="BE1" s="362" t="n"/>
      <c r="BF1" s="362" t="n"/>
      <c r="BG1" s="362" t="n"/>
      <c r="BH1" s="362" t="n"/>
      <c r="BI1" s="362" t="n"/>
      <c r="BJ1" s="362" t="n"/>
      <c r="BK1" s="362" t="n"/>
      <c r="BL1" s="362" t="n"/>
      <c r="BM1" s="362" t="n"/>
      <c r="BN1" s="362" t="n"/>
      <c r="BO1" s="362" t="n"/>
      <c r="BP1" s="362" t="n"/>
      <c r="BQ1" s="362" t="n"/>
      <c r="BR1" s="362" t="n"/>
      <c r="BS1" s="362" t="n"/>
      <c r="BT1" s="362" t="n"/>
      <c r="BU1" s="362" t="n"/>
      <c r="BV1" s="362" t="n"/>
      <c r="BW1" s="362" t="n"/>
      <c r="BX1" s="362" t="n"/>
      <c r="BY1" s="362" t="n"/>
      <c r="BZ1" s="362" t="n"/>
      <c r="CA1" s="362" t="n"/>
      <c r="CB1" s="362" t="n"/>
      <c r="CC1" s="362" t="n"/>
      <c r="CD1" s="362" t="n"/>
      <c r="CE1" s="362" t="n"/>
      <c r="CF1" s="362" t="n"/>
      <c r="CG1" s="362" t="n"/>
      <c r="CH1" s="362" t="n"/>
      <c r="CI1" s="362" t="n"/>
      <c r="CJ1" s="362" t="n"/>
      <c r="CK1" s="362" t="n"/>
      <c r="CL1" s="362" t="n"/>
      <c r="CM1" s="362" t="n"/>
      <c r="CN1" s="362" t="n"/>
      <c r="CO1" s="362" t="n"/>
      <c r="CP1" s="362" t="n"/>
      <c r="CQ1" s="362" t="n"/>
      <c r="CR1" s="362" t="n"/>
      <c r="CS1" s="362" t="n"/>
      <c r="CT1" s="362" t="n"/>
      <c r="CU1" s="362" t="n"/>
      <c r="CV1" s="124" t="n"/>
      <c r="CW1" s="362" t="n"/>
      <c r="CX1" s="362" t="n"/>
      <c r="CY1" s="362" t="n"/>
      <c r="CZ1" s="362" t="n"/>
      <c r="DA1" s="362" t="n"/>
      <c r="DB1" s="362" t="n"/>
      <c r="DC1" s="362" t="n"/>
      <c r="DD1" s="362" t="n"/>
      <c r="DE1" s="363" t="n"/>
      <c r="DF1" s="363" t="n"/>
      <c r="DG1" s="362" t="n"/>
      <c r="DH1" s="124" t="n"/>
      <c r="DI1" s="124" t="n"/>
      <c r="DJ1" s="124" t="n"/>
      <c r="DK1" s="124" t="n"/>
      <c r="DL1" s="124" t="n"/>
      <c r="DM1" s="124" t="n"/>
      <c r="DN1" s="124" t="n"/>
      <c r="DO1" s="124" t="n"/>
      <c r="DP1" s="124" t="n"/>
      <c r="DQ1" s="124" t="n"/>
      <c r="DR1" s="124" t="n"/>
    </row>
    <row r="2" ht="13" customFormat="1" customHeight="1" s="188">
      <c r="A2" s="364" t="inlineStr">
        <is>
          <t>频率</t>
        </is>
      </c>
      <c r="B2" s="365" t="inlineStr">
        <is>
          <t>月</t>
        </is>
      </c>
      <c r="C2" s="128" t="n"/>
      <c r="D2" s="128" t="n"/>
      <c r="E2" s="365" t="inlineStr">
        <is>
          <t>月</t>
        </is>
      </c>
      <c r="F2" s="129" t="n"/>
      <c r="G2" s="129" t="n"/>
      <c r="H2" s="365" t="inlineStr">
        <is>
          <t>月</t>
        </is>
      </c>
      <c r="I2" s="129" t="n"/>
      <c r="J2" s="129" t="n"/>
      <c r="K2" s="365" t="inlineStr">
        <is>
          <t>月</t>
        </is>
      </c>
      <c r="L2" s="129" t="n"/>
      <c r="M2" s="129" t="n"/>
      <c r="N2" s="365" t="inlineStr">
        <is>
          <t>月</t>
        </is>
      </c>
      <c r="O2" s="129" t="n"/>
      <c r="P2" s="129" t="n"/>
      <c r="Q2" s="365" t="inlineStr">
        <is>
          <t>月</t>
        </is>
      </c>
      <c r="R2" s="129" t="n"/>
      <c r="S2" s="129" t="n"/>
      <c r="T2" s="365" t="inlineStr">
        <is>
          <t>月</t>
        </is>
      </c>
      <c r="U2" s="129" t="n"/>
      <c r="V2" s="129" t="n"/>
      <c r="W2" s="365" t="inlineStr">
        <is>
          <t>月</t>
        </is>
      </c>
      <c r="X2" s="129" t="n"/>
      <c r="Y2" s="129" t="n"/>
      <c r="Z2" s="365" t="inlineStr">
        <is>
          <t>月</t>
        </is>
      </c>
      <c r="AA2" s="129" t="n"/>
      <c r="AB2" s="129" t="n"/>
      <c r="AC2" s="365" t="inlineStr">
        <is>
          <t>月</t>
        </is>
      </c>
      <c r="AD2" s="129" t="n"/>
      <c r="AE2" s="129" t="n"/>
      <c r="AF2" s="365" t="inlineStr">
        <is>
          <t>月</t>
        </is>
      </c>
      <c r="AG2" s="129" t="n"/>
      <c r="AH2" s="129" t="n"/>
      <c r="AI2" s="365" t="inlineStr">
        <is>
          <t>月</t>
        </is>
      </c>
      <c r="AJ2" s="129" t="n"/>
      <c r="AK2" s="129" t="n"/>
      <c r="AL2" s="365" t="inlineStr">
        <is>
          <t>月</t>
        </is>
      </c>
      <c r="AM2" s="129" t="n"/>
      <c r="AN2" s="129" t="n"/>
      <c r="AO2" s="365" t="inlineStr">
        <is>
          <t>月</t>
        </is>
      </c>
      <c r="AP2" s="129" t="n"/>
      <c r="AQ2" s="129" t="n"/>
      <c r="AR2" s="365" t="inlineStr">
        <is>
          <t>月</t>
        </is>
      </c>
      <c r="AS2" s="129" t="n"/>
      <c r="AT2" s="129" t="n"/>
      <c r="AU2" s="365" t="inlineStr">
        <is>
          <t>月</t>
        </is>
      </c>
      <c r="AV2" s="129" t="n"/>
      <c r="AW2" s="129" t="n"/>
      <c r="AX2" s="365" t="n"/>
      <c r="AY2" s="129" t="n"/>
      <c r="AZ2" s="129" t="n"/>
      <c r="BA2" s="365" t="n"/>
      <c r="BB2" s="365" t="n"/>
      <c r="BC2" s="365" t="n"/>
      <c r="BD2" s="365" t="n"/>
      <c r="BE2" s="365" t="n"/>
      <c r="BF2" s="365" t="n"/>
      <c r="BG2" s="365" t="n"/>
      <c r="BH2" s="365" t="n"/>
      <c r="BI2" s="365" t="n"/>
      <c r="BJ2" s="365" t="n"/>
      <c r="BK2" s="365" t="n"/>
      <c r="BL2" s="365" t="n"/>
      <c r="BM2" s="365" t="n"/>
      <c r="BN2" s="365" t="n"/>
      <c r="BO2" s="365" t="n"/>
      <c r="BP2" s="365" t="n"/>
      <c r="BQ2" s="365" t="n"/>
      <c r="BR2" s="365" t="n"/>
      <c r="BS2" s="365" t="n"/>
      <c r="BT2" s="365" t="n"/>
      <c r="BU2" s="365" t="n"/>
      <c r="BV2" s="365" t="n"/>
      <c r="BW2" s="365" t="n"/>
      <c r="BX2" s="365" t="n"/>
      <c r="BY2" s="365" t="n"/>
      <c r="BZ2" s="365" t="n"/>
      <c r="CA2" s="365" t="n"/>
      <c r="CB2" s="365" t="n"/>
      <c r="CC2" s="365" t="n"/>
      <c r="CD2" s="365" t="n"/>
      <c r="CE2" s="365" t="n"/>
      <c r="CF2" s="365" t="n"/>
      <c r="CG2" s="365" t="n"/>
      <c r="CH2" s="365" t="n"/>
      <c r="CI2" s="365" t="n"/>
      <c r="CJ2" s="365" t="n"/>
      <c r="CK2" s="365" t="n"/>
      <c r="CL2" s="365" t="n"/>
      <c r="CM2" s="365" t="n"/>
      <c r="CN2" s="365" t="n"/>
      <c r="CO2" s="365" t="n"/>
      <c r="CP2" s="365" t="n"/>
      <c r="CQ2" s="365" t="n"/>
      <c r="CR2" s="365" t="n"/>
      <c r="CS2" s="365" t="n"/>
      <c r="CT2" s="365" t="n"/>
      <c r="CU2" s="365" t="n"/>
      <c r="CV2" s="130" t="n"/>
      <c r="CW2" s="365" t="n"/>
      <c r="CX2" s="365" t="n"/>
      <c r="CY2" s="365" t="n"/>
      <c r="CZ2" s="365" t="n"/>
      <c r="DA2" s="365" t="n"/>
      <c r="DB2" s="365" t="n"/>
      <c r="DC2" s="365" t="n"/>
      <c r="DD2" s="365" t="n"/>
      <c r="DE2" s="366" t="n"/>
      <c r="DF2" s="366" t="n"/>
      <c r="DG2" s="130" t="n"/>
      <c r="DH2" s="130" t="n"/>
      <c r="DI2" s="130" t="n"/>
      <c r="DJ2" s="130" t="n"/>
      <c r="DK2" s="130" t="n"/>
      <c r="DL2" s="130" t="n"/>
      <c r="DM2" s="130" t="n"/>
      <c r="DN2" s="130" t="n"/>
      <c r="DO2" s="130" t="n"/>
      <c r="DP2" s="130" t="n"/>
      <c r="DQ2" s="130" t="n"/>
      <c r="DR2" s="130" t="n"/>
    </row>
    <row r="3" ht="13" customFormat="1" customHeight="1" s="115">
      <c r="A3" s="367" t="n"/>
      <c r="B3" s="368" t="inlineStr">
        <is>
          <t>ASK</t>
        </is>
      </c>
      <c r="C3" s="134" t="n"/>
      <c r="D3" s="134" t="n"/>
      <c r="E3" s="368" t="inlineStr">
        <is>
          <t>Domestic</t>
        </is>
      </c>
      <c r="F3" s="135" t="n"/>
      <c r="G3" s="135" t="n"/>
      <c r="H3" s="368" t="inlineStr">
        <is>
          <t>International</t>
        </is>
      </c>
      <c r="I3" s="135" t="n"/>
      <c r="J3" s="135" t="n"/>
      <c r="K3" s="368" t="inlineStr">
        <is>
          <t>Regional</t>
        </is>
      </c>
      <c r="L3" s="135" t="n"/>
      <c r="M3" s="135" t="n"/>
      <c r="N3" s="368" t="inlineStr">
        <is>
          <t>RPK</t>
        </is>
      </c>
      <c r="O3" s="135" t="n"/>
      <c r="P3" s="135" t="n"/>
      <c r="Q3" s="368" t="inlineStr">
        <is>
          <t>Domestic</t>
        </is>
      </c>
      <c r="R3" s="135" t="n"/>
      <c r="S3" s="135" t="n"/>
      <c r="T3" s="368" t="inlineStr">
        <is>
          <t>International</t>
        </is>
      </c>
      <c r="U3" s="135" t="n"/>
      <c r="V3" s="135" t="n"/>
      <c r="W3" s="368" t="inlineStr">
        <is>
          <t>Regional</t>
        </is>
      </c>
      <c r="X3" s="135" t="n"/>
      <c r="Y3" s="135" t="n"/>
      <c r="Z3" s="368" t="inlineStr">
        <is>
          <t>Pax volume</t>
        </is>
      </c>
      <c r="AA3" s="135" t="n"/>
      <c r="AB3" s="135" t="n"/>
      <c r="AC3" s="368" t="inlineStr">
        <is>
          <t>Domestic</t>
        </is>
      </c>
      <c r="AD3" s="135" t="n"/>
      <c r="AE3" s="135" t="n"/>
      <c r="AF3" s="368" t="inlineStr">
        <is>
          <t>International</t>
        </is>
      </c>
      <c r="AG3" s="135" t="n"/>
      <c r="AH3" s="135" t="n"/>
      <c r="AI3" s="368" t="inlineStr">
        <is>
          <t>Regional</t>
        </is>
      </c>
      <c r="AJ3" s="135" t="n"/>
      <c r="AK3" s="135" t="n"/>
      <c r="AL3" s="368" t="inlineStr">
        <is>
          <t>PLF</t>
        </is>
      </c>
      <c r="AM3" s="135" t="n"/>
      <c r="AN3" s="135" t="n"/>
      <c r="AO3" s="368" t="inlineStr">
        <is>
          <t>Domestic</t>
        </is>
      </c>
      <c r="AP3" s="135" t="n"/>
      <c r="AQ3" s="135" t="n"/>
      <c r="AR3" s="368" t="inlineStr">
        <is>
          <t>International</t>
        </is>
      </c>
      <c r="AS3" s="135" t="n"/>
      <c r="AT3" s="135" t="n"/>
      <c r="AU3" s="368" t="inlineStr">
        <is>
          <t>Regional</t>
        </is>
      </c>
      <c r="AV3" s="135" t="n"/>
      <c r="AW3" s="135" t="n"/>
      <c r="AX3" s="368" t="n"/>
      <c r="AY3" s="135" t="n"/>
      <c r="AZ3" s="135" t="n"/>
      <c r="BA3" s="368" t="n"/>
      <c r="BB3" s="368" t="n"/>
      <c r="BC3" s="368" t="n"/>
      <c r="BD3" s="368" t="n"/>
      <c r="BE3" s="368" t="n"/>
      <c r="BF3" s="368" t="n"/>
      <c r="BG3" s="368" t="n"/>
      <c r="BH3" s="368" t="n"/>
      <c r="BI3" s="368" t="n"/>
      <c r="BJ3" s="368" t="n"/>
      <c r="BK3" s="368" t="n"/>
      <c r="BL3" s="368" t="n"/>
      <c r="BM3" s="368" t="n"/>
      <c r="BN3" s="368" t="n"/>
      <c r="BO3" s="368" t="n"/>
      <c r="BP3" s="368" t="n"/>
      <c r="BQ3" s="368" t="n"/>
      <c r="BR3" s="368" t="n"/>
      <c r="BS3" s="368" t="n"/>
      <c r="BT3" s="368" t="n"/>
      <c r="BU3" s="368" t="n"/>
      <c r="BV3" s="368" t="n"/>
      <c r="BW3" s="368" t="n"/>
      <c r="BX3" s="368" t="n"/>
      <c r="BY3" s="368" t="n"/>
      <c r="BZ3" s="368" t="n"/>
      <c r="CA3" s="368" t="n"/>
      <c r="CB3" s="368" t="n"/>
      <c r="CC3" s="368" t="n"/>
      <c r="CD3" s="368" t="n"/>
      <c r="CE3" s="368" t="n"/>
      <c r="CF3" s="369" t="n"/>
      <c r="CG3" s="368" t="n"/>
      <c r="CH3" s="368" t="n"/>
      <c r="CI3" s="368" t="n"/>
      <c r="CJ3" s="368" t="n"/>
      <c r="CK3" s="368" t="n"/>
      <c r="CL3" s="368" t="n"/>
      <c r="CM3" s="368" t="n"/>
      <c r="CN3" s="369" t="n"/>
      <c r="CO3" s="369" t="n"/>
      <c r="CP3" s="368" t="n"/>
      <c r="CQ3" s="368" t="n"/>
      <c r="CR3" s="368" t="n"/>
      <c r="CS3" s="368" t="n"/>
      <c r="CT3" s="368" t="n"/>
      <c r="CU3" s="368" t="n"/>
      <c r="CV3" s="137" t="n"/>
      <c r="CW3" s="368" t="n"/>
      <c r="CX3" s="368" t="n"/>
      <c r="CY3" s="368" t="n"/>
      <c r="CZ3" s="368" t="n"/>
      <c r="DA3" s="368" t="n"/>
      <c r="DB3" s="368" t="n"/>
      <c r="DC3" s="368" t="n"/>
      <c r="DD3" s="368" t="n"/>
      <c r="DE3" s="370" t="n"/>
      <c r="DF3" s="370" t="n"/>
      <c r="DG3" s="137" t="n"/>
      <c r="DH3" s="137" t="n"/>
      <c r="DI3" s="137" t="n"/>
      <c r="DJ3" s="137" t="n"/>
      <c r="DK3" s="137" t="n"/>
      <c r="DL3" s="137" t="n"/>
      <c r="DM3" s="137" t="n"/>
      <c r="DN3" s="137" t="n"/>
      <c r="DO3" s="137" t="n"/>
      <c r="DP3" s="137" t="n"/>
      <c r="DQ3" s="137" t="n"/>
      <c r="DR3" s="137" t="n"/>
    </row>
    <row r="4" ht="13" customFormat="1" customHeight="1" s="116">
      <c r="A4" s="371" t="n">
        <v>41670</v>
      </c>
      <c r="B4" s="372" t="n">
        <v>13601.16</v>
      </c>
      <c r="C4" s="111" t="n"/>
      <c r="D4" s="111" t="n"/>
      <c r="E4" s="372" t="n">
        <v>9212.290000000001</v>
      </c>
      <c r="F4" s="111" t="n"/>
      <c r="G4" s="111" t="n"/>
      <c r="H4" s="372" t="n">
        <v>3911.66</v>
      </c>
      <c r="I4" s="111" t="n"/>
      <c r="J4" s="111" t="n"/>
      <c r="K4" s="372" t="n">
        <v>477.2128</v>
      </c>
      <c r="L4" s="111" t="n"/>
      <c r="M4" s="111" t="n"/>
      <c r="N4" s="372" t="n">
        <v>10722.83</v>
      </c>
      <c r="O4" s="111" t="n"/>
      <c r="P4" s="111" t="n"/>
      <c r="Q4" s="372" t="n">
        <v>7251.68</v>
      </c>
      <c r="R4" s="111" t="n"/>
      <c r="S4" s="111" t="n"/>
      <c r="T4" s="372" t="n">
        <v>3121.02</v>
      </c>
      <c r="U4" s="111" t="n"/>
      <c r="V4" s="111" t="n"/>
      <c r="W4" s="372" t="n">
        <v>350.1238</v>
      </c>
      <c r="X4" s="111" t="n"/>
      <c r="Y4" s="111" t="n"/>
      <c r="Z4" s="372" t="n">
        <v>6803.37</v>
      </c>
      <c r="AA4" s="111" t="n"/>
      <c r="AB4" s="111" t="n"/>
      <c r="AC4" s="372" t="n">
        <v>5730.79</v>
      </c>
      <c r="AD4" s="111" t="n"/>
      <c r="AE4" s="111" t="n"/>
      <c r="AF4" s="372" t="n">
        <v>816.13</v>
      </c>
      <c r="AG4" s="111" t="n"/>
      <c r="AH4" s="111" t="n"/>
      <c r="AI4" s="372" t="n">
        <v>256.456</v>
      </c>
      <c r="AJ4" s="111" t="n"/>
      <c r="AK4" s="111" t="n"/>
      <c r="AL4" s="373" t="n">
        <v>78.84</v>
      </c>
      <c r="AM4" s="111" t="n"/>
      <c r="AN4" s="111" t="n"/>
      <c r="AO4" s="373" t="n">
        <v>78.72</v>
      </c>
      <c r="AP4" s="111" t="n"/>
      <c r="AQ4" s="111" t="n"/>
      <c r="AR4" s="373" t="n">
        <v>79.79000000000001</v>
      </c>
      <c r="AS4" s="111" t="n"/>
      <c r="AT4" s="111" t="n"/>
      <c r="AU4" s="373" t="n">
        <v>73.37</v>
      </c>
      <c r="AV4" s="111" t="n"/>
      <c r="AW4" s="111" t="n"/>
      <c r="AX4" s="372" t="n">
        <v>0</v>
      </c>
      <c r="AY4" s="111" t="n"/>
      <c r="AZ4" s="111" t="n"/>
      <c r="BA4" s="317" t="n"/>
      <c r="BB4" s="142" t="n"/>
      <c r="BC4" s="317" t="n"/>
      <c r="BD4" s="142" t="n"/>
      <c r="BE4" s="317" t="n"/>
      <c r="BF4" s="142" t="n"/>
      <c r="BG4" s="317" t="n"/>
      <c r="BH4" s="142" t="n"/>
      <c r="BI4" s="317" t="n"/>
      <c r="BJ4" s="142" t="n"/>
      <c r="BK4" s="317" t="n"/>
      <c r="BL4" s="142" t="n"/>
      <c r="BM4" s="317" t="n"/>
      <c r="BN4" s="142" t="n"/>
      <c r="BO4" s="317" t="n"/>
      <c r="BP4" s="317" t="n"/>
      <c r="BQ4" s="142" t="n"/>
      <c r="BR4" s="317" t="n"/>
      <c r="BS4" s="142" t="n"/>
      <c r="BT4" s="317" t="n"/>
      <c r="BU4" s="142" t="n"/>
      <c r="BV4" s="317" t="n"/>
      <c r="BW4" s="142" t="n"/>
      <c r="BX4" s="317" t="n"/>
      <c r="BY4" s="142" t="n"/>
      <c r="BZ4" s="317" t="n"/>
      <c r="CA4" s="142" t="n"/>
      <c r="CB4" s="317" t="n"/>
      <c r="CC4" s="142" t="n"/>
      <c r="CD4" s="317" t="n"/>
      <c r="CE4" s="142" t="n"/>
      <c r="CF4" s="317" t="n"/>
      <c r="CG4" s="317" t="n"/>
      <c r="CH4" s="317" t="n"/>
      <c r="CI4" s="317" t="n"/>
      <c r="CJ4" s="317" t="n"/>
      <c r="CK4" s="317" t="n"/>
      <c r="CL4" s="317" t="n"/>
      <c r="CM4" s="317" t="n"/>
      <c r="CN4" s="317" t="n"/>
      <c r="CO4" s="317" t="n"/>
      <c r="CP4" s="317" t="n"/>
      <c r="CQ4" s="317" t="n"/>
      <c r="CR4" s="317" t="n"/>
      <c r="CS4" s="317" t="n"/>
      <c r="CT4" s="317" t="n"/>
      <c r="CU4" s="317" t="n"/>
      <c r="CW4" s="317" t="n"/>
      <c r="CX4" s="142" t="n"/>
      <c r="CY4" s="317" t="n"/>
      <c r="CZ4" s="142" t="n"/>
      <c r="DA4" s="317" t="n"/>
      <c r="DB4" s="142" t="n"/>
      <c r="DC4" s="317" t="n"/>
      <c r="DD4" s="142" t="n"/>
      <c r="DE4" s="319" t="n"/>
      <c r="DF4" s="319" t="n"/>
    </row>
    <row r="5" customFormat="1" s="117">
      <c r="A5" s="376" t="n">
        <v>41698</v>
      </c>
      <c r="B5" s="315" t="n">
        <v>12514.38</v>
      </c>
      <c r="C5" s="145" t="n"/>
      <c r="D5" s="145" t="n"/>
      <c r="E5" s="315" t="n">
        <v>8468.040000000001</v>
      </c>
      <c r="F5" s="146" t="n"/>
      <c r="G5" s="146" t="n"/>
      <c r="H5" s="315" t="n">
        <v>3590.77</v>
      </c>
      <c r="I5" s="146" t="n"/>
      <c r="J5" s="146" t="n"/>
      <c r="K5" s="315" t="n">
        <v>455.5774</v>
      </c>
      <c r="L5" s="146" t="n"/>
      <c r="M5" s="146" t="n"/>
      <c r="N5" s="315" t="n">
        <v>10402.02</v>
      </c>
      <c r="O5" s="146" t="n"/>
      <c r="P5" s="146" t="n"/>
      <c r="Q5" s="315" t="n">
        <v>7156.04</v>
      </c>
      <c r="R5" s="146" t="n"/>
      <c r="S5" s="146" t="n"/>
      <c r="T5" s="315" t="n">
        <v>2887.46</v>
      </c>
      <c r="U5" s="146" t="n"/>
      <c r="V5" s="146" t="n"/>
      <c r="W5" s="315" t="n">
        <v>358.5191</v>
      </c>
      <c r="X5" s="146" t="n"/>
      <c r="Y5" s="146" t="n"/>
      <c r="Z5" s="315" t="n">
        <v>6637.95</v>
      </c>
      <c r="AA5" s="146" t="n"/>
      <c r="AB5" s="146" t="n"/>
      <c r="AC5" s="315" t="n">
        <v>5590.22</v>
      </c>
      <c r="AD5" s="146" t="n"/>
      <c r="AE5" s="146" t="n"/>
      <c r="AF5" s="315" t="n">
        <v>785.83</v>
      </c>
      <c r="AG5" s="146" t="n"/>
      <c r="AH5" s="146" t="n"/>
      <c r="AI5" s="315" t="n">
        <v>261.911</v>
      </c>
      <c r="AJ5" s="146" t="n"/>
      <c r="AK5" s="146" t="n"/>
      <c r="AL5" s="316" t="n">
        <v>83.12</v>
      </c>
      <c r="AM5" s="146" t="n"/>
      <c r="AN5" s="146" t="n"/>
      <c r="AO5" s="316" t="n">
        <v>84.51000000000001</v>
      </c>
      <c r="AP5" s="146" t="n"/>
      <c r="AQ5" s="146" t="n"/>
      <c r="AR5" s="316" t="n">
        <v>80.41</v>
      </c>
      <c r="AS5" s="146" t="n"/>
      <c r="AT5" s="146" t="n"/>
      <c r="AU5" s="316" t="n">
        <v>78.7</v>
      </c>
      <c r="AV5" s="146" t="n"/>
      <c r="AW5" s="146" t="n"/>
      <c r="AX5" s="315" t="n">
        <v>0</v>
      </c>
      <c r="AY5" s="146" t="n"/>
      <c r="AZ5" s="146" t="n"/>
      <c r="BA5" s="378" t="n"/>
      <c r="BB5" s="378" t="n"/>
      <c r="BC5" s="378" t="n"/>
      <c r="BD5" s="378" t="n"/>
      <c r="BE5" s="378" t="n"/>
      <c r="BF5" s="378" t="n"/>
      <c r="BG5" s="378" t="n"/>
      <c r="BH5" s="378" t="n"/>
      <c r="BI5" s="318" t="n"/>
      <c r="BJ5" s="318" t="n"/>
      <c r="BK5" s="318" t="n"/>
      <c r="BL5" s="318" t="n"/>
      <c r="BM5" s="318" t="n"/>
      <c r="BN5" s="318" t="n"/>
      <c r="BO5" s="318" t="n"/>
      <c r="BP5" s="318" t="n"/>
      <c r="BQ5" s="318" t="n"/>
      <c r="BR5" s="318" t="n"/>
      <c r="BS5" s="318" t="n"/>
      <c r="BT5" s="318" t="n"/>
      <c r="BU5" s="318" t="n"/>
      <c r="BV5" s="318" t="n"/>
      <c r="BW5" s="318" t="n"/>
      <c r="BX5" s="318" t="n"/>
      <c r="BY5" s="318" t="n"/>
      <c r="BZ5" s="318" t="n"/>
      <c r="CA5" s="318" t="n"/>
      <c r="CB5" s="318" t="n"/>
      <c r="CC5" s="318" t="n"/>
      <c r="CD5" s="318" t="n"/>
      <c r="CE5" s="318" t="n"/>
      <c r="CF5" s="318" t="n"/>
      <c r="CG5" s="318" t="n"/>
      <c r="CH5" s="318" t="n"/>
      <c r="CI5" s="318" t="n"/>
      <c r="CJ5" s="318" t="n"/>
      <c r="CK5" s="318" t="n"/>
      <c r="CL5" s="318" t="n"/>
      <c r="CM5" s="318" t="n"/>
      <c r="CN5" s="318" t="n"/>
      <c r="CO5" s="318" t="n"/>
      <c r="CP5" s="318" t="n"/>
      <c r="CQ5" s="318" t="n"/>
      <c r="CR5" s="318" t="n"/>
      <c r="CS5" s="318" t="n"/>
      <c r="CT5" s="318" t="n"/>
      <c r="CU5" s="318" t="n"/>
      <c r="CV5" s="361" t="n"/>
      <c r="CW5" s="318" t="n"/>
      <c r="CX5" s="318" t="n"/>
      <c r="CY5" s="318" t="n"/>
      <c r="CZ5" s="318" t="n"/>
      <c r="DA5" s="318" t="n"/>
      <c r="DB5" s="318" t="n"/>
      <c r="DC5" s="318" t="n"/>
      <c r="DD5" s="318" t="n"/>
      <c r="DE5" s="379" t="n"/>
      <c r="DF5" s="379" t="n"/>
      <c r="DG5" s="214" t="n"/>
    </row>
    <row r="6" customFormat="1" s="117">
      <c r="A6" s="376" t="n">
        <v>41729</v>
      </c>
      <c r="B6" s="315" t="n">
        <v>12577.67</v>
      </c>
      <c r="C6" s="145" t="n"/>
      <c r="D6" s="145" t="n"/>
      <c r="E6" s="315" t="n">
        <v>8758.190000000001</v>
      </c>
      <c r="F6" s="146" t="n"/>
      <c r="G6" s="146" t="n"/>
      <c r="H6" s="315" t="n">
        <v>3356.76</v>
      </c>
      <c r="I6" s="146" t="n"/>
      <c r="J6" s="146" t="n"/>
      <c r="K6" s="315" t="n">
        <v>462.7156</v>
      </c>
      <c r="L6" s="146" t="n"/>
      <c r="M6" s="146" t="n"/>
      <c r="N6" s="315" t="n">
        <v>10008.06</v>
      </c>
      <c r="O6" s="146" t="n"/>
      <c r="P6" s="146" t="n"/>
      <c r="Q6" s="315" t="n">
        <v>6994.81</v>
      </c>
      <c r="R6" s="146" t="n"/>
      <c r="S6" s="146" t="n"/>
      <c r="T6" s="315" t="n">
        <v>2657.62</v>
      </c>
      <c r="U6" s="146" t="n"/>
      <c r="V6" s="146" t="n"/>
      <c r="W6" s="315" t="n">
        <v>355.6314</v>
      </c>
      <c r="X6" s="146" t="n"/>
      <c r="Y6" s="146" t="n"/>
      <c r="Z6" s="315" t="n">
        <v>6591.83</v>
      </c>
      <c r="AA6" s="146" t="n"/>
      <c r="AB6" s="146" t="n"/>
      <c r="AC6" s="315" t="n">
        <v>5595.38</v>
      </c>
      <c r="AD6" s="146" t="n"/>
      <c r="AE6" s="146" t="n"/>
      <c r="AF6" s="315" t="n">
        <v>740.9299999999999</v>
      </c>
      <c r="AG6" s="146" t="n"/>
      <c r="AH6" s="146" t="n"/>
      <c r="AI6" s="315" t="n">
        <v>255.515</v>
      </c>
      <c r="AJ6" s="146" t="n"/>
      <c r="AK6" s="146" t="n"/>
      <c r="AL6" s="316" t="n">
        <v>79.56999999999999</v>
      </c>
      <c r="AM6" s="146" t="n"/>
      <c r="AN6" s="146" t="n"/>
      <c r="AO6" s="316" t="n">
        <v>79.87</v>
      </c>
      <c r="AP6" s="146" t="n"/>
      <c r="AQ6" s="146" t="n"/>
      <c r="AR6" s="316" t="n">
        <v>79.17</v>
      </c>
      <c r="AS6" s="146" t="n"/>
      <c r="AT6" s="146" t="n"/>
      <c r="AU6" s="316" t="n">
        <v>76.86</v>
      </c>
      <c r="AV6" s="146" t="n"/>
      <c r="AW6" s="146" t="n"/>
      <c r="AX6" s="315" t="n">
        <v>0</v>
      </c>
      <c r="AY6" s="146" t="n"/>
      <c r="AZ6" s="146" t="n"/>
      <c r="BA6" s="378" t="n"/>
      <c r="BB6" s="378" t="n"/>
      <c r="BC6" s="378" t="n"/>
      <c r="BD6" s="378" t="n"/>
      <c r="BE6" s="378" t="n"/>
      <c r="BF6" s="378" t="n"/>
      <c r="BG6" s="378" t="n"/>
      <c r="BH6" s="378" t="n"/>
      <c r="BI6" s="318" t="n"/>
      <c r="BJ6" s="318" t="n"/>
      <c r="BK6" s="318" t="n"/>
      <c r="BL6" s="318" t="n"/>
      <c r="BM6" s="318" t="n"/>
      <c r="BN6" s="318" t="n"/>
      <c r="BO6" s="318" t="n"/>
      <c r="BP6" s="318" t="n"/>
      <c r="BQ6" s="318" t="n"/>
      <c r="BR6" s="318" t="n"/>
      <c r="BS6" s="318" t="n"/>
      <c r="BT6" s="318" t="n"/>
      <c r="BU6" s="318" t="n"/>
      <c r="BV6" s="318" t="n"/>
      <c r="BW6" s="318" t="n"/>
      <c r="BX6" s="318" t="n"/>
      <c r="BY6" s="318" t="n"/>
      <c r="BZ6" s="318" t="n"/>
      <c r="CA6" s="318" t="n"/>
      <c r="CB6" s="318" t="n"/>
      <c r="CC6" s="318" t="n"/>
      <c r="CD6" s="318" t="n"/>
      <c r="CE6" s="318" t="n"/>
      <c r="CF6" s="318" t="n"/>
      <c r="CG6" s="318" t="n"/>
      <c r="CH6" s="318" t="n"/>
      <c r="CI6" s="318" t="n"/>
      <c r="CJ6" s="318" t="n"/>
      <c r="CK6" s="318" t="n"/>
      <c r="CL6" s="318" t="n"/>
      <c r="CM6" s="318" t="n"/>
      <c r="CN6" s="318" t="n"/>
      <c r="CO6" s="318" t="n"/>
      <c r="CP6" s="318" t="n"/>
      <c r="CQ6" s="318" t="n"/>
      <c r="CR6" s="318" t="n"/>
      <c r="CS6" s="318" t="n"/>
      <c r="CT6" s="318" t="n"/>
      <c r="CU6" s="318" t="n"/>
      <c r="CV6" s="361" t="n"/>
      <c r="CW6" s="318" t="n"/>
      <c r="CX6" s="318" t="n"/>
      <c r="CY6" s="318" t="n"/>
      <c r="CZ6" s="318" t="n"/>
      <c r="DA6" s="318" t="n"/>
      <c r="DB6" s="318" t="n"/>
      <c r="DC6" s="318" t="n"/>
      <c r="DD6" s="318" t="n"/>
      <c r="DE6" s="379" t="n"/>
      <c r="DF6" s="379" t="n"/>
      <c r="DG6" s="214" t="n"/>
    </row>
    <row r="7" customFormat="1" s="117">
      <c r="A7" s="376" t="n">
        <v>41759</v>
      </c>
      <c r="B7" s="315" t="n">
        <v>12732.01</v>
      </c>
      <c r="C7" s="145" t="n"/>
      <c r="D7" s="145" t="n"/>
      <c r="E7" s="315" t="n">
        <v>8882.82</v>
      </c>
      <c r="F7" s="146" t="n"/>
      <c r="G7" s="146" t="n"/>
      <c r="H7" s="315" t="n">
        <v>3343.32</v>
      </c>
      <c r="I7" s="146" t="n"/>
      <c r="J7" s="146" t="n"/>
      <c r="K7" s="315" t="n">
        <v>505.8768</v>
      </c>
      <c r="L7" s="146" t="n"/>
      <c r="M7" s="146" t="n"/>
      <c r="N7" s="315" t="n">
        <v>10209.83</v>
      </c>
      <c r="O7" s="146" t="n"/>
      <c r="P7" s="146" t="n"/>
      <c r="Q7" s="315" t="n">
        <v>7137.72</v>
      </c>
      <c r="R7" s="146" t="n"/>
      <c r="S7" s="146" t="n"/>
      <c r="T7" s="315" t="n">
        <v>2687.85</v>
      </c>
      <c r="U7" s="146" t="n"/>
      <c r="V7" s="146" t="n"/>
      <c r="W7" s="315" t="n">
        <v>384.2643</v>
      </c>
      <c r="X7" s="146" t="n"/>
      <c r="Y7" s="146" t="n"/>
      <c r="Z7" s="315" t="n">
        <v>6876.11</v>
      </c>
      <c r="AA7" s="146" t="n"/>
      <c r="AB7" s="146" t="n"/>
      <c r="AC7" s="315" t="n">
        <v>5845.27</v>
      </c>
      <c r="AD7" s="146" t="n"/>
      <c r="AE7" s="146" t="n"/>
      <c r="AF7" s="315" t="n">
        <v>757.4299999999999</v>
      </c>
      <c r="AG7" s="146" t="n"/>
      <c r="AH7" s="146" t="n"/>
      <c r="AI7" s="315" t="n">
        <v>273.413</v>
      </c>
      <c r="AJ7" s="146" t="n"/>
      <c r="AK7" s="146" t="n"/>
      <c r="AL7" s="316" t="n">
        <v>80.19</v>
      </c>
      <c r="AM7" s="146" t="n"/>
      <c r="AN7" s="146" t="n"/>
      <c r="AO7" s="316" t="n">
        <v>80.34999999999999</v>
      </c>
      <c r="AP7" s="146" t="n"/>
      <c r="AQ7" s="146" t="n"/>
      <c r="AR7" s="316" t="n">
        <v>80.39</v>
      </c>
      <c r="AS7" s="146" t="n"/>
      <c r="AT7" s="146" t="n"/>
      <c r="AU7" s="316" t="n">
        <v>75.95999999999999</v>
      </c>
      <c r="AV7" s="146" t="n"/>
      <c r="AW7" s="146" t="n"/>
      <c r="AX7" s="315" t="n">
        <v>0</v>
      </c>
      <c r="AY7" s="146" t="n"/>
      <c r="AZ7" s="146" t="n"/>
      <c r="BA7" s="378" t="n"/>
      <c r="BB7" s="378" t="n"/>
      <c r="BC7" s="378" t="n"/>
      <c r="BD7" s="378" t="n"/>
      <c r="BE7" s="378" t="n"/>
      <c r="BF7" s="378" t="n"/>
      <c r="BG7" s="378" t="n"/>
      <c r="BH7" s="378" t="n"/>
      <c r="BI7" s="318" t="n"/>
      <c r="BJ7" s="318" t="n"/>
      <c r="BK7" s="318" t="n"/>
      <c r="BL7" s="318" t="n"/>
      <c r="BM7" s="318" t="n"/>
      <c r="BN7" s="318" t="n"/>
      <c r="BO7" s="318" t="n"/>
      <c r="BP7" s="318" t="n"/>
      <c r="BQ7" s="318" t="n"/>
      <c r="BR7" s="318" t="n"/>
      <c r="BS7" s="318" t="n"/>
      <c r="BT7" s="318" t="n"/>
      <c r="BU7" s="318" t="n"/>
      <c r="BV7" s="318" t="n"/>
      <c r="BW7" s="318" t="n"/>
      <c r="BX7" s="318" t="n"/>
      <c r="BY7" s="318" t="n"/>
      <c r="BZ7" s="318" t="n"/>
      <c r="CA7" s="318" t="n"/>
      <c r="CB7" s="318" t="n"/>
      <c r="CC7" s="318" t="n"/>
      <c r="CD7" s="318" t="n"/>
      <c r="CE7" s="318" t="n"/>
      <c r="CF7" s="318" t="n"/>
      <c r="CG7" s="318" t="n"/>
      <c r="CH7" s="318" t="n"/>
      <c r="CI7" s="318" t="n"/>
      <c r="CJ7" s="318" t="n"/>
      <c r="CK7" s="318" t="n"/>
      <c r="CL7" s="318" t="n"/>
      <c r="CM7" s="318" t="n"/>
      <c r="CN7" s="318" t="n"/>
      <c r="CO7" s="318" t="n"/>
      <c r="CP7" s="318" t="n"/>
      <c r="CQ7" s="318" t="n"/>
      <c r="CR7" s="318" t="n"/>
      <c r="CS7" s="318" t="n"/>
      <c r="CT7" s="318" t="n"/>
      <c r="CU7" s="318" t="n"/>
      <c r="CV7" s="361" t="n"/>
      <c r="CW7" s="318" t="n"/>
      <c r="CX7" s="318" t="n"/>
      <c r="CY7" s="318" t="n"/>
      <c r="CZ7" s="318" t="n"/>
      <c r="DA7" s="318" t="n"/>
      <c r="DB7" s="318" t="n"/>
      <c r="DC7" s="318" t="n"/>
      <c r="DD7" s="318" t="n"/>
      <c r="DE7" s="379" t="n"/>
      <c r="DF7" s="379" t="n"/>
      <c r="DG7" s="214" t="n"/>
    </row>
    <row r="8" customFormat="1" s="117">
      <c r="A8" s="376" t="n">
        <v>41790</v>
      </c>
      <c r="B8" s="315" t="n">
        <v>12928.44</v>
      </c>
      <c r="C8" s="145" t="n"/>
      <c r="D8" s="145" t="n"/>
      <c r="E8" s="315" t="n">
        <v>8987.1</v>
      </c>
      <c r="F8" s="146" t="n"/>
      <c r="G8" s="146" t="n"/>
      <c r="H8" s="315" t="n">
        <v>3448.87</v>
      </c>
      <c r="I8" s="146" t="n"/>
      <c r="J8" s="146" t="n"/>
      <c r="K8" s="315" t="n">
        <v>492.4699</v>
      </c>
      <c r="L8" s="146" t="n"/>
      <c r="M8" s="146" t="n"/>
      <c r="N8" s="315" t="n">
        <v>10192.4</v>
      </c>
      <c r="O8" s="146" t="n"/>
      <c r="P8" s="146" t="n"/>
      <c r="Q8" s="315" t="n">
        <v>7164.5</v>
      </c>
      <c r="R8" s="146" t="n"/>
      <c r="S8" s="146" t="n"/>
      <c r="T8" s="315" t="n">
        <v>2658.43</v>
      </c>
      <c r="U8" s="146" t="n"/>
      <c r="V8" s="146" t="n"/>
      <c r="W8" s="315" t="n">
        <v>369.4683</v>
      </c>
      <c r="X8" s="146" t="n"/>
      <c r="Y8" s="146" t="n"/>
      <c r="Z8" s="315" t="n">
        <v>6896.09</v>
      </c>
      <c r="AA8" s="146" t="n"/>
      <c r="AB8" s="146" t="n"/>
      <c r="AC8" s="315" t="n">
        <v>5895.77</v>
      </c>
      <c r="AD8" s="146" t="n"/>
      <c r="AE8" s="146" t="n"/>
      <c r="AF8" s="315" t="n">
        <v>735.36</v>
      </c>
      <c r="AG8" s="146" t="n"/>
      <c r="AH8" s="146" t="n"/>
      <c r="AI8" s="315" t="n">
        <v>264.958</v>
      </c>
      <c r="AJ8" s="146" t="n"/>
      <c r="AK8" s="146" t="n"/>
      <c r="AL8" s="316" t="n">
        <v>78.84</v>
      </c>
      <c r="AM8" s="146" t="n"/>
      <c r="AN8" s="146" t="n"/>
      <c r="AO8" s="316" t="n">
        <v>79.72</v>
      </c>
      <c r="AP8" s="146" t="n"/>
      <c r="AQ8" s="146" t="n"/>
      <c r="AR8" s="316" t="n">
        <v>77.08</v>
      </c>
      <c r="AS8" s="146" t="n"/>
      <c r="AT8" s="146" t="n"/>
      <c r="AU8" s="316" t="n">
        <v>75.02</v>
      </c>
      <c r="AV8" s="146" t="n"/>
      <c r="AW8" s="146" t="n"/>
      <c r="AX8" s="315" t="n">
        <v>0</v>
      </c>
      <c r="AY8" s="146" t="n"/>
      <c r="AZ8" s="146" t="n"/>
      <c r="BA8" s="378" t="n"/>
      <c r="BB8" s="378" t="n"/>
      <c r="BC8" s="378" t="n"/>
      <c r="BD8" s="378" t="n"/>
      <c r="BE8" s="378" t="n"/>
      <c r="BF8" s="378" t="n"/>
      <c r="BG8" s="378" t="n"/>
      <c r="BH8" s="378" t="n"/>
      <c r="BI8" s="318" t="n"/>
      <c r="BJ8" s="318" t="n"/>
      <c r="BK8" s="318" t="n"/>
      <c r="BL8" s="318" t="n"/>
      <c r="BM8" s="318" t="n"/>
      <c r="BN8" s="318" t="n"/>
      <c r="BO8" s="318" t="n"/>
      <c r="BP8" s="318" t="n"/>
      <c r="BQ8" s="318" t="n"/>
      <c r="BR8" s="318" t="n"/>
      <c r="BS8" s="318" t="n"/>
      <c r="BT8" s="318" t="n"/>
      <c r="BU8" s="318" t="n"/>
      <c r="BV8" s="318" t="n"/>
      <c r="BW8" s="318" t="n"/>
      <c r="BX8" s="318" t="n"/>
      <c r="BY8" s="318" t="n"/>
      <c r="BZ8" s="318" t="n"/>
      <c r="CA8" s="318" t="n"/>
      <c r="CB8" s="318" t="n"/>
      <c r="CC8" s="318" t="n"/>
      <c r="CD8" s="318" t="n"/>
      <c r="CE8" s="318" t="n"/>
      <c r="CF8" s="318" t="n"/>
      <c r="CG8" s="318" t="n"/>
      <c r="CH8" s="318" t="n"/>
      <c r="CI8" s="318" t="n"/>
      <c r="CJ8" s="318" t="n"/>
      <c r="CK8" s="318" t="n"/>
      <c r="CL8" s="318" t="n"/>
      <c r="CM8" s="318" t="n"/>
      <c r="CN8" s="318" t="n"/>
      <c r="CO8" s="318" t="n"/>
      <c r="CP8" s="318" t="n"/>
      <c r="CQ8" s="318" t="n"/>
      <c r="CR8" s="318" t="n"/>
      <c r="CS8" s="318" t="n"/>
      <c r="CT8" s="318" t="n"/>
      <c r="CU8" s="318" t="n"/>
      <c r="CV8" s="361" t="n"/>
      <c r="CW8" s="318" t="n"/>
      <c r="CX8" s="318" t="n"/>
      <c r="CY8" s="318" t="n"/>
      <c r="CZ8" s="318" t="n"/>
      <c r="DA8" s="318" t="n"/>
      <c r="DB8" s="318" t="n"/>
      <c r="DC8" s="318" t="n"/>
      <c r="DD8" s="318" t="n"/>
      <c r="DE8" s="379" t="n"/>
      <c r="DF8" s="379" t="n"/>
      <c r="DG8" s="214" t="n"/>
    </row>
    <row r="9" customFormat="1" s="117">
      <c r="A9" s="376" t="n">
        <v>41820</v>
      </c>
      <c r="B9" s="315" t="n">
        <v>12578.11</v>
      </c>
      <c r="C9" s="145" t="n"/>
      <c r="D9" s="145" t="n"/>
      <c r="E9" s="315" t="n">
        <v>8776.75</v>
      </c>
      <c r="F9" s="146" t="n"/>
      <c r="G9" s="146" t="n"/>
      <c r="H9" s="315" t="n">
        <v>3323.46</v>
      </c>
      <c r="I9" s="146" t="n"/>
      <c r="J9" s="146" t="n"/>
      <c r="K9" s="315" t="n">
        <v>477.8976</v>
      </c>
      <c r="L9" s="146" t="n"/>
      <c r="M9" s="146" t="n"/>
      <c r="N9" s="315" t="n">
        <v>9964.639999999999</v>
      </c>
      <c r="O9" s="146" t="n"/>
      <c r="P9" s="146" t="n"/>
      <c r="Q9" s="315" t="n">
        <v>6923.41</v>
      </c>
      <c r="R9" s="146" t="n"/>
      <c r="S9" s="146" t="n"/>
      <c r="T9" s="315" t="n">
        <v>2672.26</v>
      </c>
      <c r="U9" s="146" t="n"/>
      <c r="V9" s="146" t="n"/>
      <c r="W9" s="315" t="n">
        <v>368.9762</v>
      </c>
      <c r="X9" s="146" t="n"/>
      <c r="Y9" s="146" t="n"/>
      <c r="Z9" s="315" t="n">
        <v>6613.32</v>
      </c>
      <c r="AA9" s="146" t="n"/>
      <c r="AB9" s="146" t="n"/>
      <c r="AC9" s="315" t="n">
        <v>5628.85</v>
      </c>
      <c r="AD9" s="146" t="n"/>
      <c r="AE9" s="146" t="n"/>
      <c r="AF9" s="315" t="n">
        <v>716.2</v>
      </c>
      <c r="AG9" s="146" t="n"/>
      <c r="AH9" s="146" t="n"/>
      <c r="AI9" s="315" t="n">
        <v>268.276</v>
      </c>
      <c r="AJ9" s="146" t="n"/>
      <c r="AK9" s="146" t="n"/>
      <c r="AL9" s="316" t="n">
        <v>79.22</v>
      </c>
      <c r="AM9" s="146" t="n"/>
      <c r="AN9" s="146" t="n"/>
      <c r="AO9" s="316" t="n">
        <v>78.88</v>
      </c>
      <c r="AP9" s="146" t="n"/>
      <c r="AQ9" s="146" t="n"/>
      <c r="AR9" s="316" t="n">
        <v>80.41</v>
      </c>
      <c r="AS9" s="146" t="n"/>
      <c r="AT9" s="146" t="n"/>
      <c r="AU9" s="316" t="n">
        <v>77.20999999999999</v>
      </c>
      <c r="AV9" s="146" t="n"/>
      <c r="AW9" s="146" t="n"/>
      <c r="AX9" s="315" t="n">
        <v>0</v>
      </c>
      <c r="AY9" s="146" t="n"/>
      <c r="AZ9" s="146" t="n"/>
      <c r="BA9" s="378" t="n"/>
      <c r="BB9" s="378" t="n"/>
      <c r="BC9" s="378" t="n"/>
      <c r="BD9" s="378" t="n"/>
      <c r="BE9" s="378" t="n"/>
      <c r="BF9" s="378" t="n"/>
      <c r="BG9" s="378" t="n"/>
      <c r="BH9" s="378" t="n"/>
      <c r="BI9" s="318" t="n"/>
      <c r="BJ9" s="318" t="n"/>
      <c r="BK9" s="318" t="n"/>
      <c r="BL9" s="318" t="n"/>
      <c r="BM9" s="318" t="n"/>
      <c r="BN9" s="318" t="n"/>
      <c r="BO9" s="318" t="n"/>
      <c r="BP9" s="318" t="n"/>
      <c r="BQ9" s="318" t="n"/>
      <c r="BR9" s="318" t="n"/>
      <c r="BS9" s="318" t="n"/>
      <c r="BT9" s="318" t="n"/>
      <c r="BU9" s="318" t="n"/>
      <c r="BV9" s="318" t="n"/>
      <c r="BW9" s="318" t="n"/>
      <c r="BX9" s="318" t="n"/>
      <c r="BY9" s="318" t="n"/>
      <c r="BZ9" s="318" t="n"/>
      <c r="CA9" s="318" t="n"/>
      <c r="CB9" s="318" t="n"/>
      <c r="CC9" s="318" t="n"/>
      <c r="CD9" s="318" t="n"/>
      <c r="CE9" s="318" t="n"/>
      <c r="CF9" s="318" t="n"/>
      <c r="CG9" s="318" t="n"/>
      <c r="CH9" s="318" t="n"/>
      <c r="CI9" s="318" t="n"/>
      <c r="CJ9" s="318" t="n"/>
      <c r="CK9" s="318" t="n"/>
      <c r="CL9" s="318" t="n"/>
      <c r="CM9" s="318" t="n"/>
      <c r="CN9" s="318" t="n"/>
      <c r="CO9" s="318" t="n"/>
      <c r="CP9" s="318" t="n"/>
      <c r="CQ9" s="318" t="n"/>
      <c r="CR9" s="318" t="n"/>
      <c r="CS9" s="318" t="n"/>
      <c r="CT9" s="318" t="n"/>
      <c r="CU9" s="318" t="n"/>
      <c r="CV9" s="361" t="n"/>
      <c r="CW9" s="318" t="n"/>
      <c r="CX9" s="318" t="n"/>
      <c r="CY9" s="318" t="n"/>
      <c r="CZ9" s="318" t="n"/>
      <c r="DA9" s="318" t="n"/>
      <c r="DB9" s="318" t="n"/>
      <c r="DC9" s="318" t="n"/>
      <c r="DD9" s="318" t="n"/>
      <c r="DE9" s="379" t="n"/>
      <c r="DF9" s="379" t="n"/>
      <c r="DG9" s="214" t="n"/>
    </row>
    <row r="10" customFormat="1" s="117">
      <c r="A10" s="376" t="n">
        <v>41851</v>
      </c>
      <c r="B10" s="315" t="n">
        <v>14710.34</v>
      </c>
      <c r="C10" s="145" t="n"/>
      <c r="D10" s="145" t="n"/>
      <c r="E10" s="315" t="n">
        <v>10179.68</v>
      </c>
      <c r="F10" s="146" t="n"/>
      <c r="G10" s="146" t="n"/>
      <c r="H10" s="315" t="n">
        <v>4031.66</v>
      </c>
      <c r="I10" s="146" t="n"/>
      <c r="J10" s="146" t="n"/>
      <c r="K10" s="315" t="n">
        <v>499.0409</v>
      </c>
      <c r="L10" s="146" t="n"/>
      <c r="M10" s="146" t="n"/>
      <c r="N10" s="315" t="n">
        <v>11867.46</v>
      </c>
      <c r="O10" s="146" t="n"/>
      <c r="P10" s="146" t="n"/>
      <c r="Q10" s="315" t="n">
        <v>8188.26</v>
      </c>
      <c r="R10" s="146" t="n"/>
      <c r="S10" s="146" t="n"/>
      <c r="T10" s="315" t="n">
        <v>3291.91</v>
      </c>
      <c r="U10" s="146" t="n"/>
      <c r="V10" s="146" t="n"/>
      <c r="W10" s="315" t="n">
        <v>383.744</v>
      </c>
      <c r="X10" s="146" t="n"/>
      <c r="Y10" s="146" t="n"/>
      <c r="Z10" s="315" t="n">
        <v>7690.27</v>
      </c>
      <c r="AA10" s="146" t="n"/>
      <c r="AB10" s="146" t="n"/>
      <c r="AC10" s="315" t="n">
        <v>6553.54</v>
      </c>
      <c r="AD10" s="146" t="n"/>
      <c r="AE10" s="146" t="n"/>
      <c r="AF10" s="315" t="n">
        <v>857.4400000000001</v>
      </c>
      <c r="AG10" s="146" t="n"/>
      <c r="AH10" s="146" t="n"/>
      <c r="AI10" s="315" t="n">
        <v>279.293</v>
      </c>
      <c r="AJ10" s="146" t="n"/>
      <c r="AK10" s="146" t="n"/>
      <c r="AL10" s="316" t="n">
        <v>80.67</v>
      </c>
      <c r="AM10" s="146" t="n"/>
      <c r="AN10" s="146" t="n"/>
      <c r="AO10" s="316" t="n">
        <v>80.44</v>
      </c>
      <c r="AP10" s="146" t="n"/>
      <c r="AQ10" s="146" t="n"/>
      <c r="AR10" s="316" t="n">
        <v>81.65000000000001</v>
      </c>
      <c r="AS10" s="146" t="n"/>
      <c r="AT10" s="146" t="n"/>
      <c r="AU10" s="316" t="n">
        <v>76.90000000000001</v>
      </c>
      <c r="AV10" s="146" t="n"/>
      <c r="AW10" s="146" t="n"/>
      <c r="AX10" s="315" t="n">
        <v>0</v>
      </c>
      <c r="AY10" s="146" t="n"/>
      <c r="AZ10" s="146" t="n"/>
      <c r="BA10" s="378" t="n"/>
      <c r="BB10" s="378" t="n"/>
      <c r="BC10" s="378" t="n"/>
      <c r="BD10" s="378" t="n"/>
      <c r="BE10" s="378" t="n"/>
      <c r="BF10" s="378" t="n"/>
      <c r="BG10" s="378" t="n"/>
      <c r="BH10" s="378" t="n"/>
      <c r="BI10" s="318" t="n"/>
      <c r="BJ10" s="318" t="n"/>
      <c r="BK10" s="318" t="n"/>
      <c r="BL10" s="318" t="n"/>
      <c r="BM10" s="318" t="n"/>
      <c r="BN10" s="318" t="n"/>
      <c r="BO10" s="318" t="n"/>
      <c r="BP10" s="318" t="n"/>
      <c r="BQ10" s="318" t="n"/>
      <c r="BR10" s="318" t="n"/>
      <c r="BS10" s="318" t="n"/>
      <c r="BT10" s="318" t="n"/>
      <c r="BU10" s="318" t="n"/>
      <c r="BV10" s="318" t="n"/>
      <c r="BW10" s="318" t="n"/>
      <c r="BX10" s="318" t="n"/>
      <c r="BY10" s="318" t="n"/>
      <c r="BZ10" s="318" t="n"/>
      <c r="CA10" s="318" t="n"/>
      <c r="CB10" s="318" t="n"/>
      <c r="CC10" s="318" t="n"/>
      <c r="CD10" s="318" t="n"/>
      <c r="CE10" s="318" t="n"/>
      <c r="CF10" s="318" t="n"/>
      <c r="CG10" s="318" t="n"/>
      <c r="CH10" s="318" t="n"/>
      <c r="CI10" s="318" t="n"/>
      <c r="CJ10" s="318" t="n"/>
      <c r="CK10" s="318" t="n"/>
      <c r="CL10" s="318" t="n"/>
      <c r="CM10" s="318" t="n"/>
      <c r="CN10" s="318" t="n"/>
      <c r="CO10" s="318" t="n"/>
      <c r="CP10" s="318" t="n"/>
      <c r="CQ10" s="318" t="n"/>
      <c r="CR10" s="318" t="n"/>
      <c r="CS10" s="318" t="n"/>
      <c r="CT10" s="318" t="n"/>
      <c r="CU10" s="318" t="n"/>
      <c r="CV10" s="361" t="n"/>
      <c r="CW10" s="318" t="n"/>
      <c r="CX10" s="318" t="n"/>
      <c r="CY10" s="318" t="n"/>
      <c r="CZ10" s="318" t="n"/>
      <c r="DA10" s="318" t="n"/>
      <c r="DB10" s="318" t="n"/>
      <c r="DC10" s="318" t="n"/>
      <c r="DD10" s="318" t="n"/>
      <c r="DE10" s="379" t="n"/>
      <c r="DF10" s="379" t="n"/>
      <c r="DG10" s="214" t="n"/>
    </row>
    <row r="11" customFormat="1" s="117">
      <c r="A11" s="376" t="n">
        <v>41882</v>
      </c>
      <c r="B11" s="315" t="n">
        <v>14963.99</v>
      </c>
      <c r="C11" s="145" t="n"/>
      <c r="D11" s="145" t="n"/>
      <c r="E11" s="315" t="n">
        <v>10347.84</v>
      </c>
      <c r="F11" s="146" t="n"/>
      <c r="G11" s="146" t="n"/>
      <c r="H11" s="315" t="n">
        <v>4111.77</v>
      </c>
      <c r="I11" s="146" t="n"/>
      <c r="J11" s="146" t="n"/>
      <c r="K11" s="315" t="n">
        <v>504.3752</v>
      </c>
      <c r="L11" s="146" t="n"/>
      <c r="M11" s="146" t="n"/>
      <c r="N11" s="315" t="n">
        <v>12094.87</v>
      </c>
      <c r="O11" s="146" t="n"/>
      <c r="P11" s="146" t="n"/>
      <c r="Q11" s="315" t="n">
        <v>8228.620000000001</v>
      </c>
      <c r="R11" s="146" t="n"/>
      <c r="S11" s="146" t="n"/>
      <c r="T11" s="315" t="n">
        <v>3477.67</v>
      </c>
      <c r="U11" s="146" t="n"/>
      <c r="V11" s="146" t="n"/>
      <c r="W11" s="315" t="n">
        <v>388.5707</v>
      </c>
      <c r="X11" s="146" t="n"/>
      <c r="Y11" s="146" t="n"/>
      <c r="Z11" s="315" t="n">
        <v>7846.66</v>
      </c>
      <c r="AA11" s="146" t="n"/>
      <c r="AB11" s="146" t="n"/>
      <c r="AC11" s="315" t="n">
        <v>6639.13</v>
      </c>
      <c r="AD11" s="146" t="n"/>
      <c r="AE11" s="146" t="n"/>
      <c r="AF11" s="315" t="n">
        <v>930.03</v>
      </c>
      <c r="AG11" s="146" t="n"/>
      <c r="AH11" s="146" t="n"/>
      <c r="AI11" s="315" t="n">
        <v>277.505</v>
      </c>
      <c r="AJ11" s="146" t="n"/>
      <c r="AK11" s="146" t="n"/>
      <c r="AL11" s="316" t="n">
        <v>80.83</v>
      </c>
      <c r="AM11" s="146" t="n"/>
      <c r="AN11" s="146" t="n"/>
      <c r="AO11" s="316" t="n">
        <v>79.52</v>
      </c>
      <c r="AP11" s="146" t="n"/>
      <c r="AQ11" s="146" t="n"/>
      <c r="AR11" s="316" t="n">
        <v>84.58</v>
      </c>
      <c r="AS11" s="146" t="n"/>
      <c r="AT11" s="146" t="n"/>
      <c r="AU11" s="316" t="n">
        <v>77.04000000000001</v>
      </c>
      <c r="AV11" s="146" t="n"/>
      <c r="AW11" s="146" t="n"/>
      <c r="AX11" s="315" t="n">
        <v>0</v>
      </c>
      <c r="AY11" s="146" t="n"/>
      <c r="AZ11" s="146" t="n"/>
      <c r="BA11" s="378" t="n"/>
      <c r="BB11" s="378" t="n"/>
      <c r="BC11" s="378" t="n"/>
      <c r="BD11" s="378" t="n"/>
      <c r="BE11" s="378" t="n"/>
      <c r="BF11" s="378" t="n"/>
      <c r="BG11" s="378" t="n"/>
      <c r="BH11" s="378" t="n"/>
      <c r="BI11" s="318" t="n"/>
      <c r="BJ11" s="318" t="n"/>
      <c r="BK11" s="318" t="n"/>
      <c r="BL11" s="318" t="n"/>
      <c r="BM11" s="318" t="n"/>
      <c r="BN11" s="318" t="n"/>
      <c r="BO11" s="318" t="n"/>
      <c r="BP11" s="318" t="n"/>
      <c r="BQ11" s="318" t="n"/>
      <c r="BR11" s="318" t="n"/>
      <c r="BS11" s="318" t="n"/>
      <c r="BT11" s="318" t="n"/>
      <c r="BU11" s="318" t="n"/>
      <c r="BV11" s="318" t="n"/>
      <c r="BW11" s="318" t="n"/>
      <c r="BX11" s="318" t="n"/>
      <c r="BY11" s="318" t="n"/>
      <c r="BZ11" s="318" t="n"/>
      <c r="CA11" s="318" t="n"/>
      <c r="CB11" s="318" t="n"/>
      <c r="CC11" s="318" t="n"/>
      <c r="CD11" s="318" t="n"/>
      <c r="CE11" s="318" t="n"/>
      <c r="CF11" s="318" t="n"/>
      <c r="CG11" s="318" t="n"/>
      <c r="CH11" s="318" t="n"/>
      <c r="CI11" s="318" t="n"/>
      <c r="CJ11" s="318" t="n"/>
      <c r="CK11" s="318" t="n"/>
      <c r="CL11" s="318" t="n"/>
      <c r="CM11" s="318" t="n"/>
      <c r="CN11" s="318" t="n"/>
      <c r="CO11" s="318" t="n"/>
      <c r="CP11" s="318" t="n"/>
      <c r="CQ11" s="318" t="n"/>
      <c r="CR11" s="318" t="n"/>
      <c r="CS11" s="318" t="n"/>
      <c r="CT11" s="318" t="n"/>
      <c r="CU11" s="318" t="n"/>
      <c r="CV11" s="361" t="n"/>
      <c r="CW11" s="318" t="n"/>
      <c r="CX11" s="318" t="n"/>
      <c r="CY11" s="318" t="n"/>
      <c r="CZ11" s="318" t="n"/>
      <c r="DA11" s="318" t="n"/>
      <c r="DB11" s="318" t="n"/>
      <c r="DC11" s="318" t="n"/>
      <c r="DD11" s="318" t="n"/>
      <c r="DE11" s="379" t="n"/>
      <c r="DF11" s="379" t="n"/>
      <c r="DG11" s="214" t="n"/>
    </row>
    <row r="12" customFormat="1" s="117">
      <c r="A12" s="376" t="n">
        <v>41912</v>
      </c>
      <c r="B12" s="315" t="n">
        <v>13450.09</v>
      </c>
      <c r="C12" s="145" t="n"/>
      <c r="D12" s="145" t="n"/>
      <c r="E12" s="315" t="n">
        <v>9290.110000000001</v>
      </c>
      <c r="F12" s="146" t="n"/>
      <c r="G12" s="146" t="n"/>
      <c r="H12" s="315" t="n">
        <v>3699.39</v>
      </c>
      <c r="I12" s="146" t="n"/>
      <c r="J12" s="146" t="n"/>
      <c r="K12" s="315" t="n">
        <v>460.5911</v>
      </c>
      <c r="L12" s="146" t="n"/>
      <c r="M12" s="146" t="n"/>
      <c r="N12" s="315" t="n">
        <v>10588.02</v>
      </c>
      <c r="O12" s="146" t="n"/>
      <c r="P12" s="146" t="n"/>
      <c r="Q12" s="315" t="n">
        <v>7380.06</v>
      </c>
      <c r="R12" s="146" t="n"/>
      <c r="S12" s="146" t="n"/>
      <c r="T12" s="315" t="n">
        <v>2864.08</v>
      </c>
      <c r="U12" s="146" t="n"/>
      <c r="V12" s="146" t="n"/>
      <c r="W12" s="315" t="n">
        <v>343.8818</v>
      </c>
      <c r="X12" s="146" t="n"/>
      <c r="Y12" s="146" t="n"/>
      <c r="Z12" s="315" t="n">
        <v>6989.47</v>
      </c>
      <c r="AA12" s="146" t="n"/>
      <c r="AB12" s="146" t="n"/>
      <c r="AC12" s="315" t="n">
        <v>5953.58</v>
      </c>
      <c r="AD12" s="146" t="n"/>
      <c r="AE12" s="146" t="n"/>
      <c r="AF12" s="315" t="n">
        <v>789.53</v>
      </c>
      <c r="AG12" s="146" t="n"/>
      <c r="AH12" s="146" t="n"/>
      <c r="AI12" s="315" t="n">
        <v>246.363</v>
      </c>
      <c r="AJ12" s="146" t="n"/>
      <c r="AK12" s="146" t="n"/>
      <c r="AL12" s="316" t="n">
        <v>78.72</v>
      </c>
      <c r="AM12" s="146" t="n"/>
      <c r="AN12" s="146" t="n"/>
      <c r="AO12" s="316" t="n">
        <v>79.44</v>
      </c>
      <c r="AP12" s="146" t="n"/>
      <c r="AQ12" s="146" t="n"/>
      <c r="AR12" s="316" t="n">
        <v>77.42</v>
      </c>
      <c r="AS12" s="146" t="n"/>
      <c r="AT12" s="146" t="n"/>
      <c r="AU12" s="316" t="n">
        <v>74.66</v>
      </c>
      <c r="AV12" s="146" t="n"/>
      <c r="AW12" s="146" t="n"/>
      <c r="AX12" s="315" t="n">
        <v>0</v>
      </c>
      <c r="AY12" s="146" t="n"/>
      <c r="AZ12" s="146" t="n"/>
      <c r="BA12" s="378" t="n"/>
      <c r="BB12" s="378" t="n"/>
      <c r="BC12" s="378" t="n"/>
      <c r="BD12" s="378" t="n"/>
      <c r="BE12" s="378" t="n"/>
      <c r="BF12" s="378" t="n"/>
      <c r="BG12" s="378" t="n"/>
      <c r="BH12" s="378" t="n"/>
      <c r="BI12" s="318" t="n"/>
      <c r="BJ12" s="318" t="n"/>
      <c r="BK12" s="318" t="n"/>
      <c r="BL12" s="318" t="n"/>
      <c r="BM12" s="318" t="n"/>
      <c r="BN12" s="318" t="n"/>
      <c r="BO12" s="318" t="n"/>
      <c r="BP12" s="318" t="n"/>
      <c r="BQ12" s="318" t="n"/>
      <c r="BR12" s="318" t="n"/>
      <c r="BS12" s="318" t="n"/>
      <c r="BT12" s="318" t="n"/>
      <c r="BU12" s="318" t="n"/>
      <c r="BV12" s="318" t="n"/>
      <c r="BW12" s="318" t="n"/>
      <c r="BX12" s="318" t="n"/>
      <c r="BY12" s="318" t="n"/>
      <c r="BZ12" s="318" t="n"/>
      <c r="CA12" s="318" t="n"/>
      <c r="CB12" s="318" t="n"/>
      <c r="CC12" s="318" t="n"/>
      <c r="CD12" s="318" t="n"/>
      <c r="CE12" s="318" t="n"/>
      <c r="CF12" s="318" t="n"/>
      <c r="CG12" s="318" t="n"/>
      <c r="CH12" s="318" t="n"/>
      <c r="CI12" s="318" t="n"/>
      <c r="CJ12" s="318" t="n"/>
      <c r="CK12" s="318" t="n"/>
      <c r="CL12" s="318" t="n"/>
      <c r="CM12" s="318" t="n"/>
      <c r="CN12" s="318" t="n"/>
      <c r="CO12" s="318" t="n"/>
      <c r="CP12" s="318" t="n"/>
      <c r="CQ12" s="318" t="n"/>
      <c r="CR12" s="318" t="n"/>
      <c r="CS12" s="318" t="n"/>
      <c r="CT12" s="318" t="n"/>
      <c r="CU12" s="318" t="n"/>
      <c r="CV12" s="361" t="n"/>
      <c r="CW12" s="318" t="n"/>
      <c r="CX12" s="318" t="n"/>
      <c r="CY12" s="318" t="n"/>
      <c r="CZ12" s="318" t="n"/>
      <c r="DA12" s="318" t="n"/>
      <c r="DB12" s="318" t="n"/>
      <c r="DC12" s="318" t="n"/>
      <c r="DD12" s="318" t="n"/>
      <c r="DE12" s="379" t="n"/>
      <c r="DF12" s="379" t="n"/>
      <c r="DG12" s="214" t="n"/>
    </row>
    <row r="13" customFormat="1" s="117">
      <c r="A13" s="376" t="n">
        <v>41943</v>
      </c>
      <c r="B13" s="315" t="n">
        <v>13938.76</v>
      </c>
      <c r="C13" s="145" t="n"/>
      <c r="D13" s="145" t="n"/>
      <c r="E13" s="315" t="n">
        <v>9581.68</v>
      </c>
      <c r="F13" s="146" t="n"/>
      <c r="G13" s="146" t="n"/>
      <c r="H13" s="315" t="n">
        <v>3876.27</v>
      </c>
      <c r="I13" s="146" t="n"/>
      <c r="J13" s="146" t="n"/>
      <c r="K13" s="315" t="n">
        <v>480.8143</v>
      </c>
      <c r="L13" s="146" t="n"/>
      <c r="M13" s="146" t="n"/>
      <c r="N13" s="315" t="n">
        <v>11059.38</v>
      </c>
      <c r="O13" s="146" t="n"/>
      <c r="P13" s="146" t="n"/>
      <c r="Q13" s="315" t="n">
        <v>7758.56</v>
      </c>
      <c r="R13" s="146" t="n"/>
      <c r="S13" s="146" t="n"/>
      <c r="T13" s="315" t="n">
        <v>2944.88</v>
      </c>
      <c r="U13" s="146" t="n"/>
      <c r="V13" s="146" t="n"/>
      <c r="W13" s="315" t="n">
        <v>355.9328</v>
      </c>
      <c r="X13" s="146" t="n"/>
      <c r="Y13" s="146" t="n"/>
      <c r="Z13" s="315" t="n">
        <v>7409.41</v>
      </c>
      <c r="AA13" s="146" t="n"/>
      <c r="AB13" s="146" t="n"/>
      <c r="AC13" s="315" t="n">
        <v>6301.03</v>
      </c>
      <c r="AD13" s="146" t="n"/>
      <c r="AE13" s="146" t="n"/>
      <c r="AF13" s="315" t="n">
        <v>849.7</v>
      </c>
      <c r="AG13" s="146" t="n"/>
      <c r="AH13" s="146" t="n"/>
      <c r="AI13" s="315" t="n">
        <v>258.684</v>
      </c>
      <c r="AJ13" s="146" t="n"/>
      <c r="AK13" s="146" t="n"/>
      <c r="AL13" s="316" t="n">
        <v>79.34</v>
      </c>
      <c r="AM13" s="146" t="n"/>
      <c r="AN13" s="146" t="n"/>
      <c r="AO13" s="316" t="n">
        <v>80.97</v>
      </c>
      <c r="AP13" s="146" t="n"/>
      <c r="AQ13" s="146" t="n"/>
      <c r="AR13" s="316" t="n">
        <v>75.97</v>
      </c>
      <c r="AS13" s="146" t="n"/>
      <c r="AT13" s="146" t="n"/>
      <c r="AU13" s="316" t="n">
        <v>74.03</v>
      </c>
      <c r="AV13" s="146" t="n"/>
      <c r="AW13" s="146" t="n"/>
      <c r="AX13" s="315" t="n">
        <v>0</v>
      </c>
      <c r="AY13" s="146" t="n"/>
      <c r="AZ13" s="146" t="n"/>
      <c r="BA13" s="378" t="n"/>
      <c r="BB13" s="378" t="n"/>
      <c r="BC13" s="378" t="n"/>
      <c r="BD13" s="378" t="n"/>
      <c r="BE13" s="378" t="n"/>
      <c r="BF13" s="378" t="n"/>
      <c r="BG13" s="378" t="n"/>
      <c r="BH13" s="378" t="n"/>
      <c r="BI13" s="318" t="n"/>
      <c r="BJ13" s="318" t="n"/>
      <c r="BK13" s="318" t="n"/>
      <c r="BL13" s="318" t="n"/>
      <c r="BM13" s="318" t="n"/>
      <c r="BN13" s="318" t="n"/>
      <c r="BO13" s="318" t="n"/>
      <c r="BP13" s="318" t="n"/>
      <c r="BQ13" s="318" t="n"/>
      <c r="BR13" s="318" t="n"/>
      <c r="BS13" s="318" t="n"/>
      <c r="BT13" s="318" t="n"/>
      <c r="BU13" s="318" t="n"/>
      <c r="BV13" s="318" t="n"/>
      <c r="BW13" s="318" t="n"/>
      <c r="BX13" s="318" t="n"/>
      <c r="BY13" s="318" t="n"/>
      <c r="BZ13" s="318" t="n"/>
      <c r="CA13" s="318" t="n"/>
      <c r="CB13" s="318" t="n"/>
      <c r="CC13" s="318" t="n"/>
      <c r="CD13" s="318" t="n"/>
      <c r="CE13" s="318" t="n"/>
      <c r="CF13" s="318" t="n"/>
      <c r="CG13" s="318" t="n"/>
      <c r="CH13" s="318" t="n"/>
      <c r="CI13" s="318" t="n"/>
      <c r="CJ13" s="318" t="n"/>
      <c r="CK13" s="318" t="n"/>
      <c r="CL13" s="318" t="n"/>
      <c r="CM13" s="318" t="n"/>
      <c r="CN13" s="318" t="n"/>
      <c r="CO13" s="318" t="n"/>
      <c r="CP13" s="318" t="n"/>
      <c r="CQ13" s="318" t="n"/>
      <c r="CR13" s="318" t="n"/>
      <c r="CS13" s="318" t="n"/>
      <c r="CT13" s="318" t="n"/>
      <c r="CU13" s="318" t="n"/>
      <c r="CV13" s="361" t="n"/>
      <c r="CW13" s="318" t="n"/>
      <c r="CX13" s="318" t="n"/>
      <c r="CY13" s="318" t="n"/>
      <c r="CZ13" s="318" t="n"/>
      <c r="DA13" s="318" t="n"/>
      <c r="DB13" s="318" t="n"/>
      <c r="DC13" s="318" t="n"/>
      <c r="DD13" s="318" t="n"/>
      <c r="DE13" s="379" t="n"/>
      <c r="DF13" s="379" t="n"/>
      <c r="DG13" s="214" t="n"/>
    </row>
    <row r="14" customFormat="1" s="117">
      <c r="A14" s="376" t="n">
        <v>41973</v>
      </c>
      <c r="B14" s="315" t="n">
        <v>13122.71</v>
      </c>
      <c r="C14" s="145" t="n"/>
      <c r="D14" s="145" t="n"/>
      <c r="E14" s="315" t="n">
        <v>9095.15</v>
      </c>
      <c r="F14" s="146" t="n"/>
      <c r="G14" s="146" t="n"/>
      <c r="H14" s="315" t="n">
        <v>3578.59</v>
      </c>
      <c r="I14" s="146" t="n"/>
      <c r="J14" s="146" t="n"/>
      <c r="K14" s="315" t="n">
        <v>448.9619</v>
      </c>
      <c r="L14" s="146" t="n"/>
      <c r="M14" s="146" t="n"/>
      <c r="N14" s="315" t="n">
        <v>10293.77</v>
      </c>
      <c r="O14" s="146" t="n"/>
      <c r="P14" s="146" t="n"/>
      <c r="Q14" s="315" t="n">
        <v>7219</v>
      </c>
      <c r="R14" s="146" t="n"/>
      <c r="S14" s="146" t="n"/>
      <c r="T14" s="315" t="n">
        <v>2737.2</v>
      </c>
      <c r="U14" s="146" t="n"/>
      <c r="V14" s="146" t="n"/>
      <c r="W14" s="315" t="n">
        <v>337.5737</v>
      </c>
      <c r="X14" s="146" t="n"/>
      <c r="Y14" s="146" t="n"/>
      <c r="Z14" s="315" t="n">
        <v>6893.3</v>
      </c>
      <c r="AA14" s="146" t="n"/>
      <c r="AB14" s="146" t="n"/>
      <c r="AC14" s="315" t="n">
        <v>5834.83</v>
      </c>
      <c r="AD14" s="146" t="n"/>
      <c r="AE14" s="146" t="n"/>
      <c r="AF14" s="315" t="n">
        <v>811.36</v>
      </c>
      <c r="AG14" s="146" t="n"/>
      <c r="AH14" s="146" t="n"/>
      <c r="AI14" s="315" t="n">
        <v>247.109</v>
      </c>
      <c r="AJ14" s="146" t="n"/>
      <c r="AK14" s="146" t="n"/>
      <c r="AL14" s="316" t="n">
        <v>78.44</v>
      </c>
      <c r="AM14" s="146" t="n"/>
      <c r="AN14" s="146" t="n"/>
      <c r="AO14" s="316" t="n">
        <v>79.37</v>
      </c>
      <c r="AP14" s="146" t="n"/>
      <c r="AQ14" s="146" t="n"/>
      <c r="AR14" s="316" t="n">
        <v>76.48999999999999</v>
      </c>
      <c r="AS14" s="146" t="n"/>
      <c r="AT14" s="146" t="n"/>
      <c r="AU14" s="316" t="n">
        <v>75.19</v>
      </c>
      <c r="AV14" s="146" t="n"/>
      <c r="AW14" s="146" t="n"/>
      <c r="AX14" s="315" t="n">
        <v>0</v>
      </c>
      <c r="AY14" s="146" t="n"/>
      <c r="AZ14" s="146" t="n"/>
      <c r="BA14" s="378" t="n"/>
      <c r="BB14" s="378" t="n"/>
      <c r="BC14" s="378" t="n"/>
      <c r="BD14" s="378" t="n"/>
      <c r="BE14" s="378" t="n"/>
      <c r="BF14" s="378" t="n"/>
      <c r="BG14" s="378" t="n"/>
      <c r="BH14" s="378" t="n"/>
      <c r="BI14" s="318" t="n"/>
      <c r="BJ14" s="318" t="n"/>
      <c r="BK14" s="318" t="n"/>
      <c r="BL14" s="318" t="n"/>
      <c r="BM14" s="318" t="n"/>
      <c r="BN14" s="318" t="n"/>
      <c r="BO14" s="318" t="n"/>
      <c r="BP14" s="318" t="n"/>
      <c r="BQ14" s="318" t="n"/>
      <c r="BR14" s="318" t="n"/>
      <c r="BS14" s="318" t="n"/>
      <c r="BT14" s="318" t="n"/>
      <c r="BU14" s="318" t="n"/>
      <c r="BV14" s="318" t="n"/>
      <c r="BW14" s="318" t="n"/>
      <c r="BX14" s="318" t="n"/>
      <c r="BY14" s="318" t="n"/>
      <c r="BZ14" s="318" t="n"/>
      <c r="CA14" s="318" t="n"/>
      <c r="CB14" s="318" t="n"/>
      <c r="CC14" s="318" t="n"/>
      <c r="CD14" s="318" t="n"/>
      <c r="CE14" s="318" t="n"/>
      <c r="CF14" s="318" t="n"/>
      <c r="CG14" s="318" t="n"/>
      <c r="CH14" s="318" t="n"/>
      <c r="CI14" s="318" t="n"/>
      <c r="CJ14" s="318" t="n"/>
      <c r="CK14" s="318" t="n"/>
      <c r="CL14" s="318" t="n"/>
      <c r="CM14" s="318" t="n"/>
      <c r="CN14" s="318" t="n"/>
      <c r="CO14" s="318" t="n"/>
      <c r="CP14" s="318" t="n"/>
      <c r="CQ14" s="318" t="n"/>
      <c r="CR14" s="318" t="n"/>
      <c r="CS14" s="318" t="n"/>
      <c r="CT14" s="318" t="n"/>
      <c r="CU14" s="318" t="n"/>
      <c r="CV14" s="361" t="n"/>
      <c r="CW14" s="318" t="n"/>
      <c r="CX14" s="318" t="n"/>
      <c r="CY14" s="318" t="n"/>
      <c r="CZ14" s="318" t="n"/>
      <c r="DA14" s="318" t="n"/>
      <c r="DB14" s="318" t="n"/>
      <c r="DC14" s="318" t="n"/>
      <c r="DD14" s="318" t="n"/>
      <c r="DE14" s="379" t="n"/>
      <c r="DF14" s="379" t="n"/>
      <c r="DG14" s="214" t="n"/>
    </row>
    <row r="15" customFormat="1" s="117">
      <c r="A15" s="376" t="n">
        <v>42004</v>
      </c>
      <c r="B15" s="315" t="n">
        <v>13482.17</v>
      </c>
      <c r="C15" s="145" t="n"/>
      <c r="D15" s="145" t="n"/>
      <c r="E15" s="315" t="n">
        <v>9019.459999999999</v>
      </c>
      <c r="F15" s="146" t="n"/>
      <c r="G15" s="146" t="n"/>
      <c r="H15" s="315" t="n">
        <v>3990.45</v>
      </c>
      <c r="I15" s="146" t="n"/>
      <c r="J15" s="146" t="n"/>
      <c r="K15" s="315" t="n">
        <v>472.2629</v>
      </c>
      <c r="L15" s="146" t="n"/>
      <c r="M15" s="146" t="n"/>
      <c r="N15" s="315" t="n">
        <v>10233.73</v>
      </c>
      <c r="O15" s="146" t="n"/>
      <c r="P15" s="146" t="n"/>
      <c r="Q15" s="315" t="n">
        <v>6848.47</v>
      </c>
      <c r="R15" s="146" t="n"/>
      <c r="S15" s="146" t="n"/>
      <c r="T15" s="315" t="n">
        <v>3031.93</v>
      </c>
      <c r="U15" s="146" t="n"/>
      <c r="V15" s="146" t="n"/>
      <c r="W15" s="315" t="n">
        <v>353.3263</v>
      </c>
      <c r="X15" s="146" t="n"/>
      <c r="Y15" s="146" t="n"/>
      <c r="Z15" s="315" t="n">
        <v>6608.04</v>
      </c>
      <c r="AA15" s="146" t="n"/>
      <c r="AB15" s="146" t="n"/>
      <c r="AC15" s="315" t="n">
        <v>5500.45</v>
      </c>
      <c r="AD15" s="146" t="n"/>
      <c r="AE15" s="146" t="n"/>
      <c r="AF15" s="315" t="n">
        <v>848.47</v>
      </c>
      <c r="AG15" s="146" t="n"/>
      <c r="AH15" s="146" t="n"/>
      <c r="AI15" s="315" t="n">
        <v>259.128</v>
      </c>
      <c r="AJ15" s="146" t="n"/>
      <c r="AK15" s="146" t="n"/>
      <c r="AL15" s="316" t="n">
        <v>75.91</v>
      </c>
      <c r="AM15" s="146" t="n"/>
      <c r="AN15" s="146" t="n"/>
      <c r="AO15" s="316" t="n">
        <v>75.93000000000001</v>
      </c>
      <c r="AP15" s="146" t="n"/>
      <c r="AQ15" s="146" t="n"/>
      <c r="AR15" s="316" t="n">
        <v>75.98</v>
      </c>
      <c r="AS15" s="146" t="n"/>
      <c r="AT15" s="146" t="n"/>
      <c r="AU15" s="316" t="n">
        <v>74.81999999999999</v>
      </c>
      <c r="AV15" s="146" t="n"/>
      <c r="AW15" s="146" t="n"/>
      <c r="AX15" s="315" t="n">
        <v>0</v>
      </c>
      <c r="AY15" s="146" t="n"/>
      <c r="AZ15" s="146" t="n"/>
      <c r="BA15" s="378" t="n"/>
      <c r="BB15" s="378" t="n"/>
      <c r="BC15" s="378" t="n"/>
      <c r="BD15" s="378" t="n"/>
      <c r="BE15" s="378" t="n"/>
      <c r="BF15" s="378" t="n"/>
      <c r="BG15" s="378" t="n"/>
      <c r="BH15" s="378" t="n"/>
      <c r="BI15" s="318" t="n"/>
      <c r="BJ15" s="318" t="n"/>
      <c r="BK15" s="318" t="n"/>
      <c r="BL15" s="318" t="n"/>
      <c r="BM15" s="318" t="n"/>
      <c r="BN15" s="318" t="n"/>
      <c r="BO15" s="318" t="n"/>
      <c r="BP15" s="318" t="n"/>
      <c r="BQ15" s="318" t="n"/>
      <c r="BR15" s="318" t="n"/>
      <c r="BS15" s="318" t="n"/>
      <c r="BT15" s="318" t="n"/>
      <c r="BU15" s="318" t="n"/>
      <c r="BV15" s="318" t="n"/>
      <c r="BW15" s="318" t="n"/>
      <c r="BX15" s="318" t="n"/>
      <c r="BY15" s="318" t="n"/>
      <c r="BZ15" s="318" t="n"/>
      <c r="CA15" s="318" t="n"/>
      <c r="CB15" s="318" t="n"/>
      <c r="CC15" s="318" t="n"/>
      <c r="CD15" s="318" t="n"/>
      <c r="CE15" s="318" t="n"/>
      <c r="CF15" s="318" t="n"/>
      <c r="CG15" s="318" t="n"/>
      <c r="CH15" s="318" t="n"/>
      <c r="CI15" s="318" t="n"/>
      <c r="CJ15" s="318" t="n"/>
      <c r="CK15" s="318" t="n"/>
      <c r="CL15" s="318" t="n"/>
      <c r="CM15" s="318" t="n"/>
      <c r="CN15" s="318" t="n"/>
      <c r="CO15" s="318" t="n"/>
      <c r="CP15" s="318" t="n"/>
      <c r="CQ15" s="318" t="n"/>
      <c r="CR15" s="318" t="n"/>
      <c r="CS15" s="318" t="n"/>
      <c r="CT15" s="318" t="n"/>
      <c r="CU15" s="318" t="n"/>
      <c r="CV15" s="361" t="n"/>
      <c r="CW15" s="318" t="n"/>
      <c r="CX15" s="318" t="n"/>
      <c r="CY15" s="318" t="n"/>
      <c r="CZ15" s="318" t="n"/>
      <c r="DA15" s="318" t="n"/>
      <c r="DB15" s="318" t="n"/>
      <c r="DC15" s="318" t="n"/>
      <c r="DD15" s="318" t="n"/>
      <c r="DE15" s="379" t="n"/>
      <c r="DF15" s="379" t="n"/>
      <c r="DG15" s="214" t="n"/>
    </row>
    <row r="16" ht="13" customFormat="1" customHeight="1" s="116">
      <c r="A16" s="371" t="n">
        <v>42035</v>
      </c>
      <c r="B16" s="372" t="n">
        <v>13892.62</v>
      </c>
      <c r="C16" s="111">
        <f>B16/B4-1</f>
        <v/>
      </c>
      <c r="D16" s="111" t="n"/>
      <c r="E16" s="372" t="n">
        <v>9171.41</v>
      </c>
      <c r="F16" s="111">
        <f>E16/E4-1</f>
        <v/>
      </c>
      <c r="G16" s="111" t="n"/>
      <c r="H16" s="372" t="n">
        <v>4267.7</v>
      </c>
      <c r="I16" s="111">
        <f>H16/H4-1</f>
        <v/>
      </c>
      <c r="J16" s="111" t="n"/>
      <c r="K16" s="372" t="n">
        <v>453.5156</v>
      </c>
      <c r="L16" s="111">
        <f>K16/K4-1</f>
        <v/>
      </c>
      <c r="M16" s="111" t="n"/>
      <c r="N16" s="372" t="n">
        <v>10553.98</v>
      </c>
      <c r="O16" s="111">
        <f>N16/N4-1</f>
        <v/>
      </c>
      <c r="P16" s="111" t="n"/>
      <c r="Q16" s="372" t="n">
        <v>7014.68</v>
      </c>
      <c r="R16" s="111">
        <f>Q16/Q4-1</f>
        <v/>
      </c>
      <c r="S16" s="111" t="n"/>
      <c r="T16" s="372" t="n">
        <v>3218.99</v>
      </c>
      <c r="U16" s="111">
        <f>T16/T4-1</f>
        <v/>
      </c>
      <c r="V16" s="111" t="n"/>
      <c r="W16" s="372" t="n">
        <v>320.3158</v>
      </c>
      <c r="X16" s="111">
        <f>W16/W4-1</f>
        <v/>
      </c>
      <c r="Y16" s="111" t="n"/>
      <c r="Z16" s="372" t="n">
        <v>6684.72</v>
      </c>
      <c r="AA16" s="111">
        <f>Z16/Z4-1</f>
        <v/>
      </c>
      <c r="AB16" s="111" t="n"/>
      <c r="AC16" s="372" t="n">
        <v>5567.04</v>
      </c>
      <c r="AD16" s="111">
        <f>AC16/AC4-1</f>
        <v/>
      </c>
      <c r="AE16" s="111" t="n"/>
      <c r="AF16" s="372" t="n">
        <v>882.03</v>
      </c>
      <c r="AG16" s="111">
        <f>AF16/AF4-1</f>
        <v/>
      </c>
      <c r="AH16" s="111" t="n"/>
      <c r="AI16" s="372" t="n">
        <v>235.646</v>
      </c>
      <c r="AJ16" s="111">
        <f>AI16/AI4-1</f>
        <v/>
      </c>
      <c r="AK16" s="111" t="n"/>
      <c r="AL16" s="373" t="n">
        <v>75.97</v>
      </c>
      <c r="AM16" s="380">
        <f>AL16-AL4</f>
        <v/>
      </c>
      <c r="AN16" s="111" t="n"/>
      <c r="AO16" s="373" t="n">
        <v>76.48</v>
      </c>
      <c r="AP16" s="380">
        <f>AO16-AO4</f>
        <v/>
      </c>
      <c r="AQ16" s="111" t="n"/>
      <c r="AR16" s="373" t="n">
        <v>75.43000000000001</v>
      </c>
      <c r="AS16" s="380">
        <f>AR16-AR4</f>
        <v/>
      </c>
      <c r="AT16" s="111" t="n"/>
      <c r="AU16" s="373" t="n">
        <v>70.63</v>
      </c>
      <c r="AV16" s="380">
        <f>AU16-AU4</f>
        <v/>
      </c>
      <c r="AW16" s="111" t="n"/>
      <c r="AX16" s="372" t="n">
        <v>0</v>
      </c>
      <c r="AY16" s="111">
        <f>AX16/AX4-1</f>
        <v/>
      </c>
      <c r="AZ16" s="111" t="n"/>
      <c r="BA16" s="317" t="n"/>
      <c r="BB16" s="142" t="n"/>
      <c r="BC16" s="317" t="n"/>
      <c r="BD16" s="142" t="n"/>
      <c r="BE16" s="317" t="n"/>
      <c r="BF16" s="142" t="n"/>
      <c r="BG16" s="317" t="n"/>
      <c r="BH16" s="142" t="n"/>
      <c r="BI16" s="317" t="n"/>
      <c r="BJ16" s="142" t="n"/>
      <c r="BK16" s="317" t="n"/>
      <c r="BL16" s="142" t="n"/>
      <c r="BM16" s="317" t="n"/>
      <c r="BN16" s="142" t="n"/>
      <c r="BO16" s="317" t="n"/>
      <c r="BP16" s="317" t="n"/>
      <c r="BQ16" s="142" t="n"/>
      <c r="BR16" s="317" t="n"/>
      <c r="BS16" s="142" t="n"/>
      <c r="BT16" s="317" t="n"/>
      <c r="BU16" s="142" t="n"/>
      <c r="BV16" s="317" t="n"/>
      <c r="BW16" s="142" t="n"/>
      <c r="BX16" s="317" t="n"/>
      <c r="BY16" s="142" t="n"/>
      <c r="BZ16" s="317" t="n"/>
      <c r="CA16" s="142" t="n"/>
      <c r="CB16" s="317" t="n"/>
      <c r="CC16" s="142" t="n"/>
      <c r="CD16" s="317" t="n"/>
      <c r="CE16" s="142" t="n"/>
      <c r="CF16" s="317" t="n"/>
      <c r="CG16" s="317" t="n"/>
      <c r="CH16" s="317" t="n"/>
      <c r="CI16" s="317" t="n"/>
      <c r="CJ16" s="317" t="n"/>
      <c r="CK16" s="317" t="n"/>
      <c r="CL16" s="317" t="n"/>
      <c r="CM16" s="317" t="n"/>
      <c r="CN16" s="317" t="n"/>
      <c r="CO16" s="80" t="n"/>
      <c r="CP16" s="317" t="n"/>
      <c r="CQ16" s="80" t="n"/>
      <c r="CR16" s="317" t="n"/>
      <c r="CS16" s="80" t="n"/>
      <c r="CT16" s="317" t="n"/>
      <c r="CU16" s="80" t="n"/>
      <c r="CW16" s="317" t="n"/>
      <c r="CX16" s="142" t="n"/>
      <c r="CY16" s="317" t="n"/>
      <c r="CZ16" s="142" t="n"/>
      <c r="DA16" s="317" t="n"/>
      <c r="DB16" s="142" t="n"/>
      <c r="DC16" s="317" t="n"/>
      <c r="DD16" s="142" t="n"/>
      <c r="DE16" s="319" t="n"/>
      <c r="DF16" s="319" t="n"/>
    </row>
    <row r="17" customFormat="1" s="117">
      <c r="A17" s="376" t="n">
        <v>42063</v>
      </c>
      <c r="B17" s="315" t="n">
        <v>14416.16</v>
      </c>
      <c r="C17" s="111">
        <f>B17/B5-1</f>
        <v/>
      </c>
      <c r="D17" s="111" t="n"/>
      <c r="E17" s="315" t="n">
        <v>9419.219999999999</v>
      </c>
      <c r="F17" s="111">
        <f>E17/E5-1</f>
        <v/>
      </c>
      <c r="G17" s="111" t="n"/>
      <c r="H17" s="315" t="n">
        <v>4511.62</v>
      </c>
      <c r="I17" s="111">
        <f>H17/H5-1</f>
        <v/>
      </c>
      <c r="J17" s="111" t="n"/>
      <c r="K17" s="315" t="n">
        <v>485.3171</v>
      </c>
      <c r="L17" s="111">
        <f>K17/K5-1</f>
        <v/>
      </c>
      <c r="M17" s="111" t="n"/>
      <c r="N17" s="315" t="n">
        <v>11759.63</v>
      </c>
      <c r="O17" s="111">
        <f>N17/N5-1</f>
        <v/>
      </c>
      <c r="P17" s="111" t="n"/>
      <c r="Q17" s="315" t="n">
        <v>7612.98</v>
      </c>
      <c r="R17" s="111">
        <f>Q17/Q5-1</f>
        <v/>
      </c>
      <c r="S17" s="111" t="n"/>
      <c r="T17" s="315" t="n">
        <v>3751.09</v>
      </c>
      <c r="U17" s="111">
        <f>T17/T5-1</f>
        <v/>
      </c>
      <c r="V17" s="111" t="n"/>
      <c r="W17" s="315" t="n">
        <v>395.5559</v>
      </c>
      <c r="X17" s="111">
        <f>W17/W5-1</f>
        <v/>
      </c>
      <c r="Y17" s="111" t="n"/>
      <c r="Z17" s="315" t="n">
        <v>7342.47</v>
      </c>
      <c r="AA17" s="111">
        <f>Z17/Z5-1</f>
        <v/>
      </c>
      <c r="AB17" s="111" t="n"/>
      <c r="AC17" s="315" t="n">
        <v>5963.55</v>
      </c>
      <c r="AD17" s="111">
        <f>AC17/AC5-1</f>
        <v/>
      </c>
      <c r="AE17" s="111" t="n"/>
      <c r="AF17" s="315" t="n">
        <v>1087.02</v>
      </c>
      <c r="AG17" s="111">
        <f>AF17/AF5-1</f>
        <v/>
      </c>
      <c r="AH17" s="111" t="n"/>
      <c r="AI17" s="315" t="n">
        <v>291.895</v>
      </c>
      <c r="AJ17" s="111">
        <f>AI17/AI5-1</f>
        <v/>
      </c>
      <c r="AK17" s="111" t="n"/>
      <c r="AL17" s="316" t="n">
        <v>81.56999999999999</v>
      </c>
      <c r="AM17" s="380">
        <f>AL17-AL5</f>
        <v/>
      </c>
      <c r="AN17" s="111" t="n"/>
      <c r="AO17" s="316" t="n">
        <v>80.81999999999999</v>
      </c>
      <c r="AP17" s="380">
        <f>AO17-AO5</f>
        <v/>
      </c>
      <c r="AQ17" s="111" t="n"/>
      <c r="AR17" s="316" t="n">
        <v>83.14</v>
      </c>
      <c r="AS17" s="380">
        <f>AR17-AR5</f>
        <v/>
      </c>
      <c r="AT17" s="111" t="n"/>
      <c r="AU17" s="316" t="n">
        <v>81.5</v>
      </c>
      <c r="AV17" s="380">
        <f>AU17-AU5</f>
        <v/>
      </c>
      <c r="AW17" s="111" t="n"/>
      <c r="AX17" s="315" t="n">
        <v>0</v>
      </c>
      <c r="AY17" s="111">
        <f>AX17/AX5-1</f>
        <v/>
      </c>
      <c r="AZ17" s="111" t="n"/>
      <c r="BA17" s="378" t="n"/>
      <c r="BB17" s="142" t="n"/>
      <c r="BC17" s="378" t="n"/>
      <c r="BD17" s="142" t="n"/>
      <c r="BE17" s="378" t="n"/>
      <c r="BF17" s="142" t="n"/>
      <c r="BG17" s="378" t="n"/>
      <c r="BH17" s="142" t="n"/>
      <c r="BI17" s="318" t="n"/>
      <c r="BJ17" s="142" t="n"/>
      <c r="BK17" s="318" t="n"/>
      <c r="BL17" s="142" t="n"/>
      <c r="BM17" s="318" t="n"/>
      <c r="BN17" s="142" t="n"/>
      <c r="BO17" s="318" t="n"/>
      <c r="BP17" s="318" t="n"/>
      <c r="BQ17" s="142" t="n"/>
      <c r="BR17" s="318" t="n"/>
      <c r="BS17" s="142" t="n"/>
      <c r="BT17" s="318" t="n"/>
      <c r="BU17" s="142" t="n"/>
      <c r="BV17" s="318" t="n"/>
      <c r="BW17" s="142" t="n"/>
      <c r="BX17" s="318" t="n"/>
      <c r="BY17" s="142" t="n"/>
      <c r="BZ17" s="318" t="n"/>
      <c r="CA17" s="142" t="n"/>
      <c r="CB17" s="318" t="n"/>
      <c r="CC17" s="142" t="n"/>
      <c r="CD17" s="318" t="n"/>
      <c r="CE17" s="142" t="n"/>
      <c r="CF17" s="318" t="n"/>
      <c r="CG17" s="317" t="n"/>
      <c r="CH17" s="318" t="n"/>
      <c r="CI17" s="317" t="n"/>
      <c r="CJ17" s="318" t="n"/>
      <c r="CK17" s="317" t="n"/>
      <c r="CL17" s="318" t="n"/>
      <c r="CM17" s="317" t="n"/>
      <c r="CN17" s="318" t="n"/>
      <c r="CO17" s="80" t="n"/>
      <c r="CP17" s="318" t="n"/>
      <c r="CQ17" s="80" t="n"/>
      <c r="CR17" s="318" t="n"/>
      <c r="CS17" s="80" t="n"/>
      <c r="CT17" s="318" t="n"/>
      <c r="CU17" s="80" t="n"/>
      <c r="CV17" s="361" t="n"/>
      <c r="CW17" s="318" t="n"/>
      <c r="CX17" s="142" t="n"/>
      <c r="CY17" s="318" t="n"/>
      <c r="CZ17" s="142" t="n"/>
      <c r="DA17" s="318" t="n"/>
      <c r="DB17" s="142" t="n"/>
      <c r="DC17" s="318" t="n"/>
      <c r="DD17" s="142" t="n"/>
      <c r="DE17" s="379" t="n"/>
      <c r="DF17" s="379" t="n"/>
      <c r="DG17" s="214" t="n"/>
    </row>
    <row r="18" customFormat="1" s="117">
      <c r="A18" s="376" t="n">
        <v>42094</v>
      </c>
      <c r="B18" s="315" t="n">
        <v>14642.76</v>
      </c>
      <c r="C18" s="111">
        <f>B18/B6-1</f>
        <v/>
      </c>
      <c r="D18" s="111" t="n"/>
      <c r="E18" s="315" t="n">
        <v>9972.33</v>
      </c>
      <c r="F18" s="111">
        <f>E18/E6-1</f>
        <v/>
      </c>
      <c r="G18" s="111" t="n"/>
      <c r="H18" s="315" t="n">
        <v>4221.29</v>
      </c>
      <c r="I18" s="111">
        <f>H18/H6-1</f>
        <v/>
      </c>
      <c r="J18" s="111" t="n"/>
      <c r="K18" s="315" t="n">
        <v>449.1317</v>
      </c>
      <c r="L18" s="111">
        <f>K18/K6-1</f>
        <v/>
      </c>
      <c r="M18" s="111" t="n"/>
      <c r="N18" s="315" t="n">
        <v>12116.93</v>
      </c>
      <c r="O18" s="111">
        <f>N18/N6-1</f>
        <v/>
      </c>
      <c r="P18" s="111" t="n"/>
      <c r="Q18" s="315" t="n">
        <v>8385.59</v>
      </c>
      <c r="R18" s="111">
        <f>Q18/Q6-1</f>
        <v/>
      </c>
      <c r="S18" s="111" t="n"/>
      <c r="T18" s="315" t="n">
        <v>3411</v>
      </c>
      <c r="U18" s="111">
        <f>T18/T6-1</f>
        <v/>
      </c>
      <c r="V18" s="111" t="n"/>
      <c r="W18" s="315" t="n">
        <v>320.3354</v>
      </c>
      <c r="X18" s="111">
        <f>W18/W6-1</f>
        <v/>
      </c>
      <c r="Y18" s="111" t="n"/>
      <c r="Z18" s="315" t="n">
        <v>7894.53</v>
      </c>
      <c r="AA18" s="111">
        <f>Z18/Z6-1</f>
        <v/>
      </c>
      <c r="AB18" s="111" t="n"/>
      <c r="AC18" s="315" t="n">
        <v>6652.07</v>
      </c>
      <c r="AD18" s="111">
        <f>AC18/AC6-1</f>
        <v/>
      </c>
      <c r="AE18" s="111" t="n"/>
      <c r="AF18" s="315" t="n">
        <v>1003</v>
      </c>
      <c r="AG18" s="111">
        <f>AF18/AF6-1</f>
        <v/>
      </c>
      <c r="AH18" s="111" t="n"/>
      <c r="AI18" s="315" t="n">
        <v>239.458</v>
      </c>
      <c r="AJ18" s="111">
        <f>AI18/AI6-1</f>
        <v/>
      </c>
      <c r="AK18" s="111" t="n"/>
      <c r="AL18" s="316" t="n">
        <v>82.75</v>
      </c>
      <c r="AM18" s="380">
        <f>AL18-AL6</f>
        <v/>
      </c>
      <c r="AN18" s="111" t="n"/>
      <c r="AO18" s="316" t="n">
        <v>84.09</v>
      </c>
      <c r="AP18" s="380">
        <f>AO18-AO6</f>
        <v/>
      </c>
      <c r="AQ18" s="111" t="n"/>
      <c r="AR18" s="316" t="n">
        <v>80.8</v>
      </c>
      <c r="AS18" s="380">
        <f>AR18-AR6</f>
        <v/>
      </c>
      <c r="AT18" s="111" t="n"/>
      <c r="AU18" s="316" t="n">
        <v>71.31999999999999</v>
      </c>
      <c r="AV18" s="380">
        <f>AU18-AU6</f>
        <v/>
      </c>
      <c r="AW18" s="111" t="n"/>
      <c r="AX18" s="315" t="n">
        <v>0</v>
      </c>
      <c r="AY18" s="111">
        <f>AX18/AX6-1</f>
        <v/>
      </c>
      <c r="AZ18" s="111" t="n"/>
      <c r="BA18" s="378" t="n"/>
      <c r="BB18" s="142" t="n"/>
      <c r="BC18" s="378" t="n"/>
      <c r="BD18" s="142" t="n"/>
      <c r="BE18" s="378" t="n"/>
      <c r="BF18" s="142" t="n"/>
      <c r="BG18" s="378" t="n"/>
      <c r="BH18" s="142" t="n"/>
      <c r="BI18" s="318" t="n"/>
      <c r="BJ18" s="142" t="n"/>
      <c r="BK18" s="318" t="n"/>
      <c r="BL18" s="142" t="n"/>
      <c r="BM18" s="318" t="n"/>
      <c r="BN18" s="142" t="n"/>
      <c r="BO18" s="318" t="n"/>
      <c r="BP18" s="318" t="n"/>
      <c r="BQ18" s="142" t="n"/>
      <c r="BR18" s="318" t="n"/>
      <c r="BS18" s="142" t="n"/>
      <c r="BT18" s="318" t="n"/>
      <c r="BU18" s="142" t="n"/>
      <c r="BV18" s="318" t="n"/>
      <c r="BW18" s="142" t="n"/>
      <c r="BX18" s="318" t="n"/>
      <c r="BY18" s="142" t="n"/>
      <c r="BZ18" s="318" t="n"/>
      <c r="CA18" s="142" t="n"/>
      <c r="CB18" s="318" t="n"/>
      <c r="CC18" s="142" t="n"/>
      <c r="CD18" s="318" t="n"/>
      <c r="CE18" s="142" t="n"/>
      <c r="CF18" s="318" t="n"/>
      <c r="CG18" s="317" t="n"/>
      <c r="CH18" s="318" t="n"/>
      <c r="CI18" s="317" t="n"/>
      <c r="CJ18" s="318" t="n"/>
      <c r="CK18" s="317" t="n"/>
      <c r="CL18" s="318" t="n"/>
      <c r="CM18" s="317" t="n"/>
      <c r="CN18" s="318" t="n"/>
      <c r="CO18" s="80" t="n"/>
      <c r="CP18" s="318" t="n"/>
      <c r="CQ18" s="80" t="n"/>
      <c r="CR18" s="318" t="n"/>
      <c r="CS18" s="80" t="n"/>
      <c r="CT18" s="318" t="n"/>
      <c r="CU18" s="80" t="n"/>
      <c r="CV18" s="361" t="n"/>
      <c r="CW18" s="318" t="n"/>
      <c r="CX18" s="142" t="n"/>
      <c r="CY18" s="318" t="n"/>
      <c r="CZ18" s="142" t="n"/>
      <c r="DA18" s="318" t="n"/>
      <c r="DB18" s="142" t="n"/>
      <c r="DC18" s="318" t="n"/>
      <c r="DD18" s="142" t="n"/>
      <c r="DE18" s="379" t="n"/>
      <c r="DF18" s="379" t="n"/>
      <c r="DG18" s="214" t="n"/>
    </row>
    <row r="19" customFormat="1" s="117">
      <c r="A19" s="376" t="n">
        <v>42124</v>
      </c>
      <c r="B19" s="315" t="n">
        <v>14505.28</v>
      </c>
      <c r="C19" s="111">
        <f>B19/B7-1</f>
        <v/>
      </c>
      <c r="D19" s="111" t="n"/>
      <c r="E19" s="315" t="n">
        <v>9903.6</v>
      </c>
      <c r="F19" s="111">
        <f>E19/E7-1</f>
        <v/>
      </c>
      <c r="G19" s="111" t="n"/>
      <c r="H19" s="315" t="n">
        <v>4159.93</v>
      </c>
      <c r="I19" s="111">
        <f>H19/H7-1</f>
        <v/>
      </c>
      <c r="J19" s="111" t="n"/>
      <c r="K19" s="315" t="n">
        <v>441.7542</v>
      </c>
      <c r="L19" s="111">
        <f>K19/K7-1</f>
        <v/>
      </c>
      <c r="M19" s="111" t="n"/>
      <c r="N19" s="315" t="n">
        <v>11858.94</v>
      </c>
      <c r="O19" s="111">
        <f>N19/N7-1</f>
        <v/>
      </c>
      <c r="P19" s="111" t="n"/>
      <c r="Q19" s="315" t="n">
        <v>8183.73</v>
      </c>
      <c r="R19" s="111">
        <f>Q19/Q7-1</f>
        <v/>
      </c>
      <c r="S19" s="111" t="n"/>
      <c r="T19" s="315" t="n">
        <v>3342.84</v>
      </c>
      <c r="U19" s="111">
        <f>T19/T7-1</f>
        <v/>
      </c>
      <c r="V19" s="111" t="n"/>
      <c r="W19" s="315" t="n">
        <v>332.3673</v>
      </c>
      <c r="X19" s="111">
        <f>W19/W7-1</f>
        <v/>
      </c>
      <c r="Y19" s="111" t="n"/>
      <c r="Z19" s="315" t="n">
        <v>7918.6</v>
      </c>
      <c r="AA19" s="111">
        <f>Z19/Z7-1</f>
        <v/>
      </c>
      <c r="AB19" s="111" t="n"/>
      <c r="AC19" s="315" t="n">
        <v>6631.18</v>
      </c>
      <c r="AD19" s="111">
        <f>AC19/AC7-1</f>
        <v/>
      </c>
      <c r="AE19" s="111" t="n"/>
      <c r="AF19" s="315" t="n">
        <v>1041.7</v>
      </c>
      <c r="AG19" s="111">
        <f>AF19/AF7-1</f>
        <v/>
      </c>
      <c r="AH19" s="111" t="n"/>
      <c r="AI19" s="315" t="n">
        <v>245.721</v>
      </c>
      <c r="AJ19" s="111">
        <f>AI19/AI7-1</f>
        <v/>
      </c>
      <c r="AK19" s="111" t="n"/>
      <c r="AL19" s="316" t="n">
        <v>81.76000000000001</v>
      </c>
      <c r="AM19" s="380">
        <f>AL19-AL7</f>
        <v/>
      </c>
      <c r="AN19" s="111" t="n"/>
      <c r="AO19" s="316" t="n">
        <v>82.63</v>
      </c>
      <c r="AP19" s="380">
        <f>AO19-AO7</f>
        <v/>
      </c>
      <c r="AQ19" s="111" t="n"/>
      <c r="AR19" s="316" t="n">
        <v>80.36</v>
      </c>
      <c r="AS19" s="380">
        <f>AR19-AR7</f>
        <v/>
      </c>
      <c r="AT19" s="111" t="n"/>
      <c r="AU19" s="316" t="n">
        <v>75.23999999999999</v>
      </c>
      <c r="AV19" s="380">
        <f>AU19-AU7</f>
        <v/>
      </c>
      <c r="AW19" s="111" t="n"/>
      <c r="AX19" s="315" t="n">
        <v>0</v>
      </c>
      <c r="AY19" s="111">
        <f>AX19/AX7-1</f>
        <v/>
      </c>
      <c r="AZ19" s="111" t="n"/>
      <c r="BA19" s="378" t="n"/>
      <c r="BB19" s="142" t="n"/>
      <c r="BC19" s="378" t="n"/>
      <c r="BD19" s="142" t="n"/>
      <c r="BE19" s="378" t="n"/>
      <c r="BF19" s="142" t="n"/>
      <c r="BG19" s="378" t="n"/>
      <c r="BH19" s="142" t="n"/>
      <c r="BI19" s="318" t="n"/>
      <c r="BJ19" s="142" t="n"/>
      <c r="BK19" s="318" t="n"/>
      <c r="BL19" s="142" t="n"/>
      <c r="BM19" s="318" t="n"/>
      <c r="BN19" s="142" t="n"/>
      <c r="BO19" s="318" t="n"/>
      <c r="BP19" s="318" t="n"/>
      <c r="BQ19" s="142" t="n"/>
      <c r="BR19" s="318" t="n"/>
      <c r="BS19" s="142" t="n"/>
      <c r="BT19" s="318" t="n"/>
      <c r="BU19" s="142" t="n"/>
      <c r="BV19" s="318" t="n"/>
      <c r="BW19" s="142" t="n"/>
      <c r="BX19" s="318" t="n"/>
      <c r="BY19" s="142" t="n"/>
      <c r="BZ19" s="318" t="n"/>
      <c r="CA19" s="142" t="n"/>
      <c r="CB19" s="318" t="n"/>
      <c r="CC19" s="142" t="n"/>
      <c r="CD19" s="318" t="n"/>
      <c r="CE19" s="142" t="n"/>
      <c r="CF19" s="318" t="n"/>
      <c r="CG19" s="317" t="n"/>
      <c r="CH19" s="318" t="n"/>
      <c r="CI19" s="317" t="n"/>
      <c r="CJ19" s="318" t="n"/>
      <c r="CK19" s="317" t="n"/>
      <c r="CL19" s="318" t="n"/>
      <c r="CM19" s="317" t="n"/>
      <c r="CN19" s="318" t="n"/>
      <c r="CO19" s="80" t="n"/>
      <c r="CP19" s="318" t="n"/>
      <c r="CQ19" s="80" t="n"/>
      <c r="CR19" s="318" t="n"/>
      <c r="CS19" s="80" t="n"/>
      <c r="CT19" s="318" t="n"/>
      <c r="CU19" s="80" t="n"/>
      <c r="CV19" s="361" t="n"/>
      <c r="CW19" s="318" t="n"/>
      <c r="CX19" s="142" t="n"/>
      <c r="CY19" s="318" t="n"/>
      <c r="CZ19" s="142" t="n"/>
      <c r="DA19" s="318" t="n"/>
      <c r="DB19" s="142" t="n"/>
      <c r="DC19" s="318" t="n"/>
      <c r="DD19" s="142" t="n"/>
      <c r="DE19" s="379" t="n"/>
      <c r="DF19" s="379" t="n"/>
      <c r="DG19" s="214" t="n"/>
    </row>
    <row r="20" customFormat="1" s="117">
      <c r="A20" s="376" t="n">
        <v>42155</v>
      </c>
      <c r="B20" s="315" t="n">
        <v>14791.06</v>
      </c>
      <c r="C20" s="111">
        <f>B20/B8-1</f>
        <v/>
      </c>
      <c r="D20" s="111" t="n"/>
      <c r="E20" s="315" t="n">
        <v>9971.34</v>
      </c>
      <c r="F20" s="111">
        <f>E20/E8-1</f>
        <v/>
      </c>
      <c r="G20" s="111" t="n"/>
      <c r="H20" s="315" t="n">
        <v>4365.72</v>
      </c>
      <c r="I20" s="111">
        <f>H20/H8-1</f>
        <v/>
      </c>
      <c r="J20" s="111" t="n"/>
      <c r="K20" s="315" t="n">
        <v>453.9942</v>
      </c>
      <c r="L20" s="111">
        <f>K20/K8-1</f>
        <v/>
      </c>
      <c r="M20" s="111" t="n"/>
      <c r="N20" s="315" t="n">
        <v>11784.66</v>
      </c>
      <c r="O20" s="111">
        <f>N20/N8-1</f>
        <v/>
      </c>
      <c r="P20" s="111" t="n"/>
      <c r="Q20" s="315" t="n">
        <v>7990.95</v>
      </c>
      <c r="R20" s="111">
        <f>Q20/Q8-1</f>
        <v/>
      </c>
      <c r="S20" s="111" t="n"/>
      <c r="T20" s="315" t="n">
        <v>3448.25</v>
      </c>
      <c r="U20" s="111">
        <f>T20/T8-1</f>
        <v/>
      </c>
      <c r="V20" s="111" t="n"/>
      <c r="W20" s="315" t="n">
        <v>345.4477</v>
      </c>
      <c r="X20" s="111">
        <f>W20/W8-1</f>
        <v/>
      </c>
      <c r="Y20" s="111" t="n"/>
      <c r="Z20" s="315" t="n">
        <v>7771.21</v>
      </c>
      <c r="AA20" s="111">
        <f>Z20/Z8-1</f>
        <v/>
      </c>
      <c r="AB20" s="111" t="n"/>
      <c r="AC20" s="315" t="n">
        <v>6480.39</v>
      </c>
      <c r="AD20" s="111">
        <f>AC20/AC8-1</f>
        <v/>
      </c>
      <c r="AE20" s="111" t="n"/>
      <c r="AF20" s="315" t="n">
        <v>1036.27</v>
      </c>
      <c r="AG20" s="111">
        <f>AF20/AF8-1</f>
        <v/>
      </c>
      <c r="AH20" s="111" t="n"/>
      <c r="AI20" s="315" t="n">
        <v>254.553</v>
      </c>
      <c r="AJ20" s="111">
        <f>AI20/AI8-1</f>
        <v/>
      </c>
      <c r="AK20" s="111" t="n"/>
      <c r="AL20" s="316" t="n">
        <v>79.67</v>
      </c>
      <c r="AM20" s="380">
        <f>AL20-AL8</f>
        <v/>
      </c>
      <c r="AN20" s="111" t="n"/>
      <c r="AO20" s="316" t="n">
        <v>80.14</v>
      </c>
      <c r="AP20" s="380">
        <f>AO20-AO8</f>
        <v/>
      </c>
      <c r="AQ20" s="111" t="n"/>
      <c r="AR20" s="316" t="n">
        <v>78.98</v>
      </c>
      <c r="AS20" s="380">
        <f>AR20-AR8</f>
        <v/>
      </c>
      <c r="AT20" s="111" t="n"/>
      <c r="AU20" s="316" t="n">
        <v>76.09</v>
      </c>
      <c r="AV20" s="380">
        <f>AU20-AU8</f>
        <v/>
      </c>
      <c r="AW20" s="111" t="n"/>
      <c r="AX20" s="315" t="n">
        <v>0</v>
      </c>
      <c r="AY20" s="111">
        <f>AX20/AX8-1</f>
        <v/>
      </c>
      <c r="AZ20" s="111" t="n"/>
      <c r="BA20" s="378" t="n"/>
      <c r="BB20" s="142" t="n"/>
      <c r="BC20" s="378" t="n"/>
      <c r="BD20" s="142" t="n"/>
      <c r="BE20" s="378" t="n"/>
      <c r="BF20" s="142" t="n"/>
      <c r="BG20" s="378" t="n"/>
      <c r="BH20" s="142" t="n"/>
      <c r="BI20" s="318" t="n"/>
      <c r="BJ20" s="142" t="n"/>
      <c r="BK20" s="318" t="n"/>
      <c r="BL20" s="142" t="n"/>
      <c r="BM20" s="318" t="n"/>
      <c r="BN20" s="142" t="n"/>
      <c r="BO20" s="318" t="n"/>
      <c r="BP20" s="318" t="n"/>
      <c r="BQ20" s="142" t="n"/>
      <c r="BR20" s="318" t="n"/>
      <c r="BS20" s="142" t="n"/>
      <c r="BT20" s="318" t="n"/>
      <c r="BU20" s="142" t="n"/>
      <c r="BV20" s="318" t="n"/>
      <c r="BW20" s="142" t="n"/>
      <c r="BX20" s="318" t="n"/>
      <c r="BY20" s="142" t="n"/>
      <c r="BZ20" s="318" t="n"/>
      <c r="CA20" s="142" t="n"/>
      <c r="CB20" s="318" t="n"/>
      <c r="CC20" s="142" t="n"/>
      <c r="CD20" s="318" t="n"/>
      <c r="CE20" s="142" t="n"/>
      <c r="CF20" s="318" t="n"/>
      <c r="CG20" s="317" t="n"/>
      <c r="CH20" s="318" t="n"/>
      <c r="CI20" s="317" t="n"/>
      <c r="CJ20" s="318" t="n"/>
      <c r="CK20" s="317" t="n"/>
      <c r="CL20" s="318" t="n"/>
      <c r="CM20" s="317" t="n"/>
      <c r="CN20" s="318" t="n"/>
      <c r="CO20" s="80" t="n"/>
      <c r="CP20" s="318" t="n"/>
      <c r="CQ20" s="80" t="n"/>
      <c r="CR20" s="318" t="n"/>
      <c r="CS20" s="80" t="n"/>
      <c r="CT20" s="318" t="n"/>
      <c r="CU20" s="80" t="n"/>
      <c r="CV20" s="361" t="n"/>
      <c r="CW20" s="318" t="n"/>
      <c r="CX20" s="142" t="n"/>
      <c r="CY20" s="318" t="n"/>
      <c r="CZ20" s="142" t="n"/>
      <c r="DA20" s="318" t="n"/>
      <c r="DB20" s="142" t="n"/>
      <c r="DC20" s="318" t="n"/>
      <c r="DD20" s="142" t="n"/>
      <c r="DE20" s="379" t="n"/>
      <c r="DF20" s="379" t="n"/>
      <c r="DG20" s="214" t="n"/>
    </row>
    <row r="21" customFormat="1" s="117">
      <c r="A21" s="376" t="n">
        <v>42185</v>
      </c>
      <c r="B21" s="315" t="n">
        <v>13858.87</v>
      </c>
      <c r="C21" s="111">
        <f>B21/B9-1</f>
        <v/>
      </c>
      <c r="D21" s="111" t="n"/>
      <c r="E21" s="315" t="n">
        <v>9294.610000000001</v>
      </c>
      <c r="F21" s="111">
        <f>E21/E9-1</f>
        <v/>
      </c>
      <c r="G21" s="111" t="n"/>
      <c r="H21" s="315" t="n">
        <v>4122.51</v>
      </c>
      <c r="I21" s="111">
        <f>H21/H9-1</f>
        <v/>
      </c>
      <c r="J21" s="111" t="n"/>
      <c r="K21" s="315" t="n">
        <v>441.7553</v>
      </c>
      <c r="L21" s="111">
        <f>K21/K9-1</f>
        <v/>
      </c>
      <c r="M21" s="111" t="n"/>
      <c r="N21" s="315" t="n">
        <v>11146</v>
      </c>
      <c r="O21" s="111">
        <f>N21/N9-1</f>
        <v/>
      </c>
      <c r="P21" s="111" t="n"/>
      <c r="Q21" s="315" t="n">
        <v>7498.66</v>
      </c>
      <c r="R21" s="111">
        <f>Q21/Q9-1</f>
        <v/>
      </c>
      <c r="S21" s="111" t="n"/>
      <c r="T21" s="315" t="n">
        <v>3309.44</v>
      </c>
      <c r="U21" s="111">
        <f>T21/T9-1</f>
        <v/>
      </c>
      <c r="V21" s="111" t="n"/>
      <c r="W21" s="315" t="n">
        <v>337.9047</v>
      </c>
      <c r="X21" s="111">
        <f>W21/W9-1</f>
        <v/>
      </c>
      <c r="Y21" s="111" t="n"/>
      <c r="Z21" s="315" t="n">
        <v>7216.15</v>
      </c>
      <c r="AA21" s="111">
        <f>Z21/Z9-1</f>
        <v/>
      </c>
      <c r="AB21" s="111" t="n"/>
      <c r="AC21" s="315" t="n">
        <v>6054.27</v>
      </c>
      <c r="AD21" s="111">
        <f>AC21/AC9-1</f>
        <v/>
      </c>
      <c r="AE21" s="111" t="n"/>
      <c r="AF21" s="315" t="n">
        <v>912.77</v>
      </c>
      <c r="AG21" s="111">
        <f>AF21/AF9-1</f>
        <v/>
      </c>
      <c r="AH21" s="111" t="n"/>
      <c r="AI21" s="315" t="n">
        <v>249.108</v>
      </c>
      <c r="AJ21" s="111">
        <f>AI21/AI9-1</f>
        <v/>
      </c>
      <c r="AK21" s="111" t="n"/>
      <c r="AL21" s="316" t="n">
        <v>80.43000000000001</v>
      </c>
      <c r="AM21" s="380">
        <f>AL21-AL9</f>
        <v/>
      </c>
      <c r="AN21" s="111" t="n"/>
      <c r="AO21" s="316" t="n">
        <v>80.68000000000001</v>
      </c>
      <c r="AP21" s="380">
        <f>AO21-AO9</f>
        <v/>
      </c>
      <c r="AQ21" s="111" t="n"/>
      <c r="AR21" s="316" t="n">
        <v>80.28</v>
      </c>
      <c r="AS21" s="380">
        <f>AR21-AR9</f>
        <v/>
      </c>
      <c r="AT21" s="111" t="n"/>
      <c r="AU21" s="316" t="n">
        <v>76.48999999999999</v>
      </c>
      <c r="AV21" s="380">
        <f>AU21-AU9</f>
        <v/>
      </c>
      <c r="AW21" s="111" t="n"/>
      <c r="AX21" s="315" t="n">
        <v>0</v>
      </c>
      <c r="AY21" s="111">
        <f>AX21/AX9-1</f>
        <v/>
      </c>
      <c r="AZ21" s="111" t="n"/>
      <c r="BA21" s="378" t="n"/>
      <c r="BB21" s="142" t="n"/>
      <c r="BC21" s="378" t="n"/>
      <c r="BD21" s="142" t="n"/>
      <c r="BE21" s="378" t="n"/>
      <c r="BF21" s="142" t="n"/>
      <c r="BG21" s="378" t="n"/>
      <c r="BH21" s="142" t="n"/>
      <c r="BI21" s="318" t="n"/>
      <c r="BJ21" s="142" t="n"/>
      <c r="BK21" s="318" t="n"/>
      <c r="BL21" s="142" t="n"/>
      <c r="BM21" s="318" t="n"/>
      <c r="BN21" s="142" t="n"/>
      <c r="BO21" s="318" t="n"/>
      <c r="BP21" s="318" t="n"/>
      <c r="BQ21" s="142" t="n"/>
      <c r="BR21" s="318" t="n"/>
      <c r="BS21" s="142" t="n"/>
      <c r="BT21" s="318" t="n"/>
      <c r="BU21" s="142" t="n"/>
      <c r="BV21" s="318" t="n"/>
      <c r="BW21" s="142" t="n"/>
      <c r="BX21" s="318" t="n"/>
      <c r="BY21" s="142" t="n"/>
      <c r="BZ21" s="318" t="n"/>
      <c r="CA21" s="142" t="n"/>
      <c r="CB21" s="318" t="n"/>
      <c r="CC21" s="142" t="n"/>
      <c r="CD21" s="318" t="n"/>
      <c r="CE21" s="142" t="n"/>
      <c r="CF21" s="318" t="n"/>
      <c r="CG21" s="317" t="n"/>
      <c r="CH21" s="318" t="n"/>
      <c r="CI21" s="317" t="n"/>
      <c r="CJ21" s="318" t="n"/>
      <c r="CK21" s="317" t="n"/>
      <c r="CL21" s="318" t="n"/>
      <c r="CM21" s="317" t="n"/>
      <c r="CN21" s="318" t="n"/>
      <c r="CO21" s="80" t="n"/>
      <c r="CP21" s="318" t="n"/>
      <c r="CQ21" s="80" t="n"/>
      <c r="CR21" s="318" t="n"/>
      <c r="CS21" s="80" t="n"/>
      <c r="CT21" s="318" t="n"/>
      <c r="CU21" s="80" t="n"/>
      <c r="CV21" s="361" t="n"/>
      <c r="CW21" s="318" t="n"/>
      <c r="CX21" s="142" t="n"/>
      <c r="CY21" s="318" t="n"/>
      <c r="CZ21" s="142" t="n"/>
      <c r="DA21" s="318" t="n"/>
      <c r="DB21" s="142" t="n"/>
      <c r="DC21" s="318" t="n"/>
      <c r="DD21" s="142" t="n"/>
      <c r="DE21" s="379" t="n"/>
      <c r="DF21" s="379" t="n"/>
      <c r="DG21" s="214" t="n"/>
    </row>
    <row r="22" customFormat="1" s="117">
      <c r="A22" s="376" t="n">
        <v>42216</v>
      </c>
      <c r="B22" s="315" t="n">
        <v>16643.66</v>
      </c>
      <c r="C22" s="111">
        <f>B22/B10-1</f>
        <v/>
      </c>
      <c r="D22" s="111" t="n"/>
      <c r="E22" s="315" t="n">
        <v>11268.54</v>
      </c>
      <c r="F22" s="111">
        <f>E22/E10-1</f>
        <v/>
      </c>
      <c r="G22" s="111" t="n"/>
      <c r="H22" s="315" t="n">
        <v>4909.02</v>
      </c>
      <c r="I22" s="111">
        <f>H22/H10-1</f>
        <v/>
      </c>
      <c r="J22" s="111" t="n"/>
      <c r="K22" s="315" t="n">
        <v>466.1021</v>
      </c>
      <c r="L22" s="111">
        <f>K22/K10-1</f>
        <v/>
      </c>
      <c r="M22" s="111" t="n"/>
      <c r="N22" s="315" t="n">
        <v>13615.78</v>
      </c>
      <c r="O22" s="111">
        <f>N22/N10-1</f>
        <v/>
      </c>
      <c r="P22" s="111" t="n"/>
      <c r="Q22" s="315" t="n">
        <v>9235.77</v>
      </c>
      <c r="R22" s="111">
        <f>Q22/Q10-1</f>
        <v/>
      </c>
      <c r="S22" s="111" t="n"/>
      <c r="T22" s="315" t="n">
        <v>4012.2</v>
      </c>
      <c r="U22" s="111">
        <f>T22/T10-1</f>
        <v/>
      </c>
      <c r="V22" s="111" t="n"/>
      <c r="W22" s="315" t="n">
        <v>367.8088</v>
      </c>
      <c r="X22" s="111">
        <f>W22/W10-1</f>
        <v/>
      </c>
      <c r="Y22" s="111" t="n"/>
      <c r="Z22" s="315" t="n">
        <v>8621.870000000001</v>
      </c>
      <c r="AA22" s="111">
        <f>Z22/Z10-1</f>
        <v/>
      </c>
      <c r="AB22" s="111" t="n"/>
      <c r="AC22" s="315" t="n">
        <v>7288.7</v>
      </c>
      <c r="AD22" s="111">
        <f>AC22/AC10-1</f>
        <v/>
      </c>
      <c r="AE22" s="111" t="n"/>
      <c r="AF22" s="315" t="n">
        <v>1062.77</v>
      </c>
      <c r="AG22" s="111">
        <f>AF22/AF10-1</f>
        <v/>
      </c>
      <c r="AH22" s="111" t="n"/>
      <c r="AI22" s="315" t="n">
        <v>270.406</v>
      </c>
      <c r="AJ22" s="111">
        <f>AI22/AI10-1</f>
        <v/>
      </c>
      <c r="AK22" s="111" t="n"/>
      <c r="AL22" s="316" t="n">
        <v>81.81</v>
      </c>
      <c r="AM22" s="380">
        <f>AL22-AL10</f>
        <v/>
      </c>
      <c r="AN22" s="111" t="n"/>
      <c r="AO22" s="316" t="n">
        <v>81.95999999999999</v>
      </c>
      <c r="AP22" s="380">
        <f>AO22-AO10</f>
        <v/>
      </c>
      <c r="AQ22" s="111" t="n"/>
      <c r="AR22" s="316" t="n">
        <v>81.73</v>
      </c>
      <c r="AS22" s="380">
        <f>AR22-AR10</f>
        <v/>
      </c>
      <c r="AT22" s="111" t="n"/>
      <c r="AU22" s="316" t="n">
        <v>78.91</v>
      </c>
      <c r="AV22" s="380">
        <f>AU22-AU10</f>
        <v/>
      </c>
      <c r="AW22" s="111" t="n"/>
      <c r="AX22" s="315" t="n">
        <v>0</v>
      </c>
      <c r="AY22" s="111">
        <f>AX22/AX10-1</f>
        <v/>
      </c>
      <c r="AZ22" s="111" t="n"/>
      <c r="BA22" s="378" t="n"/>
      <c r="BB22" s="142" t="n"/>
      <c r="BC22" s="378" t="n"/>
      <c r="BD22" s="142" t="n"/>
      <c r="BE22" s="378" t="n"/>
      <c r="BF22" s="142" t="n"/>
      <c r="BG22" s="378" t="n"/>
      <c r="BH22" s="142" t="n"/>
      <c r="BI22" s="318" t="n"/>
      <c r="BJ22" s="142" t="n"/>
      <c r="BK22" s="318" t="n"/>
      <c r="BL22" s="142" t="n"/>
      <c r="BM22" s="318" t="n"/>
      <c r="BN22" s="142" t="n"/>
      <c r="BO22" s="318" t="n"/>
      <c r="BP22" s="318" t="n"/>
      <c r="BQ22" s="142" t="n"/>
      <c r="BR22" s="318" t="n"/>
      <c r="BS22" s="142" t="n"/>
      <c r="BT22" s="318" t="n"/>
      <c r="BU22" s="142" t="n"/>
      <c r="BV22" s="318" t="n"/>
      <c r="BW22" s="142" t="n"/>
      <c r="BX22" s="318" t="n"/>
      <c r="BY22" s="142" t="n"/>
      <c r="BZ22" s="318" t="n"/>
      <c r="CA22" s="142" t="n"/>
      <c r="CB22" s="318" t="n"/>
      <c r="CC22" s="142" t="n"/>
      <c r="CD22" s="318" t="n"/>
      <c r="CE22" s="142" t="n"/>
      <c r="CF22" s="318" t="n"/>
      <c r="CG22" s="317" t="n"/>
      <c r="CH22" s="318" t="n"/>
      <c r="CI22" s="317" t="n"/>
      <c r="CJ22" s="318" t="n"/>
      <c r="CK22" s="317" t="n"/>
      <c r="CL22" s="318" t="n"/>
      <c r="CM22" s="317" t="n"/>
      <c r="CN22" s="318" t="n"/>
      <c r="CO22" s="80" t="n"/>
      <c r="CP22" s="318" t="n"/>
      <c r="CQ22" s="80" t="n"/>
      <c r="CR22" s="318" t="n"/>
      <c r="CS22" s="80" t="n"/>
      <c r="CT22" s="318" t="n"/>
      <c r="CU22" s="80" t="n"/>
      <c r="CV22" s="361" t="n"/>
      <c r="CW22" s="318" t="n"/>
      <c r="CX22" s="142" t="n"/>
      <c r="CY22" s="318" t="n"/>
      <c r="CZ22" s="142" t="n"/>
      <c r="DA22" s="318" t="n"/>
      <c r="DB22" s="142" t="n"/>
      <c r="DC22" s="318" t="n"/>
      <c r="DD22" s="142" t="n"/>
      <c r="DE22" s="379" t="n"/>
      <c r="DF22" s="379" t="n"/>
      <c r="DG22" s="214" t="n"/>
    </row>
    <row r="23" customFormat="1" s="117">
      <c r="A23" s="376" t="n">
        <v>42247</v>
      </c>
      <c r="B23" s="315" t="n">
        <v>17109.6</v>
      </c>
      <c r="C23" s="111">
        <f>B23/B11-1</f>
        <v/>
      </c>
      <c r="D23" s="111" t="n"/>
      <c r="E23" s="315" t="n">
        <v>11560</v>
      </c>
      <c r="F23" s="111">
        <f>E23/E11-1</f>
        <v/>
      </c>
      <c r="G23" s="111" t="n"/>
      <c r="H23" s="315" t="n">
        <v>5071.61</v>
      </c>
      <c r="I23" s="111">
        <f>H23/H11-1</f>
        <v/>
      </c>
      <c r="J23" s="111" t="n"/>
      <c r="K23" s="315" t="n">
        <v>477.9889</v>
      </c>
      <c r="L23" s="111">
        <f>K23/K11-1</f>
        <v/>
      </c>
      <c r="M23" s="111" t="n"/>
      <c r="N23" s="315" t="n">
        <v>14557.46</v>
      </c>
      <c r="O23" s="111">
        <f>N23/N11-1</f>
        <v/>
      </c>
      <c r="P23" s="111" t="n"/>
      <c r="Q23" s="315" t="n">
        <v>9801.41</v>
      </c>
      <c r="R23" s="111">
        <f>Q23/Q11-1</f>
        <v/>
      </c>
      <c r="S23" s="111" t="n"/>
      <c r="T23" s="315" t="n">
        <v>4361.57</v>
      </c>
      <c r="U23" s="111">
        <f>T23/T11-1</f>
        <v/>
      </c>
      <c r="V23" s="111" t="n"/>
      <c r="W23" s="315" t="n">
        <v>394.4756</v>
      </c>
      <c r="X23" s="111">
        <f>W23/W11-1</f>
        <v/>
      </c>
      <c r="Y23" s="111" t="n"/>
      <c r="Z23" s="315" t="n">
        <v>9180.07</v>
      </c>
      <c r="AA23" s="111">
        <f>Z23/Z11-1</f>
        <v/>
      </c>
      <c r="AB23" s="111" t="n"/>
      <c r="AC23" s="315" t="n">
        <v>7693.28</v>
      </c>
      <c r="AD23" s="111">
        <f>AC23/AC11-1</f>
        <v/>
      </c>
      <c r="AE23" s="111" t="n"/>
      <c r="AF23" s="315" t="n">
        <v>1197.01</v>
      </c>
      <c r="AG23" s="111">
        <f>AF23/AF11-1</f>
        <v/>
      </c>
      <c r="AH23" s="111" t="n"/>
      <c r="AI23" s="315" t="n">
        <v>289.784</v>
      </c>
      <c r="AJ23" s="111">
        <f>AI23/AI11-1</f>
        <v/>
      </c>
      <c r="AK23" s="111" t="n"/>
      <c r="AL23" s="316" t="n">
        <v>85.08</v>
      </c>
      <c r="AM23" s="380">
        <f>AL23-AL11</f>
        <v/>
      </c>
      <c r="AN23" s="111" t="n"/>
      <c r="AO23" s="316" t="n">
        <v>84.79000000000001</v>
      </c>
      <c r="AP23" s="380">
        <f>AO23-AO11</f>
        <v/>
      </c>
      <c r="AQ23" s="111" t="n"/>
      <c r="AR23" s="316" t="n">
        <v>86</v>
      </c>
      <c r="AS23" s="380">
        <f>AR23-AR11</f>
        <v/>
      </c>
      <c r="AT23" s="111" t="n"/>
      <c r="AU23" s="316" t="n">
        <v>82.53</v>
      </c>
      <c r="AV23" s="380">
        <f>AU23-AU11</f>
        <v/>
      </c>
      <c r="AW23" s="111" t="n"/>
      <c r="AX23" s="315" t="n">
        <v>0</v>
      </c>
      <c r="AY23" s="111">
        <f>AX23/AX11-1</f>
        <v/>
      </c>
      <c r="AZ23" s="111" t="n"/>
      <c r="BA23" s="378" t="n"/>
      <c r="BB23" s="142" t="n"/>
      <c r="BC23" s="378" t="n"/>
      <c r="BD23" s="142" t="n"/>
      <c r="BE23" s="378" t="n"/>
      <c r="BF23" s="142" t="n"/>
      <c r="BG23" s="378" t="n"/>
      <c r="BH23" s="142" t="n"/>
      <c r="BI23" s="318" t="n"/>
      <c r="BJ23" s="142" t="n"/>
      <c r="BK23" s="318" t="n"/>
      <c r="BL23" s="142" t="n"/>
      <c r="BM23" s="318" t="n"/>
      <c r="BN23" s="142" t="n"/>
      <c r="BO23" s="318" t="n"/>
      <c r="BP23" s="318" t="n"/>
      <c r="BQ23" s="142" t="n"/>
      <c r="BR23" s="318" t="n"/>
      <c r="BS23" s="142" t="n"/>
      <c r="BT23" s="318" t="n"/>
      <c r="BU23" s="142" t="n"/>
      <c r="BV23" s="318" t="n"/>
      <c r="BW23" s="142" t="n"/>
      <c r="BX23" s="318" t="n"/>
      <c r="BY23" s="142" t="n"/>
      <c r="BZ23" s="318" t="n"/>
      <c r="CA23" s="142" t="n"/>
      <c r="CB23" s="318" t="n"/>
      <c r="CC23" s="142" t="n"/>
      <c r="CD23" s="318" t="n"/>
      <c r="CE23" s="142" t="n"/>
      <c r="CF23" s="318" t="n"/>
      <c r="CG23" s="317" t="n"/>
      <c r="CH23" s="318" t="n"/>
      <c r="CI23" s="317" t="n"/>
      <c r="CJ23" s="318" t="n"/>
      <c r="CK23" s="317" t="n"/>
      <c r="CL23" s="318" t="n"/>
      <c r="CM23" s="317" t="n"/>
      <c r="CN23" s="318" t="n"/>
      <c r="CO23" s="80" t="n"/>
      <c r="CP23" s="318" t="n"/>
      <c r="CQ23" s="80" t="n"/>
      <c r="CR23" s="318" t="n"/>
      <c r="CS23" s="80" t="n"/>
      <c r="CT23" s="318" t="n"/>
      <c r="CU23" s="80" t="n"/>
      <c r="CV23" s="361" t="n"/>
      <c r="CW23" s="318" t="n"/>
      <c r="CX23" s="142" t="n"/>
      <c r="CY23" s="318" t="n"/>
      <c r="CZ23" s="142" t="n"/>
      <c r="DA23" s="318" t="n"/>
      <c r="DB23" s="142" t="n"/>
      <c r="DC23" s="318" t="n"/>
      <c r="DD23" s="142" t="n"/>
      <c r="DE23" s="379" t="n"/>
      <c r="DF23" s="379" t="n"/>
      <c r="DG23" s="214" t="n"/>
    </row>
    <row r="24" customFormat="1" s="117">
      <c r="A24" s="376" t="n">
        <v>42277</v>
      </c>
      <c r="B24" s="315" t="n">
        <v>15397.89</v>
      </c>
      <c r="C24" s="111">
        <f>B24/B12-1</f>
        <v/>
      </c>
      <c r="D24" s="111" t="n"/>
      <c r="E24" s="315" t="n">
        <v>10202.1</v>
      </c>
      <c r="F24" s="111">
        <f>E24/E12-1</f>
        <v/>
      </c>
      <c r="G24" s="111" t="n"/>
      <c r="H24" s="315" t="n">
        <v>4756.29</v>
      </c>
      <c r="I24" s="111">
        <f>H24/H12-1</f>
        <v/>
      </c>
      <c r="J24" s="111" t="n"/>
      <c r="K24" s="315" t="n">
        <v>439.4967</v>
      </c>
      <c r="L24" s="111">
        <f>K24/K12-1</f>
        <v/>
      </c>
      <c r="M24" s="111" t="n"/>
      <c r="N24" s="315" t="n">
        <v>12335.49</v>
      </c>
      <c r="O24" s="111">
        <f>N24/N12-1</f>
        <v/>
      </c>
      <c r="P24" s="111" t="n"/>
      <c r="Q24" s="315" t="n">
        <v>8328.040000000001</v>
      </c>
      <c r="R24" s="111">
        <f>Q24/Q12-1</f>
        <v/>
      </c>
      <c r="S24" s="111" t="n"/>
      <c r="T24" s="315" t="n">
        <v>3685.93</v>
      </c>
      <c r="U24" s="111">
        <f>T24/T12-1</f>
        <v/>
      </c>
      <c r="V24" s="111" t="n"/>
      <c r="W24" s="315" t="n">
        <v>321.5211</v>
      </c>
      <c r="X24" s="111">
        <f>W24/W12-1</f>
        <v/>
      </c>
      <c r="Y24" s="111" t="n"/>
      <c r="Z24" s="315" t="n">
        <v>7907.39</v>
      </c>
      <c r="AA24" s="111">
        <f>Z24/Z12-1</f>
        <v/>
      </c>
      <c r="AB24" s="111" t="n"/>
      <c r="AC24" s="315" t="n">
        <v>6673.22</v>
      </c>
      <c r="AD24" s="111">
        <f>AC24/AC12-1</f>
        <v/>
      </c>
      <c r="AE24" s="111" t="n"/>
      <c r="AF24" s="315" t="n">
        <v>998.77</v>
      </c>
      <c r="AG24" s="111">
        <f>AF24/AF12-1</f>
        <v/>
      </c>
      <c r="AH24" s="111" t="n"/>
      <c r="AI24" s="315" t="n">
        <v>235.401</v>
      </c>
      <c r="AJ24" s="111">
        <f>AI24/AI12-1</f>
        <v/>
      </c>
      <c r="AK24" s="111" t="n"/>
      <c r="AL24" s="316" t="n">
        <v>80.11</v>
      </c>
      <c r="AM24" s="380">
        <f>AL24-AL12</f>
        <v/>
      </c>
      <c r="AN24" s="111" t="n"/>
      <c r="AO24" s="316" t="n">
        <v>81.63</v>
      </c>
      <c r="AP24" s="380">
        <f>AO24-AO12</f>
        <v/>
      </c>
      <c r="AQ24" s="111" t="n"/>
      <c r="AR24" s="316" t="n">
        <v>77.5</v>
      </c>
      <c r="AS24" s="380">
        <f>AR24-AR12</f>
        <v/>
      </c>
      <c r="AT24" s="111" t="n"/>
      <c r="AU24" s="316" t="n">
        <v>73.16</v>
      </c>
      <c r="AV24" s="380">
        <f>AU24-AU12</f>
        <v/>
      </c>
      <c r="AW24" s="111" t="n"/>
      <c r="AX24" s="315" t="n">
        <v>0</v>
      </c>
      <c r="AY24" s="111">
        <f>AX24/AX12-1</f>
        <v/>
      </c>
      <c r="AZ24" s="111" t="n"/>
      <c r="BA24" s="378" t="n"/>
      <c r="BB24" s="142" t="n"/>
      <c r="BC24" s="378" t="n"/>
      <c r="BD24" s="142" t="n"/>
      <c r="BE24" s="378" t="n"/>
      <c r="BF24" s="142" t="n"/>
      <c r="BG24" s="378" t="n"/>
      <c r="BH24" s="142" t="n"/>
      <c r="BI24" s="318" t="n"/>
      <c r="BJ24" s="142" t="n"/>
      <c r="BK24" s="318" t="n"/>
      <c r="BL24" s="142" t="n"/>
      <c r="BM24" s="318" t="n"/>
      <c r="BN24" s="142" t="n"/>
      <c r="BO24" s="318" t="n"/>
      <c r="BP24" s="318" t="n"/>
      <c r="BQ24" s="142" t="n"/>
      <c r="BR24" s="318" t="n"/>
      <c r="BS24" s="142" t="n"/>
      <c r="BT24" s="318" t="n"/>
      <c r="BU24" s="142" t="n"/>
      <c r="BV24" s="318" t="n"/>
      <c r="BW24" s="142" t="n"/>
      <c r="BX24" s="318" t="n"/>
      <c r="BY24" s="142" t="n"/>
      <c r="BZ24" s="318" t="n"/>
      <c r="CA24" s="142" t="n"/>
      <c r="CB24" s="318" t="n"/>
      <c r="CC24" s="142" t="n"/>
      <c r="CD24" s="318" t="n"/>
      <c r="CE24" s="142" t="n"/>
      <c r="CF24" s="318" t="n"/>
      <c r="CG24" s="317" t="n"/>
      <c r="CH24" s="318" t="n"/>
      <c r="CI24" s="317" t="n"/>
      <c r="CJ24" s="318" t="n"/>
      <c r="CK24" s="317" t="n"/>
      <c r="CL24" s="318" t="n"/>
      <c r="CM24" s="317" t="n"/>
      <c r="CN24" s="318" t="n"/>
      <c r="CO24" s="80" t="n"/>
      <c r="CP24" s="318" t="n"/>
      <c r="CQ24" s="80" t="n"/>
      <c r="CR24" s="318" t="n"/>
      <c r="CS24" s="80" t="n"/>
      <c r="CT24" s="318" t="n"/>
      <c r="CU24" s="80" t="n"/>
      <c r="CV24" s="361" t="n"/>
      <c r="CW24" s="318" t="n"/>
      <c r="CX24" s="142" t="n"/>
      <c r="CY24" s="318" t="n"/>
      <c r="CZ24" s="142" t="n"/>
      <c r="DA24" s="318" t="n"/>
      <c r="DB24" s="142" t="n"/>
      <c r="DC24" s="318" t="n"/>
      <c r="DD24" s="142" t="n"/>
      <c r="DE24" s="379" t="n"/>
      <c r="DF24" s="379" t="n"/>
      <c r="DG24" s="214" t="n"/>
    </row>
    <row r="25" customFormat="1" s="117">
      <c r="A25" s="376" t="n">
        <v>42308</v>
      </c>
      <c r="B25" s="315" t="n">
        <v>15980.81</v>
      </c>
      <c r="C25" s="111">
        <f>B25/B13-1</f>
        <v/>
      </c>
      <c r="D25" s="111" t="n"/>
      <c r="E25" s="315" t="n">
        <v>10409.87</v>
      </c>
      <c r="F25" s="111">
        <f>E25/E13-1</f>
        <v/>
      </c>
      <c r="G25" s="111" t="n"/>
      <c r="H25" s="315" t="n">
        <v>5091.75</v>
      </c>
      <c r="I25" s="111">
        <f>H25/H13-1</f>
        <v/>
      </c>
      <c r="J25" s="111" t="n"/>
      <c r="K25" s="315" t="n">
        <v>479.1924</v>
      </c>
      <c r="L25" s="111">
        <f>K25/K13-1</f>
        <v/>
      </c>
      <c r="M25" s="111" t="n"/>
      <c r="N25" s="315" t="n">
        <v>12878.9</v>
      </c>
      <c r="O25" s="111">
        <f>N25/N13-1</f>
        <v/>
      </c>
      <c r="P25" s="111" t="n"/>
      <c r="Q25" s="315" t="n">
        <v>8631.07</v>
      </c>
      <c r="R25" s="111">
        <f>Q25/Q13-1</f>
        <v/>
      </c>
      <c r="S25" s="111" t="n"/>
      <c r="T25" s="315" t="n">
        <v>3888.41</v>
      </c>
      <c r="U25" s="111">
        <f>T25/T13-1</f>
        <v/>
      </c>
      <c r="V25" s="111" t="n"/>
      <c r="W25" s="315" t="n">
        <v>359.4228</v>
      </c>
      <c r="X25" s="111">
        <f>W25/W13-1</f>
        <v/>
      </c>
      <c r="Y25" s="111" t="n"/>
      <c r="Z25" s="315" t="n">
        <v>8285.49</v>
      </c>
      <c r="AA25" s="111">
        <f>Z25/Z13-1</f>
        <v/>
      </c>
      <c r="AB25" s="111" t="n"/>
      <c r="AC25" s="315" t="n">
        <v>6965.25</v>
      </c>
      <c r="AD25" s="111">
        <f>AC25/AC13-1</f>
        <v/>
      </c>
      <c r="AE25" s="111" t="n"/>
      <c r="AF25" s="315" t="n">
        <v>1054.81</v>
      </c>
      <c r="AG25" s="111">
        <f>AF25/AF13-1</f>
        <v/>
      </c>
      <c r="AH25" s="111" t="n"/>
      <c r="AI25" s="315" t="n">
        <v>265.421</v>
      </c>
      <c r="AJ25" s="111">
        <f>AI25/AI13-1</f>
        <v/>
      </c>
      <c r="AK25" s="111" t="n"/>
      <c r="AL25" s="316" t="n">
        <v>80.59</v>
      </c>
      <c r="AM25" s="380">
        <f>AL25-AL13</f>
        <v/>
      </c>
      <c r="AN25" s="111" t="n"/>
      <c r="AO25" s="316" t="n">
        <v>82.91</v>
      </c>
      <c r="AP25" s="380">
        <f>AO25-AO13</f>
        <v/>
      </c>
      <c r="AQ25" s="111" t="n"/>
      <c r="AR25" s="316" t="n">
        <v>76.37</v>
      </c>
      <c r="AS25" s="380">
        <f>AR25-AR13</f>
        <v/>
      </c>
      <c r="AT25" s="111" t="n"/>
      <c r="AU25" s="316" t="n">
        <v>75.01000000000001</v>
      </c>
      <c r="AV25" s="380">
        <f>AU25-AU13</f>
        <v/>
      </c>
      <c r="AW25" s="111" t="n"/>
      <c r="AX25" s="315" t="n">
        <v>0</v>
      </c>
      <c r="AY25" s="111">
        <f>AX25/AX13-1</f>
        <v/>
      </c>
      <c r="AZ25" s="111" t="n"/>
      <c r="BA25" s="378" t="n"/>
      <c r="BB25" s="142" t="n"/>
      <c r="BC25" s="378" t="n"/>
      <c r="BD25" s="142" t="n"/>
      <c r="BE25" s="378" t="n"/>
      <c r="BF25" s="142" t="n"/>
      <c r="BG25" s="378" t="n"/>
      <c r="BH25" s="142" t="n"/>
      <c r="BI25" s="318" t="n"/>
      <c r="BJ25" s="142" t="n"/>
      <c r="BK25" s="318" t="n"/>
      <c r="BL25" s="142" t="n"/>
      <c r="BM25" s="318" t="n"/>
      <c r="BN25" s="142" t="n"/>
      <c r="BO25" s="318" t="n"/>
      <c r="BP25" s="318" t="n"/>
      <c r="BQ25" s="142" t="n"/>
      <c r="BR25" s="318" t="n"/>
      <c r="BS25" s="142" t="n"/>
      <c r="BT25" s="318" t="n"/>
      <c r="BU25" s="142" t="n"/>
      <c r="BV25" s="318" t="n"/>
      <c r="BW25" s="142" t="n"/>
      <c r="BX25" s="318" t="n"/>
      <c r="BY25" s="142" t="n"/>
      <c r="BZ25" s="318" t="n"/>
      <c r="CA25" s="142" t="n"/>
      <c r="CB25" s="318" t="n"/>
      <c r="CC25" s="142" t="n"/>
      <c r="CD25" s="318" t="n"/>
      <c r="CE25" s="142" t="n"/>
      <c r="CF25" s="318" t="n"/>
      <c r="CG25" s="317" t="n"/>
      <c r="CH25" s="318" t="n"/>
      <c r="CI25" s="317" t="n"/>
      <c r="CJ25" s="318" t="n"/>
      <c r="CK25" s="317" t="n"/>
      <c r="CL25" s="318" t="n"/>
      <c r="CM25" s="317" t="n"/>
      <c r="CN25" s="318" t="n"/>
      <c r="CO25" s="80" t="n"/>
      <c r="CP25" s="318" t="n"/>
      <c r="CQ25" s="80" t="n"/>
      <c r="CR25" s="318" t="n"/>
      <c r="CS25" s="80" t="n"/>
      <c r="CT25" s="318" t="n"/>
      <c r="CU25" s="80" t="n"/>
      <c r="CV25" s="361" t="n"/>
      <c r="CW25" s="318" t="n"/>
      <c r="CX25" s="142" t="n"/>
      <c r="CY25" s="318" t="n"/>
      <c r="CZ25" s="142" t="n"/>
      <c r="DA25" s="318" t="n"/>
      <c r="DB25" s="142" t="n"/>
      <c r="DC25" s="318" t="n"/>
      <c r="DD25" s="142" t="n"/>
      <c r="DE25" s="379" t="n"/>
      <c r="DF25" s="379" t="n"/>
      <c r="DG25" s="214" t="n"/>
    </row>
    <row r="26" customFormat="1" s="117">
      <c r="A26" s="376" t="n">
        <v>42338</v>
      </c>
      <c r="B26" s="315" t="n">
        <v>14941.86</v>
      </c>
      <c r="C26" s="111">
        <f>B26/B14-1</f>
        <v/>
      </c>
      <c r="D26" s="111" t="n"/>
      <c r="E26" s="315" t="n">
        <v>9842.1</v>
      </c>
      <c r="F26" s="111">
        <f>E26/E14-1</f>
        <v/>
      </c>
      <c r="G26" s="111" t="n"/>
      <c r="H26" s="315" t="n">
        <v>4655.09</v>
      </c>
      <c r="I26" s="111">
        <f>H26/H14-1</f>
        <v/>
      </c>
      <c r="J26" s="111" t="n"/>
      <c r="K26" s="315" t="n">
        <v>444.68</v>
      </c>
      <c r="L26" s="111">
        <f>K26/K14-1</f>
        <v/>
      </c>
      <c r="M26" s="111" t="n"/>
      <c r="N26" s="315" t="n">
        <v>11697.21</v>
      </c>
      <c r="O26" s="111">
        <f>N26/N14-1</f>
        <v/>
      </c>
      <c r="P26" s="111" t="n"/>
      <c r="Q26" s="315" t="n">
        <v>7859.16</v>
      </c>
      <c r="R26" s="111">
        <f>Q26/Q14-1</f>
        <v/>
      </c>
      <c r="S26" s="111" t="n"/>
      <c r="T26" s="315" t="n">
        <v>3498.23</v>
      </c>
      <c r="U26" s="111">
        <f>T26/T14-1</f>
        <v/>
      </c>
      <c r="V26" s="111" t="n"/>
      <c r="W26" s="315" t="n">
        <v>339.8271</v>
      </c>
      <c r="X26" s="111">
        <f>W26/W14-1</f>
        <v/>
      </c>
      <c r="Y26" s="111" t="n"/>
      <c r="Z26" s="315" t="n">
        <v>7523.63</v>
      </c>
      <c r="AA26" s="111">
        <f>Z26/Z14-1</f>
        <v/>
      </c>
      <c r="AB26" s="111" t="n"/>
      <c r="AC26" s="315" t="n">
        <v>6306.18</v>
      </c>
      <c r="AD26" s="111">
        <f>AC26/AC14-1</f>
        <v/>
      </c>
      <c r="AE26" s="111" t="n"/>
      <c r="AF26" s="315" t="n">
        <v>965.1799999999999</v>
      </c>
      <c r="AG26" s="111">
        <f>AF26/AF14-1</f>
        <v/>
      </c>
      <c r="AH26" s="111" t="n"/>
      <c r="AI26" s="315" t="n">
        <v>252.283</v>
      </c>
      <c r="AJ26" s="111">
        <f>AI26/AI14-1</f>
        <v/>
      </c>
      <c r="AK26" s="111" t="n"/>
      <c r="AL26" s="316" t="n">
        <v>78.28</v>
      </c>
      <c r="AM26" s="380">
        <f>AL26-AL14</f>
        <v/>
      </c>
      <c r="AN26" s="111" t="n"/>
      <c r="AO26" s="316" t="n">
        <v>79.84999999999999</v>
      </c>
      <c r="AP26" s="380">
        <f>AO26-AO14</f>
        <v/>
      </c>
      <c r="AQ26" s="111" t="n"/>
      <c r="AR26" s="316" t="n">
        <v>75.15000000000001</v>
      </c>
      <c r="AS26" s="380">
        <f>AR26-AR14</f>
        <v/>
      </c>
      <c r="AT26" s="111" t="n"/>
      <c r="AU26" s="316" t="n">
        <v>76.42</v>
      </c>
      <c r="AV26" s="380">
        <f>AU26-AU14</f>
        <v/>
      </c>
      <c r="AW26" s="111" t="n"/>
      <c r="AX26" s="315" t="n">
        <v>0</v>
      </c>
      <c r="AY26" s="111">
        <f>AX26/AX14-1</f>
        <v/>
      </c>
      <c r="AZ26" s="111" t="n"/>
      <c r="BA26" s="378" t="n"/>
      <c r="BB26" s="142" t="n"/>
      <c r="BC26" s="378" t="n"/>
      <c r="BD26" s="142" t="n"/>
      <c r="BE26" s="378" t="n"/>
      <c r="BF26" s="142" t="n"/>
      <c r="BG26" s="378" t="n"/>
      <c r="BH26" s="142" t="n"/>
      <c r="BI26" s="318" t="n"/>
      <c r="BJ26" s="142" t="n"/>
      <c r="BK26" s="318" t="n"/>
      <c r="BL26" s="142" t="n"/>
      <c r="BM26" s="318" t="n"/>
      <c r="BN26" s="142" t="n"/>
      <c r="BO26" s="318" t="n"/>
      <c r="BP26" s="318" t="n"/>
      <c r="BQ26" s="142" t="n"/>
      <c r="BR26" s="318" t="n"/>
      <c r="BS26" s="142" t="n"/>
      <c r="BT26" s="318" t="n"/>
      <c r="BU26" s="142" t="n"/>
      <c r="BV26" s="318" t="n"/>
      <c r="BW26" s="142" t="n"/>
      <c r="BX26" s="318" t="n"/>
      <c r="BY26" s="142" t="n"/>
      <c r="BZ26" s="318" t="n"/>
      <c r="CA26" s="142" t="n"/>
      <c r="CB26" s="318" t="n"/>
      <c r="CC26" s="142" t="n"/>
      <c r="CD26" s="318" t="n"/>
      <c r="CE26" s="142" t="n"/>
      <c r="CF26" s="318" t="n"/>
      <c r="CG26" s="317" t="n"/>
      <c r="CH26" s="318" t="n"/>
      <c r="CI26" s="317" t="n"/>
      <c r="CJ26" s="318" t="n"/>
      <c r="CK26" s="317" t="n"/>
      <c r="CL26" s="318" t="n"/>
      <c r="CM26" s="317" t="n"/>
      <c r="CN26" s="318" t="n"/>
      <c r="CO26" s="80" t="n"/>
      <c r="CP26" s="318" t="n"/>
      <c r="CQ26" s="80" t="n"/>
      <c r="CR26" s="318" t="n"/>
      <c r="CS26" s="80" t="n"/>
      <c r="CT26" s="318" t="n"/>
      <c r="CU26" s="80" t="n"/>
      <c r="CV26" s="361" t="n"/>
      <c r="CW26" s="318" t="n"/>
      <c r="CX26" s="142" t="n"/>
      <c r="CY26" s="318" t="n"/>
      <c r="CZ26" s="142" t="n"/>
      <c r="DA26" s="318" t="n"/>
      <c r="DB26" s="142" t="n"/>
      <c r="DC26" s="318" t="n"/>
      <c r="DD26" s="142" t="n"/>
      <c r="DE26" s="379" t="n"/>
      <c r="DF26" s="379" t="n"/>
      <c r="DG26" s="214" t="n"/>
    </row>
    <row r="27" customFormat="1" s="117">
      <c r="A27" s="376" t="n">
        <v>42369</v>
      </c>
      <c r="B27" s="315" t="n">
        <v>15611.82</v>
      </c>
      <c r="C27" s="111">
        <f>B27/B15-1</f>
        <v/>
      </c>
      <c r="D27" s="111" t="n"/>
      <c r="E27" s="315" t="n">
        <v>10016.69</v>
      </c>
      <c r="F27" s="111">
        <f>E27/E15-1</f>
        <v/>
      </c>
      <c r="G27" s="111" t="n"/>
      <c r="H27" s="315" t="n">
        <v>5125.84</v>
      </c>
      <c r="I27" s="111">
        <f>H27/H15-1</f>
        <v/>
      </c>
      <c r="J27" s="111" t="n"/>
      <c r="K27" s="315" t="n">
        <v>469.2983</v>
      </c>
      <c r="L27" s="111">
        <f>K27/K15-1</f>
        <v/>
      </c>
      <c r="M27" s="111" t="n"/>
      <c r="N27" s="315" t="n">
        <v>11985.56</v>
      </c>
      <c r="O27" s="111">
        <f>N27/N15-1</f>
        <v/>
      </c>
      <c r="P27" s="111" t="n"/>
      <c r="Q27" s="315" t="n">
        <v>7719.33</v>
      </c>
      <c r="R27" s="111">
        <f>Q27/Q15-1</f>
        <v/>
      </c>
      <c r="S27" s="111" t="n"/>
      <c r="T27" s="315" t="n">
        <v>3915.76</v>
      </c>
      <c r="U27" s="111">
        <f>T27/T15-1</f>
        <v/>
      </c>
      <c r="V27" s="111" t="n"/>
      <c r="W27" s="315" t="n">
        <v>350.4711</v>
      </c>
      <c r="X27" s="111">
        <f>W27/W15-1</f>
        <v/>
      </c>
      <c r="Y27" s="111" t="n"/>
      <c r="Z27" s="315" t="n">
        <v>7458.1</v>
      </c>
      <c r="AA27" s="111">
        <f>Z27/Z15-1</f>
        <v/>
      </c>
      <c r="AB27" s="111" t="n"/>
      <c r="AC27" s="315" t="n">
        <v>6182.18</v>
      </c>
      <c r="AD27" s="111">
        <f>AC27/AC15-1</f>
        <v/>
      </c>
      <c r="AE27" s="111" t="n"/>
      <c r="AF27" s="315" t="n">
        <v>1016.98</v>
      </c>
      <c r="AG27" s="111">
        <f>AF27/AF15-1</f>
        <v/>
      </c>
      <c r="AH27" s="111" t="n"/>
      <c r="AI27" s="315" t="n">
        <v>258.945</v>
      </c>
      <c r="AJ27" s="111">
        <f>AI27/AI15-1</f>
        <v/>
      </c>
      <c r="AK27" s="111" t="n"/>
      <c r="AL27" s="316" t="n">
        <v>76.77</v>
      </c>
      <c r="AM27" s="380">
        <f>AL27-AL15</f>
        <v/>
      </c>
      <c r="AN27" s="111" t="n"/>
      <c r="AO27" s="316" t="n">
        <v>77.06</v>
      </c>
      <c r="AP27" s="380">
        <f>AO27-AO15</f>
        <v/>
      </c>
      <c r="AQ27" s="111" t="n"/>
      <c r="AR27" s="316" t="n">
        <v>76.39</v>
      </c>
      <c r="AS27" s="380">
        <f>AR27-AR15</f>
        <v/>
      </c>
      <c r="AT27" s="111" t="n"/>
      <c r="AU27" s="316" t="n">
        <v>74.68000000000001</v>
      </c>
      <c r="AV27" s="380">
        <f>AU27-AU15</f>
        <v/>
      </c>
      <c r="AW27" s="111" t="n"/>
      <c r="AX27" s="315" t="n">
        <v>0</v>
      </c>
      <c r="AY27" s="111">
        <f>AX27/AX15-1</f>
        <v/>
      </c>
      <c r="AZ27" s="111" t="n"/>
      <c r="BA27" s="378" t="n"/>
      <c r="BB27" s="142" t="n"/>
      <c r="BC27" s="378" t="n"/>
      <c r="BD27" s="142" t="n"/>
      <c r="BE27" s="378" t="n"/>
      <c r="BF27" s="142" t="n"/>
      <c r="BG27" s="378" t="n"/>
      <c r="BH27" s="142" t="n"/>
      <c r="BI27" s="318" t="n"/>
      <c r="BJ27" s="142" t="n"/>
      <c r="BK27" s="318" t="n"/>
      <c r="BL27" s="142" t="n"/>
      <c r="BM27" s="318" t="n"/>
      <c r="BN27" s="142" t="n"/>
      <c r="BO27" s="318" t="n"/>
      <c r="BP27" s="318" t="n"/>
      <c r="BQ27" s="142" t="n"/>
      <c r="BR27" s="318" t="n"/>
      <c r="BS27" s="142" t="n"/>
      <c r="BT27" s="318" t="n"/>
      <c r="BU27" s="142" t="n"/>
      <c r="BV27" s="318" t="n"/>
      <c r="BW27" s="142" t="n"/>
      <c r="BX27" s="318" t="n"/>
      <c r="BY27" s="142" t="n"/>
      <c r="BZ27" s="318" t="n"/>
      <c r="CA27" s="142" t="n"/>
      <c r="CB27" s="318" t="n"/>
      <c r="CC27" s="142" t="n"/>
      <c r="CD27" s="318" t="n"/>
      <c r="CE27" s="142" t="n"/>
      <c r="CF27" s="318" t="n"/>
      <c r="CG27" s="317" t="n"/>
      <c r="CH27" s="318" t="n"/>
      <c r="CI27" s="317" t="n"/>
      <c r="CJ27" s="318" t="n"/>
      <c r="CK27" s="317" t="n"/>
      <c r="CL27" s="318" t="n"/>
      <c r="CM27" s="317" t="n"/>
      <c r="CN27" s="318" t="n"/>
      <c r="CO27" s="80" t="n"/>
      <c r="CP27" s="318" t="n"/>
      <c r="CQ27" s="80" t="n"/>
      <c r="CR27" s="318" t="n"/>
      <c r="CS27" s="80" t="n"/>
      <c r="CT27" s="318" t="n"/>
      <c r="CU27" s="80" t="n"/>
      <c r="CV27" s="361" t="n"/>
      <c r="CW27" s="318" t="n"/>
      <c r="CX27" s="142" t="n"/>
      <c r="CY27" s="318" t="n"/>
      <c r="CZ27" s="142" t="n"/>
      <c r="DA27" s="318" t="n"/>
      <c r="DB27" s="142" t="n"/>
      <c r="DC27" s="318" t="n"/>
      <c r="DD27" s="142" t="n"/>
      <c r="DE27" s="379" t="n"/>
      <c r="DF27" s="379" t="n"/>
      <c r="DG27" s="214" t="n"/>
    </row>
    <row r="28" ht="13" customFormat="1" customHeight="1" s="116">
      <c r="A28" s="371" t="n">
        <v>42400</v>
      </c>
      <c r="B28" s="381" t="n">
        <v>16624.95</v>
      </c>
      <c r="C28" s="111">
        <f>B28/B16-1</f>
        <v/>
      </c>
      <c r="D28" s="111" t="n"/>
      <c r="E28" s="381" t="n">
        <v>10566</v>
      </c>
      <c r="F28" s="111">
        <f>E28/E16-1</f>
        <v/>
      </c>
      <c r="G28" s="111" t="n"/>
      <c r="H28" s="381" t="n">
        <v>5582.71</v>
      </c>
      <c r="I28" s="111">
        <f>H28/H16-1</f>
        <v/>
      </c>
      <c r="J28" s="111" t="n"/>
      <c r="K28" s="381" t="n">
        <v>476.23</v>
      </c>
      <c r="L28" s="111">
        <f>K28/K16-1</f>
        <v/>
      </c>
      <c r="M28" s="111" t="n"/>
      <c r="N28" s="381" t="n">
        <v>13106.93</v>
      </c>
      <c r="O28" s="111">
        <f>N28/N16-1</f>
        <v/>
      </c>
      <c r="P28" s="111" t="n"/>
      <c r="Q28" s="381" t="n">
        <v>8271.209999999999</v>
      </c>
      <c r="R28" s="111">
        <f>Q28/Q16-1</f>
        <v/>
      </c>
      <c r="S28" s="111" t="n"/>
      <c r="T28" s="381" t="n">
        <v>4469.64</v>
      </c>
      <c r="U28" s="111">
        <f>T28/T16-1</f>
        <v/>
      </c>
      <c r="V28" s="111" t="n"/>
      <c r="W28" s="381" t="n">
        <v>366.09</v>
      </c>
      <c r="X28" s="111">
        <f>W28/W16-1</f>
        <v/>
      </c>
      <c r="Y28" s="111" t="n"/>
      <c r="Z28" s="381" t="n">
        <v>7925.57</v>
      </c>
      <c r="AA28" s="111">
        <f>Z28/Z16-1</f>
        <v/>
      </c>
      <c r="AB28" s="111" t="n"/>
      <c r="AC28" s="381" t="n">
        <v>6509.4</v>
      </c>
      <c r="AD28" s="111">
        <f>AC28/AC16-1</f>
        <v/>
      </c>
      <c r="AE28" s="111" t="n"/>
      <c r="AF28" s="381" t="n">
        <v>1142.98</v>
      </c>
      <c r="AG28" s="111">
        <f>AF28/AF16-1</f>
        <v/>
      </c>
      <c r="AH28" s="111" t="n"/>
      <c r="AI28" s="381" t="n">
        <v>273.19</v>
      </c>
      <c r="AJ28" s="111">
        <f>AI28/AI16-1</f>
        <v/>
      </c>
      <c r="AK28" s="111" t="n"/>
      <c r="AL28" s="382" t="n">
        <v>78.8</v>
      </c>
      <c r="AM28" s="380">
        <f>AL28-AL16</f>
        <v/>
      </c>
      <c r="AN28" s="111" t="n"/>
      <c r="AO28" s="382" t="n">
        <v>78.3</v>
      </c>
      <c r="AP28" s="380">
        <f>AO28-AO16</f>
        <v/>
      </c>
      <c r="AQ28" s="111" t="n"/>
      <c r="AR28" s="382" t="n">
        <v>80.09999999999999</v>
      </c>
      <c r="AS28" s="380">
        <f>AR28-AR16</f>
        <v/>
      </c>
      <c r="AT28" s="111" t="n"/>
      <c r="AU28" s="382" t="n">
        <v>76.90000000000001</v>
      </c>
      <c r="AV28" s="380">
        <f>AU28-AU16</f>
        <v/>
      </c>
      <c r="AW28" s="111" t="n"/>
      <c r="AX28" s="381" t="n">
        <v>0</v>
      </c>
      <c r="AY28" s="111">
        <f>AX28/AX16-1</f>
        <v/>
      </c>
      <c r="AZ28" s="111" t="n"/>
      <c r="BA28" s="317" t="n"/>
      <c r="BB28" s="142" t="n"/>
      <c r="BC28" s="317" t="n"/>
      <c r="BD28" s="142" t="n"/>
      <c r="BE28" s="317" t="n"/>
      <c r="BF28" s="142" t="n"/>
      <c r="BG28" s="317" t="n"/>
      <c r="BH28" s="142" t="n"/>
      <c r="BI28" s="317" t="n"/>
      <c r="BJ28" s="142" t="n"/>
      <c r="BK28" s="317" t="n"/>
      <c r="BL28" s="142" t="n"/>
      <c r="BM28" s="317" t="n"/>
      <c r="BN28" s="142" t="n"/>
      <c r="BO28" s="317" t="n"/>
      <c r="BP28" s="317" t="n"/>
      <c r="BQ28" s="142" t="n"/>
      <c r="BR28" s="317" t="n"/>
      <c r="BS28" s="142" t="n"/>
      <c r="BT28" s="317" t="n"/>
      <c r="BU28" s="142" t="n"/>
      <c r="BV28" s="317" t="n"/>
      <c r="BW28" s="142" t="n"/>
      <c r="BX28" s="317" t="n"/>
      <c r="BY28" s="142" t="n"/>
      <c r="BZ28" s="317" t="n"/>
      <c r="CA28" s="142" t="n"/>
      <c r="CB28" s="317" t="n"/>
      <c r="CC28" s="142" t="n"/>
      <c r="CD28" s="317" t="n"/>
      <c r="CE28" s="142" t="n"/>
      <c r="CF28" s="317" t="n"/>
      <c r="CG28" s="317" t="n"/>
      <c r="CH28" s="317" t="n"/>
      <c r="CI28" s="317" t="n"/>
      <c r="CJ28" s="317" t="n"/>
      <c r="CK28" s="317" t="n"/>
      <c r="CL28" s="317" t="n"/>
      <c r="CM28" s="317" t="n"/>
      <c r="CN28" s="317" t="n"/>
      <c r="CO28" s="80" t="n"/>
      <c r="CP28" s="317" t="n"/>
      <c r="CQ28" s="80" t="n"/>
      <c r="CR28" s="317" t="n"/>
      <c r="CS28" s="80" t="n"/>
      <c r="CT28" s="317" t="n"/>
      <c r="CU28" s="80" t="n"/>
      <c r="CW28" s="317" t="n"/>
      <c r="CX28" s="142" t="n"/>
      <c r="CY28" s="317" t="n"/>
      <c r="CZ28" s="142" t="n"/>
      <c r="DA28" s="317" t="n"/>
      <c r="DB28" s="142" t="n"/>
      <c r="DC28" s="317" t="n"/>
      <c r="DD28" s="142" t="n"/>
      <c r="DE28" s="319" t="n"/>
      <c r="DF28" s="319" t="n"/>
    </row>
    <row r="29" customFormat="1" s="117">
      <c r="A29" s="376" t="n">
        <v>42429</v>
      </c>
      <c r="B29" s="315" t="n">
        <v>16720.91</v>
      </c>
      <c r="C29" s="111">
        <f>B29/B17-1</f>
        <v/>
      </c>
      <c r="D29" s="111" t="n"/>
      <c r="E29" s="315" t="n">
        <v>10473.03</v>
      </c>
      <c r="F29" s="111">
        <f>E29/E17-1</f>
        <v/>
      </c>
      <c r="G29" s="111" t="n"/>
      <c r="H29" s="315" t="n">
        <v>5738.02</v>
      </c>
      <c r="I29" s="111">
        <f>H29/H17-1</f>
        <v/>
      </c>
      <c r="J29" s="111" t="n"/>
      <c r="K29" s="315" t="n">
        <v>509.86</v>
      </c>
      <c r="L29" s="111">
        <f>K29/K17-1</f>
        <v/>
      </c>
      <c r="M29" s="111" t="n"/>
      <c r="N29" s="315" t="n">
        <v>13508.62</v>
      </c>
      <c r="O29" s="111">
        <f>N29/N17-1</f>
        <v/>
      </c>
      <c r="P29" s="111" t="n"/>
      <c r="Q29" s="315" t="n">
        <v>8456.09</v>
      </c>
      <c r="R29" s="111">
        <f>Q29/Q17-1</f>
        <v/>
      </c>
      <c r="S29" s="111" t="n"/>
      <c r="T29" s="315" t="n">
        <v>4654.56</v>
      </c>
      <c r="U29" s="111">
        <f>T29/T17-1</f>
        <v/>
      </c>
      <c r="V29" s="111" t="n"/>
      <c r="W29" s="315" t="n">
        <v>397.97</v>
      </c>
      <c r="X29" s="111">
        <f>W29/W17-1</f>
        <v/>
      </c>
      <c r="Y29" s="111" t="n"/>
      <c r="Z29" s="315" t="n">
        <v>8130.35</v>
      </c>
      <c r="AA29" s="111">
        <f>Z29/Z17-1</f>
        <v/>
      </c>
      <c r="AB29" s="111" t="n"/>
      <c r="AC29" s="315" t="n">
        <v>6587.99</v>
      </c>
      <c r="AD29" s="111">
        <f>AC29/AC17-1</f>
        <v/>
      </c>
      <c r="AE29" s="111" t="n"/>
      <c r="AF29" s="315" t="n">
        <v>1244.7</v>
      </c>
      <c r="AG29" s="111">
        <f>AF29/AF17-1</f>
        <v/>
      </c>
      <c r="AH29" s="111" t="n"/>
      <c r="AI29" s="315" t="n">
        <v>297.66</v>
      </c>
      <c r="AJ29" s="111">
        <f>AI29/AI17-1</f>
        <v/>
      </c>
      <c r="AK29" s="111" t="n"/>
      <c r="AL29" s="316" t="n">
        <v>80.8</v>
      </c>
      <c r="AM29" s="380">
        <f>AL29-AL17</f>
        <v/>
      </c>
      <c r="AN29" s="111" t="n"/>
      <c r="AO29" s="316" t="n">
        <v>80.7</v>
      </c>
      <c r="AP29" s="380">
        <f>AO29-AO17</f>
        <v/>
      </c>
      <c r="AQ29" s="111" t="n"/>
      <c r="AR29" s="316" t="n">
        <v>81.09999999999999</v>
      </c>
      <c r="AS29" s="380">
        <f>AR29-AR17</f>
        <v/>
      </c>
      <c r="AT29" s="111" t="n"/>
      <c r="AU29" s="316" t="n">
        <v>78.09999999999999</v>
      </c>
      <c r="AV29" s="380">
        <f>AU29-AU17</f>
        <v/>
      </c>
      <c r="AW29" s="111" t="n"/>
      <c r="AX29" s="315" t="n">
        <v>0</v>
      </c>
      <c r="AY29" s="111">
        <f>AX29/AX17-1</f>
        <v/>
      </c>
      <c r="AZ29" s="111" t="n"/>
      <c r="BA29" s="378" t="n"/>
      <c r="BB29" s="142" t="n"/>
      <c r="BC29" s="378" t="n"/>
      <c r="BD29" s="142" t="n"/>
      <c r="BE29" s="378" t="n"/>
      <c r="BF29" s="142" t="n"/>
      <c r="BG29" s="378" t="n"/>
      <c r="BH29" s="142" t="n"/>
      <c r="BI29" s="318" t="n"/>
      <c r="BJ29" s="142" t="n"/>
      <c r="BK29" s="318" t="n"/>
      <c r="BL29" s="142" t="n"/>
      <c r="BM29" s="318" t="n"/>
      <c r="BN29" s="142" t="n"/>
      <c r="BO29" s="318" t="n"/>
      <c r="BP29" s="318" t="n"/>
      <c r="BQ29" s="142" t="n"/>
      <c r="BR29" s="318" t="n"/>
      <c r="BS29" s="142" t="n"/>
      <c r="BT29" s="318" t="n"/>
      <c r="BU29" s="142" t="n"/>
      <c r="BV29" s="318" t="n"/>
      <c r="BW29" s="142" t="n"/>
      <c r="BX29" s="318" t="n"/>
      <c r="BY29" s="142" t="n"/>
      <c r="BZ29" s="318" t="n"/>
      <c r="CA29" s="142" t="n"/>
      <c r="CB29" s="318" t="n"/>
      <c r="CC29" s="142" t="n"/>
      <c r="CD29" s="318" t="n"/>
      <c r="CE29" s="142" t="n"/>
      <c r="CF29" s="318" t="n"/>
      <c r="CG29" s="317" t="n"/>
      <c r="CH29" s="318" t="n"/>
      <c r="CI29" s="317" t="n"/>
      <c r="CJ29" s="318" t="n"/>
      <c r="CK29" s="317" t="n"/>
      <c r="CL29" s="318" t="n"/>
      <c r="CM29" s="317" t="n"/>
      <c r="CN29" s="318" t="n"/>
      <c r="CO29" s="80" t="n"/>
      <c r="CP29" s="318" t="n"/>
      <c r="CQ29" s="80" t="n"/>
      <c r="CR29" s="318" t="n"/>
      <c r="CS29" s="80" t="n"/>
      <c r="CT29" s="318" t="n"/>
      <c r="CU29" s="80" t="n"/>
      <c r="CV29" s="361" t="n"/>
      <c r="CW29" s="318" t="n"/>
      <c r="CX29" s="142" t="n"/>
      <c r="CY29" s="318" t="n"/>
      <c r="CZ29" s="142" t="n"/>
      <c r="DA29" s="318" t="n"/>
      <c r="DB29" s="142" t="n"/>
      <c r="DC29" s="318" t="n"/>
      <c r="DD29" s="142" t="n"/>
      <c r="DE29" s="379" t="n"/>
      <c r="DF29" s="379" t="n"/>
      <c r="DG29" s="214" t="n"/>
    </row>
    <row r="30" customFormat="1" s="117">
      <c r="A30" s="376" t="n">
        <v>42460</v>
      </c>
      <c r="B30" s="315" t="n">
        <v>16373.76</v>
      </c>
      <c r="C30" s="111">
        <f>B30/B18-1</f>
        <v/>
      </c>
      <c r="D30" s="111" t="n"/>
      <c r="E30" s="315" t="n">
        <v>10488.07</v>
      </c>
      <c r="F30" s="111">
        <f>E30/E18-1</f>
        <v/>
      </c>
      <c r="G30" s="111" t="n"/>
      <c r="H30" s="315" t="n">
        <v>5424.39</v>
      </c>
      <c r="I30" s="111">
        <f>H30/H18-1</f>
        <v/>
      </c>
      <c r="J30" s="111" t="n"/>
      <c r="K30" s="315" t="n">
        <v>461.29</v>
      </c>
      <c r="L30" s="111">
        <f>K30/K18-1</f>
        <v/>
      </c>
      <c r="M30" s="111" t="n"/>
      <c r="N30" s="315" t="n">
        <v>13327.87</v>
      </c>
      <c r="O30" s="111">
        <f>N30/N18-1</f>
        <v/>
      </c>
      <c r="P30" s="111" t="n"/>
      <c r="Q30" s="315" t="n">
        <v>8722.33</v>
      </c>
      <c r="R30" s="111">
        <f>Q30/Q18-1</f>
        <v/>
      </c>
      <c r="S30" s="111" t="n"/>
      <c r="T30" s="315" t="n">
        <v>4259.99</v>
      </c>
      <c r="U30" s="111">
        <f>T30/T18-1</f>
        <v/>
      </c>
      <c r="V30" s="111" t="n"/>
      <c r="W30" s="315" t="n">
        <v>345.55</v>
      </c>
      <c r="X30" s="111">
        <f>W30/W18-1</f>
        <v/>
      </c>
      <c r="Y30" s="111" t="n"/>
      <c r="Z30" s="315" t="n">
        <v>8318.5</v>
      </c>
      <c r="AA30" s="111">
        <f>Z30/Z18-1</f>
        <v/>
      </c>
      <c r="AB30" s="111" t="n"/>
      <c r="AC30" s="315" t="n">
        <v>6920.86</v>
      </c>
      <c r="AD30" s="111">
        <f>AC30/AC18-1</f>
        <v/>
      </c>
      <c r="AE30" s="111" t="n"/>
      <c r="AF30" s="315" t="n">
        <v>1141.3</v>
      </c>
      <c r="AG30" s="111">
        <f>AF30/AF18-1</f>
        <v/>
      </c>
      <c r="AH30" s="111" t="n"/>
      <c r="AI30" s="315" t="n">
        <v>256.33</v>
      </c>
      <c r="AJ30" s="111">
        <f>AI30/AI18-1</f>
        <v/>
      </c>
      <c r="AK30" s="111" t="n"/>
      <c r="AL30" s="316" t="n">
        <v>81.40000000000001</v>
      </c>
      <c r="AM30" s="380">
        <f>AL30-AL18</f>
        <v/>
      </c>
      <c r="AN30" s="111" t="n"/>
      <c r="AO30" s="316" t="n">
        <v>83.2</v>
      </c>
      <c r="AP30" s="380">
        <f>AO30-AO18</f>
        <v/>
      </c>
      <c r="AQ30" s="111" t="n"/>
      <c r="AR30" s="316" t="n">
        <v>78.5</v>
      </c>
      <c r="AS30" s="380">
        <f>AR30-AR18</f>
        <v/>
      </c>
      <c r="AT30" s="111" t="n"/>
      <c r="AU30" s="316" t="n">
        <v>74.90000000000001</v>
      </c>
      <c r="AV30" s="380">
        <f>AU30-AU18</f>
        <v/>
      </c>
      <c r="AW30" s="111" t="n"/>
      <c r="AX30" s="315" t="n">
        <v>0</v>
      </c>
      <c r="AY30" s="111">
        <f>AX30/AX18-1</f>
        <v/>
      </c>
      <c r="AZ30" s="111" t="n"/>
      <c r="BA30" s="378" t="n"/>
      <c r="BB30" s="142" t="n"/>
      <c r="BC30" s="378" t="n"/>
      <c r="BD30" s="142" t="n"/>
      <c r="BE30" s="378" t="n"/>
      <c r="BF30" s="142" t="n"/>
      <c r="BG30" s="378" t="n"/>
      <c r="BH30" s="142" t="n"/>
      <c r="BI30" s="318" t="n"/>
      <c r="BJ30" s="142" t="n"/>
      <c r="BK30" s="318" t="n"/>
      <c r="BL30" s="142" t="n"/>
      <c r="BM30" s="318" t="n"/>
      <c r="BN30" s="142" t="n"/>
      <c r="BO30" s="318" t="n"/>
      <c r="BP30" s="318" t="n"/>
      <c r="BQ30" s="142" t="n"/>
      <c r="BR30" s="318" t="n"/>
      <c r="BS30" s="142" t="n"/>
      <c r="BT30" s="318" t="n"/>
      <c r="BU30" s="142" t="n"/>
      <c r="BV30" s="318" t="n"/>
      <c r="BW30" s="142" t="n"/>
      <c r="BX30" s="318" t="n"/>
      <c r="BY30" s="142" t="n"/>
      <c r="BZ30" s="318" t="n"/>
      <c r="CA30" s="142" t="n"/>
      <c r="CB30" s="318" t="n"/>
      <c r="CC30" s="142" t="n"/>
      <c r="CD30" s="318" t="n"/>
      <c r="CE30" s="142" t="n"/>
      <c r="CF30" s="318" t="n"/>
      <c r="CG30" s="317" t="n"/>
      <c r="CH30" s="318" t="n"/>
      <c r="CI30" s="317" t="n"/>
      <c r="CJ30" s="318" t="n"/>
      <c r="CK30" s="317" t="n"/>
      <c r="CL30" s="318" t="n"/>
      <c r="CM30" s="317" t="n"/>
      <c r="CN30" s="318" t="n"/>
      <c r="CO30" s="80" t="n"/>
      <c r="CP30" s="318" t="n"/>
      <c r="CQ30" s="80" t="n"/>
      <c r="CR30" s="318" t="n"/>
      <c r="CS30" s="80" t="n"/>
      <c r="CT30" s="318" t="n"/>
      <c r="CU30" s="80" t="n"/>
      <c r="CV30" s="361" t="n"/>
      <c r="CW30" s="318" t="n"/>
      <c r="CX30" s="142" t="n"/>
      <c r="CY30" s="318" t="n"/>
      <c r="CZ30" s="142" t="n"/>
      <c r="DA30" s="318" t="n"/>
      <c r="DB30" s="142" t="n"/>
      <c r="DC30" s="318" t="n"/>
      <c r="DD30" s="142" t="n"/>
      <c r="DE30" s="379" t="n"/>
      <c r="DF30" s="379" t="n"/>
      <c r="DG30" s="214" t="n"/>
    </row>
    <row r="31" customFormat="1" s="117">
      <c r="A31" s="376" t="n">
        <v>42490</v>
      </c>
      <c r="B31" s="315" t="n">
        <v>16389.45</v>
      </c>
      <c r="C31" s="111">
        <f>B31/B19-1</f>
        <v/>
      </c>
      <c r="D31" s="111" t="n"/>
      <c r="E31" s="315" t="n">
        <v>10358.84</v>
      </c>
      <c r="F31" s="111">
        <f>E31/E19-1</f>
        <v/>
      </c>
      <c r="G31" s="111" t="n"/>
      <c r="H31" s="315" t="n">
        <v>5577.05</v>
      </c>
      <c r="I31" s="111">
        <f>H31/H19-1</f>
        <v/>
      </c>
      <c r="J31" s="111" t="n"/>
      <c r="K31" s="315" t="n">
        <v>453.57</v>
      </c>
      <c r="L31" s="111">
        <f>K31/K19-1</f>
        <v/>
      </c>
      <c r="M31" s="111" t="n"/>
      <c r="N31" s="315" t="n">
        <v>13463.31</v>
      </c>
      <c r="O31" s="111">
        <f>N31/N19-1</f>
        <v/>
      </c>
      <c r="P31" s="111" t="n"/>
      <c r="Q31" s="315" t="n">
        <v>8639.07</v>
      </c>
      <c r="R31" s="111">
        <f>Q31/Q19-1</f>
        <v/>
      </c>
      <c r="S31" s="111" t="n"/>
      <c r="T31" s="315" t="n">
        <v>4461.59</v>
      </c>
      <c r="U31" s="111">
        <f>T31/T19-1</f>
        <v/>
      </c>
      <c r="V31" s="111" t="n"/>
      <c r="W31" s="315" t="n">
        <v>362.65</v>
      </c>
      <c r="X31" s="111">
        <f>W31/W19-1</f>
        <v/>
      </c>
      <c r="Y31" s="111" t="n"/>
      <c r="Z31" s="315" t="n">
        <v>8360.690000000001</v>
      </c>
      <c r="AA31" s="111">
        <f>Z31/Z19-1</f>
        <v/>
      </c>
      <c r="AB31" s="111" t="n"/>
      <c r="AC31" s="315" t="n">
        <v>6913.33</v>
      </c>
      <c r="AD31" s="111">
        <f>AC31/AC19-1</f>
        <v/>
      </c>
      <c r="AE31" s="111" t="n"/>
      <c r="AF31" s="315" t="n">
        <v>1178.13</v>
      </c>
      <c r="AG31" s="111">
        <f>AF31/AF19-1</f>
        <v/>
      </c>
      <c r="AH31" s="111" t="n"/>
      <c r="AI31" s="315" t="n">
        <v>269.23</v>
      </c>
      <c r="AJ31" s="111">
        <f>AI31/AI19-1</f>
        <v/>
      </c>
      <c r="AK31" s="111" t="n"/>
      <c r="AL31" s="316" t="n">
        <v>82.15000000000001</v>
      </c>
      <c r="AM31" s="380">
        <f>AL31-AL19</f>
        <v/>
      </c>
      <c r="AN31" s="111" t="n"/>
      <c r="AO31" s="316" t="n">
        <v>83.40000000000001</v>
      </c>
      <c r="AP31" s="380">
        <f>AO31-AO19</f>
        <v/>
      </c>
      <c r="AQ31" s="111" t="n"/>
      <c r="AR31" s="316" t="n">
        <v>80</v>
      </c>
      <c r="AS31" s="380">
        <f>AR31-AR19</f>
        <v/>
      </c>
      <c r="AT31" s="111" t="n"/>
      <c r="AU31" s="316" t="n">
        <v>80</v>
      </c>
      <c r="AV31" s="380">
        <f>AU31-AU19</f>
        <v/>
      </c>
      <c r="AW31" s="111" t="n"/>
      <c r="AX31" s="315" t="n">
        <v>0</v>
      </c>
      <c r="AY31" s="111">
        <f>AX31/AX19-1</f>
        <v/>
      </c>
      <c r="AZ31" s="111" t="n"/>
      <c r="BA31" s="378" t="n"/>
      <c r="BB31" s="142" t="n"/>
      <c r="BC31" s="378" t="n"/>
      <c r="BD31" s="142" t="n"/>
      <c r="BE31" s="378" t="n"/>
      <c r="BF31" s="142" t="n"/>
      <c r="BG31" s="378" t="n"/>
      <c r="BH31" s="142" t="n"/>
      <c r="BI31" s="318" t="n"/>
      <c r="BJ31" s="142" t="n"/>
      <c r="BK31" s="318" t="n"/>
      <c r="BL31" s="142" t="n"/>
      <c r="BM31" s="318" t="n"/>
      <c r="BN31" s="142" t="n"/>
      <c r="BO31" s="318" t="n"/>
      <c r="BP31" s="318" t="n"/>
      <c r="BQ31" s="142" t="n"/>
      <c r="BR31" s="318" t="n"/>
      <c r="BS31" s="142" t="n"/>
      <c r="BT31" s="318" t="n"/>
      <c r="BU31" s="142" t="n"/>
      <c r="BV31" s="318" t="n"/>
      <c r="BW31" s="142" t="n"/>
      <c r="BX31" s="318" t="n"/>
      <c r="BY31" s="142" t="n"/>
      <c r="BZ31" s="318" t="n"/>
      <c r="CA31" s="142" t="n"/>
      <c r="CB31" s="318" t="n"/>
      <c r="CC31" s="142" t="n"/>
      <c r="CD31" s="318" t="n"/>
      <c r="CE31" s="142" t="n"/>
      <c r="CF31" s="318" t="n"/>
      <c r="CG31" s="317" t="n"/>
      <c r="CH31" s="318" t="n"/>
      <c r="CI31" s="317" t="n"/>
      <c r="CJ31" s="318" t="n"/>
      <c r="CK31" s="317" t="n"/>
      <c r="CL31" s="318" t="n"/>
      <c r="CM31" s="317" t="n"/>
      <c r="CN31" s="318" t="n"/>
      <c r="CO31" s="80" t="n"/>
      <c r="CP31" s="318" t="n"/>
      <c r="CQ31" s="80" t="n"/>
      <c r="CR31" s="318" t="n"/>
      <c r="CS31" s="80" t="n"/>
      <c r="CT31" s="318" t="n"/>
      <c r="CU31" s="80" t="n"/>
      <c r="CV31" s="361" t="n"/>
      <c r="CW31" s="318" t="n"/>
      <c r="CX31" s="142" t="n"/>
      <c r="CY31" s="318" t="n"/>
      <c r="CZ31" s="142" t="n"/>
      <c r="DA31" s="318" t="n"/>
      <c r="DB31" s="142" t="n"/>
      <c r="DC31" s="318" t="n"/>
      <c r="DD31" s="142" t="n"/>
      <c r="DE31" s="379" t="n"/>
      <c r="DF31" s="379" t="n"/>
      <c r="DG31" s="214" t="n"/>
    </row>
    <row r="32" customFormat="1" s="117">
      <c r="A32" s="376" t="n">
        <v>42521</v>
      </c>
      <c r="B32" s="315" t="n">
        <v>16768.25</v>
      </c>
      <c r="C32" s="111">
        <f>B32/B20-1</f>
        <v/>
      </c>
      <c r="D32" s="111" t="n"/>
      <c r="E32" s="315" t="n">
        <v>10448</v>
      </c>
      <c r="F32" s="111">
        <f>E32/E20-1</f>
        <v/>
      </c>
      <c r="G32" s="111" t="n"/>
      <c r="H32" s="315" t="n">
        <v>5856.61</v>
      </c>
      <c r="I32" s="111">
        <f>H32/H20-1</f>
        <v/>
      </c>
      <c r="J32" s="111" t="n"/>
      <c r="K32" s="315" t="n">
        <v>463.64</v>
      </c>
      <c r="L32" s="111">
        <f>K32/K20-1</f>
        <v/>
      </c>
      <c r="M32" s="111" t="n"/>
      <c r="N32" s="315" t="n">
        <v>13366.82</v>
      </c>
      <c r="O32" s="111">
        <f>N32/N20-1</f>
        <v/>
      </c>
      <c r="P32" s="111" t="n"/>
      <c r="Q32" s="315" t="n">
        <v>8419.74</v>
      </c>
      <c r="R32" s="111">
        <f>Q32/Q20-1</f>
        <v/>
      </c>
      <c r="S32" s="111" t="n"/>
      <c r="T32" s="315" t="n">
        <v>4597.7</v>
      </c>
      <c r="U32" s="111">
        <f>T32/T20-1</f>
        <v/>
      </c>
      <c r="V32" s="111" t="n"/>
      <c r="W32" s="315" t="n">
        <v>349.37</v>
      </c>
      <c r="X32" s="111">
        <f>W32/W20-1</f>
        <v/>
      </c>
      <c r="Y32" s="111" t="n"/>
      <c r="Z32" s="315" t="n">
        <v>8196.440000000001</v>
      </c>
      <c r="AA32" s="111">
        <f>Z32/Z20-1</f>
        <v/>
      </c>
      <c r="AB32" s="111" t="n"/>
      <c r="AC32" s="315" t="n">
        <v>6789.07</v>
      </c>
      <c r="AD32" s="111">
        <f>AC32/AC20-1</f>
        <v/>
      </c>
      <c r="AE32" s="111" t="n"/>
      <c r="AF32" s="315" t="n">
        <v>1148.81</v>
      </c>
      <c r="AG32" s="111">
        <f>AF32/AF20-1</f>
        <v/>
      </c>
      <c r="AH32" s="111" t="n"/>
      <c r="AI32" s="315" t="n">
        <v>258.56</v>
      </c>
      <c r="AJ32" s="111">
        <f>AI32/AI20-1</f>
        <v/>
      </c>
      <c r="AK32" s="111" t="n"/>
      <c r="AL32" s="316" t="n">
        <v>79.72</v>
      </c>
      <c r="AM32" s="380">
        <f>AL32-AL20</f>
        <v/>
      </c>
      <c r="AN32" s="111" t="n"/>
      <c r="AO32" s="316" t="n">
        <v>80.59</v>
      </c>
      <c r="AP32" s="380">
        <f>AO32-AO20</f>
        <v/>
      </c>
      <c r="AQ32" s="111" t="n"/>
      <c r="AR32" s="316" t="n">
        <v>78.5</v>
      </c>
      <c r="AS32" s="380">
        <f>AR32-AR20</f>
        <v/>
      </c>
      <c r="AT32" s="111" t="n"/>
      <c r="AU32" s="316" t="n">
        <v>75.40000000000001</v>
      </c>
      <c r="AV32" s="380">
        <f>AU32-AU20</f>
        <v/>
      </c>
      <c r="AW32" s="111" t="n"/>
      <c r="AX32" s="315" t="n">
        <v>0</v>
      </c>
      <c r="AY32" s="111">
        <f>AX32/AX20-1</f>
        <v/>
      </c>
      <c r="AZ32" s="111" t="n"/>
      <c r="BA32" s="378" t="n"/>
      <c r="BB32" s="142" t="n"/>
      <c r="BC32" s="378" t="n"/>
      <c r="BD32" s="142" t="n"/>
      <c r="BE32" s="378" t="n"/>
      <c r="BF32" s="142" t="n"/>
      <c r="BG32" s="378" t="n"/>
      <c r="BH32" s="142" t="n"/>
      <c r="BI32" s="318" t="n"/>
      <c r="BJ32" s="142" t="n"/>
      <c r="BK32" s="318" t="n"/>
      <c r="BL32" s="142" t="n"/>
      <c r="BM32" s="318" t="n"/>
      <c r="BN32" s="142" t="n"/>
      <c r="BO32" s="318" t="n"/>
      <c r="BP32" s="318" t="n"/>
      <c r="BQ32" s="142" t="n"/>
      <c r="BR32" s="318" t="n"/>
      <c r="BS32" s="142" t="n"/>
      <c r="BT32" s="318" t="n"/>
      <c r="BU32" s="142" t="n"/>
      <c r="BV32" s="318" t="n"/>
      <c r="BW32" s="142" t="n"/>
      <c r="BX32" s="318" t="n"/>
      <c r="BY32" s="142" t="n"/>
      <c r="BZ32" s="318" t="n"/>
      <c r="CA32" s="142" t="n"/>
      <c r="CB32" s="318" t="n"/>
      <c r="CC32" s="142" t="n"/>
      <c r="CD32" s="318" t="n"/>
      <c r="CE32" s="142" t="n"/>
      <c r="CF32" s="318" t="n"/>
      <c r="CG32" s="317" t="n"/>
      <c r="CH32" s="318" t="n"/>
      <c r="CI32" s="317" t="n"/>
      <c r="CJ32" s="318" t="n"/>
      <c r="CK32" s="317" t="n"/>
      <c r="CL32" s="318" t="n"/>
      <c r="CM32" s="317" t="n"/>
      <c r="CN32" s="318" t="n"/>
      <c r="CO32" s="80" t="n"/>
      <c r="CP32" s="318" t="n"/>
      <c r="CQ32" s="80" t="n"/>
      <c r="CR32" s="318" t="n"/>
      <c r="CS32" s="80" t="n"/>
      <c r="CT32" s="318" t="n"/>
      <c r="CU32" s="80" t="n"/>
      <c r="CV32" s="361" t="n"/>
      <c r="CW32" s="318" t="n"/>
      <c r="CX32" s="142" t="n"/>
      <c r="CY32" s="318" t="n"/>
      <c r="CZ32" s="142" t="n"/>
      <c r="DA32" s="318" t="n"/>
      <c r="DB32" s="142" t="n"/>
      <c r="DC32" s="318" t="n"/>
      <c r="DD32" s="142" t="n"/>
      <c r="DE32" s="379" t="n"/>
      <c r="DF32" s="379" t="n"/>
      <c r="DG32" s="214" t="n"/>
    </row>
    <row r="33" customFormat="1" s="117">
      <c r="A33" s="376" t="n">
        <v>42551</v>
      </c>
      <c r="B33" s="315" t="n">
        <v>16097.29</v>
      </c>
      <c r="C33" s="111">
        <f>B33/B21-1</f>
        <v/>
      </c>
      <c r="D33" s="111" t="n"/>
      <c r="E33" s="315" t="n">
        <v>9859.799999999999</v>
      </c>
      <c r="F33" s="111">
        <f>E33/E21-1</f>
        <v/>
      </c>
      <c r="G33" s="111" t="n"/>
      <c r="H33" s="315" t="n">
        <v>5784.62</v>
      </c>
      <c r="I33" s="111">
        <f>H33/H21-1</f>
        <v/>
      </c>
      <c r="J33" s="111" t="n"/>
      <c r="K33" s="315" t="n">
        <v>452.87</v>
      </c>
      <c r="L33" s="111">
        <f>K33/K21-1</f>
        <v/>
      </c>
      <c r="M33" s="111" t="n"/>
      <c r="N33" s="315" t="n">
        <v>13229.43</v>
      </c>
      <c r="O33" s="111">
        <f>N33/N21-1</f>
        <v/>
      </c>
      <c r="P33" s="111" t="n"/>
      <c r="Q33" s="315" t="n">
        <v>8122.87</v>
      </c>
      <c r="R33" s="111">
        <f>Q33/Q21-1</f>
        <v/>
      </c>
      <c r="S33" s="111" t="n"/>
      <c r="T33" s="315" t="n">
        <v>4753.89</v>
      </c>
      <c r="U33" s="111">
        <f>T33/T21-1</f>
        <v/>
      </c>
      <c r="V33" s="111" t="n"/>
      <c r="W33" s="315" t="n">
        <v>352.68</v>
      </c>
      <c r="X33" s="111">
        <f>W33/W21-1</f>
        <v/>
      </c>
      <c r="Y33" s="111" t="n"/>
      <c r="Z33" s="315" t="n">
        <v>7913.91</v>
      </c>
      <c r="AA33" s="111">
        <f>Z33/Z21-1</f>
        <v/>
      </c>
      <c r="AB33" s="111" t="n"/>
      <c r="AC33" s="315" t="n">
        <v>6476.7</v>
      </c>
      <c r="AD33" s="111">
        <f>AC33/AC21-1</f>
        <v/>
      </c>
      <c r="AE33" s="111" t="n"/>
      <c r="AF33" s="315" t="n">
        <v>1176.09</v>
      </c>
      <c r="AG33" s="111">
        <f>AF33/AF21-1</f>
        <v/>
      </c>
      <c r="AH33" s="111" t="n"/>
      <c r="AI33" s="315" t="n">
        <v>261.12</v>
      </c>
      <c r="AJ33" s="111">
        <f>AI33/AI21-1</f>
        <v/>
      </c>
      <c r="AK33" s="111" t="n"/>
      <c r="AL33" s="316" t="n">
        <v>82.18000000000001</v>
      </c>
      <c r="AM33" s="380">
        <f>AL33-AL21</f>
        <v/>
      </c>
      <c r="AN33" s="111" t="n"/>
      <c r="AO33" s="316" t="n">
        <v>82.38</v>
      </c>
      <c r="AP33" s="380">
        <f>AO33-AO21</f>
        <v/>
      </c>
      <c r="AQ33" s="111" t="n"/>
      <c r="AR33" s="316" t="n">
        <v>82.18000000000001</v>
      </c>
      <c r="AS33" s="380">
        <f>AR33-AR21</f>
        <v/>
      </c>
      <c r="AT33" s="111" t="n"/>
      <c r="AU33" s="316" t="n">
        <v>77.90000000000001</v>
      </c>
      <c r="AV33" s="380">
        <f>AU33-AU21</f>
        <v/>
      </c>
      <c r="AW33" s="111" t="n"/>
      <c r="AX33" s="315" t="n">
        <v>0</v>
      </c>
      <c r="AY33" s="111">
        <f>AX33/AX21-1</f>
        <v/>
      </c>
      <c r="AZ33" s="111" t="n"/>
      <c r="BA33" s="378" t="n"/>
      <c r="BB33" s="142" t="n"/>
      <c r="BC33" s="378" t="n"/>
      <c r="BD33" s="142" t="n"/>
      <c r="BE33" s="378" t="n"/>
      <c r="BF33" s="142" t="n"/>
      <c r="BG33" s="378" t="n"/>
      <c r="BH33" s="142" t="n"/>
      <c r="BI33" s="318" t="n"/>
      <c r="BJ33" s="142" t="n"/>
      <c r="BK33" s="318" t="n"/>
      <c r="BL33" s="142" t="n"/>
      <c r="BM33" s="318" t="n"/>
      <c r="BN33" s="142" t="n"/>
      <c r="BO33" s="318" t="n"/>
      <c r="BP33" s="318" t="n"/>
      <c r="BQ33" s="142" t="n"/>
      <c r="BR33" s="318" t="n"/>
      <c r="BS33" s="142" t="n"/>
      <c r="BT33" s="318" t="n"/>
      <c r="BU33" s="142" t="n"/>
      <c r="BV33" s="318" t="n"/>
      <c r="BW33" s="142" t="n"/>
      <c r="BX33" s="318" t="n"/>
      <c r="BY33" s="142" t="n"/>
      <c r="BZ33" s="318" t="n"/>
      <c r="CA33" s="142" t="n"/>
      <c r="CB33" s="318" t="n"/>
      <c r="CC33" s="142" t="n"/>
      <c r="CD33" s="318" t="n"/>
      <c r="CE33" s="142" t="n"/>
      <c r="CF33" s="318" t="n"/>
      <c r="CG33" s="317" t="n"/>
      <c r="CH33" s="318" t="n"/>
      <c r="CI33" s="317" t="n"/>
      <c r="CJ33" s="318" t="n"/>
      <c r="CK33" s="317" t="n"/>
      <c r="CL33" s="318" t="n"/>
      <c r="CM33" s="317" t="n"/>
      <c r="CN33" s="318" t="n"/>
      <c r="CO33" s="80" t="n"/>
      <c r="CP33" s="318" t="n"/>
      <c r="CQ33" s="80" t="n"/>
      <c r="CR33" s="318" t="n"/>
      <c r="CS33" s="80" t="n"/>
      <c r="CT33" s="318" t="n"/>
      <c r="CU33" s="80" t="n"/>
      <c r="CV33" s="361" t="n"/>
      <c r="CW33" s="318" t="n"/>
      <c r="CX33" s="142" t="n"/>
      <c r="CY33" s="318" t="n"/>
      <c r="CZ33" s="142" t="n"/>
      <c r="DA33" s="318" t="n"/>
      <c r="DB33" s="142" t="n"/>
      <c r="DC33" s="318" t="n"/>
      <c r="DD33" s="142" t="n"/>
      <c r="DE33" s="379" t="n"/>
      <c r="DF33" s="379" t="n"/>
      <c r="DG33" s="214" t="n"/>
    </row>
    <row r="34" customFormat="1" s="117">
      <c r="A34" s="376" t="n">
        <v>42582</v>
      </c>
      <c r="B34" s="315" t="n">
        <v>18428.92</v>
      </c>
      <c r="C34" s="111">
        <f>B34/B22-1</f>
        <v/>
      </c>
      <c r="D34" s="111" t="n"/>
      <c r="E34" s="315" t="n">
        <v>11428.34</v>
      </c>
      <c r="F34" s="111">
        <f>E34/E22-1</f>
        <v/>
      </c>
      <c r="G34" s="111" t="n"/>
      <c r="H34" s="315" t="n">
        <v>6523.3</v>
      </c>
      <c r="I34" s="111">
        <f>H34/H22-1</f>
        <v/>
      </c>
      <c r="J34" s="111" t="n"/>
      <c r="K34" s="315" t="n">
        <v>477.27</v>
      </c>
      <c r="L34" s="111">
        <f>K34/K22-1</f>
        <v/>
      </c>
      <c r="M34" s="111" t="n"/>
      <c r="N34" s="315" t="n">
        <v>15227</v>
      </c>
      <c r="O34" s="111">
        <f>N34/N22-1</f>
        <v/>
      </c>
      <c r="P34" s="111" t="n"/>
      <c r="Q34" s="315" t="n">
        <v>9445.620000000001</v>
      </c>
      <c r="R34" s="111">
        <f>Q34/Q22-1</f>
        <v/>
      </c>
      <c r="S34" s="111" t="n"/>
      <c r="T34" s="315" t="n">
        <v>5398.96</v>
      </c>
      <c r="U34" s="111">
        <f>T34/T22-1</f>
        <v/>
      </c>
      <c r="V34" s="111" t="n"/>
      <c r="W34" s="315" t="n">
        <v>382.42</v>
      </c>
      <c r="X34" s="111">
        <f>W34/W22-1</f>
        <v/>
      </c>
      <c r="Y34" s="111" t="n"/>
      <c r="Z34" s="315" t="n">
        <v>9088.68</v>
      </c>
      <c r="AA34" s="111">
        <f>Z34/Z22-1</f>
        <v/>
      </c>
      <c r="AB34" s="111" t="n"/>
      <c r="AC34" s="315" t="n">
        <v>7457.26</v>
      </c>
      <c r="AD34" s="111">
        <f>AC34/AC22-1</f>
        <v/>
      </c>
      <c r="AE34" s="111" t="n"/>
      <c r="AF34" s="315" t="n">
        <v>1349.02</v>
      </c>
      <c r="AG34" s="111">
        <f>AF34/AF22-1</f>
        <v/>
      </c>
      <c r="AH34" s="111" t="n"/>
      <c r="AI34" s="315" t="n">
        <v>282.39</v>
      </c>
      <c r="AJ34" s="111">
        <f>AI34/AI22-1</f>
        <v/>
      </c>
      <c r="AK34" s="111" t="n"/>
      <c r="AL34" s="316" t="n">
        <v>82.63</v>
      </c>
      <c r="AM34" s="380">
        <f>AL34-AL22</f>
        <v/>
      </c>
      <c r="AN34" s="111" t="n"/>
      <c r="AO34" s="316" t="n">
        <v>82.65000000000001</v>
      </c>
      <c r="AP34" s="380">
        <f>AO34-AO22</f>
        <v/>
      </c>
      <c r="AQ34" s="111" t="n"/>
      <c r="AR34" s="316" t="n">
        <v>82.76000000000001</v>
      </c>
      <c r="AS34" s="380">
        <f>AR34-AR22</f>
        <v/>
      </c>
      <c r="AT34" s="111" t="n"/>
      <c r="AU34" s="316" t="n">
        <v>80.09999999999999</v>
      </c>
      <c r="AV34" s="380">
        <f>AU34-AU22</f>
        <v/>
      </c>
      <c r="AW34" s="111" t="n"/>
      <c r="AX34" s="315" t="n">
        <v>0</v>
      </c>
      <c r="AY34" s="111">
        <f>AX34/AX22-1</f>
        <v/>
      </c>
      <c r="AZ34" s="111" t="n"/>
      <c r="BA34" s="378" t="n"/>
      <c r="BB34" s="142" t="n"/>
      <c r="BC34" s="378" t="n"/>
      <c r="BD34" s="142" t="n"/>
      <c r="BE34" s="378" t="n"/>
      <c r="BF34" s="142" t="n"/>
      <c r="BG34" s="378" t="n"/>
      <c r="BH34" s="142" t="n"/>
      <c r="BI34" s="318" t="n"/>
      <c r="BJ34" s="142" t="n"/>
      <c r="BK34" s="318" t="n"/>
      <c r="BL34" s="142" t="n"/>
      <c r="BM34" s="318" t="n"/>
      <c r="BN34" s="142" t="n"/>
      <c r="BO34" s="318" t="n"/>
      <c r="BP34" s="318" t="n"/>
      <c r="BQ34" s="142" t="n"/>
      <c r="BR34" s="318" t="n"/>
      <c r="BS34" s="142" t="n"/>
      <c r="BT34" s="318" t="n"/>
      <c r="BU34" s="142" t="n"/>
      <c r="BV34" s="318" t="n"/>
      <c r="BW34" s="142" t="n"/>
      <c r="BX34" s="318" t="n"/>
      <c r="BY34" s="142" t="n"/>
      <c r="BZ34" s="318" t="n"/>
      <c r="CA34" s="142" t="n"/>
      <c r="CB34" s="318" t="n"/>
      <c r="CC34" s="142" t="n"/>
      <c r="CD34" s="318" t="n"/>
      <c r="CE34" s="142" t="n"/>
      <c r="CF34" s="318" t="n"/>
      <c r="CG34" s="317" t="n"/>
      <c r="CH34" s="318" t="n"/>
      <c r="CI34" s="317" t="n"/>
      <c r="CJ34" s="318" t="n"/>
      <c r="CK34" s="317" t="n"/>
      <c r="CL34" s="318" t="n"/>
      <c r="CM34" s="317" t="n"/>
      <c r="CN34" s="318" t="n"/>
      <c r="CO34" s="80" t="n"/>
      <c r="CP34" s="318" t="n"/>
      <c r="CQ34" s="80" t="n"/>
      <c r="CR34" s="318" t="n"/>
      <c r="CS34" s="80" t="n"/>
      <c r="CT34" s="318" t="n"/>
      <c r="CU34" s="80" t="n"/>
      <c r="CV34" s="361" t="n"/>
      <c r="CW34" s="318" t="n"/>
      <c r="CX34" s="142" t="n"/>
      <c r="CY34" s="318" t="n"/>
      <c r="CZ34" s="142" t="n"/>
      <c r="DA34" s="318" t="n"/>
      <c r="DB34" s="142" t="n"/>
      <c r="DC34" s="318" t="n"/>
      <c r="DD34" s="142" t="n"/>
      <c r="DE34" s="379" t="n"/>
      <c r="DF34" s="379" t="n"/>
      <c r="DG34" s="214" t="n"/>
    </row>
    <row r="35" customFormat="1" s="117">
      <c r="A35" s="376" t="n">
        <v>42613</v>
      </c>
      <c r="B35" s="315" t="n">
        <v>18843.94</v>
      </c>
      <c r="C35" s="111">
        <f>B35/B23-1</f>
        <v/>
      </c>
      <c r="D35" s="111" t="n"/>
      <c r="E35" s="315" t="n">
        <v>11853.23</v>
      </c>
      <c r="F35" s="111">
        <f>E35/E23-1</f>
        <v/>
      </c>
      <c r="G35" s="111" t="n"/>
      <c r="H35" s="315" t="n">
        <v>6519.73</v>
      </c>
      <c r="I35" s="111">
        <f>H35/H23-1</f>
        <v/>
      </c>
      <c r="J35" s="111" t="n"/>
      <c r="K35" s="315" t="n">
        <v>470.97</v>
      </c>
      <c r="L35" s="111">
        <f>K35/K23-1</f>
        <v/>
      </c>
      <c r="M35" s="111" t="n"/>
      <c r="N35" s="315" t="n">
        <v>16081.98</v>
      </c>
      <c r="O35" s="111">
        <f>N35/N23-1</f>
        <v/>
      </c>
      <c r="P35" s="111" t="n"/>
      <c r="Q35" s="315" t="n">
        <v>10198.37</v>
      </c>
      <c r="R35" s="111">
        <f>Q35/Q23-1</f>
        <v/>
      </c>
      <c r="S35" s="111" t="n"/>
      <c r="T35" s="315" t="n">
        <v>5511.22</v>
      </c>
      <c r="U35" s="111">
        <f>T35/T23-1</f>
        <v/>
      </c>
      <c r="V35" s="111" t="n"/>
      <c r="W35" s="315" t="n">
        <v>372.39</v>
      </c>
      <c r="X35" s="111">
        <f>W35/W23-1</f>
        <v/>
      </c>
      <c r="Y35" s="111" t="n"/>
      <c r="Z35" s="315" t="n">
        <v>9714.389999999999</v>
      </c>
      <c r="AA35" s="111">
        <f>Z35/Z23-1</f>
        <v/>
      </c>
      <c r="AB35" s="111" t="n"/>
      <c r="AC35" s="315" t="n">
        <v>8051.49</v>
      </c>
      <c r="AD35" s="111">
        <f>AC35/AC23-1</f>
        <v/>
      </c>
      <c r="AE35" s="111" t="n"/>
      <c r="AF35" s="315" t="n">
        <v>1388.5</v>
      </c>
      <c r="AG35" s="111">
        <f>AF35/AF23-1</f>
        <v/>
      </c>
      <c r="AH35" s="111" t="n"/>
      <c r="AI35" s="315" t="n">
        <v>274.4</v>
      </c>
      <c r="AJ35" s="111">
        <f>AI35/AI23-1</f>
        <v/>
      </c>
      <c r="AK35" s="111" t="n"/>
      <c r="AL35" s="316" t="n">
        <v>85.34</v>
      </c>
      <c r="AM35" s="380">
        <f>AL35-AL23</f>
        <v/>
      </c>
      <c r="AN35" s="111" t="n"/>
      <c r="AO35" s="316" t="n">
        <v>86.04000000000001</v>
      </c>
      <c r="AP35" s="380">
        <f>AO35-AO23</f>
        <v/>
      </c>
      <c r="AQ35" s="111" t="n"/>
      <c r="AR35" s="316" t="n">
        <v>84.53</v>
      </c>
      <c r="AS35" s="380">
        <f>AR35-AR23</f>
        <v/>
      </c>
      <c r="AT35" s="111" t="n"/>
      <c r="AU35" s="316" t="n">
        <v>79.09999999999999</v>
      </c>
      <c r="AV35" s="380">
        <f>AU35-AU23</f>
        <v/>
      </c>
      <c r="AW35" s="111" t="n"/>
      <c r="AX35" s="315" t="n">
        <v>0</v>
      </c>
      <c r="AY35" s="111">
        <f>AX35/AX23-1</f>
        <v/>
      </c>
      <c r="AZ35" s="111" t="n"/>
      <c r="BA35" s="378" t="n"/>
      <c r="BB35" s="142" t="n"/>
      <c r="BC35" s="378" t="n"/>
      <c r="BD35" s="142" t="n"/>
      <c r="BE35" s="378" t="n"/>
      <c r="BF35" s="142" t="n"/>
      <c r="BG35" s="378" t="n"/>
      <c r="BH35" s="142" t="n"/>
      <c r="BI35" s="318" t="n"/>
      <c r="BJ35" s="142" t="n"/>
      <c r="BK35" s="318" t="n"/>
      <c r="BL35" s="142" t="n"/>
      <c r="BM35" s="318" t="n"/>
      <c r="BN35" s="142" t="n"/>
      <c r="BO35" s="318" t="n"/>
      <c r="BP35" s="318" t="n"/>
      <c r="BQ35" s="142" t="n"/>
      <c r="BR35" s="318" t="n"/>
      <c r="BS35" s="142" t="n"/>
      <c r="BT35" s="318" t="n"/>
      <c r="BU35" s="142" t="n"/>
      <c r="BV35" s="318" t="n"/>
      <c r="BW35" s="142" t="n"/>
      <c r="BX35" s="318" t="n"/>
      <c r="BY35" s="142" t="n"/>
      <c r="BZ35" s="318" t="n"/>
      <c r="CA35" s="142" t="n"/>
      <c r="CB35" s="318" t="n"/>
      <c r="CC35" s="142" t="n"/>
      <c r="CD35" s="318" t="n"/>
      <c r="CE35" s="142" t="n"/>
      <c r="CF35" s="318" t="n"/>
      <c r="CG35" s="317" t="n"/>
      <c r="CH35" s="318" t="n"/>
      <c r="CI35" s="317" t="n"/>
      <c r="CJ35" s="318" t="n"/>
      <c r="CK35" s="317" t="n"/>
      <c r="CL35" s="318" t="n"/>
      <c r="CM35" s="317" t="n"/>
      <c r="CN35" s="318" t="n"/>
      <c r="CO35" s="80" t="n"/>
      <c r="CP35" s="318" t="n"/>
      <c r="CQ35" s="80" t="n"/>
      <c r="CR35" s="318" t="n"/>
      <c r="CS35" s="80" t="n"/>
      <c r="CT35" s="318" t="n"/>
      <c r="CU35" s="80" t="n"/>
      <c r="CV35" s="361" t="n"/>
      <c r="CW35" s="318" t="n"/>
      <c r="CX35" s="142" t="n"/>
      <c r="CY35" s="318" t="n"/>
      <c r="CZ35" s="142" t="n"/>
      <c r="DA35" s="318" t="n"/>
      <c r="DB35" s="142" t="n"/>
      <c r="DC35" s="318" t="n"/>
      <c r="DD35" s="142" t="n"/>
      <c r="DE35" s="379" t="n"/>
      <c r="DF35" s="379" t="n"/>
      <c r="DG35" s="214" t="n"/>
    </row>
    <row r="36" customFormat="1" s="117">
      <c r="A36" s="376" t="n">
        <v>42643</v>
      </c>
      <c r="B36" s="315" t="n">
        <v>17474.87</v>
      </c>
      <c r="C36" s="111">
        <f>B36/B24-1</f>
        <v/>
      </c>
      <c r="D36" s="111" t="n"/>
      <c r="E36" s="315" t="n">
        <v>10993.63</v>
      </c>
      <c r="F36" s="111">
        <f>E36/E24-1</f>
        <v/>
      </c>
      <c r="G36" s="111" t="n"/>
      <c r="H36" s="315" t="n">
        <v>6040.69</v>
      </c>
      <c r="I36" s="111">
        <f>H36/H24-1</f>
        <v/>
      </c>
      <c r="J36" s="111" t="n"/>
      <c r="K36" s="315" t="n">
        <v>440.55</v>
      </c>
      <c r="L36" s="111">
        <f>K36/K24-1</f>
        <v/>
      </c>
      <c r="M36" s="111" t="n"/>
      <c r="N36" s="315" t="n">
        <v>14220.78</v>
      </c>
      <c r="O36" s="111">
        <f>N36/N24-1</f>
        <v/>
      </c>
      <c r="P36" s="111" t="n"/>
      <c r="Q36" s="315" t="n">
        <v>9144.950000000001</v>
      </c>
      <c r="R36" s="111">
        <f>Q36/Q24-1</f>
        <v/>
      </c>
      <c r="S36" s="111" t="n"/>
      <c r="T36" s="315" t="n">
        <v>4744.34</v>
      </c>
      <c r="U36" s="111">
        <f>T36/T24-1</f>
        <v/>
      </c>
      <c r="V36" s="111" t="n"/>
      <c r="W36" s="315" t="n">
        <v>331.49</v>
      </c>
      <c r="X36" s="111">
        <f>W36/W24-1</f>
        <v/>
      </c>
      <c r="Y36" s="111" t="n"/>
      <c r="Z36" s="315" t="n">
        <v>8622.030000000001</v>
      </c>
      <c r="AA36" s="111">
        <f>Z36/Z24-1</f>
        <v/>
      </c>
      <c r="AB36" s="111" t="n"/>
      <c r="AC36" s="315" t="n">
        <v>7231.08</v>
      </c>
      <c r="AD36" s="111">
        <f>AC36/AC24-1</f>
        <v/>
      </c>
      <c r="AE36" s="111" t="n"/>
      <c r="AF36" s="315" t="n">
        <v>1147.8</v>
      </c>
      <c r="AG36" s="111">
        <f>AF36/AF24-1</f>
        <v/>
      </c>
      <c r="AH36" s="111" t="n"/>
      <c r="AI36" s="315" t="n">
        <v>243.16</v>
      </c>
      <c r="AJ36" s="111">
        <f>AI36/AI24-1</f>
        <v/>
      </c>
      <c r="AK36" s="111" t="n"/>
      <c r="AL36" s="316" t="n">
        <v>81.38</v>
      </c>
      <c r="AM36" s="380">
        <f>AL36-AL24</f>
        <v/>
      </c>
      <c r="AN36" s="111" t="n"/>
      <c r="AO36" s="316" t="n">
        <v>83.18000000000001</v>
      </c>
      <c r="AP36" s="380">
        <f>AO36-AO24</f>
        <v/>
      </c>
      <c r="AQ36" s="111" t="n"/>
      <c r="AR36" s="316" t="n">
        <v>78.54000000000001</v>
      </c>
      <c r="AS36" s="380">
        <f>AR36-AR24</f>
        <v/>
      </c>
      <c r="AT36" s="111" t="n"/>
      <c r="AU36" s="316" t="n">
        <v>75.2</v>
      </c>
      <c r="AV36" s="380">
        <f>AU36-AU24</f>
        <v/>
      </c>
      <c r="AW36" s="111" t="n"/>
      <c r="AX36" s="315" t="n">
        <v>0</v>
      </c>
      <c r="AY36" s="111">
        <f>AX36/AX24-1</f>
        <v/>
      </c>
      <c r="AZ36" s="111" t="n"/>
      <c r="BA36" s="378" t="n"/>
      <c r="BB36" s="142" t="n"/>
      <c r="BC36" s="378" t="n"/>
      <c r="BD36" s="142" t="n"/>
      <c r="BE36" s="378" t="n"/>
      <c r="BF36" s="142" t="n"/>
      <c r="BG36" s="378" t="n"/>
      <c r="BH36" s="142" t="n"/>
      <c r="BI36" s="318" t="n"/>
      <c r="BJ36" s="142" t="n"/>
      <c r="BK36" s="318" t="n"/>
      <c r="BL36" s="142" t="n"/>
      <c r="BM36" s="318" t="n"/>
      <c r="BN36" s="142" t="n"/>
      <c r="BO36" s="318" t="n"/>
      <c r="BP36" s="318" t="n"/>
      <c r="BQ36" s="142" t="n"/>
      <c r="BR36" s="318" t="n"/>
      <c r="BS36" s="142" t="n"/>
      <c r="BT36" s="318" t="n"/>
      <c r="BU36" s="142" t="n"/>
      <c r="BV36" s="318" t="n"/>
      <c r="BW36" s="142" t="n"/>
      <c r="BX36" s="318" t="n"/>
      <c r="BY36" s="142" t="n"/>
      <c r="BZ36" s="318" t="n"/>
      <c r="CA36" s="142" t="n"/>
      <c r="CB36" s="318" t="n"/>
      <c r="CC36" s="142" t="n"/>
      <c r="CD36" s="318" t="n"/>
      <c r="CE36" s="142" t="n"/>
      <c r="CF36" s="318" t="n"/>
      <c r="CG36" s="317" t="n"/>
      <c r="CH36" s="318" t="n"/>
      <c r="CI36" s="317" t="n"/>
      <c r="CJ36" s="318" t="n"/>
      <c r="CK36" s="317" t="n"/>
      <c r="CL36" s="318" t="n"/>
      <c r="CM36" s="317" t="n"/>
      <c r="CN36" s="318" t="n"/>
      <c r="CO36" s="80" t="n"/>
      <c r="CP36" s="318" t="n"/>
      <c r="CQ36" s="80" t="n"/>
      <c r="CR36" s="318" t="n"/>
      <c r="CS36" s="80" t="n"/>
      <c r="CT36" s="318" t="n"/>
      <c r="CU36" s="80" t="n"/>
      <c r="CV36" s="361" t="n"/>
      <c r="CW36" s="318" t="n"/>
      <c r="CX36" s="142" t="n"/>
      <c r="CY36" s="318" t="n"/>
      <c r="CZ36" s="142" t="n"/>
      <c r="DA36" s="318" t="n"/>
      <c r="DB36" s="142" t="n"/>
      <c r="DC36" s="318" t="n"/>
      <c r="DD36" s="142" t="n"/>
      <c r="DE36" s="379" t="n"/>
      <c r="DF36" s="379" t="n"/>
      <c r="DG36" s="214" t="n"/>
    </row>
    <row r="37" customFormat="1" s="117">
      <c r="A37" s="376" t="n">
        <v>42674</v>
      </c>
      <c r="B37" s="315" t="n">
        <v>17856.48</v>
      </c>
      <c r="C37" s="111">
        <f>B37/B25-1</f>
        <v/>
      </c>
      <c r="D37" s="111" t="n"/>
      <c r="E37" s="315" t="n">
        <v>11293.55</v>
      </c>
      <c r="F37" s="111">
        <f>E37/E25-1</f>
        <v/>
      </c>
      <c r="G37" s="111" t="n"/>
      <c r="H37" s="315" t="n">
        <v>6103.63</v>
      </c>
      <c r="I37" s="111">
        <f>H37/H25-1</f>
        <v/>
      </c>
      <c r="J37" s="111" t="n"/>
      <c r="K37" s="315" t="n">
        <v>459.29</v>
      </c>
      <c r="L37" s="111">
        <f>K37/K25-1</f>
        <v/>
      </c>
      <c r="M37" s="111" t="n"/>
      <c r="N37" s="315" t="n">
        <v>14542.36</v>
      </c>
      <c r="O37" s="111">
        <f>N37/N25-1</f>
        <v/>
      </c>
      <c r="P37" s="111" t="n"/>
      <c r="Q37" s="315" t="n">
        <v>9532.219999999999</v>
      </c>
      <c r="R37" s="111">
        <f>Q37/Q25-1</f>
        <v/>
      </c>
      <c r="S37" s="111" t="n"/>
      <c r="T37" s="315" t="n">
        <v>4664.15</v>
      </c>
      <c r="U37" s="111">
        <f>T37/T25-1</f>
        <v/>
      </c>
      <c r="V37" s="111" t="n"/>
      <c r="W37" s="315" t="n">
        <v>345.99</v>
      </c>
      <c r="X37" s="111">
        <f>W37/W25-1</f>
        <v/>
      </c>
      <c r="Y37" s="111" t="n"/>
      <c r="Z37" s="315" t="n">
        <v>8951.200000000001</v>
      </c>
      <c r="AA37" s="111">
        <f>Z37/Z25-1</f>
        <v/>
      </c>
      <c r="AB37" s="111" t="n"/>
      <c r="AC37" s="315" t="n">
        <v>7558.34</v>
      </c>
      <c r="AD37" s="111">
        <f>AC37/AC25-1</f>
        <v/>
      </c>
      <c r="AE37" s="111" t="n"/>
      <c r="AF37" s="315" t="n">
        <v>1136.18</v>
      </c>
      <c r="AG37" s="111">
        <f>AF37/AF25-1</f>
        <v/>
      </c>
      <c r="AH37" s="111" t="n"/>
      <c r="AI37" s="315" t="n">
        <v>256.68</v>
      </c>
      <c r="AJ37" s="111">
        <f>AI37/AI25-1</f>
        <v/>
      </c>
      <c r="AK37" s="111" t="n"/>
      <c r="AL37" s="316" t="n">
        <v>81.44</v>
      </c>
      <c r="AM37" s="380">
        <f>AL37-AL25</f>
        <v/>
      </c>
      <c r="AN37" s="111" t="n"/>
      <c r="AO37" s="316" t="n">
        <v>84.40000000000001</v>
      </c>
      <c r="AP37" s="380">
        <f>AO37-AO25</f>
        <v/>
      </c>
      <c r="AQ37" s="111" t="n"/>
      <c r="AR37" s="316" t="n">
        <v>76.42</v>
      </c>
      <c r="AS37" s="380">
        <f>AR37-AR25</f>
        <v/>
      </c>
      <c r="AT37" s="111" t="n"/>
      <c r="AU37" s="316" t="n">
        <v>75.33</v>
      </c>
      <c r="AV37" s="380">
        <f>AU37-AU25</f>
        <v/>
      </c>
      <c r="AW37" s="111" t="n"/>
      <c r="AX37" s="315" t="n">
        <v>0</v>
      </c>
      <c r="AY37" s="111">
        <f>AX37/AX25-1</f>
        <v/>
      </c>
      <c r="AZ37" s="111" t="n"/>
      <c r="BA37" s="378" t="n"/>
      <c r="BB37" s="142" t="n"/>
      <c r="BC37" s="378" t="n"/>
      <c r="BD37" s="142" t="n"/>
      <c r="BE37" s="378" t="n"/>
      <c r="BF37" s="142" t="n"/>
      <c r="BG37" s="378" t="n"/>
      <c r="BH37" s="142" t="n"/>
      <c r="BI37" s="318" t="n"/>
      <c r="BJ37" s="142" t="n"/>
      <c r="BK37" s="318" t="n"/>
      <c r="BL37" s="142" t="n"/>
      <c r="BM37" s="318" t="n"/>
      <c r="BN37" s="142" t="n"/>
      <c r="BO37" s="318" t="n"/>
      <c r="BP37" s="318" t="n"/>
      <c r="BQ37" s="142" t="n"/>
      <c r="BR37" s="318" t="n"/>
      <c r="BS37" s="142" t="n"/>
      <c r="BT37" s="318" t="n"/>
      <c r="BU37" s="142" t="n"/>
      <c r="BV37" s="318" t="n"/>
      <c r="BW37" s="142" t="n"/>
      <c r="BX37" s="318" t="n"/>
      <c r="BY37" s="142" t="n"/>
      <c r="BZ37" s="318" t="n"/>
      <c r="CA37" s="142" t="n"/>
      <c r="CB37" s="318" t="n"/>
      <c r="CC37" s="142" t="n"/>
      <c r="CD37" s="318" t="n"/>
      <c r="CE37" s="142" t="n"/>
      <c r="CF37" s="318" t="n"/>
      <c r="CG37" s="317" t="n"/>
      <c r="CH37" s="318" t="n"/>
      <c r="CI37" s="317" t="n"/>
      <c r="CJ37" s="318" t="n"/>
      <c r="CK37" s="317" t="n"/>
      <c r="CL37" s="318" t="n"/>
      <c r="CM37" s="317" t="n"/>
      <c r="CN37" s="318" t="n"/>
      <c r="CO37" s="80" t="n"/>
      <c r="CP37" s="318" t="n"/>
      <c r="CQ37" s="80" t="n"/>
      <c r="CR37" s="318" t="n"/>
      <c r="CS37" s="80" t="n"/>
      <c r="CT37" s="318" t="n"/>
      <c r="CU37" s="80" t="n"/>
      <c r="CV37" s="361" t="n"/>
      <c r="CW37" s="318" t="n"/>
      <c r="CX37" s="142" t="n"/>
      <c r="CY37" s="318" t="n"/>
      <c r="CZ37" s="142" t="n"/>
      <c r="DA37" s="318" t="n"/>
      <c r="DB37" s="142" t="n"/>
      <c r="DC37" s="318" t="n"/>
      <c r="DD37" s="142" t="n"/>
      <c r="DE37" s="379" t="n"/>
      <c r="DF37" s="379" t="n"/>
      <c r="DG37" s="214" t="n"/>
    </row>
    <row r="38" customFormat="1" s="117">
      <c r="A38" s="376" t="n">
        <v>42704</v>
      </c>
      <c r="B38" s="315" t="n">
        <v>16876.51</v>
      </c>
      <c r="C38" s="111">
        <f>B38/B26-1</f>
        <v/>
      </c>
      <c r="D38" s="111" t="n"/>
      <c r="E38" s="315" t="n">
        <v>10757.6</v>
      </c>
      <c r="F38" s="111">
        <f>E38/E26-1</f>
        <v/>
      </c>
      <c r="G38" s="111" t="n"/>
      <c r="H38" s="315" t="n">
        <v>5684.32</v>
      </c>
      <c r="I38" s="111">
        <f>H38/H26-1</f>
        <v/>
      </c>
      <c r="J38" s="111" t="n"/>
      <c r="K38" s="315" t="n">
        <v>434.59</v>
      </c>
      <c r="L38" s="111">
        <f>K38/K26-1</f>
        <v/>
      </c>
      <c r="M38" s="111" t="n"/>
      <c r="N38" s="315" t="n">
        <v>13349.7</v>
      </c>
      <c r="O38" s="111">
        <f>N38/N26-1</f>
        <v/>
      </c>
      <c r="P38" s="111" t="n"/>
      <c r="Q38" s="315" t="n">
        <v>8674.83</v>
      </c>
      <c r="R38" s="111">
        <f>Q38/Q26-1</f>
        <v/>
      </c>
      <c r="S38" s="111" t="n"/>
      <c r="T38" s="315" t="n">
        <v>4333.66</v>
      </c>
      <c r="U38" s="111">
        <f>T38/T26-1</f>
        <v/>
      </c>
      <c r="V38" s="111" t="n"/>
      <c r="W38" s="315" t="n">
        <v>341.21</v>
      </c>
      <c r="X38" s="111">
        <f>W38/W26-1</f>
        <v/>
      </c>
      <c r="Y38" s="111" t="n"/>
      <c r="Z38" s="315" t="n">
        <v>8210.17</v>
      </c>
      <c r="AA38" s="111">
        <f>Z38/Z26-1</f>
        <v/>
      </c>
      <c r="AB38" s="111" t="n"/>
      <c r="AC38" s="315" t="n">
        <v>6876.11</v>
      </c>
      <c r="AD38" s="111">
        <f>AC38/AC26-1</f>
        <v/>
      </c>
      <c r="AE38" s="111" t="n"/>
      <c r="AF38" s="315" t="n">
        <v>1082.21</v>
      </c>
      <c r="AG38" s="111">
        <f>AF38/AF26-1</f>
        <v/>
      </c>
      <c r="AH38" s="111" t="n"/>
      <c r="AI38" s="315" t="n">
        <v>251.85</v>
      </c>
      <c r="AJ38" s="111">
        <f>AI38/AI26-1</f>
        <v/>
      </c>
      <c r="AK38" s="111" t="n"/>
      <c r="AL38" s="316" t="n">
        <v>79.09999999999999</v>
      </c>
      <c r="AM38" s="380">
        <f>AL38-AL26</f>
        <v/>
      </c>
      <c r="AN38" s="111" t="n"/>
      <c r="AO38" s="316" t="n">
        <v>80.64</v>
      </c>
      <c r="AP38" s="380">
        <f>AO38-AO26</f>
        <v/>
      </c>
      <c r="AQ38" s="111" t="n"/>
      <c r="AR38" s="316" t="n">
        <v>76.23999999999999</v>
      </c>
      <c r="AS38" s="380">
        <f>AR38-AR26</f>
        <v/>
      </c>
      <c r="AT38" s="111" t="n"/>
      <c r="AU38" s="316" t="n">
        <v>78.51000000000001</v>
      </c>
      <c r="AV38" s="380">
        <f>AU38-AU26</f>
        <v/>
      </c>
      <c r="AW38" s="111" t="n"/>
      <c r="AX38" s="315" t="n">
        <v>0</v>
      </c>
      <c r="AY38" s="111">
        <f>AX38/AX26-1</f>
        <v/>
      </c>
      <c r="AZ38" s="111" t="n"/>
      <c r="BA38" s="378" t="n"/>
      <c r="BB38" s="142" t="n"/>
      <c r="BC38" s="378" t="n"/>
      <c r="BD38" s="142" t="n"/>
      <c r="BE38" s="378" t="n"/>
      <c r="BF38" s="142" t="n"/>
      <c r="BG38" s="378" t="n"/>
      <c r="BH38" s="142" t="n"/>
      <c r="BI38" s="318" t="n"/>
      <c r="BJ38" s="142" t="n"/>
      <c r="BK38" s="318" t="n"/>
      <c r="BL38" s="142" t="n"/>
      <c r="BM38" s="318" t="n"/>
      <c r="BN38" s="142" t="n"/>
      <c r="BO38" s="318" t="n"/>
      <c r="BP38" s="318" t="n"/>
      <c r="BQ38" s="142" t="n"/>
      <c r="BR38" s="318" t="n"/>
      <c r="BS38" s="142" t="n"/>
      <c r="BT38" s="318" t="n"/>
      <c r="BU38" s="142" t="n"/>
      <c r="BV38" s="318" t="n"/>
      <c r="BW38" s="142" t="n"/>
      <c r="BX38" s="318" t="n"/>
      <c r="BY38" s="142" t="n"/>
      <c r="BZ38" s="318" t="n"/>
      <c r="CA38" s="142" t="n"/>
      <c r="CB38" s="318" t="n"/>
      <c r="CC38" s="142" t="n"/>
      <c r="CD38" s="318" t="n"/>
      <c r="CE38" s="142" t="n"/>
      <c r="CF38" s="318" t="n"/>
      <c r="CG38" s="317" t="n"/>
      <c r="CH38" s="318" t="n"/>
      <c r="CI38" s="317" t="n"/>
      <c r="CJ38" s="318" t="n"/>
      <c r="CK38" s="317" t="n"/>
      <c r="CL38" s="318" t="n"/>
      <c r="CM38" s="317" t="n"/>
      <c r="CN38" s="318" t="n"/>
      <c r="CO38" s="80" t="n"/>
      <c r="CP38" s="318" t="n"/>
      <c r="CQ38" s="80" t="n"/>
      <c r="CR38" s="318" t="n"/>
      <c r="CS38" s="80" t="n"/>
      <c r="CT38" s="318" t="n"/>
      <c r="CU38" s="80" t="n"/>
      <c r="CV38" s="361" t="n"/>
      <c r="CW38" s="318" t="n"/>
      <c r="CX38" s="142" t="n"/>
      <c r="CY38" s="318" t="n"/>
      <c r="CZ38" s="142" t="n"/>
      <c r="DA38" s="318" t="n"/>
      <c r="DB38" s="142" t="n"/>
      <c r="DC38" s="318" t="n"/>
      <c r="DD38" s="142" t="n"/>
      <c r="DE38" s="379" t="n"/>
      <c r="DF38" s="379" t="n"/>
      <c r="DG38" s="214" t="n"/>
    </row>
    <row r="39" customFormat="1" s="117">
      <c r="A39" s="376" t="n">
        <v>42735</v>
      </c>
      <c r="B39" s="315" t="n">
        <v>17839.83</v>
      </c>
      <c r="C39" s="111">
        <f>B39/B27-1</f>
        <v/>
      </c>
      <c r="D39" s="111" t="n"/>
      <c r="E39" s="315" t="n">
        <v>10948.24</v>
      </c>
      <c r="F39" s="111">
        <f>E39/E27-1</f>
        <v/>
      </c>
      <c r="G39" s="111" t="n"/>
      <c r="H39" s="315" t="n">
        <v>6416.73</v>
      </c>
      <c r="I39" s="111">
        <f>H39/H27-1</f>
        <v/>
      </c>
      <c r="J39" s="111" t="n"/>
      <c r="K39" s="315" t="n">
        <v>474.86</v>
      </c>
      <c r="L39" s="111">
        <f>K39/K27-1</f>
        <v/>
      </c>
      <c r="M39" s="111" t="n"/>
      <c r="N39" s="315" t="n">
        <v>14064.49</v>
      </c>
      <c r="O39" s="111">
        <f>N39/N27-1</f>
        <v/>
      </c>
      <c r="P39" s="111" t="n"/>
      <c r="Q39" s="315" t="n">
        <v>8671.790000000001</v>
      </c>
      <c r="R39" s="111">
        <f>Q39/Q27-1</f>
        <v/>
      </c>
      <c r="S39" s="111" t="n"/>
      <c r="T39" s="315" t="n">
        <v>5020.16</v>
      </c>
      <c r="U39" s="111">
        <f>T39/T27-1</f>
        <v/>
      </c>
      <c r="V39" s="111" t="n"/>
      <c r="W39" s="315" t="n">
        <v>372.53</v>
      </c>
      <c r="X39" s="111">
        <f>W39/W27-1</f>
        <v/>
      </c>
      <c r="Y39" s="111" t="n"/>
      <c r="Z39" s="315" t="n">
        <v>8292.950000000001</v>
      </c>
      <c r="AA39" s="111">
        <f>Z39/Z27-1</f>
        <v/>
      </c>
      <c r="AB39" s="111" t="n"/>
      <c r="AC39" s="315" t="n">
        <v>6821.06</v>
      </c>
      <c r="AD39" s="111">
        <f>AC39/AC27-1</f>
        <v/>
      </c>
      <c r="AE39" s="111" t="n"/>
      <c r="AF39" s="315" t="n">
        <v>1195.67</v>
      </c>
      <c r="AG39" s="111">
        <f>AF39/AF27-1</f>
        <v/>
      </c>
      <c r="AH39" s="111" t="n"/>
      <c r="AI39" s="315" t="n">
        <v>276.23</v>
      </c>
      <c r="AJ39" s="111">
        <f>AI39/AI27-1</f>
        <v/>
      </c>
      <c r="AK39" s="111" t="n"/>
      <c r="AL39" s="316" t="n">
        <v>78.84</v>
      </c>
      <c r="AM39" s="380">
        <f>AL39-AL27</f>
        <v/>
      </c>
      <c r="AN39" s="111" t="n"/>
      <c r="AO39" s="316" t="n">
        <v>79.20999999999999</v>
      </c>
      <c r="AP39" s="380">
        <f>AO39-AO27</f>
        <v/>
      </c>
      <c r="AQ39" s="111" t="n"/>
      <c r="AR39" s="316" t="n">
        <v>78.23999999999999</v>
      </c>
      <c r="AS39" s="380">
        <f>AR39-AR27</f>
        <v/>
      </c>
      <c r="AT39" s="111" t="n"/>
      <c r="AU39" s="316" t="n">
        <v>78.45</v>
      </c>
      <c r="AV39" s="380">
        <f>AU39-AU27</f>
        <v/>
      </c>
      <c r="AW39" s="111" t="n"/>
      <c r="AX39" s="315" t="n">
        <v>581</v>
      </c>
      <c r="AY39" s="111">
        <f>AX39/AX27-1</f>
        <v/>
      </c>
      <c r="AZ39" s="111" t="n"/>
      <c r="BA39" s="378" t="n"/>
      <c r="BB39" s="142" t="n"/>
      <c r="BC39" s="378" t="n"/>
      <c r="BD39" s="142" t="n"/>
      <c r="BE39" s="378" t="n"/>
      <c r="BF39" s="142" t="n"/>
      <c r="BG39" s="378" t="n"/>
      <c r="BH39" s="142" t="n"/>
      <c r="BI39" s="318" t="n"/>
      <c r="BJ39" s="142" t="n"/>
      <c r="BK39" s="318" t="n"/>
      <c r="BL39" s="142" t="n"/>
      <c r="BM39" s="318" t="n"/>
      <c r="BN39" s="142" t="n"/>
      <c r="BO39" s="318" t="n"/>
      <c r="BP39" s="318" t="n"/>
      <c r="BQ39" s="142" t="n"/>
      <c r="BR39" s="318" t="n"/>
      <c r="BS39" s="142" t="n"/>
      <c r="BT39" s="318" t="n"/>
      <c r="BU39" s="142" t="n"/>
      <c r="BV39" s="318" t="n"/>
      <c r="BW39" s="142" t="n"/>
      <c r="BX39" s="318" t="n"/>
      <c r="BY39" s="142" t="n"/>
      <c r="BZ39" s="318" t="n"/>
      <c r="CA39" s="142" t="n"/>
      <c r="CB39" s="318" t="n"/>
      <c r="CC39" s="142" t="n"/>
      <c r="CD39" s="318" t="n"/>
      <c r="CE39" s="142" t="n"/>
      <c r="CF39" s="318" t="n"/>
      <c r="CG39" s="317" t="n"/>
      <c r="CH39" s="318" t="n"/>
      <c r="CI39" s="317" t="n"/>
      <c r="CJ39" s="318" t="n"/>
      <c r="CK39" s="317" t="n"/>
      <c r="CL39" s="318" t="n"/>
      <c r="CM39" s="317" t="n"/>
      <c r="CN39" s="318" t="n"/>
      <c r="CO39" s="80" t="n"/>
      <c r="CP39" s="318" t="n"/>
      <c r="CQ39" s="80" t="n"/>
      <c r="CR39" s="318" t="n"/>
      <c r="CS39" s="80" t="n"/>
      <c r="CT39" s="318" t="n"/>
      <c r="CU39" s="80" t="n"/>
      <c r="CV39" s="361" t="n"/>
      <c r="CW39" s="318" t="n"/>
      <c r="CX39" s="142" t="n"/>
      <c r="CY39" s="318" t="n"/>
      <c r="CZ39" s="142" t="n"/>
      <c r="DA39" s="318" t="n"/>
      <c r="DB39" s="142" t="n"/>
      <c r="DC39" s="318" t="n"/>
      <c r="DD39" s="142" t="n"/>
      <c r="DE39" s="379" t="n"/>
      <c r="DF39" s="379" t="n"/>
      <c r="DG39" s="214" t="n"/>
    </row>
    <row r="40" ht="13" customFormat="1" customHeight="1" s="116">
      <c r="A40" s="371" t="n">
        <v>42766</v>
      </c>
      <c r="B40" s="381" t="n">
        <v>18697.19</v>
      </c>
      <c r="C40" s="111">
        <f>B40/B28-1</f>
        <v/>
      </c>
      <c r="D40" s="111" t="n"/>
      <c r="E40" s="381" t="n">
        <v>11512.62</v>
      </c>
      <c r="F40" s="111">
        <f>E40/E28-1</f>
        <v/>
      </c>
      <c r="G40" s="111" t="n"/>
      <c r="H40" s="381" t="n">
        <v>6683.06</v>
      </c>
      <c r="I40" s="111">
        <f>H40/H28-1</f>
        <v/>
      </c>
      <c r="J40" s="111" t="n"/>
      <c r="K40" s="381" t="n">
        <v>501.52</v>
      </c>
      <c r="L40" s="111">
        <f>K40/K28-1</f>
        <v/>
      </c>
      <c r="M40" s="111" t="n"/>
      <c r="N40" s="381" t="n">
        <v>15284.49</v>
      </c>
      <c r="O40" s="111">
        <f>N40/N28-1</f>
        <v/>
      </c>
      <c r="P40" s="111" t="n"/>
      <c r="Q40" s="381" t="n">
        <v>9372.299999999999</v>
      </c>
      <c r="R40" s="111">
        <f>Q40/Q28-1</f>
        <v/>
      </c>
      <c r="S40" s="111" t="n"/>
      <c r="T40" s="381" t="n">
        <v>5517.4</v>
      </c>
      <c r="U40" s="111">
        <f>T40/T28-1</f>
        <v/>
      </c>
      <c r="V40" s="111" t="n"/>
      <c r="W40" s="381" t="n">
        <v>394.79</v>
      </c>
      <c r="X40" s="111">
        <f>W40/W28-1</f>
        <v/>
      </c>
      <c r="Y40" s="111" t="n"/>
      <c r="Z40" s="381" t="n">
        <v>8920.25</v>
      </c>
      <c r="AA40" s="111">
        <f>Z40/Z28-1</f>
        <v/>
      </c>
      <c r="AB40" s="111" t="n"/>
      <c r="AC40" s="381" t="n">
        <v>7283.21</v>
      </c>
      <c r="AD40" s="111">
        <f>AC40/AC28-1</f>
        <v/>
      </c>
      <c r="AE40" s="111" t="n"/>
      <c r="AF40" s="381" t="n">
        <v>1340.82</v>
      </c>
      <c r="AG40" s="111">
        <f>AF40/AF28-1</f>
        <v/>
      </c>
      <c r="AH40" s="111" t="n"/>
      <c r="AI40" s="381" t="n">
        <v>296.22</v>
      </c>
      <c r="AJ40" s="111">
        <f>AI40/AI28-1</f>
        <v/>
      </c>
      <c r="AK40" s="111" t="n"/>
      <c r="AL40" s="382" t="n">
        <v>81.75</v>
      </c>
      <c r="AM40" s="380">
        <f>AL40-AL28</f>
        <v/>
      </c>
      <c r="AN40" s="111" t="n"/>
      <c r="AO40" s="382" t="n">
        <v>81.41</v>
      </c>
      <c r="AP40" s="380">
        <f>AO40-AO28</f>
        <v/>
      </c>
      <c r="AQ40" s="111" t="n"/>
      <c r="AR40" s="382" t="n">
        <v>82.56</v>
      </c>
      <c r="AS40" s="380">
        <f>AR40-AR28</f>
        <v/>
      </c>
      <c r="AT40" s="111" t="n"/>
      <c r="AU40" s="382" t="n">
        <v>78.72</v>
      </c>
      <c r="AV40" s="380">
        <f>AU40-AU28</f>
        <v/>
      </c>
      <c r="AW40" s="111" t="n"/>
      <c r="AX40" s="381" t="n">
        <v>581</v>
      </c>
      <c r="AY40" s="111">
        <f>AX40/AX28-1</f>
        <v/>
      </c>
      <c r="AZ40" s="111" t="n"/>
      <c r="BA40" s="317" t="n"/>
      <c r="BB40" s="142" t="n"/>
      <c r="BC40" s="317" t="n"/>
      <c r="BD40" s="142" t="n"/>
      <c r="BE40" s="317" t="n"/>
      <c r="BF40" s="142" t="n"/>
      <c r="BG40" s="317" t="n"/>
      <c r="BH40" s="142" t="n"/>
      <c r="BI40" s="317" t="n"/>
      <c r="BJ40" s="142" t="n"/>
      <c r="BK40" s="317" t="n"/>
      <c r="BL40" s="142" t="n"/>
      <c r="BM40" s="317" t="n"/>
      <c r="BN40" s="142" t="n"/>
      <c r="BO40" s="317" t="n"/>
      <c r="BP40" s="317" t="n"/>
      <c r="BQ40" s="142" t="n"/>
      <c r="BR40" s="317" t="n"/>
      <c r="BS40" s="142" t="n"/>
      <c r="BT40" s="317" t="n"/>
      <c r="BU40" s="142" t="n"/>
      <c r="BV40" s="317" t="n"/>
      <c r="BW40" s="142" t="n"/>
      <c r="BX40" s="317" t="n"/>
      <c r="BY40" s="142" t="n"/>
      <c r="BZ40" s="317" t="n"/>
      <c r="CA40" s="142" t="n"/>
      <c r="CB40" s="317" t="n"/>
      <c r="CC40" s="142" t="n"/>
      <c r="CD40" s="317" t="n"/>
      <c r="CE40" s="142" t="n"/>
      <c r="CF40" s="317" t="n"/>
      <c r="CG40" s="317" t="n"/>
      <c r="CH40" s="317" t="n"/>
      <c r="CI40" s="317" t="n"/>
      <c r="CJ40" s="317" t="n"/>
      <c r="CK40" s="317" t="n"/>
      <c r="CL40" s="317" t="n"/>
      <c r="CM40" s="317" t="n"/>
      <c r="CN40" s="317" t="n"/>
      <c r="CO40" s="80" t="n"/>
      <c r="CP40" s="317" t="n"/>
      <c r="CQ40" s="80" t="n"/>
      <c r="CR40" s="317" t="n"/>
      <c r="CS40" s="80" t="n"/>
      <c r="CT40" s="317" t="n"/>
      <c r="CU40" s="80" t="n"/>
      <c r="CW40" s="317" t="n"/>
      <c r="CX40" s="142" t="n"/>
      <c r="CY40" s="317" t="n"/>
      <c r="CZ40" s="142" t="n"/>
      <c r="DA40" s="317" t="n"/>
      <c r="DB40" s="142" t="n"/>
      <c r="DC40" s="317" t="n"/>
      <c r="DD40" s="142" t="n"/>
      <c r="DE40" s="319" t="n"/>
      <c r="DF40" s="319" t="n"/>
    </row>
    <row r="41" customFormat="1" s="117">
      <c r="A41" s="376" t="n">
        <v>42794</v>
      </c>
      <c r="B41" s="315" t="n">
        <v>17115.72</v>
      </c>
      <c r="C41" s="111">
        <f>B41/B29-1</f>
        <v/>
      </c>
      <c r="D41" s="111" t="n"/>
      <c r="E41" s="315" t="n">
        <v>10827.5</v>
      </c>
      <c r="F41" s="111">
        <f>E41/E29-1</f>
        <v/>
      </c>
      <c r="G41" s="111" t="n"/>
      <c r="H41" s="315" t="n">
        <v>5830.04</v>
      </c>
      <c r="I41" s="111">
        <f>H41/H29-1</f>
        <v/>
      </c>
      <c r="J41" s="111" t="n"/>
      <c r="K41" s="315" t="n">
        <v>458.17</v>
      </c>
      <c r="L41" s="111">
        <f>K41/K29-1</f>
        <v/>
      </c>
      <c r="M41" s="111" t="n"/>
      <c r="N41" s="315" t="n">
        <v>14132.11</v>
      </c>
      <c r="O41" s="111">
        <f>N41/N29-1</f>
        <v/>
      </c>
      <c r="P41" s="111" t="n"/>
      <c r="Q41" s="315" t="n">
        <v>9093.120000000001</v>
      </c>
      <c r="R41" s="111">
        <f>Q41/Q29-1</f>
        <v/>
      </c>
      <c r="S41" s="111" t="n"/>
      <c r="T41" s="315" t="n">
        <v>4678.66</v>
      </c>
      <c r="U41" s="111">
        <f>T41/T29-1</f>
        <v/>
      </c>
      <c r="V41" s="111" t="n"/>
      <c r="W41" s="315" t="n">
        <v>360.33</v>
      </c>
      <c r="X41" s="111">
        <f>W41/W29-1</f>
        <v/>
      </c>
      <c r="Y41" s="111" t="n"/>
      <c r="Z41" s="315" t="n">
        <v>8589.559999999999</v>
      </c>
      <c r="AA41" s="111">
        <f>Z41/Z29-1</f>
        <v/>
      </c>
      <c r="AB41" s="111" t="n"/>
      <c r="AC41" s="315" t="n">
        <v>7089.66</v>
      </c>
      <c r="AD41" s="111">
        <f>AC41/AC29-1</f>
        <v/>
      </c>
      <c r="AE41" s="111" t="n"/>
      <c r="AF41" s="315" t="n">
        <v>1230.45</v>
      </c>
      <c r="AG41" s="111">
        <f>AF41/AF29-1</f>
        <v/>
      </c>
      <c r="AH41" s="111" t="n"/>
      <c r="AI41" s="315" t="n">
        <v>269.45</v>
      </c>
      <c r="AJ41" s="111">
        <f>AI41/AI29-1</f>
        <v/>
      </c>
      <c r="AK41" s="111" t="n"/>
      <c r="AL41" s="316" t="n">
        <v>82.56999999999999</v>
      </c>
      <c r="AM41" s="380">
        <f>AL41-AL29</f>
        <v/>
      </c>
      <c r="AN41" s="111" t="n"/>
      <c r="AO41" s="316" t="n">
        <v>83.98</v>
      </c>
      <c r="AP41" s="380">
        <f>AO41-AO29</f>
        <v/>
      </c>
      <c r="AQ41" s="111" t="n"/>
      <c r="AR41" s="316" t="n">
        <v>80.25</v>
      </c>
      <c r="AS41" s="380">
        <f>AR41-AR29</f>
        <v/>
      </c>
      <c r="AT41" s="111" t="n"/>
      <c r="AU41" s="316" t="n">
        <v>78.64</v>
      </c>
      <c r="AV41" s="380">
        <f>AU41-AU29</f>
        <v/>
      </c>
      <c r="AW41" s="111" t="n"/>
      <c r="AX41" s="315" t="n">
        <v>571</v>
      </c>
      <c r="AY41" s="111">
        <f>AX41/AX29-1</f>
        <v/>
      </c>
      <c r="AZ41" s="111" t="n"/>
      <c r="BA41" s="378" t="n"/>
      <c r="BB41" s="142" t="n"/>
      <c r="BC41" s="378" t="n"/>
      <c r="BD41" s="142" t="n"/>
      <c r="BE41" s="378" t="n"/>
      <c r="BF41" s="142" t="n"/>
      <c r="BG41" s="378" t="n"/>
      <c r="BH41" s="142" t="n"/>
      <c r="BI41" s="318" t="n"/>
      <c r="BJ41" s="142" t="n"/>
      <c r="BK41" s="318" t="n"/>
      <c r="BL41" s="142" t="n"/>
      <c r="BM41" s="318" t="n"/>
      <c r="BN41" s="142" t="n"/>
      <c r="BO41" s="318" t="n"/>
      <c r="BP41" s="318" t="n"/>
      <c r="BQ41" s="142" t="n"/>
      <c r="BR41" s="318" t="n"/>
      <c r="BS41" s="142" t="n"/>
      <c r="BT41" s="318" t="n"/>
      <c r="BU41" s="142" t="n"/>
      <c r="BV41" s="318" t="n"/>
      <c r="BW41" s="142" t="n"/>
      <c r="BX41" s="318" t="n"/>
      <c r="BY41" s="142" t="n"/>
      <c r="BZ41" s="318" t="n"/>
      <c r="CA41" s="142" t="n"/>
      <c r="CB41" s="318" t="n"/>
      <c r="CC41" s="142" t="n"/>
      <c r="CD41" s="318" t="n"/>
      <c r="CE41" s="142" t="n"/>
      <c r="CF41" s="318" t="n"/>
      <c r="CG41" s="317" t="n"/>
      <c r="CH41" s="318" t="n"/>
      <c r="CI41" s="317" t="n"/>
      <c r="CJ41" s="318" t="n"/>
      <c r="CK41" s="317" t="n"/>
      <c r="CL41" s="318" t="n"/>
      <c r="CM41" s="317" t="n"/>
      <c r="CN41" s="318" t="n"/>
      <c r="CO41" s="80" t="n"/>
      <c r="CP41" s="318" t="n"/>
      <c r="CQ41" s="80" t="n"/>
      <c r="CR41" s="318" t="n"/>
      <c r="CS41" s="80" t="n"/>
      <c r="CT41" s="318" t="n"/>
      <c r="CU41" s="80" t="n"/>
      <c r="CV41" s="361" t="n"/>
      <c r="CW41" s="318" t="n"/>
      <c r="CX41" s="142" t="n"/>
      <c r="CY41" s="318" t="n"/>
      <c r="CZ41" s="142" t="n"/>
      <c r="DA41" s="318" t="n"/>
      <c r="DB41" s="142" t="n"/>
      <c r="DC41" s="318" t="n"/>
      <c r="DD41" s="142" t="n"/>
      <c r="DE41" s="379" t="n"/>
      <c r="DF41" s="379" t="n"/>
      <c r="DG41" s="214" t="n"/>
    </row>
    <row r="42" customFormat="1" s="117">
      <c r="A42" s="376" t="n">
        <v>42825</v>
      </c>
      <c r="B42" s="315" t="n">
        <v>18402.63</v>
      </c>
      <c r="C42" s="111">
        <f>B42/B30-1</f>
        <v/>
      </c>
      <c r="D42" s="111" t="n"/>
      <c r="E42" s="315" t="n">
        <v>11607.24</v>
      </c>
      <c r="F42" s="111">
        <f>E42/E30-1</f>
        <v/>
      </c>
      <c r="G42" s="111" t="n"/>
      <c r="H42" s="315" t="n">
        <v>6314.77</v>
      </c>
      <c r="I42" s="111">
        <f>H42/H30-1</f>
        <v/>
      </c>
      <c r="J42" s="111" t="n"/>
      <c r="K42" s="315" t="n">
        <v>480.62</v>
      </c>
      <c r="L42" s="111">
        <f>K42/K30-1</f>
        <v/>
      </c>
      <c r="M42" s="111" t="n"/>
      <c r="N42" s="315" t="n">
        <v>14848.8</v>
      </c>
      <c r="O42" s="111">
        <f>N42/N30-1</f>
        <v/>
      </c>
      <c r="P42" s="111" t="n"/>
      <c r="Q42" s="315" t="n">
        <v>9652.200000000001</v>
      </c>
      <c r="R42" s="111">
        <f>Q42/Q30-1</f>
        <v/>
      </c>
      <c r="S42" s="111" t="n"/>
      <c r="T42" s="315" t="n">
        <v>4831.69</v>
      </c>
      <c r="U42" s="111">
        <f>T42/T30-1</f>
        <v/>
      </c>
      <c r="V42" s="111" t="n"/>
      <c r="W42" s="315" t="n">
        <v>364.91</v>
      </c>
      <c r="X42" s="111">
        <f>W42/W30-1</f>
        <v/>
      </c>
      <c r="Y42" s="111" t="n"/>
      <c r="Z42" s="315" t="n">
        <v>9119.02</v>
      </c>
      <c r="AA42" s="111">
        <f>Z42/Z30-1</f>
        <v/>
      </c>
      <c r="AB42" s="111" t="n"/>
      <c r="AC42" s="315" t="n">
        <v>7644.18</v>
      </c>
      <c r="AD42" s="111">
        <f>AC42/AC30-1</f>
        <v/>
      </c>
      <c r="AE42" s="111" t="n"/>
      <c r="AF42" s="315" t="n">
        <v>1204.93</v>
      </c>
      <c r="AG42" s="111">
        <f>AF42/AF30-1</f>
        <v/>
      </c>
      <c r="AH42" s="111" t="n"/>
      <c r="AI42" s="315" t="n">
        <v>269.91</v>
      </c>
      <c r="AJ42" s="111">
        <f>AI42/AI30-1</f>
        <v/>
      </c>
      <c r="AK42" s="111" t="n"/>
      <c r="AL42" s="316" t="n">
        <v>80.69</v>
      </c>
      <c r="AM42" s="380">
        <f>AL42-AL30</f>
        <v/>
      </c>
      <c r="AN42" s="111" t="n"/>
      <c r="AO42" s="316" t="n">
        <v>83.16</v>
      </c>
      <c r="AP42" s="380">
        <f>AO42-AO30</f>
        <v/>
      </c>
      <c r="AQ42" s="111" t="n"/>
      <c r="AR42" s="316" t="n">
        <v>76.51000000000001</v>
      </c>
      <c r="AS42" s="380">
        <f>AR42-AR30</f>
        <v/>
      </c>
      <c r="AT42" s="111" t="n"/>
      <c r="AU42" s="316" t="n">
        <v>75.93000000000001</v>
      </c>
      <c r="AV42" s="380">
        <f>AU42-AU30</f>
        <v/>
      </c>
      <c r="AW42" s="111" t="n"/>
      <c r="AX42" s="315" t="n">
        <v>573</v>
      </c>
      <c r="AY42" s="111">
        <f>AX42/AX30-1</f>
        <v/>
      </c>
      <c r="AZ42" s="111" t="n"/>
      <c r="BA42" s="378" t="n"/>
      <c r="BB42" s="142" t="n"/>
      <c r="BC42" s="378" t="n"/>
      <c r="BD42" s="142" t="n"/>
      <c r="BE42" s="378" t="n"/>
      <c r="BF42" s="142" t="n"/>
      <c r="BG42" s="378" t="n"/>
      <c r="BH42" s="142" t="n"/>
      <c r="BI42" s="318" t="n"/>
      <c r="BJ42" s="142" t="n"/>
      <c r="BK42" s="318" t="n"/>
      <c r="BL42" s="142" t="n"/>
      <c r="BM42" s="318" t="n"/>
      <c r="BN42" s="142" t="n"/>
      <c r="BO42" s="318" t="n"/>
      <c r="BP42" s="318" t="n"/>
      <c r="BQ42" s="142" t="n"/>
      <c r="BR42" s="318" t="n"/>
      <c r="BS42" s="142" t="n"/>
      <c r="BT42" s="318" t="n"/>
      <c r="BU42" s="142" t="n"/>
      <c r="BV42" s="318" t="n"/>
      <c r="BW42" s="142" t="n"/>
      <c r="BX42" s="318" t="n"/>
      <c r="BY42" s="142" t="n"/>
      <c r="BZ42" s="318" t="n"/>
      <c r="CA42" s="142" t="n"/>
      <c r="CB42" s="318" t="n"/>
      <c r="CC42" s="142" t="n"/>
      <c r="CD42" s="318" t="n"/>
      <c r="CE42" s="142" t="n"/>
      <c r="CF42" s="318" t="n"/>
      <c r="CG42" s="317" t="n"/>
      <c r="CH42" s="318" t="n"/>
      <c r="CI42" s="317" t="n"/>
      <c r="CJ42" s="318" t="n"/>
      <c r="CK42" s="317" t="n"/>
      <c r="CL42" s="318" t="n"/>
      <c r="CM42" s="317" t="n"/>
      <c r="CN42" s="318" t="n"/>
      <c r="CO42" s="80" t="n"/>
      <c r="CP42" s="318" t="n"/>
      <c r="CQ42" s="80" t="n"/>
      <c r="CR42" s="318" t="n"/>
      <c r="CS42" s="80" t="n"/>
      <c r="CT42" s="318" t="n"/>
      <c r="CU42" s="80" t="n"/>
      <c r="CV42" s="361" t="n"/>
      <c r="CW42" s="318" t="n"/>
      <c r="CX42" s="142" t="n"/>
      <c r="CY42" s="318" t="n"/>
      <c r="CZ42" s="142" t="n"/>
      <c r="DA42" s="318" t="n"/>
      <c r="DB42" s="142" t="n"/>
      <c r="DC42" s="318" t="n"/>
      <c r="DD42" s="142" t="n"/>
      <c r="DE42" s="379" t="n"/>
      <c r="DF42" s="379" t="n"/>
      <c r="DG42" s="214" t="n"/>
    </row>
    <row r="43" customFormat="1" s="117">
      <c r="A43" s="376" t="n">
        <v>42855</v>
      </c>
      <c r="B43" s="315" t="n">
        <v>18053.37</v>
      </c>
      <c r="C43" s="111">
        <f>B43/B31-1</f>
        <v/>
      </c>
      <c r="D43" s="111" t="n"/>
      <c r="E43" s="315" t="n">
        <v>11187.96</v>
      </c>
      <c r="F43" s="111">
        <f>E43/E31-1</f>
        <v/>
      </c>
      <c r="G43" s="111" t="n"/>
      <c r="H43" s="315" t="n">
        <v>6372.86</v>
      </c>
      <c r="I43" s="111">
        <f>H43/H31-1</f>
        <v/>
      </c>
      <c r="J43" s="111" t="n"/>
      <c r="K43" s="315" t="n">
        <v>492.55</v>
      </c>
      <c r="L43" s="111">
        <f>K43/K31-1</f>
        <v/>
      </c>
      <c r="M43" s="111" t="n"/>
      <c r="N43" s="315" t="n">
        <v>14683.36</v>
      </c>
      <c r="O43" s="111">
        <f>N43/N31-1</f>
        <v/>
      </c>
      <c r="P43" s="111" t="n"/>
      <c r="Q43" s="315" t="n">
        <v>9342.42</v>
      </c>
      <c r="R43" s="111">
        <f>Q43/Q31-1</f>
        <v/>
      </c>
      <c r="S43" s="111" t="n"/>
      <c r="T43" s="315" t="n">
        <v>4948.36</v>
      </c>
      <c r="U43" s="111">
        <f>T43/T31-1</f>
        <v/>
      </c>
      <c r="V43" s="111" t="n"/>
      <c r="W43" s="315" t="n">
        <v>392.59</v>
      </c>
      <c r="X43" s="111">
        <f>W43/W31-1</f>
        <v/>
      </c>
      <c r="Y43" s="111" t="n"/>
      <c r="Z43" s="315" t="n">
        <v>8922.530000000001</v>
      </c>
      <c r="AA43" s="111">
        <f>Z43/Z31-1</f>
        <v/>
      </c>
      <c r="AB43" s="111" t="n"/>
      <c r="AC43" s="315" t="n">
        <v>7476.25</v>
      </c>
      <c r="AD43" s="111">
        <f>AC43/AC31-1</f>
        <v/>
      </c>
      <c r="AE43" s="111" t="n"/>
      <c r="AF43" s="315" t="n">
        <v>1157</v>
      </c>
      <c r="AG43" s="111">
        <f>AF43/AF31-1</f>
        <v/>
      </c>
      <c r="AH43" s="111" t="n"/>
      <c r="AI43" s="315" t="n">
        <v>289.28</v>
      </c>
      <c r="AJ43" s="111">
        <f>AI43/AI31-1</f>
        <v/>
      </c>
      <c r="AK43" s="111" t="n"/>
      <c r="AL43" s="316" t="n">
        <v>81.33</v>
      </c>
      <c r="AM43" s="380">
        <f>AL43-AL31</f>
        <v/>
      </c>
      <c r="AN43" s="111" t="n"/>
      <c r="AO43" s="316" t="n">
        <v>83.5</v>
      </c>
      <c r="AP43" s="380">
        <f>AO43-AO31</f>
        <v/>
      </c>
      <c r="AQ43" s="111" t="n"/>
      <c r="AR43" s="316" t="n">
        <v>77.65000000000001</v>
      </c>
      <c r="AS43" s="380">
        <f>AR43-AR31</f>
        <v/>
      </c>
      <c r="AT43" s="111" t="n"/>
      <c r="AU43" s="316" t="n">
        <v>79.7</v>
      </c>
      <c r="AV43" s="380">
        <f>AU43-AU31</f>
        <v/>
      </c>
      <c r="AW43" s="111" t="n"/>
      <c r="AX43" s="315" t="n">
        <v>577</v>
      </c>
      <c r="AY43" s="111">
        <f>AX43/AX31-1</f>
        <v/>
      </c>
      <c r="AZ43" s="111" t="n"/>
      <c r="BA43" s="378" t="n"/>
      <c r="BB43" s="142" t="n"/>
      <c r="BC43" s="378" t="n"/>
      <c r="BD43" s="142" t="n"/>
      <c r="BE43" s="378" t="n"/>
      <c r="BF43" s="142" t="n"/>
      <c r="BG43" s="378" t="n"/>
      <c r="BH43" s="142" t="n"/>
      <c r="BI43" s="318" t="n"/>
      <c r="BJ43" s="142" t="n"/>
      <c r="BK43" s="318" t="n"/>
      <c r="BL43" s="142" t="n"/>
      <c r="BM43" s="318" t="n"/>
      <c r="BN43" s="142" t="n"/>
      <c r="BO43" s="318" t="n"/>
      <c r="BP43" s="318" t="n"/>
      <c r="BQ43" s="142" t="n"/>
      <c r="BR43" s="318" t="n"/>
      <c r="BS43" s="142" t="n"/>
      <c r="BT43" s="318" t="n"/>
      <c r="BU43" s="142" t="n"/>
      <c r="BV43" s="318" t="n"/>
      <c r="BW43" s="142" t="n"/>
      <c r="BX43" s="318" t="n"/>
      <c r="BY43" s="142" t="n"/>
      <c r="BZ43" s="318" t="n"/>
      <c r="CA43" s="142" t="n"/>
      <c r="CB43" s="318" t="n"/>
      <c r="CC43" s="142" t="n"/>
      <c r="CD43" s="318" t="n"/>
      <c r="CE43" s="142" t="n"/>
      <c r="CF43" s="318" t="n"/>
      <c r="CG43" s="317" t="n"/>
      <c r="CH43" s="318" t="n"/>
      <c r="CI43" s="317" t="n"/>
      <c r="CJ43" s="318" t="n"/>
      <c r="CK43" s="317" t="n"/>
      <c r="CL43" s="318" t="n"/>
      <c r="CM43" s="317" t="n"/>
      <c r="CN43" s="318" t="n"/>
      <c r="CO43" s="80" t="n"/>
      <c r="CP43" s="318" t="n"/>
      <c r="CQ43" s="80" t="n"/>
      <c r="CR43" s="318" t="n"/>
      <c r="CS43" s="80" t="n"/>
      <c r="CT43" s="318" t="n"/>
      <c r="CU43" s="80" t="n"/>
      <c r="CV43" s="361" t="n"/>
      <c r="CW43" s="318" t="n"/>
      <c r="CX43" s="142" t="n"/>
      <c r="CY43" s="318" t="n"/>
      <c r="CZ43" s="142" t="n"/>
      <c r="DA43" s="318" t="n"/>
      <c r="DB43" s="142" t="n"/>
      <c r="DC43" s="318" t="n"/>
      <c r="DD43" s="142" t="n"/>
      <c r="DE43" s="379" t="n"/>
      <c r="DF43" s="379" t="n"/>
      <c r="DG43" s="214" t="n"/>
    </row>
    <row r="44" customFormat="1" s="117">
      <c r="A44" s="376" t="n">
        <v>42886</v>
      </c>
      <c r="B44" s="315" t="n">
        <v>18515.03</v>
      </c>
      <c r="C44" s="111">
        <f>B44/B32-1</f>
        <v/>
      </c>
      <c r="D44" s="111" t="n"/>
      <c r="E44" s="315" t="n">
        <v>11599.65</v>
      </c>
      <c r="F44" s="111">
        <f>E44/E32-1</f>
        <v/>
      </c>
      <c r="G44" s="111" t="n"/>
      <c r="H44" s="315" t="n">
        <v>6414.45</v>
      </c>
      <c r="I44" s="111">
        <f>H44/H32-1</f>
        <v/>
      </c>
      <c r="J44" s="111" t="n"/>
      <c r="K44" s="315" t="n">
        <v>500.93</v>
      </c>
      <c r="L44" s="111">
        <f>K44/K32-1</f>
        <v/>
      </c>
      <c r="M44" s="111" t="n"/>
      <c r="N44" s="315" t="n">
        <v>14851.86</v>
      </c>
      <c r="O44" s="111">
        <f>N44/N32-1</f>
        <v/>
      </c>
      <c r="P44" s="111" t="n"/>
      <c r="Q44" s="315" t="n">
        <v>9573.73</v>
      </c>
      <c r="R44" s="111">
        <f>Q44/Q32-1</f>
        <v/>
      </c>
      <c r="S44" s="111" t="n"/>
      <c r="T44" s="315" t="n">
        <v>4877.67</v>
      </c>
      <c r="U44" s="111">
        <f>T44/T32-1</f>
        <v/>
      </c>
      <c r="V44" s="111" t="n"/>
      <c r="W44" s="315" t="n">
        <v>400.46</v>
      </c>
      <c r="X44" s="111">
        <f>W44/W32-1</f>
        <v/>
      </c>
      <c r="Y44" s="111" t="n"/>
      <c r="Z44" s="315" t="n">
        <v>9107.5</v>
      </c>
      <c r="AA44" s="111">
        <f>Z44/Z32-1</f>
        <v/>
      </c>
      <c r="AB44" s="111" t="n"/>
      <c r="AC44" s="315" t="n">
        <v>7694.39</v>
      </c>
      <c r="AD44" s="111">
        <f>AC44/AC32-1</f>
        <v/>
      </c>
      <c r="AE44" s="111" t="n"/>
      <c r="AF44" s="315" t="n">
        <v>1118.83</v>
      </c>
      <c r="AG44" s="111">
        <f>AF44/AF32-1</f>
        <v/>
      </c>
      <c r="AH44" s="111" t="n"/>
      <c r="AI44" s="315" t="n">
        <v>294.28</v>
      </c>
      <c r="AJ44" s="111">
        <f>AI44/AI32-1</f>
        <v/>
      </c>
      <c r="AK44" s="111" t="n"/>
      <c r="AL44" s="316" t="n">
        <v>80.22</v>
      </c>
      <c r="AM44" s="380">
        <f>AL44-AL32</f>
        <v/>
      </c>
      <c r="AN44" s="111" t="n"/>
      <c r="AO44" s="316" t="n">
        <v>82.53</v>
      </c>
      <c r="AP44" s="380">
        <f>AO44-AO32</f>
        <v/>
      </c>
      <c r="AQ44" s="111" t="n"/>
      <c r="AR44" s="316" t="n">
        <v>76.04000000000001</v>
      </c>
      <c r="AS44" s="380">
        <f>AR44-AR32</f>
        <v/>
      </c>
      <c r="AT44" s="111" t="n"/>
      <c r="AU44" s="316" t="n">
        <v>79.94</v>
      </c>
      <c r="AV44" s="380">
        <f>AU44-AU32</f>
        <v/>
      </c>
      <c r="AW44" s="111" t="n"/>
      <c r="AX44" s="315" t="n">
        <v>579</v>
      </c>
      <c r="AY44" s="111">
        <f>AX44/AX32-1</f>
        <v/>
      </c>
      <c r="AZ44" s="111" t="n"/>
      <c r="BA44" s="378" t="n"/>
      <c r="BB44" s="142" t="n"/>
      <c r="BC44" s="378" t="n"/>
      <c r="BD44" s="142" t="n"/>
      <c r="BE44" s="378" t="n"/>
      <c r="BF44" s="142" t="n"/>
      <c r="BG44" s="378" t="n"/>
      <c r="BH44" s="142" t="n"/>
      <c r="BI44" s="318" t="n"/>
      <c r="BJ44" s="142" t="n"/>
      <c r="BK44" s="318" t="n"/>
      <c r="BL44" s="142" t="n"/>
      <c r="BM44" s="318" t="n"/>
      <c r="BN44" s="142" t="n"/>
      <c r="BO44" s="318" t="n"/>
      <c r="BP44" s="318" t="n"/>
      <c r="BQ44" s="142" t="n"/>
      <c r="BR44" s="318" t="n"/>
      <c r="BS44" s="142" t="n"/>
      <c r="BT44" s="318" t="n"/>
      <c r="BU44" s="142" t="n"/>
      <c r="BV44" s="318" t="n"/>
      <c r="BW44" s="142" t="n"/>
      <c r="BX44" s="318" t="n"/>
      <c r="BY44" s="142" t="n"/>
      <c r="BZ44" s="318" t="n"/>
      <c r="CA44" s="142" t="n"/>
      <c r="CB44" s="318" t="n"/>
      <c r="CC44" s="142" t="n"/>
      <c r="CD44" s="318" t="n"/>
      <c r="CE44" s="142" t="n"/>
      <c r="CF44" s="318" t="n"/>
      <c r="CG44" s="317" t="n"/>
      <c r="CH44" s="318" t="n"/>
      <c r="CI44" s="317" t="n"/>
      <c r="CJ44" s="318" t="n"/>
      <c r="CK44" s="317" t="n"/>
      <c r="CL44" s="318" t="n"/>
      <c r="CM44" s="317" t="n"/>
      <c r="CN44" s="318" t="n"/>
      <c r="CO44" s="80" t="n"/>
      <c r="CP44" s="318" t="n"/>
      <c r="CQ44" s="80" t="n"/>
      <c r="CR44" s="318" t="n"/>
      <c r="CS44" s="80" t="n"/>
      <c r="CT44" s="318" t="n"/>
      <c r="CU44" s="80" t="n"/>
      <c r="CV44" s="361" t="n"/>
      <c r="CW44" s="318" t="n"/>
      <c r="CX44" s="142" t="n"/>
      <c r="CY44" s="318" t="n"/>
      <c r="CZ44" s="142" t="n"/>
      <c r="DA44" s="318" t="n"/>
      <c r="DB44" s="142" t="n"/>
      <c r="DC44" s="318" t="n"/>
      <c r="DD44" s="142" t="n"/>
      <c r="DE44" s="379" t="n"/>
      <c r="DF44" s="379" t="n"/>
      <c r="DG44" s="214" t="n"/>
    </row>
    <row r="45" customFormat="1" s="117">
      <c r="A45" s="376" t="n">
        <v>42916</v>
      </c>
      <c r="B45" s="315" t="n">
        <v>17620.02</v>
      </c>
      <c r="C45" s="111">
        <f>B45/B33-1</f>
        <v/>
      </c>
      <c r="D45" s="111" t="n"/>
      <c r="E45" s="315" t="n">
        <v>10817.86</v>
      </c>
      <c r="F45" s="111">
        <f>E45/E33-1</f>
        <v/>
      </c>
      <c r="G45" s="111" t="n"/>
      <c r="H45" s="315" t="n">
        <v>6329.47</v>
      </c>
      <c r="I45" s="111">
        <f>H45/H33-1</f>
        <v/>
      </c>
      <c r="J45" s="111" t="n"/>
      <c r="K45" s="315" t="n">
        <v>472.7</v>
      </c>
      <c r="L45" s="111">
        <f>K45/K33-1</f>
        <v/>
      </c>
      <c r="M45" s="111" t="n"/>
      <c r="N45" s="315" t="n">
        <v>14346.82</v>
      </c>
      <c r="O45" s="111">
        <f>N45/N33-1</f>
        <v/>
      </c>
      <c r="P45" s="111" t="n"/>
      <c r="Q45" s="315" t="n">
        <v>9130.469999999999</v>
      </c>
      <c r="R45" s="111">
        <f>Q45/Q33-1</f>
        <v/>
      </c>
      <c r="S45" s="111" t="n"/>
      <c r="T45" s="315" t="n">
        <v>4834.22</v>
      </c>
      <c r="U45" s="111">
        <f>T45/T33-1</f>
        <v/>
      </c>
      <c r="V45" s="111" t="n"/>
      <c r="W45" s="315" t="n">
        <v>382.14</v>
      </c>
      <c r="X45" s="111">
        <f>W45/W33-1</f>
        <v/>
      </c>
      <c r="Y45" s="111" t="n"/>
      <c r="Z45" s="315" t="n">
        <v>8661.85</v>
      </c>
      <c r="AA45" s="111">
        <f>Z45/Z33-1</f>
        <v/>
      </c>
      <c r="AB45" s="111" t="n"/>
      <c r="AC45" s="315" t="n">
        <v>7285.74</v>
      </c>
      <c r="AD45" s="111">
        <f>AC45/AC33-1</f>
        <v/>
      </c>
      <c r="AE45" s="111" t="n"/>
      <c r="AF45" s="315" t="n">
        <v>1096.11</v>
      </c>
      <c r="AG45" s="111">
        <f>AF45/AF33-1</f>
        <v/>
      </c>
      <c r="AH45" s="111" t="n"/>
      <c r="AI45" s="315" t="n">
        <v>279.99</v>
      </c>
      <c r="AJ45" s="111">
        <f>AI45/AI33-1</f>
        <v/>
      </c>
      <c r="AK45" s="111" t="n"/>
      <c r="AL45" s="316" t="n">
        <v>81.42</v>
      </c>
      <c r="AM45" s="380">
        <f>AL45-AL33</f>
        <v/>
      </c>
      <c r="AN45" s="111" t="n"/>
      <c r="AO45" s="316" t="n">
        <v>84.40000000000001</v>
      </c>
      <c r="AP45" s="380">
        <f>AO45-AO33</f>
        <v/>
      </c>
      <c r="AQ45" s="111" t="n"/>
      <c r="AR45" s="316" t="n">
        <v>76.38</v>
      </c>
      <c r="AS45" s="380">
        <f>AR45-AR33</f>
        <v/>
      </c>
      <c r="AT45" s="111" t="n"/>
      <c r="AU45" s="316" t="n">
        <v>80.84</v>
      </c>
      <c r="AV45" s="380">
        <f>AU45-AU33</f>
        <v/>
      </c>
      <c r="AW45" s="111" t="n"/>
      <c r="AX45" s="315" t="n">
        <v>583</v>
      </c>
      <c r="AY45" s="111">
        <f>AX45/AX33-1</f>
        <v/>
      </c>
      <c r="AZ45" s="111" t="n"/>
      <c r="BA45" s="378" t="n"/>
      <c r="BB45" s="142" t="n"/>
      <c r="BC45" s="378" t="n"/>
      <c r="BD45" s="142" t="n"/>
      <c r="BE45" s="378" t="n"/>
      <c r="BF45" s="142" t="n"/>
      <c r="BG45" s="378" t="n"/>
      <c r="BH45" s="142" t="n"/>
      <c r="BI45" s="318" t="n"/>
      <c r="BJ45" s="142" t="n"/>
      <c r="BK45" s="318" t="n"/>
      <c r="BL45" s="142" t="n"/>
      <c r="BM45" s="318" t="n"/>
      <c r="BN45" s="142" t="n"/>
      <c r="BO45" s="318" t="n"/>
      <c r="BP45" s="318" t="n"/>
      <c r="BQ45" s="142" t="n"/>
      <c r="BR45" s="318" t="n"/>
      <c r="BS45" s="142" t="n"/>
      <c r="BT45" s="318" t="n"/>
      <c r="BU45" s="142" t="n"/>
      <c r="BV45" s="318" t="n"/>
      <c r="BW45" s="142" t="n"/>
      <c r="BX45" s="318" t="n"/>
      <c r="BY45" s="142" t="n"/>
      <c r="BZ45" s="318" t="n"/>
      <c r="CA45" s="142" t="n"/>
      <c r="CB45" s="318" t="n"/>
      <c r="CC45" s="142" t="n"/>
      <c r="CD45" s="318" t="n"/>
      <c r="CE45" s="142" t="n"/>
      <c r="CF45" s="318" t="n"/>
      <c r="CG45" s="317" t="n"/>
      <c r="CH45" s="318" t="n"/>
      <c r="CI45" s="317" t="n"/>
      <c r="CJ45" s="318" t="n"/>
      <c r="CK45" s="317" t="n"/>
      <c r="CL45" s="318" t="n"/>
      <c r="CM45" s="317" t="n"/>
      <c r="CN45" s="318" t="n"/>
      <c r="CO45" s="80" t="n"/>
      <c r="CP45" s="318" t="n"/>
      <c r="CQ45" s="80" t="n"/>
      <c r="CR45" s="318" t="n"/>
      <c r="CS45" s="80" t="n"/>
      <c r="CT45" s="318" t="n"/>
      <c r="CU45" s="80" t="n"/>
      <c r="CV45" s="361" t="n"/>
      <c r="CW45" s="318" t="n"/>
      <c r="CX45" s="142" t="n"/>
      <c r="CY45" s="318" t="n"/>
      <c r="CZ45" s="142" t="n"/>
      <c r="DA45" s="318" t="n"/>
      <c r="DB45" s="142" t="n"/>
      <c r="DC45" s="318" t="n"/>
      <c r="DD45" s="142" t="n"/>
      <c r="DE45" s="379" t="n"/>
      <c r="DF45" s="379" t="n"/>
      <c r="DG45" s="214" t="n"/>
    </row>
    <row r="46" customFormat="1" s="117">
      <c r="A46" s="376" t="n">
        <v>42947</v>
      </c>
      <c r="B46" s="315" t="n">
        <v>20166.7</v>
      </c>
      <c r="C46" s="111">
        <f>B46/B34-1</f>
        <v/>
      </c>
      <c r="D46" s="111" t="n"/>
      <c r="E46" s="315" t="n">
        <v>12508.51</v>
      </c>
      <c r="F46" s="111">
        <f>E46/E34-1</f>
        <v/>
      </c>
      <c r="G46" s="111" t="n"/>
      <c r="H46" s="315" t="n">
        <v>7142.53</v>
      </c>
      <c r="I46" s="111">
        <f>H46/H34-1</f>
        <v/>
      </c>
      <c r="J46" s="111" t="n"/>
      <c r="K46" s="315" t="n">
        <v>515.66</v>
      </c>
      <c r="L46" s="111">
        <f>K46/K34-1</f>
        <v/>
      </c>
      <c r="M46" s="111" t="n"/>
      <c r="N46" s="315" t="n">
        <v>16379.97</v>
      </c>
      <c r="O46" s="111">
        <f>N46/N34-1</f>
        <v/>
      </c>
      <c r="P46" s="111" t="n"/>
      <c r="Q46" s="315" t="n">
        <v>10356.33</v>
      </c>
      <c r="R46" s="111">
        <f>Q46/Q34-1</f>
        <v/>
      </c>
      <c r="S46" s="111" t="n"/>
      <c r="T46" s="315" t="n">
        <v>5596.93</v>
      </c>
      <c r="U46" s="111">
        <f>T46/T34-1</f>
        <v/>
      </c>
      <c r="V46" s="111" t="n"/>
      <c r="W46" s="315" t="n">
        <v>426.71</v>
      </c>
      <c r="X46" s="111">
        <f>W46/W34-1</f>
        <v/>
      </c>
      <c r="Y46" s="111" t="n"/>
      <c r="Z46" s="315" t="n">
        <v>9772.65</v>
      </c>
      <c r="AA46" s="111">
        <f>Z46/Z34-1</f>
        <v/>
      </c>
      <c r="AB46" s="111" t="n"/>
      <c r="AC46" s="315" t="n">
        <v>8153.42</v>
      </c>
      <c r="AD46" s="111">
        <f>AC46/AC34-1</f>
        <v/>
      </c>
      <c r="AE46" s="111" t="n"/>
      <c r="AF46" s="315" t="n">
        <v>1304.88</v>
      </c>
      <c r="AG46" s="111">
        <f>AF46/AF34-1</f>
        <v/>
      </c>
      <c r="AH46" s="111" t="n"/>
      <c r="AI46" s="315" t="n">
        <v>314.35</v>
      </c>
      <c r="AJ46" s="111">
        <f>AI46/AI34-1</f>
        <v/>
      </c>
      <c r="AK46" s="111" t="n"/>
      <c r="AL46" s="316" t="n">
        <v>81.22</v>
      </c>
      <c r="AM46" s="380">
        <f>AL46-AL34</f>
        <v/>
      </c>
      <c r="AN46" s="111" t="n"/>
      <c r="AO46" s="316" t="n">
        <v>82.79000000000001</v>
      </c>
      <c r="AP46" s="380">
        <f>AO46-AO34</f>
        <v/>
      </c>
      <c r="AQ46" s="111" t="n"/>
      <c r="AR46" s="316" t="n">
        <v>78.36</v>
      </c>
      <c r="AS46" s="380">
        <f>AR46-AR34</f>
        <v/>
      </c>
      <c r="AT46" s="111" t="n"/>
      <c r="AU46" s="316" t="n">
        <v>82.75</v>
      </c>
      <c r="AV46" s="380">
        <f>AU46-AU34</f>
        <v/>
      </c>
      <c r="AW46" s="111" t="n"/>
      <c r="AX46" s="315" t="n">
        <v>591</v>
      </c>
      <c r="AY46" s="111">
        <f>AX46/AX34-1</f>
        <v/>
      </c>
      <c r="AZ46" s="111" t="n"/>
      <c r="BA46" s="378" t="n"/>
      <c r="BB46" s="142" t="n"/>
      <c r="BC46" s="378" t="n"/>
      <c r="BD46" s="142" t="n"/>
      <c r="BE46" s="378" t="n"/>
      <c r="BF46" s="142" t="n"/>
      <c r="BG46" s="378" t="n"/>
      <c r="BH46" s="142" t="n"/>
      <c r="BI46" s="318" t="n"/>
      <c r="BJ46" s="142" t="n"/>
      <c r="BK46" s="318" t="n"/>
      <c r="BL46" s="142" t="n"/>
      <c r="BM46" s="318" t="n"/>
      <c r="BN46" s="142" t="n"/>
      <c r="BO46" s="318" t="n"/>
      <c r="BP46" s="318" t="n"/>
      <c r="BQ46" s="142" t="n"/>
      <c r="BR46" s="318" t="n"/>
      <c r="BS46" s="142" t="n"/>
      <c r="BT46" s="318" t="n"/>
      <c r="BU46" s="142" t="n"/>
      <c r="BV46" s="318" t="n"/>
      <c r="BW46" s="142" t="n"/>
      <c r="BX46" s="318" t="n"/>
      <c r="BY46" s="142" t="n"/>
      <c r="BZ46" s="318" t="n"/>
      <c r="CA46" s="142" t="n"/>
      <c r="CB46" s="318" t="n"/>
      <c r="CC46" s="142" t="n"/>
      <c r="CD46" s="318" t="n"/>
      <c r="CE46" s="142" t="n"/>
      <c r="CF46" s="318" t="n"/>
      <c r="CG46" s="317" t="n"/>
      <c r="CH46" s="318" t="n"/>
      <c r="CI46" s="317" t="n"/>
      <c r="CJ46" s="318" t="n"/>
      <c r="CK46" s="317" t="n"/>
      <c r="CL46" s="318" t="n"/>
      <c r="CM46" s="317" t="n"/>
      <c r="CN46" s="318" t="n"/>
      <c r="CO46" s="80" t="n"/>
      <c r="CP46" s="318" t="n"/>
      <c r="CQ46" s="80" t="n"/>
      <c r="CR46" s="318" t="n"/>
      <c r="CS46" s="80" t="n"/>
      <c r="CT46" s="318" t="n"/>
      <c r="CU46" s="80" t="n"/>
      <c r="CV46" s="361" t="n"/>
      <c r="CW46" s="318" t="n"/>
      <c r="CX46" s="142" t="n"/>
      <c r="CY46" s="318" t="n"/>
      <c r="CZ46" s="142" t="n"/>
      <c r="DA46" s="318" t="n"/>
      <c r="DB46" s="142" t="n"/>
      <c r="DC46" s="318" t="n"/>
      <c r="DD46" s="142" t="n"/>
      <c r="DE46" s="379" t="n"/>
      <c r="DF46" s="379" t="n"/>
      <c r="DG46" s="214" t="n"/>
    </row>
    <row r="47" customFormat="1" s="117">
      <c r="A47" s="376" t="n">
        <v>42978</v>
      </c>
      <c r="B47" s="315" t="n">
        <v>20470.64</v>
      </c>
      <c r="C47" s="111">
        <f>B47/B35-1</f>
        <v/>
      </c>
      <c r="D47" s="111" t="n"/>
      <c r="E47" s="315" t="n">
        <v>12722.34</v>
      </c>
      <c r="F47" s="111">
        <f>E47/E35-1</f>
        <v/>
      </c>
      <c r="G47" s="111" t="n"/>
      <c r="H47" s="315" t="n">
        <v>7248.86</v>
      </c>
      <c r="I47" s="111">
        <f>H47/H35-1</f>
        <v/>
      </c>
      <c r="J47" s="111" t="n"/>
      <c r="K47" s="315" t="n">
        <v>499.44</v>
      </c>
      <c r="L47" s="111">
        <f>K47/K35-1</f>
        <v/>
      </c>
      <c r="M47" s="111" t="n"/>
      <c r="N47" s="315" t="n">
        <v>17035.52</v>
      </c>
      <c r="O47" s="111">
        <f>N47/N35-1</f>
        <v/>
      </c>
      <c r="P47" s="111" t="n"/>
      <c r="Q47" s="315" t="n">
        <v>10731.38</v>
      </c>
      <c r="R47" s="111">
        <f>Q47/Q35-1</f>
        <v/>
      </c>
      <c r="S47" s="111" t="n"/>
      <c r="T47" s="315" t="n">
        <v>5882.72</v>
      </c>
      <c r="U47" s="111">
        <f>T47/T35-1</f>
        <v/>
      </c>
      <c r="V47" s="111" t="n"/>
      <c r="W47" s="315" t="n">
        <v>421.42</v>
      </c>
      <c r="X47" s="111">
        <f>W47/W35-1</f>
        <v/>
      </c>
      <c r="Y47" s="111" t="n"/>
      <c r="Z47" s="315" t="n">
        <v>10198</v>
      </c>
      <c r="AA47" s="111">
        <f>Z47/Z35-1</f>
        <v/>
      </c>
      <c r="AB47" s="111" t="n"/>
      <c r="AC47" s="315" t="n">
        <v>8479.700000000001</v>
      </c>
      <c r="AD47" s="111">
        <f>AC47/AC35-1</f>
        <v/>
      </c>
      <c r="AE47" s="111" t="n"/>
      <c r="AF47" s="315" t="n">
        <v>1408.03</v>
      </c>
      <c r="AG47" s="111">
        <f>AF47/AF35-1</f>
        <v/>
      </c>
      <c r="AH47" s="111" t="n"/>
      <c r="AI47" s="315" t="n">
        <v>310.27</v>
      </c>
      <c r="AJ47" s="111">
        <f>AI47/AI35-1</f>
        <v/>
      </c>
      <c r="AK47" s="111" t="n"/>
      <c r="AL47" s="316" t="n">
        <v>83.22</v>
      </c>
      <c r="AM47" s="380">
        <f>AL47-AL35</f>
        <v/>
      </c>
      <c r="AN47" s="111" t="n"/>
      <c r="AO47" s="316" t="n">
        <v>84.34999999999999</v>
      </c>
      <c r="AP47" s="380">
        <f>AO47-AO35</f>
        <v/>
      </c>
      <c r="AQ47" s="111" t="n"/>
      <c r="AR47" s="316" t="n">
        <v>81.15000000000001</v>
      </c>
      <c r="AS47" s="380">
        <f>AR47-AR35</f>
        <v/>
      </c>
      <c r="AT47" s="111" t="n"/>
      <c r="AU47" s="316" t="n">
        <v>84.38</v>
      </c>
      <c r="AV47" s="380">
        <f>AU47-AU35</f>
        <v/>
      </c>
      <c r="AW47" s="111" t="n"/>
      <c r="AX47" s="315" t="n">
        <v>602</v>
      </c>
      <c r="AY47" s="111">
        <f>AX47/AX35-1</f>
        <v/>
      </c>
      <c r="AZ47" s="111" t="n"/>
      <c r="BA47" s="378" t="n"/>
      <c r="BB47" s="142" t="n"/>
      <c r="BC47" s="378" t="n"/>
      <c r="BD47" s="142" t="n"/>
      <c r="BE47" s="378" t="n"/>
      <c r="BF47" s="142" t="n"/>
      <c r="BG47" s="378" t="n"/>
      <c r="BH47" s="142" t="n"/>
      <c r="BI47" s="318" t="n"/>
      <c r="BJ47" s="142" t="n"/>
      <c r="BK47" s="318" t="n"/>
      <c r="BL47" s="142" t="n"/>
      <c r="BM47" s="318" t="n"/>
      <c r="BN47" s="142" t="n"/>
      <c r="BO47" s="318" t="n"/>
      <c r="BP47" s="318" t="n"/>
      <c r="BQ47" s="142" t="n"/>
      <c r="BR47" s="318" t="n"/>
      <c r="BS47" s="142" t="n"/>
      <c r="BT47" s="318" t="n"/>
      <c r="BU47" s="142" t="n"/>
      <c r="BV47" s="318" t="n"/>
      <c r="BW47" s="142" t="n"/>
      <c r="BX47" s="318" t="n"/>
      <c r="BY47" s="142" t="n"/>
      <c r="BZ47" s="318" t="n"/>
      <c r="CA47" s="142" t="n"/>
      <c r="CB47" s="318" t="n"/>
      <c r="CC47" s="142" t="n"/>
      <c r="CD47" s="318" t="n"/>
      <c r="CE47" s="142" t="n"/>
      <c r="CF47" s="318" t="n"/>
      <c r="CG47" s="317" t="n"/>
      <c r="CH47" s="318" t="n"/>
      <c r="CI47" s="317" t="n"/>
      <c r="CJ47" s="318" t="n"/>
      <c r="CK47" s="317" t="n"/>
      <c r="CL47" s="318" t="n"/>
      <c r="CM47" s="317" t="n"/>
      <c r="CN47" s="318" t="n"/>
      <c r="CO47" s="80" t="n"/>
      <c r="CP47" s="318" t="n"/>
      <c r="CQ47" s="80" t="n"/>
      <c r="CR47" s="318" t="n"/>
      <c r="CS47" s="80" t="n"/>
      <c r="CT47" s="318" t="n"/>
      <c r="CU47" s="80" t="n"/>
      <c r="CV47" s="361" t="n"/>
      <c r="CW47" s="318" t="n"/>
      <c r="CX47" s="142" t="n"/>
      <c r="CY47" s="318" t="n"/>
      <c r="CZ47" s="142" t="n"/>
      <c r="DA47" s="318" t="n"/>
      <c r="DB47" s="142" t="n"/>
      <c r="DC47" s="318" t="n"/>
      <c r="DD47" s="142" t="n"/>
      <c r="DE47" s="379" t="n"/>
      <c r="DF47" s="379" t="n"/>
      <c r="DG47" s="214" t="n"/>
    </row>
    <row r="48" customFormat="1" s="117">
      <c r="A48" s="376" t="n">
        <v>43008</v>
      </c>
      <c r="B48" s="315" t="n">
        <v>19201.57</v>
      </c>
      <c r="C48" s="111">
        <f>B48/B36-1</f>
        <v/>
      </c>
      <c r="D48" s="111" t="n"/>
      <c r="E48" s="315" t="n">
        <v>11896.56</v>
      </c>
      <c r="F48" s="111">
        <f>E48/E36-1</f>
        <v/>
      </c>
      <c r="G48" s="111" t="n"/>
      <c r="H48" s="315" t="n">
        <v>6806.61</v>
      </c>
      <c r="I48" s="111">
        <f>H48/H36-1</f>
        <v/>
      </c>
      <c r="J48" s="111" t="n"/>
      <c r="K48" s="315" t="n">
        <v>498.4</v>
      </c>
      <c r="L48" s="111">
        <f>K48/K36-1</f>
        <v/>
      </c>
      <c r="M48" s="111" t="n"/>
      <c r="N48" s="315" t="n">
        <v>15393.17</v>
      </c>
      <c r="O48" s="111">
        <f>N48/N36-1</f>
        <v/>
      </c>
      <c r="P48" s="111" t="n"/>
      <c r="Q48" s="315" t="n">
        <v>9807.02</v>
      </c>
      <c r="R48" s="111">
        <f>Q48/Q36-1</f>
        <v/>
      </c>
      <c r="S48" s="111" t="n"/>
      <c r="T48" s="315" t="n">
        <v>5200.15</v>
      </c>
      <c r="U48" s="111">
        <f>T48/T36-1</f>
        <v/>
      </c>
      <c r="V48" s="111" t="n"/>
      <c r="W48" s="315" t="n">
        <v>386</v>
      </c>
      <c r="X48" s="111">
        <f>W48/W36-1</f>
        <v/>
      </c>
      <c r="Y48" s="111" t="n"/>
      <c r="Z48" s="315" t="n">
        <v>9282.57</v>
      </c>
      <c r="AA48" s="111">
        <f>Z48/Z36-1</f>
        <v/>
      </c>
      <c r="AB48" s="111" t="n"/>
      <c r="AC48" s="315" t="n">
        <v>7795.35</v>
      </c>
      <c r="AD48" s="111">
        <f>AC48/AC36-1</f>
        <v/>
      </c>
      <c r="AE48" s="111" t="n"/>
      <c r="AF48" s="315" t="n">
        <v>1204.6</v>
      </c>
      <c r="AG48" s="111">
        <f>AF48/AF36-1</f>
        <v/>
      </c>
      <c r="AH48" s="111" t="n"/>
      <c r="AI48" s="315" t="n">
        <v>282.62</v>
      </c>
      <c r="AJ48" s="111">
        <f>AI48/AI36-1</f>
        <v/>
      </c>
      <c r="AK48" s="111" t="n"/>
      <c r="AL48" s="316" t="n">
        <v>80.17</v>
      </c>
      <c r="AM48" s="380">
        <f>AL48-AL36</f>
        <v/>
      </c>
      <c r="AN48" s="111" t="n"/>
      <c r="AO48" s="316" t="n">
        <v>82.44</v>
      </c>
      <c r="AP48" s="380">
        <f>AO48-AO36</f>
        <v/>
      </c>
      <c r="AQ48" s="111" t="n"/>
      <c r="AR48" s="316" t="n">
        <v>76.40000000000001</v>
      </c>
      <c r="AS48" s="380">
        <f>AR48-AR36</f>
        <v/>
      </c>
      <c r="AT48" s="111" t="n"/>
      <c r="AU48" s="316" t="n">
        <v>77.45</v>
      </c>
      <c r="AV48" s="380">
        <f>AU48-AU36</f>
        <v/>
      </c>
      <c r="AW48" s="111" t="n"/>
      <c r="AX48" s="315" t="n">
        <v>607</v>
      </c>
      <c r="AY48" s="111">
        <f>AX48/AX36-1</f>
        <v/>
      </c>
      <c r="AZ48" s="111" t="n"/>
      <c r="BA48" s="378" t="n"/>
      <c r="BB48" s="142" t="n"/>
      <c r="BC48" s="378" t="n"/>
      <c r="BD48" s="142" t="n"/>
      <c r="BE48" s="378" t="n"/>
      <c r="BF48" s="142" t="n"/>
      <c r="BG48" s="378" t="n"/>
      <c r="BH48" s="142" t="n"/>
      <c r="BI48" s="318" t="n"/>
      <c r="BJ48" s="142" t="n"/>
      <c r="BK48" s="318" t="n"/>
      <c r="BL48" s="142" t="n"/>
      <c r="BM48" s="318" t="n"/>
      <c r="BN48" s="142" t="n"/>
      <c r="BO48" s="318" t="n"/>
      <c r="BP48" s="318" t="n"/>
      <c r="BQ48" s="142" t="n"/>
      <c r="BR48" s="318" t="n"/>
      <c r="BS48" s="142" t="n"/>
      <c r="BT48" s="318" t="n"/>
      <c r="BU48" s="142" t="n"/>
      <c r="BV48" s="318" t="n"/>
      <c r="BW48" s="142" t="n"/>
      <c r="BX48" s="318" t="n"/>
      <c r="BY48" s="142" t="n"/>
      <c r="BZ48" s="318" t="n"/>
      <c r="CA48" s="142" t="n"/>
      <c r="CB48" s="318" t="n"/>
      <c r="CC48" s="142" t="n"/>
      <c r="CD48" s="318" t="n"/>
      <c r="CE48" s="142" t="n"/>
      <c r="CF48" s="318" t="n"/>
      <c r="CG48" s="317" t="n"/>
      <c r="CH48" s="318" t="n"/>
      <c r="CI48" s="317" t="n"/>
      <c r="CJ48" s="318" t="n"/>
      <c r="CK48" s="317" t="n"/>
      <c r="CL48" s="318" t="n"/>
      <c r="CM48" s="317" t="n"/>
      <c r="CN48" s="318" t="n"/>
      <c r="CO48" s="80" t="n"/>
      <c r="CP48" s="318" t="n"/>
      <c r="CQ48" s="80" t="n"/>
      <c r="CR48" s="318" t="n"/>
      <c r="CS48" s="80" t="n"/>
      <c r="CT48" s="318" t="n"/>
      <c r="CU48" s="80" t="n"/>
      <c r="CV48" s="361" t="n"/>
      <c r="CW48" s="318" t="n"/>
      <c r="CX48" s="142" t="n"/>
      <c r="CY48" s="318" t="n"/>
      <c r="CZ48" s="142" t="n"/>
      <c r="DA48" s="318" t="n"/>
      <c r="DB48" s="142" t="n"/>
      <c r="DC48" s="318" t="n"/>
      <c r="DD48" s="142" t="n"/>
      <c r="DE48" s="385" t="n"/>
      <c r="DF48" s="385" t="n"/>
      <c r="DG48" s="214" t="n"/>
    </row>
    <row r="49" customFormat="1" s="117">
      <c r="A49" s="376" t="n">
        <v>43039</v>
      </c>
      <c r="B49" s="315" t="n">
        <v>19655.35</v>
      </c>
      <c r="C49" s="111">
        <f>B49/B37-1</f>
        <v/>
      </c>
      <c r="D49" s="111" t="n"/>
      <c r="E49" s="315" t="n">
        <v>12198.42</v>
      </c>
      <c r="F49" s="111">
        <f>E49/E37-1</f>
        <v/>
      </c>
      <c r="G49" s="111" t="n"/>
      <c r="H49" s="315" t="n">
        <v>6941.32</v>
      </c>
      <c r="I49" s="111">
        <f>H49/H37-1</f>
        <v/>
      </c>
      <c r="J49" s="111" t="n"/>
      <c r="K49" s="315" t="n">
        <v>515.6</v>
      </c>
      <c r="L49" s="111">
        <f>K49/K37-1</f>
        <v/>
      </c>
      <c r="M49" s="111" t="n"/>
      <c r="N49" s="315" t="n">
        <v>15735.58</v>
      </c>
      <c r="O49" s="111">
        <f>N49/N37-1</f>
        <v/>
      </c>
      <c r="P49" s="111" t="n"/>
      <c r="Q49" s="315" t="n">
        <v>10117.13</v>
      </c>
      <c r="R49" s="111">
        <f>Q49/Q37-1</f>
        <v/>
      </c>
      <c r="S49" s="111" t="n"/>
      <c r="T49" s="315" t="n">
        <v>5201.86</v>
      </c>
      <c r="U49" s="111">
        <f>T49/T37-1</f>
        <v/>
      </c>
      <c r="V49" s="111" t="n"/>
      <c r="W49" s="315" t="n">
        <v>416.58</v>
      </c>
      <c r="X49" s="111">
        <f>W49/W37-1</f>
        <v/>
      </c>
      <c r="Y49" s="111" t="n"/>
      <c r="Z49" s="315" t="n">
        <v>9628.58</v>
      </c>
      <c r="AA49" s="111">
        <f>Z49/Z37-1</f>
        <v/>
      </c>
      <c r="AB49" s="111" t="n"/>
      <c r="AC49" s="315" t="n">
        <v>8100.6</v>
      </c>
      <c r="AD49" s="111">
        <f>AC49/AC37-1</f>
        <v/>
      </c>
      <c r="AE49" s="111" t="n"/>
      <c r="AF49" s="315" t="n">
        <v>1221.85</v>
      </c>
      <c r="AG49" s="111">
        <f>AF49/AF37-1</f>
        <v/>
      </c>
      <c r="AH49" s="111" t="n"/>
      <c r="AI49" s="315" t="n">
        <v>306.14</v>
      </c>
      <c r="AJ49" s="111">
        <f>AI49/AI37-1</f>
        <v/>
      </c>
      <c r="AK49" s="111" t="n"/>
      <c r="AL49" s="316" t="n">
        <v>80.06</v>
      </c>
      <c r="AM49" s="380">
        <f>AL49-AL37</f>
        <v/>
      </c>
      <c r="AN49" s="111" t="n"/>
      <c r="AO49" s="316" t="n">
        <v>82.94</v>
      </c>
      <c r="AP49" s="380">
        <f>AO49-AO37</f>
        <v/>
      </c>
      <c r="AQ49" s="111" t="n"/>
      <c r="AR49" s="316" t="n">
        <v>74.94</v>
      </c>
      <c r="AS49" s="380">
        <f>AR49-AR37</f>
        <v/>
      </c>
      <c r="AT49" s="111" t="n"/>
      <c r="AU49" s="316" t="n">
        <v>80.79000000000001</v>
      </c>
      <c r="AV49" s="380">
        <f>AU49-AU37</f>
        <v/>
      </c>
      <c r="AW49" s="111" t="n"/>
      <c r="AX49" s="315" t="n">
        <v>611</v>
      </c>
      <c r="AY49" s="111">
        <f>AX49/AX37-1</f>
        <v/>
      </c>
      <c r="AZ49" s="111" t="n"/>
      <c r="BA49" s="378" t="n"/>
      <c r="BB49" s="142" t="n"/>
      <c r="BC49" s="378" t="n"/>
      <c r="BD49" s="142" t="n"/>
      <c r="BE49" s="378" t="n"/>
      <c r="BF49" s="142" t="n"/>
      <c r="BG49" s="378" t="n"/>
      <c r="BH49" s="142" t="n"/>
      <c r="BI49" s="318" t="n"/>
      <c r="BJ49" s="142" t="n"/>
      <c r="BK49" s="318" t="n"/>
      <c r="BL49" s="142" t="n"/>
      <c r="BM49" s="318" t="n"/>
      <c r="BN49" s="142" t="n"/>
      <c r="BO49" s="318" t="n"/>
      <c r="BP49" s="318" t="n"/>
      <c r="BQ49" s="142" t="n"/>
      <c r="BR49" s="318" t="n"/>
      <c r="BS49" s="142" t="n"/>
      <c r="BT49" s="318" t="n"/>
      <c r="BU49" s="142" t="n"/>
      <c r="BV49" s="318" t="n"/>
      <c r="BW49" s="142" t="n"/>
      <c r="BX49" s="318" t="n"/>
      <c r="BY49" s="142" t="n"/>
      <c r="BZ49" s="318" t="n"/>
      <c r="CA49" s="142" t="n"/>
      <c r="CB49" s="318" t="n"/>
      <c r="CC49" s="142" t="n"/>
      <c r="CD49" s="318" t="n"/>
      <c r="CE49" s="142" t="n"/>
      <c r="CF49" s="318" t="n"/>
      <c r="CG49" s="317" t="n"/>
      <c r="CH49" s="318" t="n"/>
      <c r="CI49" s="317" t="n"/>
      <c r="CJ49" s="318" t="n"/>
      <c r="CK49" s="317" t="n"/>
      <c r="CL49" s="318" t="n"/>
      <c r="CM49" s="317" t="n"/>
      <c r="CN49" s="318" t="n"/>
      <c r="CO49" s="80" t="n"/>
      <c r="CP49" s="318" t="n"/>
      <c r="CQ49" s="80" t="n"/>
      <c r="CR49" s="318" t="n"/>
      <c r="CS49" s="80" t="n"/>
      <c r="CT49" s="318" t="n"/>
      <c r="CU49" s="80" t="n"/>
      <c r="CV49" s="361" t="n"/>
      <c r="CW49" s="318" t="n"/>
      <c r="CX49" s="142" t="n"/>
      <c r="CY49" s="318" t="n"/>
      <c r="CZ49" s="142" t="n"/>
      <c r="DA49" s="318" t="n"/>
      <c r="DB49" s="142" t="n"/>
      <c r="DC49" s="318" t="n"/>
      <c r="DD49" s="142" t="n"/>
      <c r="DE49" s="385" t="n"/>
      <c r="DF49" s="385" t="n"/>
      <c r="DG49" s="214" t="n"/>
    </row>
    <row r="50" customFormat="1" s="117">
      <c r="A50" s="376" t="n">
        <v>43069</v>
      </c>
      <c r="B50" s="315" t="n">
        <v>18631.71</v>
      </c>
      <c r="C50" s="111">
        <f>B50/B38-1</f>
        <v/>
      </c>
      <c r="D50" s="111" t="n"/>
      <c r="E50" s="315" t="n">
        <v>11998.7</v>
      </c>
      <c r="F50" s="111">
        <f>E50/E38-1</f>
        <v/>
      </c>
      <c r="G50" s="111" t="n"/>
      <c r="H50" s="315" t="n">
        <v>6142.13</v>
      </c>
      <c r="I50" s="111">
        <f>H50/H38-1</f>
        <v/>
      </c>
      <c r="J50" s="111" t="n"/>
      <c r="K50" s="315" t="n">
        <v>490.88</v>
      </c>
      <c r="L50" s="111">
        <f>K50/K38-1</f>
        <v/>
      </c>
      <c r="M50" s="111" t="n"/>
      <c r="N50" s="315" t="n">
        <v>14980.92</v>
      </c>
      <c r="O50" s="111">
        <f>N50/N38-1</f>
        <v/>
      </c>
      <c r="P50" s="111" t="n"/>
      <c r="Q50" s="315" t="n">
        <v>9978</v>
      </c>
      <c r="R50" s="111">
        <f>Q50/Q38-1</f>
        <v/>
      </c>
      <c r="S50" s="111" t="n"/>
      <c r="T50" s="315" t="n">
        <v>4603.71</v>
      </c>
      <c r="U50" s="111">
        <f>T50/T38-1</f>
        <v/>
      </c>
      <c r="V50" s="111" t="n"/>
      <c r="W50" s="315" t="n">
        <v>399.21</v>
      </c>
      <c r="X50" s="111">
        <f>W50/W38-1</f>
        <v/>
      </c>
      <c r="Y50" s="111" t="n"/>
      <c r="Z50" s="315" t="n">
        <v>9297.49</v>
      </c>
      <c r="AA50" s="111">
        <f>Z50/Z38-1</f>
        <v/>
      </c>
      <c r="AB50" s="111" t="n"/>
      <c r="AC50" s="315" t="n">
        <v>7862.86</v>
      </c>
      <c r="AD50" s="111">
        <f>AC50/AC38-1</f>
        <v/>
      </c>
      <c r="AE50" s="111" t="n"/>
      <c r="AF50" s="315" t="n">
        <v>1139.62</v>
      </c>
      <c r="AG50" s="111">
        <f>AF50/AF38-1</f>
        <v/>
      </c>
      <c r="AH50" s="111" t="n"/>
      <c r="AI50" s="315" t="n">
        <v>295.01</v>
      </c>
      <c r="AJ50" s="111">
        <f>AI50/AI38-1</f>
        <v/>
      </c>
      <c r="AK50" s="111" t="n"/>
      <c r="AL50" s="316" t="n">
        <v>80.41</v>
      </c>
      <c r="AM50" s="380">
        <f>AL50-AL38</f>
        <v/>
      </c>
      <c r="AN50" s="111" t="n"/>
      <c r="AO50" s="316" t="n">
        <v>83.16</v>
      </c>
      <c r="AP50" s="380">
        <f>AO50-AO38</f>
        <v/>
      </c>
      <c r="AQ50" s="111" t="n"/>
      <c r="AR50" s="316" t="n">
        <v>74.95</v>
      </c>
      <c r="AS50" s="380">
        <f>AR50-AR38</f>
        <v/>
      </c>
      <c r="AT50" s="111" t="n"/>
      <c r="AU50" s="316" t="n">
        <v>81.33</v>
      </c>
      <c r="AV50" s="380">
        <f>AU50-AU38</f>
        <v/>
      </c>
      <c r="AW50" s="111" t="n"/>
      <c r="AX50" s="315" t="n">
        <v>618</v>
      </c>
      <c r="AY50" s="111">
        <f>AX50/AX38-1</f>
        <v/>
      </c>
      <c r="AZ50" s="111" t="n"/>
      <c r="BA50" s="378" t="n"/>
      <c r="BB50" s="142" t="n"/>
      <c r="BC50" s="378" t="n"/>
      <c r="BD50" s="142" t="n"/>
      <c r="BE50" s="378" t="n"/>
      <c r="BF50" s="142" t="n"/>
      <c r="BG50" s="378" t="n"/>
      <c r="BH50" s="142" t="n"/>
      <c r="BI50" s="318" t="n"/>
      <c r="BJ50" s="142" t="n"/>
      <c r="BK50" s="318" t="n"/>
      <c r="BL50" s="142" t="n"/>
      <c r="BM50" s="318" t="n"/>
      <c r="BN50" s="142" t="n"/>
      <c r="BO50" s="318" t="n"/>
      <c r="BP50" s="318" t="n"/>
      <c r="BQ50" s="142" t="n"/>
      <c r="BR50" s="318" t="n"/>
      <c r="BS50" s="142" t="n"/>
      <c r="BT50" s="318" t="n"/>
      <c r="BU50" s="142" t="n"/>
      <c r="BV50" s="318" t="n"/>
      <c r="BW50" s="142" t="n"/>
      <c r="BX50" s="318" t="n"/>
      <c r="BY50" s="142" t="n"/>
      <c r="BZ50" s="318" t="n"/>
      <c r="CA50" s="142" t="n"/>
      <c r="CB50" s="318" t="n"/>
      <c r="CC50" s="142" t="n"/>
      <c r="CD50" s="318" t="n"/>
      <c r="CE50" s="142" t="n"/>
      <c r="CF50" s="318" t="n"/>
      <c r="CG50" s="317" t="n"/>
      <c r="CH50" s="318" t="n"/>
      <c r="CI50" s="317" t="n"/>
      <c r="CJ50" s="318" t="n"/>
      <c r="CK50" s="317" t="n"/>
      <c r="CL50" s="318" t="n"/>
      <c r="CM50" s="317" t="n"/>
      <c r="CN50" s="318" t="n"/>
      <c r="CO50" s="80" t="n"/>
      <c r="CP50" s="318" t="n"/>
      <c r="CQ50" s="80" t="n"/>
      <c r="CR50" s="318" t="n"/>
      <c r="CS50" s="80" t="n"/>
      <c r="CT50" s="318" t="n"/>
      <c r="CU50" s="80" t="n"/>
      <c r="CV50" s="361" t="n"/>
      <c r="CW50" s="318" t="n"/>
      <c r="CX50" s="142" t="n"/>
      <c r="CY50" s="318" t="n"/>
      <c r="CZ50" s="142" t="n"/>
      <c r="DA50" s="318" t="n"/>
      <c r="DB50" s="142" t="n"/>
      <c r="DC50" s="318" t="n"/>
      <c r="DD50" s="142" t="n"/>
      <c r="DE50" s="385" t="n"/>
      <c r="DF50" s="385" t="n"/>
      <c r="DG50" s="214" t="n"/>
    </row>
    <row r="51" customFormat="1" s="117">
      <c r="A51" s="376" t="n">
        <v>43100</v>
      </c>
      <c r="B51" s="315" t="n">
        <v>19389.99</v>
      </c>
      <c r="C51" s="111">
        <f>B51/B39-1</f>
        <v/>
      </c>
      <c r="D51" s="111" t="n"/>
      <c r="E51" s="315" t="n">
        <v>12082.06</v>
      </c>
      <c r="F51" s="111">
        <f>E51/E39-1</f>
        <v/>
      </c>
      <c r="G51" s="111" t="n"/>
      <c r="H51" s="315" t="n">
        <v>6791.88</v>
      </c>
      <c r="I51" s="111">
        <f>H51/H39-1</f>
        <v/>
      </c>
      <c r="J51" s="111" t="n"/>
      <c r="K51" s="315" t="n">
        <v>516.05</v>
      </c>
      <c r="L51" s="111">
        <f>K51/K39-1</f>
        <v/>
      </c>
      <c r="M51" s="111" t="n"/>
      <c r="N51" s="315" t="n">
        <v>15401.63</v>
      </c>
      <c r="O51" s="111">
        <f>N51/N39-1</f>
        <v/>
      </c>
      <c r="P51" s="111" t="n"/>
      <c r="Q51" s="315" t="n">
        <v>9741.41</v>
      </c>
      <c r="R51" s="111">
        <f>Q51/Q39-1</f>
        <v/>
      </c>
      <c r="S51" s="111" t="n"/>
      <c r="T51" s="315" t="n">
        <v>5250.78</v>
      </c>
      <c r="U51" s="111">
        <f>T51/T39-1</f>
        <v/>
      </c>
      <c r="V51" s="111" t="n"/>
      <c r="W51" s="315" t="n">
        <v>409.44</v>
      </c>
      <c r="X51" s="111">
        <f>W51/W39-1</f>
        <v/>
      </c>
      <c r="Y51" s="111" t="n"/>
      <c r="Z51" s="315" t="n">
        <v>9212.870000000001</v>
      </c>
      <c r="AA51" s="111">
        <f>Z51/Z39-1</f>
        <v/>
      </c>
      <c r="AB51" s="111" t="n"/>
      <c r="AC51" s="315" t="n">
        <v>7660.59</v>
      </c>
      <c r="AD51" s="111">
        <f>AC51/AC39-1</f>
        <v/>
      </c>
      <c r="AE51" s="111" t="n"/>
      <c r="AF51" s="315" t="n">
        <v>1248.65</v>
      </c>
      <c r="AG51" s="111">
        <f>AF51/AF39-1</f>
        <v/>
      </c>
      <c r="AH51" s="111" t="n"/>
      <c r="AI51" s="315" t="n">
        <v>303.63</v>
      </c>
      <c r="AJ51" s="111">
        <f>AI51/AI39-1</f>
        <v/>
      </c>
      <c r="AK51" s="111" t="n"/>
      <c r="AL51" s="316" t="n">
        <v>79.43000000000001</v>
      </c>
      <c r="AM51" s="380">
        <f>AL51-AL39</f>
        <v/>
      </c>
      <c r="AN51" s="111" t="n"/>
      <c r="AO51" s="316" t="n">
        <v>80.63</v>
      </c>
      <c r="AP51" s="380">
        <f>AO51-AO39</f>
        <v/>
      </c>
      <c r="AQ51" s="111" t="n"/>
      <c r="AR51" s="316" t="n">
        <v>77.31</v>
      </c>
      <c r="AS51" s="380">
        <f>AR51-AR39</f>
        <v/>
      </c>
      <c r="AT51" s="111" t="n"/>
      <c r="AU51" s="316" t="n">
        <v>79.34</v>
      </c>
      <c r="AV51" s="380">
        <f>AU51-AU39</f>
        <v/>
      </c>
      <c r="AW51" s="111" t="n"/>
      <c r="AX51" s="315" t="n">
        <v>627</v>
      </c>
      <c r="AY51" s="111">
        <f>AX51/AX39-1</f>
        <v/>
      </c>
      <c r="AZ51" s="111" t="n"/>
      <c r="BA51" s="378" t="n"/>
      <c r="BB51" s="142" t="n"/>
      <c r="BC51" s="378" t="n"/>
      <c r="BD51" s="142" t="n"/>
      <c r="BE51" s="378" t="n"/>
      <c r="BF51" s="142" t="n"/>
      <c r="BG51" s="378" t="n"/>
      <c r="BH51" s="142" t="n"/>
      <c r="BI51" s="318" t="n"/>
      <c r="BJ51" s="142" t="n"/>
      <c r="BK51" s="318" t="n"/>
      <c r="BL51" s="142" t="n"/>
      <c r="BM51" s="318" t="n"/>
      <c r="BN51" s="142" t="n"/>
      <c r="BO51" s="318" t="n"/>
      <c r="BP51" s="318" t="n"/>
      <c r="BQ51" s="142" t="n"/>
      <c r="BR51" s="318" t="n"/>
      <c r="BS51" s="142" t="n"/>
      <c r="BT51" s="318" t="n"/>
      <c r="BU51" s="142" t="n"/>
      <c r="BV51" s="318" t="n"/>
      <c r="BW51" s="142" t="n"/>
      <c r="BX51" s="318" t="n"/>
      <c r="BY51" s="142" t="n"/>
      <c r="BZ51" s="318" t="n"/>
      <c r="CA51" s="142" t="n"/>
      <c r="CB51" s="318" t="n"/>
      <c r="CC51" s="142" t="n"/>
      <c r="CD51" s="318" t="n"/>
      <c r="CE51" s="142" t="n"/>
      <c r="CF51" s="318" t="n"/>
      <c r="CG51" s="317" t="n"/>
      <c r="CH51" s="318" t="n"/>
      <c r="CI51" s="317" t="n"/>
      <c r="CJ51" s="318" t="n"/>
      <c r="CK51" s="317" t="n"/>
      <c r="CL51" s="318" t="n"/>
      <c r="CM51" s="317" t="n"/>
      <c r="CN51" s="318" t="n"/>
      <c r="CO51" s="80" t="n"/>
      <c r="CP51" s="318" t="n"/>
      <c r="CQ51" s="80" t="n"/>
      <c r="CR51" s="318" t="n"/>
      <c r="CS51" s="80" t="n"/>
      <c r="CT51" s="318" t="n"/>
      <c r="CU51" s="80" t="n"/>
      <c r="CV51" s="361" t="n"/>
      <c r="CW51" s="318" t="n"/>
      <c r="CX51" s="142" t="n"/>
      <c r="CY51" s="318" t="n"/>
      <c r="CZ51" s="142" t="n"/>
      <c r="DA51" s="318" t="n"/>
      <c r="DB51" s="142" t="n"/>
      <c r="DC51" s="318" t="n"/>
      <c r="DD51" s="142" t="n"/>
      <c r="DE51" s="385" t="n"/>
      <c r="DF51" s="385" t="n"/>
      <c r="DG51" s="214" t="n"/>
    </row>
    <row r="52" ht="13" customFormat="1" customHeight="1" s="116">
      <c r="A52" s="371" t="n">
        <v>43131</v>
      </c>
      <c r="B52" s="381" t="n">
        <v>19466.95</v>
      </c>
      <c r="C52" s="111">
        <f>B52/B40-1</f>
        <v/>
      </c>
      <c r="D52" s="111" t="n"/>
      <c r="E52" s="381" t="n">
        <v>12040.45</v>
      </c>
      <c r="F52" s="111">
        <f>E52/E40-1</f>
        <v/>
      </c>
      <c r="G52" s="111" t="n"/>
      <c r="H52" s="381" t="n">
        <v>6933.71</v>
      </c>
      <c r="I52" s="111">
        <f>H52/H40-1</f>
        <v/>
      </c>
      <c r="J52" s="111" t="n"/>
      <c r="K52" s="381" t="n">
        <v>492.79</v>
      </c>
      <c r="L52" s="111">
        <f>K52/K40-1</f>
        <v/>
      </c>
      <c r="M52" s="111" t="n"/>
      <c r="N52" s="381" t="n">
        <v>15350.33</v>
      </c>
      <c r="O52" s="111">
        <f>N52/N40-1</f>
        <v/>
      </c>
      <c r="P52" s="111" t="n"/>
      <c r="Q52" s="381" t="n">
        <v>9628.59</v>
      </c>
      <c r="R52" s="111">
        <f>Q52/Q40-1</f>
        <v/>
      </c>
      <c r="S52" s="111" t="n"/>
      <c r="T52" s="381" t="n">
        <v>5336.05</v>
      </c>
      <c r="U52" s="111">
        <f>T52/T40-1</f>
        <v/>
      </c>
      <c r="V52" s="111" t="n"/>
      <c r="W52" s="381" t="n">
        <v>385.7</v>
      </c>
      <c r="X52" s="111">
        <f>W52/W40-1</f>
        <v/>
      </c>
      <c r="Y52" s="111" t="n"/>
      <c r="Z52" s="381" t="n">
        <v>9106.860000000001</v>
      </c>
      <c r="AA52" s="111">
        <f>Z52/Z40-1</f>
        <v/>
      </c>
      <c r="AB52" s="111" t="n"/>
      <c r="AC52" s="381" t="n">
        <v>7559.09</v>
      </c>
      <c r="AD52" s="111">
        <f>AC52/AC40-1</f>
        <v/>
      </c>
      <c r="AE52" s="111" t="n"/>
      <c r="AF52" s="381" t="n">
        <v>1262.85</v>
      </c>
      <c r="AG52" s="111">
        <f>AF52/AF40-1</f>
        <v/>
      </c>
      <c r="AH52" s="111" t="n"/>
      <c r="AI52" s="381" t="n">
        <v>284.92</v>
      </c>
      <c r="AJ52" s="111">
        <f>AI52/AI40-1</f>
        <v/>
      </c>
      <c r="AK52" s="111" t="n"/>
      <c r="AL52" s="382" t="n">
        <v>78.84999999999999</v>
      </c>
      <c r="AM52" s="380">
        <f>AL52-AL40</f>
        <v/>
      </c>
      <c r="AN52" s="111" t="n"/>
      <c r="AO52" s="382" t="n">
        <v>79.97</v>
      </c>
      <c r="AP52" s="380">
        <f>AO52-AO40</f>
        <v/>
      </c>
      <c r="AQ52" s="111" t="n"/>
      <c r="AR52" s="382" t="n">
        <v>76.95999999999999</v>
      </c>
      <c r="AS52" s="380">
        <f>AR52-AR40</f>
        <v/>
      </c>
      <c r="AT52" s="111" t="n"/>
      <c r="AU52" s="382" t="n">
        <v>78.27</v>
      </c>
      <c r="AV52" s="380">
        <f>AU52-AU40</f>
        <v/>
      </c>
      <c r="AW52" s="111" t="n"/>
      <c r="AX52" s="381" t="n">
        <v>627</v>
      </c>
      <c r="AY52" s="111">
        <f>AX52/AX40-1</f>
        <v/>
      </c>
      <c r="AZ52" s="111" t="n"/>
      <c r="BA52" s="317" t="n"/>
      <c r="BB52" s="142" t="n"/>
      <c r="BC52" s="317" t="n"/>
      <c r="BD52" s="142" t="n"/>
      <c r="BE52" s="317" t="n"/>
      <c r="BF52" s="142" t="n"/>
      <c r="BG52" s="317" t="n"/>
      <c r="BH52" s="142" t="n"/>
      <c r="BI52" s="317" t="n"/>
      <c r="BJ52" s="142" t="n"/>
      <c r="BK52" s="317" t="n"/>
      <c r="BL52" s="142" t="n"/>
      <c r="BM52" s="317" t="n"/>
      <c r="BN52" s="142" t="n"/>
      <c r="BO52" s="317" t="n"/>
      <c r="BP52" s="317" t="n"/>
      <c r="BQ52" s="142" t="n"/>
      <c r="BR52" s="317" t="n"/>
      <c r="BS52" s="142" t="n"/>
      <c r="BT52" s="317" t="n"/>
      <c r="BU52" s="142" t="n"/>
      <c r="BV52" s="317" t="n"/>
      <c r="BW52" s="142" t="n"/>
      <c r="BX52" s="317" t="n"/>
      <c r="BY52" s="142" t="n"/>
      <c r="BZ52" s="317" t="n"/>
      <c r="CA52" s="142" t="n"/>
      <c r="CB52" s="317" t="n"/>
      <c r="CC52" s="142" t="n"/>
      <c r="CD52" s="317" t="n"/>
      <c r="CE52" s="142" t="n"/>
      <c r="CF52" s="317" t="n"/>
      <c r="CG52" s="317" t="n"/>
      <c r="CH52" s="317" t="n"/>
      <c r="CI52" s="317" t="n"/>
      <c r="CJ52" s="317" t="n"/>
      <c r="CK52" s="317" t="n"/>
      <c r="CL52" s="317" t="n"/>
      <c r="CM52" s="317" t="n"/>
      <c r="CN52" s="317" t="n"/>
      <c r="CO52" s="80" t="n"/>
      <c r="CP52" s="317" t="n"/>
      <c r="CQ52" s="80" t="n"/>
      <c r="CR52" s="317" t="n"/>
      <c r="CS52" s="80" t="n"/>
      <c r="CT52" s="317" t="n"/>
      <c r="CU52" s="80" t="n"/>
      <c r="CW52" s="317" t="n"/>
      <c r="CX52" s="142" t="n"/>
      <c r="CY52" s="317" t="n"/>
      <c r="CZ52" s="142" t="n"/>
      <c r="DA52" s="317" t="n"/>
      <c r="DB52" s="142" t="n"/>
      <c r="DC52" s="317" t="n"/>
      <c r="DD52" s="142" t="n"/>
      <c r="DE52" s="319" t="n"/>
      <c r="DF52" s="319" t="n"/>
    </row>
    <row r="53" customFormat="1" s="117">
      <c r="A53" s="376" t="n">
        <v>43159</v>
      </c>
      <c r="B53" s="315" t="n">
        <v>19665.18</v>
      </c>
      <c r="C53" s="111">
        <f>B53/B41-1</f>
        <v/>
      </c>
      <c r="D53" s="111" t="n"/>
      <c r="E53" s="315" t="n">
        <v>12232.92</v>
      </c>
      <c r="F53" s="111">
        <f>E53/E41-1</f>
        <v/>
      </c>
      <c r="G53" s="111" t="n"/>
      <c r="H53" s="315" t="n">
        <v>6936.53</v>
      </c>
      <c r="I53" s="111">
        <f>H53/H41-1</f>
        <v/>
      </c>
      <c r="J53" s="111" t="n"/>
      <c r="K53" s="315" t="n">
        <v>495.73</v>
      </c>
      <c r="L53" s="111">
        <f>K53/K41-1</f>
        <v/>
      </c>
      <c r="M53" s="111" t="n"/>
      <c r="N53" s="315" t="n">
        <v>16278.89</v>
      </c>
      <c r="O53" s="111">
        <f>N53/N41-1</f>
        <v/>
      </c>
      <c r="P53" s="111" t="n"/>
      <c r="Q53" s="315" t="n">
        <v>10140.15</v>
      </c>
      <c r="R53" s="111">
        <f>Q53/Q41-1</f>
        <v/>
      </c>
      <c r="S53" s="111" t="n"/>
      <c r="T53" s="315" t="n">
        <v>5723.98</v>
      </c>
      <c r="U53" s="111">
        <f>T53/T41-1</f>
        <v/>
      </c>
      <c r="V53" s="111" t="n"/>
      <c r="W53" s="315" t="n">
        <v>414.76</v>
      </c>
      <c r="X53" s="111">
        <f>W53/W41-1</f>
        <v/>
      </c>
      <c r="Y53" s="111" t="n"/>
      <c r="Z53" s="315" t="n">
        <v>9513.719999999999</v>
      </c>
      <c r="AA53" s="111">
        <f>Z53/Z41-1</f>
        <v/>
      </c>
      <c r="AB53" s="111" t="n"/>
      <c r="AC53" s="315" t="n">
        <v>7789.17</v>
      </c>
      <c r="AD53" s="111">
        <f>AC53/AC41-1</f>
        <v/>
      </c>
      <c r="AE53" s="111" t="n"/>
      <c r="AF53" s="315" t="n">
        <v>1421.24</v>
      </c>
      <c r="AG53" s="111">
        <f>AF53/AF41-1</f>
        <v/>
      </c>
      <c r="AH53" s="111" t="n"/>
      <c r="AI53" s="315" t="n">
        <v>303.32</v>
      </c>
      <c r="AJ53" s="111">
        <f>AI53/AI41-1</f>
        <v/>
      </c>
      <c r="AK53" s="111" t="n"/>
      <c r="AL53" s="316" t="n">
        <v>82.78</v>
      </c>
      <c r="AM53" s="380">
        <f>AL53-AL41</f>
        <v/>
      </c>
      <c r="AN53" s="111" t="n"/>
      <c r="AO53" s="316" t="n">
        <v>82.89</v>
      </c>
      <c r="AP53" s="380">
        <f>AO53-AO41</f>
        <v/>
      </c>
      <c r="AQ53" s="111" t="n"/>
      <c r="AR53" s="316" t="n">
        <v>82.52</v>
      </c>
      <c r="AS53" s="380">
        <f>AR53-AR41</f>
        <v/>
      </c>
      <c r="AT53" s="111" t="n"/>
      <c r="AU53" s="316" t="n">
        <v>83.67</v>
      </c>
      <c r="AV53" s="380">
        <f>AU53-AU41</f>
        <v/>
      </c>
      <c r="AW53" s="111" t="n"/>
      <c r="AX53" s="315" t="n">
        <v>627</v>
      </c>
      <c r="AY53" s="111">
        <f>AX53/AX41-1</f>
        <v/>
      </c>
      <c r="AZ53" s="111" t="n"/>
      <c r="BA53" s="378" t="n"/>
      <c r="BB53" s="142" t="n"/>
      <c r="BC53" s="378" t="n"/>
      <c r="BD53" s="142" t="n"/>
      <c r="BE53" s="378" t="n"/>
      <c r="BF53" s="142" t="n"/>
      <c r="BG53" s="378" t="n"/>
      <c r="BH53" s="142" t="n"/>
      <c r="BI53" s="318" t="n"/>
      <c r="BJ53" s="142" t="n"/>
      <c r="BK53" s="318" t="n"/>
      <c r="BL53" s="142" t="n"/>
      <c r="BM53" s="318" t="n"/>
      <c r="BN53" s="142" t="n"/>
      <c r="BO53" s="318" t="n"/>
      <c r="BP53" s="318" t="n"/>
      <c r="BQ53" s="142" t="n"/>
      <c r="BR53" s="318" t="n"/>
      <c r="BS53" s="142" t="n"/>
      <c r="BT53" s="318" t="n"/>
      <c r="BU53" s="142" t="n"/>
      <c r="BV53" s="318" t="n"/>
      <c r="BW53" s="142" t="n"/>
      <c r="BX53" s="318" t="n"/>
      <c r="BY53" s="142" t="n"/>
      <c r="BZ53" s="318" t="n"/>
      <c r="CA53" s="142" t="n"/>
      <c r="CB53" s="318" t="n"/>
      <c r="CC53" s="142" t="n"/>
      <c r="CD53" s="318" t="n"/>
      <c r="CE53" s="142" t="n"/>
      <c r="CF53" s="318" t="n"/>
      <c r="CG53" s="317" t="n"/>
      <c r="CH53" s="318" t="n"/>
      <c r="CI53" s="317" t="n"/>
      <c r="CJ53" s="318" t="n"/>
      <c r="CK53" s="317" t="n"/>
      <c r="CL53" s="318" t="n"/>
      <c r="CM53" s="317" t="n"/>
      <c r="CN53" s="318" t="n"/>
      <c r="CO53" s="80" t="n"/>
      <c r="CP53" s="318" t="n"/>
      <c r="CQ53" s="80" t="n"/>
      <c r="CR53" s="318" t="n"/>
      <c r="CS53" s="80" t="n"/>
      <c r="CT53" s="318" t="n"/>
      <c r="CU53" s="80" t="n"/>
      <c r="CV53" s="361" t="n"/>
      <c r="CW53" s="318" t="n"/>
      <c r="CX53" s="142" t="n"/>
      <c r="CY53" s="318" t="n"/>
      <c r="CZ53" s="142" t="n"/>
      <c r="DA53" s="318" t="n"/>
      <c r="DB53" s="142" t="n"/>
      <c r="DC53" s="318" t="n"/>
      <c r="DD53" s="142" t="n"/>
      <c r="DE53" s="385" t="n"/>
      <c r="DF53" s="385" t="n"/>
      <c r="DG53" s="214" t="n"/>
    </row>
    <row r="54" customFormat="1" s="117">
      <c r="A54" s="376" t="n">
        <v>43190</v>
      </c>
      <c r="B54" s="315" t="n">
        <v>20039.86</v>
      </c>
      <c r="C54" s="111">
        <f>B54/B42-1</f>
        <v/>
      </c>
      <c r="D54" s="111" t="n"/>
      <c r="E54" s="315" t="n">
        <v>12624.87</v>
      </c>
      <c r="F54" s="111">
        <f>E54/E42-1</f>
        <v/>
      </c>
      <c r="G54" s="111" t="n"/>
      <c r="H54" s="315" t="n">
        <v>6885.44</v>
      </c>
      <c r="I54" s="111">
        <f>H54/H42-1</f>
        <v/>
      </c>
      <c r="J54" s="111" t="n"/>
      <c r="K54" s="315" t="n">
        <v>529.55</v>
      </c>
      <c r="L54" s="111">
        <f>K54/K42-1</f>
        <v/>
      </c>
      <c r="M54" s="111" t="n"/>
      <c r="N54" s="315" t="n">
        <v>16707.1</v>
      </c>
      <c r="O54" s="111">
        <f>N54/N42-1</f>
        <v/>
      </c>
      <c r="P54" s="111" t="n"/>
      <c r="Q54" s="315" t="n">
        <v>10724.32</v>
      </c>
      <c r="R54" s="111">
        <f>Q54/Q42-1</f>
        <v/>
      </c>
      <c r="S54" s="111" t="n"/>
      <c r="T54" s="315" t="n">
        <v>5548.66</v>
      </c>
      <c r="U54" s="111">
        <f>T54/T42-1</f>
        <v/>
      </c>
      <c r="V54" s="111" t="n"/>
      <c r="W54" s="315" t="n">
        <v>434.12</v>
      </c>
      <c r="X54" s="111">
        <f>W54/W42-1</f>
        <v/>
      </c>
      <c r="Y54" s="111" t="n"/>
      <c r="Z54" s="315" t="n">
        <v>10095.48</v>
      </c>
      <c r="AA54" s="111">
        <f>Z54/Z42-1</f>
        <v/>
      </c>
      <c r="AB54" s="111" t="n"/>
      <c r="AC54" s="315" t="n">
        <v>8410.67</v>
      </c>
      <c r="AD54" s="111">
        <f>AC54/AC42-1</f>
        <v/>
      </c>
      <c r="AE54" s="111" t="n"/>
      <c r="AF54" s="315" t="n">
        <v>1367.12</v>
      </c>
      <c r="AG54" s="111">
        <f>AF54/AF42-1</f>
        <v/>
      </c>
      <c r="AH54" s="111" t="n"/>
      <c r="AI54" s="315" t="n">
        <v>317.69</v>
      </c>
      <c r="AJ54" s="111">
        <f>AI54/AI42-1</f>
        <v/>
      </c>
      <c r="AK54" s="111" t="n"/>
      <c r="AL54" s="316" t="n">
        <v>83.37</v>
      </c>
      <c r="AM54" s="380">
        <f>AL54-AL42</f>
        <v/>
      </c>
      <c r="AN54" s="111" t="n"/>
      <c r="AO54" s="316" t="n">
        <v>84.95</v>
      </c>
      <c r="AP54" s="380">
        <f>AO54-AO42</f>
        <v/>
      </c>
      <c r="AQ54" s="111" t="n"/>
      <c r="AR54" s="316" t="n">
        <v>80.59</v>
      </c>
      <c r="AS54" s="380">
        <f>AR54-AR42</f>
        <v/>
      </c>
      <c r="AT54" s="111" t="n"/>
      <c r="AU54" s="316" t="n">
        <v>81.98</v>
      </c>
      <c r="AV54" s="380">
        <f>AU54-AU42</f>
        <v/>
      </c>
      <c r="AW54" s="111" t="n"/>
      <c r="AX54" s="315" t="n">
        <v>634</v>
      </c>
      <c r="AY54" s="111">
        <f>AX54/AX42-1</f>
        <v/>
      </c>
      <c r="AZ54" s="111" t="n"/>
      <c r="BA54" s="378" t="n"/>
      <c r="BB54" s="142" t="n"/>
      <c r="BC54" s="378" t="n"/>
      <c r="BD54" s="142" t="n"/>
      <c r="BE54" s="378" t="n"/>
      <c r="BF54" s="142" t="n"/>
      <c r="BG54" s="378" t="n"/>
      <c r="BH54" s="142" t="n"/>
      <c r="BI54" s="318" t="n"/>
      <c r="BJ54" s="142" t="n"/>
      <c r="BK54" s="318" t="n"/>
      <c r="BL54" s="142" t="n"/>
      <c r="BM54" s="318" t="n"/>
      <c r="BN54" s="142" t="n"/>
      <c r="BO54" s="318" t="n"/>
      <c r="BP54" s="318" t="n"/>
      <c r="BQ54" s="142" t="n"/>
      <c r="BR54" s="318" t="n"/>
      <c r="BS54" s="142" t="n"/>
      <c r="BT54" s="318" t="n"/>
      <c r="BU54" s="142" t="n"/>
      <c r="BV54" s="318" t="n"/>
      <c r="BW54" s="142" t="n"/>
      <c r="BX54" s="318" t="n"/>
      <c r="BY54" s="142" t="n"/>
      <c r="BZ54" s="318" t="n"/>
      <c r="CA54" s="142" t="n"/>
      <c r="CB54" s="318" t="n"/>
      <c r="CC54" s="142" t="n"/>
      <c r="CD54" s="318" t="n"/>
      <c r="CE54" s="142" t="n"/>
      <c r="CF54" s="318" t="n"/>
      <c r="CG54" s="317" t="n"/>
      <c r="CH54" s="318" t="n"/>
      <c r="CI54" s="317" t="n"/>
      <c r="CJ54" s="318" t="n"/>
      <c r="CK54" s="317" t="n"/>
      <c r="CL54" s="318" t="n"/>
      <c r="CM54" s="317" t="n"/>
      <c r="CN54" s="318" t="n"/>
      <c r="CO54" s="80" t="n"/>
      <c r="CP54" s="318" t="n"/>
      <c r="CQ54" s="80" t="n"/>
      <c r="CR54" s="318" t="n"/>
      <c r="CS54" s="80" t="n"/>
      <c r="CT54" s="318" t="n"/>
      <c r="CU54" s="80" t="n"/>
      <c r="CV54" s="361" t="n"/>
      <c r="CW54" s="318" t="n"/>
      <c r="CX54" s="142" t="n"/>
      <c r="CY54" s="318" t="n"/>
      <c r="CZ54" s="142" t="n"/>
      <c r="DA54" s="318" t="n"/>
      <c r="DB54" s="142" t="n"/>
      <c r="DC54" s="318" t="n"/>
      <c r="DD54" s="142" t="n"/>
      <c r="DE54" s="385" t="n"/>
      <c r="DF54" s="385" t="n"/>
      <c r="DG54" s="214" t="n"/>
    </row>
    <row r="55" customFormat="1" s="117">
      <c r="A55" s="376" t="n">
        <v>43220</v>
      </c>
      <c r="B55" s="315" t="n">
        <v>19870.72</v>
      </c>
      <c r="C55" s="111">
        <f>B55/B43-1</f>
        <v/>
      </c>
      <c r="D55" s="111" t="n"/>
      <c r="E55" s="315" t="n">
        <v>12502.36</v>
      </c>
      <c r="F55" s="111">
        <f>E55/E43-1</f>
        <v/>
      </c>
      <c r="G55" s="111" t="n"/>
      <c r="H55" s="315" t="n">
        <v>6838.26</v>
      </c>
      <c r="I55" s="111">
        <f>H55/H43-1</f>
        <v/>
      </c>
      <c r="J55" s="111" t="n"/>
      <c r="K55" s="315" t="n">
        <v>530.1</v>
      </c>
      <c r="L55" s="111">
        <f>K55/K43-1</f>
        <v/>
      </c>
      <c r="M55" s="111" t="n"/>
      <c r="N55" s="315" t="n">
        <v>16819.59</v>
      </c>
      <c r="O55" s="111">
        <f>N55/N43-1</f>
        <v/>
      </c>
      <c r="P55" s="111" t="n"/>
      <c r="Q55" s="315" t="n">
        <v>10807.85</v>
      </c>
      <c r="R55" s="111">
        <f>Q55/Q43-1</f>
        <v/>
      </c>
      <c r="S55" s="111" t="n"/>
      <c r="T55" s="315" t="n">
        <v>5572.15</v>
      </c>
      <c r="U55" s="111">
        <f>T55/T43-1</f>
        <v/>
      </c>
      <c r="V55" s="111" t="n"/>
      <c r="W55" s="315" t="n">
        <v>439.6</v>
      </c>
      <c r="X55" s="111">
        <f>W55/W43-1</f>
        <v/>
      </c>
      <c r="Y55" s="111" t="n"/>
      <c r="Z55" s="315" t="n">
        <v>10273.69</v>
      </c>
      <c r="AA55" s="111">
        <f>Z55/Z43-1</f>
        <v/>
      </c>
      <c r="AB55" s="111" t="n"/>
      <c r="AC55" s="315" t="n">
        <v>8593.040000000001</v>
      </c>
      <c r="AD55" s="111">
        <f>AC55/AC43-1</f>
        <v/>
      </c>
      <c r="AE55" s="111" t="n"/>
      <c r="AF55" s="315" t="n">
        <v>1360.02</v>
      </c>
      <c r="AG55" s="111">
        <f>AF55/AF43-1</f>
        <v/>
      </c>
      <c r="AH55" s="111" t="n"/>
      <c r="AI55" s="315" t="n">
        <v>320.63</v>
      </c>
      <c r="AJ55" s="111">
        <f>AI55/AI43-1</f>
        <v/>
      </c>
      <c r="AK55" s="111" t="n"/>
      <c r="AL55" s="316" t="n">
        <v>84.65000000000001</v>
      </c>
      <c r="AM55" s="380">
        <f>AL55-AL43</f>
        <v/>
      </c>
      <c r="AN55" s="111" t="n"/>
      <c r="AO55" s="316" t="n">
        <v>86.45</v>
      </c>
      <c r="AP55" s="380">
        <f>AO55-AO43</f>
        <v/>
      </c>
      <c r="AQ55" s="111" t="n"/>
      <c r="AR55" s="316" t="n">
        <v>81.48</v>
      </c>
      <c r="AS55" s="380">
        <f>AR55-AR43</f>
        <v/>
      </c>
      <c r="AT55" s="111" t="n"/>
      <c r="AU55" s="316" t="n">
        <v>82.93000000000001</v>
      </c>
      <c r="AV55" s="380">
        <f>AU55-AU43</f>
        <v/>
      </c>
      <c r="AW55" s="111" t="n"/>
      <c r="AX55" s="315" t="n">
        <v>636</v>
      </c>
      <c r="AY55" s="111">
        <f>AX55/AX43-1</f>
        <v/>
      </c>
      <c r="AZ55" s="111" t="n"/>
      <c r="BA55" s="378" t="n"/>
      <c r="BB55" s="142" t="n"/>
      <c r="BC55" s="378" t="n"/>
      <c r="BD55" s="142" t="n"/>
      <c r="BE55" s="378" t="n"/>
      <c r="BF55" s="142" t="n"/>
      <c r="BG55" s="378" t="n"/>
      <c r="BH55" s="142" t="n"/>
      <c r="BI55" s="318" t="n"/>
      <c r="BJ55" s="142" t="n"/>
      <c r="BK55" s="318" t="n"/>
      <c r="BL55" s="142" t="n"/>
      <c r="BM55" s="318" t="n"/>
      <c r="BN55" s="142" t="n"/>
      <c r="BO55" s="318" t="n"/>
      <c r="BP55" s="318" t="n"/>
      <c r="BQ55" s="142" t="n"/>
      <c r="BR55" s="318" t="n"/>
      <c r="BS55" s="142" t="n"/>
      <c r="BT55" s="318" t="n"/>
      <c r="BU55" s="142" t="n"/>
      <c r="BV55" s="318" t="n"/>
      <c r="BW55" s="142" t="n"/>
      <c r="BX55" s="318" t="n"/>
      <c r="BY55" s="142" t="n"/>
      <c r="BZ55" s="318" t="n"/>
      <c r="CA55" s="142" t="n"/>
      <c r="CB55" s="318" t="n"/>
      <c r="CC55" s="142" t="n"/>
      <c r="CD55" s="318" t="n"/>
      <c r="CE55" s="142" t="n"/>
      <c r="CF55" s="318" t="n"/>
      <c r="CG55" s="317" t="n"/>
      <c r="CH55" s="318" t="n"/>
      <c r="CI55" s="317" t="n"/>
      <c r="CJ55" s="318" t="n"/>
      <c r="CK55" s="317" t="n"/>
      <c r="CL55" s="318" t="n"/>
      <c r="CM55" s="317" t="n"/>
      <c r="CN55" s="318" t="n"/>
      <c r="CO55" s="80" t="n"/>
      <c r="CP55" s="318" t="n"/>
      <c r="CQ55" s="80" t="n"/>
      <c r="CR55" s="318" t="n"/>
      <c r="CS55" s="80" t="n"/>
      <c r="CT55" s="318" t="n"/>
      <c r="CU55" s="80" t="n"/>
      <c r="CV55" s="361" t="n"/>
      <c r="CW55" s="318" t="n"/>
      <c r="CX55" s="142" t="n"/>
      <c r="CY55" s="318" t="n"/>
      <c r="CZ55" s="142" t="n"/>
      <c r="DA55" s="318" t="n"/>
      <c r="DB55" s="142" t="n"/>
      <c r="DC55" s="318" t="n"/>
      <c r="DD55" s="142" t="n"/>
      <c r="DE55" s="385" t="n"/>
      <c r="DF55" s="385" t="n"/>
      <c r="DG55" s="214" t="n"/>
    </row>
    <row r="56" customFormat="1" s="117">
      <c r="A56" s="376" t="n">
        <v>43251</v>
      </c>
      <c r="B56" s="315" t="n">
        <v>20168.82</v>
      </c>
      <c r="C56" s="111">
        <f>B56/B44-1</f>
        <v/>
      </c>
      <c r="D56" s="111" t="n"/>
      <c r="E56" s="315" t="n">
        <v>12669.43</v>
      </c>
      <c r="F56" s="111">
        <f>E56/E44-1</f>
        <v/>
      </c>
      <c r="G56" s="111" t="n"/>
      <c r="H56" s="315" t="n">
        <v>6950.3</v>
      </c>
      <c r="I56" s="111">
        <f>H56/H44-1</f>
        <v/>
      </c>
      <c r="J56" s="111" t="n"/>
      <c r="K56" s="315" t="n">
        <v>549.1</v>
      </c>
      <c r="L56" s="111">
        <f>K56/K44-1</f>
        <v/>
      </c>
      <c r="M56" s="111" t="n"/>
      <c r="N56" s="315" t="n">
        <v>16419.26</v>
      </c>
      <c r="O56" s="111">
        <f>N56/N44-1</f>
        <v/>
      </c>
      <c r="P56" s="111" t="n"/>
      <c r="Q56" s="315" t="n">
        <v>10544.33</v>
      </c>
      <c r="R56" s="111">
        <f>Q56/Q44-1</f>
        <v/>
      </c>
      <c r="S56" s="111" t="n"/>
      <c r="T56" s="315" t="n">
        <v>5432.31</v>
      </c>
      <c r="U56" s="111">
        <f>T56/T44-1</f>
        <v/>
      </c>
      <c r="V56" s="111" t="n"/>
      <c r="W56" s="315" t="n">
        <v>442.61</v>
      </c>
      <c r="X56" s="111">
        <f>W56/W44-1</f>
        <v/>
      </c>
      <c r="Y56" s="111" t="n"/>
      <c r="Z56" s="315" t="n">
        <v>10022.4</v>
      </c>
      <c r="AA56" s="111">
        <f>Z56/Z44-1</f>
        <v/>
      </c>
      <c r="AB56" s="111" t="n"/>
      <c r="AC56" s="315" t="n">
        <v>8410.870000000001</v>
      </c>
      <c r="AD56" s="111">
        <f>AC56/AC44-1</f>
        <v/>
      </c>
      <c r="AE56" s="111" t="n"/>
      <c r="AF56" s="315" t="n">
        <v>1291.53</v>
      </c>
      <c r="AG56" s="111">
        <f>AF56/AF44-1</f>
        <v/>
      </c>
      <c r="AH56" s="111" t="n"/>
      <c r="AI56" s="315" t="n">
        <v>320</v>
      </c>
      <c r="AJ56" s="111">
        <f>AI56/AI44-1</f>
        <v/>
      </c>
      <c r="AK56" s="111" t="n"/>
      <c r="AL56" s="316" t="n">
        <v>81.41</v>
      </c>
      <c r="AM56" s="380">
        <f>AL56-AL44</f>
        <v/>
      </c>
      <c r="AN56" s="111" t="n"/>
      <c r="AO56" s="316" t="n">
        <v>83.23</v>
      </c>
      <c r="AP56" s="380">
        <f>AO56-AO44</f>
        <v/>
      </c>
      <c r="AQ56" s="111" t="n"/>
      <c r="AR56" s="316" t="n">
        <v>78.16</v>
      </c>
      <c r="AS56" s="380">
        <f>AR56-AR44</f>
        <v/>
      </c>
      <c r="AT56" s="111" t="n"/>
      <c r="AU56" s="316" t="n">
        <v>80.61</v>
      </c>
      <c r="AV56" s="380">
        <f>AU56-AU44</f>
        <v/>
      </c>
      <c r="AW56" s="111" t="n"/>
      <c r="AX56" s="315" t="n">
        <v>636</v>
      </c>
      <c r="AY56" s="111">
        <f>AX56/AX44-1</f>
        <v/>
      </c>
      <c r="AZ56" s="111" t="n"/>
      <c r="BA56" s="378" t="n"/>
      <c r="BB56" s="142" t="n"/>
      <c r="BC56" s="378" t="n"/>
      <c r="BD56" s="142" t="n"/>
      <c r="BE56" s="378" t="n"/>
      <c r="BF56" s="142" t="n"/>
      <c r="BG56" s="378" t="n"/>
      <c r="BH56" s="142" t="n"/>
      <c r="BI56" s="318" t="n"/>
      <c r="BJ56" s="142" t="n"/>
      <c r="BK56" s="318" t="n"/>
      <c r="BL56" s="142" t="n"/>
      <c r="BM56" s="318" t="n"/>
      <c r="BN56" s="142" t="n"/>
      <c r="BO56" s="318" t="n"/>
      <c r="BP56" s="318" t="n"/>
      <c r="BQ56" s="142" t="n"/>
      <c r="BR56" s="318" t="n"/>
      <c r="BS56" s="142" t="n"/>
      <c r="BT56" s="318" t="n"/>
      <c r="BU56" s="142" t="n"/>
      <c r="BV56" s="318" t="n"/>
      <c r="BW56" s="142" t="n"/>
      <c r="BX56" s="318" t="n"/>
      <c r="BY56" s="142" t="n"/>
      <c r="BZ56" s="318" t="n"/>
      <c r="CA56" s="142" t="n"/>
      <c r="CB56" s="318" t="n"/>
      <c r="CC56" s="142" t="n"/>
      <c r="CD56" s="318" t="n"/>
      <c r="CE56" s="142" t="n"/>
      <c r="CF56" s="318" t="n"/>
      <c r="CG56" s="317" t="n"/>
      <c r="CH56" s="318" t="n"/>
      <c r="CI56" s="317" t="n"/>
      <c r="CJ56" s="318" t="n"/>
      <c r="CK56" s="317" t="n"/>
      <c r="CL56" s="318" t="n"/>
      <c r="CM56" s="317" t="n"/>
      <c r="CN56" s="318" t="n"/>
      <c r="CO56" s="80" t="n"/>
      <c r="CP56" s="318" t="n"/>
      <c r="CQ56" s="80" t="n"/>
      <c r="CR56" s="318" t="n"/>
      <c r="CS56" s="80" t="n"/>
      <c r="CT56" s="318" t="n"/>
      <c r="CU56" s="80" t="n"/>
      <c r="CV56" s="361" t="n"/>
      <c r="CW56" s="318" t="n"/>
      <c r="CX56" s="142" t="n"/>
      <c r="CY56" s="318" t="n"/>
      <c r="CZ56" s="142" t="n"/>
      <c r="DA56" s="318" t="n"/>
      <c r="DB56" s="142" t="n"/>
      <c r="DC56" s="318" t="n"/>
      <c r="DD56" s="142" t="n"/>
      <c r="DE56" s="385" t="n"/>
      <c r="DF56" s="385" t="n"/>
      <c r="DG56" s="214" t="n"/>
    </row>
    <row r="57" customFormat="1" s="117">
      <c r="A57" s="376" t="n">
        <v>43281</v>
      </c>
      <c r="B57" s="315" t="n">
        <v>19619.18</v>
      </c>
      <c r="C57" s="111">
        <f>B57/B45-1</f>
        <v/>
      </c>
      <c r="D57" s="111" t="n"/>
      <c r="E57" s="315" t="n">
        <v>12218.75</v>
      </c>
      <c r="F57" s="111">
        <f>E57/E45-1</f>
        <v/>
      </c>
      <c r="G57" s="111" t="n"/>
      <c r="H57" s="315" t="n">
        <v>6865.76</v>
      </c>
      <c r="I57" s="111">
        <f>H57/H45-1</f>
        <v/>
      </c>
      <c r="J57" s="111" t="n"/>
      <c r="K57" s="315" t="n">
        <v>534.66</v>
      </c>
      <c r="L57" s="111">
        <f>K57/K45-1</f>
        <v/>
      </c>
      <c r="M57" s="111" t="n"/>
      <c r="N57" s="315" t="n">
        <v>16382.16</v>
      </c>
      <c r="O57" s="111">
        <f>N57/N45-1</f>
        <v/>
      </c>
      <c r="P57" s="111" t="n"/>
      <c r="Q57" s="315" t="n">
        <v>10378.46</v>
      </c>
      <c r="R57" s="111">
        <f>Q57/Q45-1</f>
        <v/>
      </c>
      <c r="S57" s="111" t="n"/>
      <c r="T57" s="315" t="n">
        <v>5556.3</v>
      </c>
      <c r="U57" s="111">
        <f>T57/T45-1</f>
        <v/>
      </c>
      <c r="V57" s="111" t="n"/>
      <c r="W57" s="315" t="n">
        <v>447.41</v>
      </c>
      <c r="X57" s="111">
        <f>W57/W45-1</f>
        <v/>
      </c>
      <c r="Y57" s="111" t="n"/>
      <c r="Z57" s="315" t="n">
        <v>9887.83</v>
      </c>
      <c r="AA57" s="111">
        <f>Z57/Z45-1</f>
        <v/>
      </c>
      <c r="AB57" s="111" t="n"/>
      <c r="AC57" s="315" t="n">
        <v>8241.67</v>
      </c>
      <c r="AD57" s="111">
        <f>AC57/AC45-1</f>
        <v/>
      </c>
      <c r="AE57" s="111" t="n"/>
      <c r="AF57" s="315" t="n">
        <v>1322.31</v>
      </c>
      <c r="AG57" s="111">
        <f>AF57/AF45-1</f>
        <v/>
      </c>
      <c r="AH57" s="111" t="n"/>
      <c r="AI57" s="315" t="n">
        <v>323.86</v>
      </c>
      <c r="AJ57" s="111">
        <f>AI57/AI45-1</f>
        <v/>
      </c>
      <c r="AK57" s="111" t="n"/>
      <c r="AL57" s="316" t="n">
        <v>83.5</v>
      </c>
      <c r="AM57" s="380">
        <f>AL57-AL45</f>
        <v/>
      </c>
      <c r="AN57" s="111" t="n"/>
      <c r="AO57" s="316" t="n">
        <v>84.94</v>
      </c>
      <c r="AP57" s="380">
        <f>AO57-AO45</f>
        <v/>
      </c>
      <c r="AQ57" s="111" t="n"/>
      <c r="AR57" s="316" t="n">
        <v>80.93000000000001</v>
      </c>
      <c r="AS57" s="380">
        <f>AR57-AR45</f>
        <v/>
      </c>
      <c r="AT57" s="111" t="n"/>
      <c r="AU57" s="316" t="n">
        <v>83.68000000000001</v>
      </c>
      <c r="AV57" s="380">
        <f>AU57-AU45</f>
        <v/>
      </c>
      <c r="AW57" s="111" t="n"/>
      <c r="AX57" s="315" t="n">
        <v>642</v>
      </c>
      <c r="AY57" s="111">
        <f>AX57/AX45-1</f>
        <v/>
      </c>
      <c r="AZ57" s="111" t="n"/>
      <c r="BA57" s="378" t="n"/>
      <c r="BB57" s="142" t="n"/>
      <c r="BC57" s="378" t="n"/>
      <c r="BD57" s="142" t="n"/>
      <c r="BE57" s="378" t="n"/>
      <c r="BF57" s="142" t="n"/>
      <c r="BG57" s="378" t="n"/>
      <c r="BH57" s="142" t="n"/>
      <c r="BI57" s="318" t="n"/>
      <c r="BJ57" s="142" t="n"/>
      <c r="BK57" s="318" t="n"/>
      <c r="BL57" s="142" t="n"/>
      <c r="BM57" s="318" t="n"/>
      <c r="BN57" s="142" t="n"/>
      <c r="BO57" s="318" t="n"/>
      <c r="BP57" s="318" t="n"/>
      <c r="BQ57" s="142" t="n"/>
      <c r="BR57" s="318" t="n"/>
      <c r="BS57" s="142" t="n"/>
      <c r="BT57" s="318" t="n"/>
      <c r="BU57" s="142" t="n"/>
      <c r="BV57" s="318" t="n"/>
      <c r="BW57" s="142" t="n"/>
      <c r="BX57" s="318" t="n"/>
      <c r="BY57" s="142" t="n"/>
      <c r="BZ57" s="318" t="n"/>
      <c r="CA57" s="142" t="n"/>
      <c r="CB57" s="318" t="n"/>
      <c r="CC57" s="142" t="n"/>
      <c r="CD57" s="318" t="n"/>
      <c r="CE57" s="142" t="n"/>
      <c r="CF57" s="318" t="n"/>
      <c r="CG57" s="317" t="n"/>
      <c r="CH57" s="318" t="n"/>
      <c r="CI57" s="317" t="n"/>
      <c r="CJ57" s="318" t="n"/>
      <c r="CK57" s="317" t="n"/>
      <c r="CL57" s="318" t="n"/>
      <c r="CM57" s="317" t="n"/>
      <c r="CN57" s="318" t="n"/>
      <c r="CO57" s="80" t="n"/>
      <c r="CP57" s="318" t="n"/>
      <c r="CQ57" s="80" t="n"/>
      <c r="CR57" s="318" t="n"/>
      <c r="CS57" s="80" t="n"/>
      <c r="CT57" s="318" t="n"/>
      <c r="CU57" s="80" t="n"/>
      <c r="CV57" s="361" t="n"/>
      <c r="CW57" s="318" t="n"/>
      <c r="CX57" s="142" t="n"/>
      <c r="CY57" s="318" t="n"/>
      <c r="CZ57" s="142" t="n"/>
      <c r="DA57" s="318" t="n"/>
      <c r="DB57" s="142" t="n"/>
      <c r="DC57" s="318" t="n"/>
      <c r="DD57" s="142" t="n"/>
      <c r="DE57" s="385" t="n"/>
      <c r="DF57" s="385" t="n"/>
      <c r="DG57" s="214" t="n"/>
    </row>
    <row r="58" customFormat="1" s="117">
      <c r="A58" s="376" t="n">
        <v>43312</v>
      </c>
      <c r="B58" s="315" t="n">
        <v>21255.33</v>
      </c>
      <c r="C58" s="111">
        <f>B58/B46-1</f>
        <v/>
      </c>
      <c r="D58" s="111" t="n"/>
      <c r="E58" s="315" t="n">
        <v>13230.92</v>
      </c>
      <c r="F58" s="111">
        <f>E58/E46-1</f>
        <v/>
      </c>
      <c r="G58" s="111" t="n"/>
      <c r="H58" s="315" t="n">
        <v>7465.99</v>
      </c>
      <c r="I58" s="111">
        <f>H58/H46-1</f>
        <v/>
      </c>
      <c r="J58" s="111" t="n"/>
      <c r="K58" s="315" t="n">
        <v>558.41</v>
      </c>
      <c r="L58" s="111">
        <f>K58/K46-1</f>
        <v/>
      </c>
      <c r="M58" s="111" t="n"/>
      <c r="N58" s="315" t="n">
        <v>17723.48</v>
      </c>
      <c r="O58" s="111">
        <f>N58/N46-1</f>
        <v/>
      </c>
      <c r="P58" s="111" t="n"/>
      <c r="Q58" s="315" t="n">
        <v>11236.72</v>
      </c>
      <c r="R58" s="111">
        <f>Q58/Q46-1</f>
        <v/>
      </c>
      <c r="S58" s="111" t="n"/>
      <c r="T58" s="315" t="n">
        <v>6011.57</v>
      </c>
      <c r="U58" s="111">
        <f>T58/T46-1</f>
        <v/>
      </c>
      <c r="V58" s="111" t="n"/>
      <c r="W58" s="315" t="n">
        <v>475.19</v>
      </c>
      <c r="X58" s="111">
        <f>W58/W46-1</f>
        <v/>
      </c>
      <c r="Y58" s="111" t="n"/>
      <c r="Z58" s="315" t="n">
        <v>10647.06</v>
      </c>
      <c r="AA58" s="111">
        <f>Z58/Z46-1</f>
        <v/>
      </c>
      <c r="AB58" s="111" t="n"/>
      <c r="AC58" s="315" t="n">
        <v>8881.41</v>
      </c>
      <c r="AD58" s="111">
        <f>AC58/AC46-1</f>
        <v/>
      </c>
      <c r="AE58" s="111" t="n"/>
      <c r="AF58" s="315" t="n">
        <v>1419.47</v>
      </c>
      <c r="AG58" s="111">
        <f>AF58/AF46-1</f>
        <v/>
      </c>
      <c r="AH58" s="111" t="n"/>
      <c r="AI58" s="315" t="n">
        <v>346.18</v>
      </c>
      <c r="AJ58" s="111">
        <f>AI58/AI46-1</f>
        <v/>
      </c>
      <c r="AK58" s="111" t="n"/>
      <c r="AL58" s="316" t="n">
        <v>83.38</v>
      </c>
      <c r="AM58" s="380">
        <f>AL58-AL46</f>
        <v/>
      </c>
      <c r="AN58" s="111" t="n"/>
      <c r="AO58" s="316" t="n">
        <v>84.93000000000001</v>
      </c>
      <c r="AP58" s="380">
        <f>AO58-AO46</f>
        <v/>
      </c>
      <c r="AQ58" s="111" t="n"/>
      <c r="AR58" s="316" t="n">
        <v>80.52</v>
      </c>
      <c r="AS58" s="380">
        <f>AR58-AR46</f>
        <v/>
      </c>
      <c r="AT58" s="111" t="n"/>
      <c r="AU58" s="316" t="n">
        <v>85.09999999999999</v>
      </c>
      <c r="AV58" s="380">
        <f>AU58-AU46</f>
        <v/>
      </c>
      <c r="AW58" s="111" t="n"/>
      <c r="AX58" s="315" t="n">
        <v>646</v>
      </c>
      <c r="AY58" s="111">
        <f>AX58/AX46-1</f>
        <v/>
      </c>
      <c r="AZ58" s="111" t="n"/>
      <c r="BA58" s="378" t="n"/>
      <c r="BB58" s="142" t="n"/>
      <c r="BC58" s="378" t="n"/>
      <c r="BD58" s="142" t="n"/>
      <c r="BE58" s="378" t="n"/>
      <c r="BF58" s="142" t="n"/>
      <c r="BG58" s="378" t="n"/>
      <c r="BH58" s="142" t="n"/>
      <c r="BI58" s="318" t="n"/>
      <c r="BJ58" s="142" t="n"/>
      <c r="BK58" s="318" t="n"/>
      <c r="BL58" s="142" t="n"/>
      <c r="BM58" s="318" t="n"/>
      <c r="BN58" s="142" t="n"/>
      <c r="BO58" s="318" t="n"/>
      <c r="BP58" s="318" t="n"/>
      <c r="BQ58" s="142" t="n"/>
      <c r="BR58" s="318" t="n"/>
      <c r="BS58" s="142" t="n"/>
      <c r="BT58" s="318" t="n"/>
      <c r="BU58" s="142" t="n"/>
      <c r="BV58" s="318" t="n"/>
      <c r="BW58" s="142" t="n"/>
      <c r="BX58" s="318" t="n"/>
      <c r="BY58" s="142" t="n"/>
      <c r="BZ58" s="318" t="n"/>
      <c r="CA58" s="142" t="n"/>
      <c r="CB58" s="318" t="n"/>
      <c r="CC58" s="142" t="n"/>
      <c r="CD58" s="318" t="n"/>
      <c r="CE58" s="142" t="n"/>
      <c r="CF58" s="318" t="n"/>
      <c r="CG58" s="317" t="n"/>
      <c r="CH58" s="318" t="n"/>
      <c r="CI58" s="317" t="n"/>
      <c r="CJ58" s="318" t="n"/>
      <c r="CK58" s="317" t="n"/>
      <c r="CL58" s="318" t="n"/>
      <c r="CM58" s="317" t="n"/>
      <c r="CN58" s="318" t="n"/>
      <c r="CO58" s="80" t="n"/>
      <c r="CP58" s="318" t="n"/>
      <c r="CQ58" s="80" t="n"/>
      <c r="CR58" s="318" t="n"/>
      <c r="CS58" s="80" t="n"/>
      <c r="CT58" s="318" t="n"/>
      <c r="CU58" s="80" t="n"/>
      <c r="CV58" s="361" t="n"/>
      <c r="CW58" s="318" t="n"/>
      <c r="CX58" s="142" t="n"/>
      <c r="CY58" s="318" t="n"/>
      <c r="CZ58" s="142" t="n"/>
      <c r="DA58" s="318" t="n"/>
      <c r="DB58" s="142" t="n"/>
      <c r="DC58" s="318" t="n"/>
      <c r="DD58" s="142" t="n"/>
      <c r="DE58" s="385" t="n"/>
      <c r="DF58" s="385" t="n"/>
      <c r="DG58" s="214" t="n"/>
    </row>
    <row r="59" customFormat="1" s="117">
      <c r="A59" s="376" t="n">
        <v>43343</v>
      </c>
      <c r="B59" s="315" t="n">
        <v>21359.66</v>
      </c>
      <c r="C59" s="111">
        <f>B59/B47-1</f>
        <v/>
      </c>
      <c r="D59" s="111" t="n"/>
      <c r="E59" s="315" t="n">
        <v>13429.86</v>
      </c>
      <c r="F59" s="111">
        <f>E59/E47-1</f>
        <v/>
      </c>
      <c r="G59" s="111" t="n"/>
      <c r="H59" s="315" t="n">
        <v>7375.06</v>
      </c>
      <c r="I59" s="111">
        <f>H59/H47-1</f>
        <v/>
      </c>
      <c r="J59" s="111" t="n"/>
      <c r="K59" s="315" t="n">
        <v>554.74</v>
      </c>
      <c r="L59" s="111">
        <f>K59/K47-1</f>
        <v/>
      </c>
      <c r="M59" s="111" t="n"/>
      <c r="N59" s="315" t="n">
        <v>18427.23</v>
      </c>
      <c r="O59" s="111">
        <f>N59/N47-1</f>
        <v/>
      </c>
      <c r="P59" s="111" t="n"/>
      <c r="Q59" s="315" t="n">
        <v>11837.21</v>
      </c>
      <c r="R59" s="111">
        <f>Q59/Q47-1</f>
        <v/>
      </c>
      <c r="S59" s="111" t="n"/>
      <c r="T59" s="315" t="n">
        <v>6095.69</v>
      </c>
      <c r="U59" s="111">
        <f>T59/T47-1</f>
        <v/>
      </c>
      <c r="V59" s="111" t="n"/>
      <c r="W59" s="315" t="n">
        <v>494.33</v>
      </c>
      <c r="X59" s="111">
        <f>W59/W47-1</f>
        <v/>
      </c>
      <c r="Y59" s="111" t="n"/>
      <c r="Z59" s="315" t="n">
        <v>11171.16</v>
      </c>
      <c r="AA59" s="111">
        <f>Z59/Z47-1</f>
        <v/>
      </c>
      <c r="AB59" s="111" t="n"/>
      <c r="AC59" s="315" t="n">
        <v>9355.129999999999</v>
      </c>
      <c r="AD59" s="111">
        <f>AC59/AC47-1</f>
        <v/>
      </c>
      <c r="AE59" s="111" t="n"/>
      <c r="AF59" s="315" t="n">
        <v>1457.21</v>
      </c>
      <c r="AG59" s="111">
        <f>AF59/AF47-1</f>
        <v/>
      </c>
      <c r="AH59" s="111" t="n"/>
      <c r="AI59" s="315" t="n">
        <v>358.82</v>
      </c>
      <c r="AJ59" s="111">
        <f>AI59/AI47-1</f>
        <v/>
      </c>
      <c r="AK59" s="111" t="n"/>
      <c r="AL59" s="316" t="n">
        <v>86.27</v>
      </c>
      <c r="AM59" s="380">
        <f>AL59-AL47</f>
        <v/>
      </c>
      <c r="AN59" s="111" t="n"/>
      <c r="AO59" s="316" t="n">
        <v>88.14</v>
      </c>
      <c r="AP59" s="380">
        <f>AO59-AO47</f>
        <v/>
      </c>
      <c r="AQ59" s="111" t="n"/>
      <c r="AR59" s="316" t="n">
        <v>82.65000000000001</v>
      </c>
      <c r="AS59" s="380">
        <f>AR59-AR47</f>
        <v/>
      </c>
      <c r="AT59" s="111" t="n"/>
      <c r="AU59" s="316" t="n">
        <v>89.11</v>
      </c>
      <c r="AV59" s="380">
        <f>AU59-AU47</f>
        <v/>
      </c>
      <c r="AW59" s="111" t="n"/>
      <c r="AX59" s="315" t="n">
        <v>647</v>
      </c>
      <c r="AY59" s="111">
        <f>AX59/AX47-1</f>
        <v/>
      </c>
      <c r="AZ59" s="111" t="n"/>
      <c r="BA59" s="378" t="n"/>
      <c r="BB59" s="142" t="n"/>
      <c r="BC59" s="378" t="n"/>
      <c r="BD59" s="142" t="n"/>
      <c r="BE59" s="378" t="n"/>
      <c r="BF59" s="142" t="n"/>
      <c r="BG59" s="378" t="n"/>
      <c r="BH59" s="142" t="n"/>
      <c r="BI59" s="318" t="n"/>
      <c r="BJ59" s="142" t="n"/>
      <c r="BK59" s="318" t="n"/>
      <c r="BL59" s="142" t="n"/>
      <c r="BM59" s="318" t="n"/>
      <c r="BN59" s="142" t="n"/>
      <c r="BO59" s="318" t="n"/>
      <c r="BP59" s="318" t="n"/>
      <c r="BQ59" s="142" t="n"/>
      <c r="BR59" s="318" t="n"/>
      <c r="BS59" s="142" t="n"/>
      <c r="BT59" s="318" t="n"/>
      <c r="BU59" s="142" t="n"/>
      <c r="BV59" s="318" t="n"/>
      <c r="BW59" s="142" t="n"/>
      <c r="BX59" s="318" t="n"/>
      <c r="BY59" s="142" t="n"/>
      <c r="BZ59" s="318" t="n"/>
      <c r="CA59" s="142" t="n"/>
      <c r="CB59" s="318" t="n"/>
      <c r="CC59" s="142" t="n"/>
      <c r="CD59" s="318" t="n"/>
      <c r="CE59" s="142" t="n"/>
      <c r="CF59" s="318" t="n"/>
      <c r="CG59" s="317" t="n"/>
      <c r="CH59" s="318" t="n"/>
      <c r="CI59" s="317" t="n"/>
      <c r="CJ59" s="318" t="n"/>
      <c r="CK59" s="317" t="n"/>
      <c r="CL59" s="318" t="n"/>
      <c r="CM59" s="317" t="n"/>
      <c r="CN59" s="318" t="n"/>
      <c r="CO59" s="80" t="n"/>
      <c r="CP59" s="318" t="n"/>
      <c r="CQ59" s="80" t="n"/>
      <c r="CR59" s="318" t="n"/>
      <c r="CS59" s="80" t="n"/>
      <c r="CT59" s="318" t="n"/>
      <c r="CU59" s="80" t="n"/>
      <c r="CV59" s="361" t="n"/>
      <c r="CW59" s="318" t="n"/>
      <c r="CX59" s="142" t="n"/>
      <c r="CY59" s="318" t="n"/>
      <c r="CZ59" s="142" t="n"/>
      <c r="DA59" s="318" t="n"/>
      <c r="DB59" s="142" t="n"/>
      <c r="DC59" s="318" t="n"/>
      <c r="DD59" s="142" t="n"/>
      <c r="DE59" s="385" t="n"/>
      <c r="DF59" s="385" t="n"/>
      <c r="DG59" s="386" t="n"/>
    </row>
    <row r="60" customFormat="1" s="117">
      <c r="A60" s="376" t="n">
        <v>43373</v>
      </c>
      <c r="B60" s="315" t="n">
        <v>20055.7</v>
      </c>
      <c r="C60" s="111">
        <f>B60/B48-1</f>
        <v/>
      </c>
      <c r="D60" s="111" t="n"/>
      <c r="E60" s="315" t="n">
        <v>12594.19</v>
      </c>
      <c r="F60" s="111">
        <f>E60/E48-1</f>
        <v/>
      </c>
      <c r="G60" s="111" t="n"/>
      <c r="H60" s="315" t="n">
        <v>6936.33</v>
      </c>
      <c r="I60" s="111">
        <f>H60/H48-1</f>
        <v/>
      </c>
      <c r="J60" s="111" t="n"/>
      <c r="K60" s="315" t="n">
        <v>525.1900000000001</v>
      </c>
      <c r="L60" s="111">
        <f>K60/K48-1</f>
        <v/>
      </c>
      <c r="M60" s="111" t="n"/>
      <c r="N60" s="315" t="n">
        <v>16294.61</v>
      </c>
      <c r="O60" s="111">
        <f>N60/N48-1</f>
        <v/>
      </c>
      <c r="P60" s="111" t="n"/>
      <c r="Q60" s="315" t="n">
        <v>10405.23</v>
      </c>
      <c r="R60" s="111">
        <f>Q60/Q48-1</f>
        <v/>
      </c>
      <c r="S60" s="111" t="n"/>
      <c r="T60" s="315" t="n">
        <v>5460.97</v>
      </c>
      <c r="U60" s="111">
        <f>T60/T48-1</f>
        <v/>
      </c>
      <c r="V60" s="111" t="n"/>
      <c r="W60" s="315" t="n">
        <v>428.41</v>
      </c>
      <c r="X60" s="111">
        <f>W60/W48-1</f>
        <v/>
      </c>
      <c r="Y60" s="111" t="n"/>
      <c r="Z60" s="315" t="n">
        <v>9845.940000000001</v>
      </c>
      <c r="AA60" s="111">
        <f>Z60/Z48-1</f>
        <v/>
      </c>
      <c r="AB60" s="111" t="n"/>
      <c r="AC60" s="315" t="n">
        <v>8279.040000000001</v>
      </c>
      <c r="AD60" s="111">
        <f>AC60/AC48-1</f>
        <v/>
      </c>
      <c r="AE60" s="111" t="n"/>
      <c r="AF60" s="315" t="n">
        <v>1256.1</v>
      </c>
      <c r="AG60" s="111">
        <f>AF60/AF48-1</f>
        <v/>
      </c>
      <c r="AH60" s="111" t="n"/>
      <c r="AI60" s="315" t="n">
        <v>310.79</v>
      </c>
      <c r="AJ60" s="111">
        <f>AI60/AI48-1</f>
        <v/>
      </c>
      <c r="AK60" s="111" t="n"/>
      <c r="AL60" s="316" t="n">
        <v>81.25</v>
      </c>
      <c r="AM60" s="380">
        <f>AL60-AL48</f>
        <v/>
      </c>
      <c r="AN60" s="111" t="n"/>
      <c r="AO60" s="316" t="n">
        <v>82.62</v>
      </c>
      <c r="AP60" s="380">
        <f>AO60-AO48</f>
        <v/>
      </c>
      <c r="AQ60" s="111" t="n"/>
      <c r="AR60" s="316" t="n">
        <v>78.73</v>
      </c>
      <c r="AS60" s="380">
        <f>AR60-AR48</f>
        <v/>
      </c>
      <c r="AT60" s="111" t="n"/>
      <c r="AU60" s="316" t="n">
        <v>81.56999999999999</v>
      </c>
      <c r="AV60" s="380">
        <f>AU60-AU48</f>
        <v/>
      </c>
      <c r="AW60" s="111" t="n"/>
      <c r="AX60" s="315" t="n">
        <v>662</v>
      </c>
      <c r="AY60" s="111">
        <f>AX60/AX48-1</f>
        <v/>
      </c>
      <c r="AZ60" s="111" t="n"/>
      <c r="BA60" s="378" t="n"/>
      <c r="BB60" s="142" t="n"/>
      <c r="BC60" s="378" t="n"/>
      <c r="BD60" s="142" t="n"/>
      <c r="BE60" s="378" t="n"/>
      <c r="BF60" s="142" t="n"/>
      <c r="BG60" s="378" t="n"/>
      <c r="BH60" s="142" t="n"/>
      <c r="BI60" s="318" t="n"/>
      <c r="BJ60" s="142" t="n"/>
      <c r="BK60" s="318" t="n"/>
      <c r="BL60" s="142" t="n"/>
      <c r="BM60" s="318" t="n"/>
      <c r="BN60" s="142" t="n"/>
      <c r="BO60" s="318" t="n"/>
      <c r="BP60" s="318" t="n"/>
      <c r="BQ60" s="142" t="n"/>
      <c r="BR60" s="318" t="n"/>
      <c r="BS60" s="142" t="n"/>
      <c r="BT60" s="318" t="n"/>
      <c r="BU60" s="142" t="n"/>
      <c r="BV60" s="318" t="n"/>
      <c r="BW60" s="142" t="n"/>
      <c r="BX60" s="318" t="n"/>
      <c r="BY60" s="142" t="n"/>
      <c r="BZ60" s="318" t="n"/>
      <c r="CA60" s="142" t="n"/>
      <c r="CB60" s="318" t="n"/>
      <c r="CC60" s="142" t="n"/>
      <c r="CD60" s="318" t="n"/>
      <c r="CE60" s="142" t="n"/>
      <c r="CF60" s="318" t="n"/>
      <c r="CG60" s="317" t="n"/>
      <c r="CH60" s="318" t="n"/>
      <c r="CI60" s="317" t="n"/>
      <c r="CJ60" s="318" t="n"/>
      <c r="CK60" s="317" t="n"/>
      <c r="CL60" s="318" t="n"/>
      <c r="CM60" s="317" t="n"/>
      <c r="CN60" s="318" t="n"/>
      <c r="CO60" s="80" t="n"/>
      <c r="CP60" s="318" t="n"/>
      <c r="CQ60" s="80" t="n"/>
      <c r="CR60" s="318" t="n"/>
      <c r="CS60" s="80" t="n"/>
      <c r="CT60" s="318" t="n"/>
      <c r="CU60" s="80" t="n"/>
      <c r="CV60" s="361" t="n"/>
      <c r="CW60" s="318" t="n"/>
      <c r="CX60" s="142" t="n"/>
      <c r="CY60" s="318" t="n"/>
      <c r="CZ60" s="142" t="n"/>
      <c r="DA60" s="318" t="n"/>
      <c r="DB60" s="142" t="n"/>
      <c r="DC60" s="318" t="n"/>
      <c r="DD60" s="142" t="n"/>
      <c r="DE60" s="385" t="n"/>
      <c r="DF60" s="385" t="n"/>
      <c r="DG60" s="318" t="n"/>
    </row>
    <row r="61" customFormat="1" s="117">
      <c r="A61" s="376" t="n">
        <v>43404</v>
      </c>
      <c r="B61" s="315" t="n">
        <v>21090.96</v>
      </c>
      <c r="C61" s="111">
        <f>B61/B49-1</f>
        <v/>
      </c>
      <c r="D61" s="111" t="n"/>
      <c r="E61" s="315" t="n">
        <v>13327.13</v>
      </c>
      <c r="F61" s="111">
        <f>E61/E49-1</f>
        <v/>
      </c>
      <c r="G61" s="111" t="n"/>
      <c r="H61" s="315" t="n">
        <v>7203.09</v>
      </c>
      <c r="I61" s="111">
        <f>H61/H49-1</f>
        <v/>
      </c>
      <c r="J61" s="111" t="n"/>
      <c r="K61" s="315" t="n">
        <v>560.74</v>
      </c>
      <c r="L61" s="111">
        <f>K61/K49-1</f>
        <v/>
      </c>
      <c r="M61" s="111" t="n"/>
      <c r="N61" s="315" t="n">
        <v>17256.71</v>
      </c>
      <c r="O61" s="111">
        <f>N61/N49-1</f>
        <v/>
      </c>
      <c r="P61" s="111" t="n"/>
      <c r="Q61" s="315" t="n">
        <v>11277.56</v>
      </c>
      <c r="R61" s="111">
        <f>Q61/Q49-1</f>
        <v/>
      </c>
      <c r="S61" s="111" t="n"/>
      <c r="T61" s="315" t="n">
        <v>5526.87</v>
      </c>
      <c r="U61" s="111">
        <f>T61/T49-1</f>
        <v/>
      </c>
      <c r="V61" s="111" t="n"/>
      <c r="W61" s="315" t="n">
        <v>452.28</v>
      </c>
      <c r="X61" s="111">
        <f>W61/W49-1</f>
        <v/>
      </c>
      <c r="Y61" s="111" t="n"/>
      <c r="Z61" s="315" t="n">
        <v>10584</v>
      </c>
      <c r="AA61" s="111">
        <f>Z61/Z49-1</f>
        <v/>
      </c>
      <c r="AB61" s="111" t="n"/>
      <c r="AC61" s="315" t="n">
        <v>8949.559999999999</v>
      </c>
      <c r="AD61" s="111">
        <f>AC61/AC49-1</f>
        <v/>
      </c>
      <c r="AE61" s="111" t="n"/>
      <c r="AF61" s="315" t="n">
        <v>1303.68</v>
      </c>
      <c r="AG61" s="111">
        <f>AF61/AF49-1</f>
        <v/>
      </c>
      <c r="AH61" s="111" t="n"/>
      <c r="AI61" s="315" t="n">
        <v>330.76</v>
      </c>
      <c r="AJ61" s="111">
        <f>AI61/AI49-1</f>
        <v/>
      </c>
      <c r="AK61" s="111" t="n"/>
      <c r="AL61" s="316" t="n">
        <v>81.81999999999999</v>
      </c>
      <c r="AM61" s="380">
        <f>AL61-AL49</f>
        <v/>
      </c>
      <c r="AN61" s="111" t="n"/>
      <c r="AO61" s="316" t="n">
        <v>84.62</v>
      </c>
      <c r="AP61" s="380">
        <f>AO61-AO49</f>
        <v/>
      </c>
      <c r="AQ61" s="111" t="n"/>
      <c r="AR61" s="316" t="n">
        <v>76.73</v>
      </c>
      <c r="AS61" s="380">
        <f>AR61-AR49</f>
        <v/>
      </c>
      <c r="AT61" s="111" t="n"/>
      <c r="AU61" s="316" t="n">
        <v>80.66</v>
      </c>
      <c r="AV61" s="380">
        <f>AU61-AU49</f>
        <v/>
      </c>
      <c r="AW61" s="111" t="n"/>
      <c r="AX61" s="315" t="n">
        <v>668</v>
      </c>
      <c r="AY61" s="111">
        <f>AX61/AX49-1</f>
        <v/>
      </c>
      <c r="AZ61" s="111" t="n"/>
      <c r="BA61" s="378" t="n"/>
      <c r="BB61" s="142" t="n"/>
      <c r="BC61" s="378" t="n"/>
      <c r="BD61" s="142" t="n"/>
      <c r="BE61" s="378" t="n"/>
      <c r="BF61" s="142" t="n"/>
      <c r="BG61" s="378" t="n"/>
      <c r="BH61" s="142" t="n"/>
      <c r="BI61" s="318" t="n"/>
      <c r="BJ61" s="142" t="n"/>
      <c r="BK61" s="318" t="n"/>
      <c r="BL61" s="142" t="n"/>
      <c r="BM61" s="318" t="n"/>
      <c r="BN61" s="142" t="n"/>
      <c r="BO61" s="318" t="n"/>
      <c r="BP61" s="318" t="n"/>
      <c r="BQ61" s="142" t="n"/>
      <c r="BR61" s="318" t="n"/>
      <c r="BS61" s="142" t="n"/>
      <c r="BT61" s="318" t="n"/>
      <c r="BU61" s="142" t="n"/>
      <c r="BV61" s="318" t="n"/>
      <c r="BW61" s="142" t="n"/>
      <c r="BX61" s="318" t="n"/>
      <c r="BY61" s="142" t="n"/>
      <c r="BZ61" s="318" t="n"/>
      <c r="CA61" s="142" t="n"/>
      <c r="CB61" s="318" t="n"/>
      <c r="CC61" s="142" t="n"/>
      <c r="CD61" s="318" t="n"/>
      <c r="CE61" s="142" t="n"/>
      <c r="CF61" s="318" t="n"/>
      <c r="CG61" s="317" t="n"/>
      <c r="CH61" s="318" t="n"/>
      <c r="CI61" s="317" t="n"/>
      <c r="CJ61" s="318" t="n"/>
      <c r="CK61" s="317" t="n"/>
      <c r="CL61" s="318" t="n"/>
      <c r="CM61" s="317" t="n"/>
      <c r="CN61" s="318" t="n"/>
      <c r="CO61" s="80" t="n"/>
      <c r="CP61" s="318" t="n"/>
      <c r="CQ61" s="80" t="n"/>
      <c r="CR61" s="318" t="n"/>
      <c r="CS61" s="80" t="n"/>
      <c r="CT61" s="318" t="n"/>
      <c r="CU61" s="80" t="n"/>
      <c r="CV61" s="361" t="n"/>
      <c r="CW61" s="318" t="n"/>
      <c r="CX61" s="142" t="n"/>
      <c r="CY61" s="318" t="n"/>
      <c r="CZ61" s="142" t="n"/>
      <c r="DA61" s="318" t="n"/>
      <c r="DB61" s="142" t="n"/>
      <c r="DC61" s="318" t="n"/>
      <c r="DD61" s="142" t="n"/>
      <c r="DE61" s="385" t="n"/>
      <c r="DF61" s="385" t="n"/>
      <c r="DG61" s="386" t="n"/>
    </row>
    <row r="62" customFormat="1" s="117">
      <c r="A62" s="376" t="n">
        <v>43434</v>
      </c>
      <c r="B62" s="315" t="n">
        <v>20390.75</v>
      </c>
      <c r="C62" s="111">
        <f>B62/B50-1</f>
        <v/>
      </c>
      <c r="D62" s="111" t="n"/>
      <c r="E62" s="315" t="n">
        <v>13243.8</v>
      </c>
      <c r="F62" s="111">
        <f>E62/E50-1</f>
        <v/>
      </c>
      <c r="G62" s="111" t="n"/>
      <c r="H62" s="315" t="n">
        <v>6628.39</v>
      </c>
      <c r="I62" s="111">
        <f>H62/H50-1</f>
        <v/>
      </c>
      <c r="J62" s="111" t="n"/>
      <c r="K62" s="315" t="n">
        <v>518.5599999999999</v>
      </c>
      <c r="L62" s="111">
        <f>K62/K50-1</f>
        <v/>
      </c>
      <c r="M62" s="111" t="n"/>
      <c r="N62" s="315" t="n">
        <v>16298.09</v>
      </c>
      <c r="O62" s="111">
        <f>N62/N50-1</f>
        <v/>
      </c>
      <c r="P62" s="111" t="n"/>
      <c r="Q62" s="315" t="n">
        <v>10726.35</v>
      </c>
      <c r="R62" s="111">
        <f>Q62/Q50-1</f>
        <v/>
      </c>
      <c r="S62" s="111" t="n"/>
      <c r="T62" s="315" t="n">
        <v>5137.25</v>
      </c>
      <c r="U62" s="111">
        <f>T62/T50-1</f>
        <v/>
      </c>
      <c r="V62" s="111" t="n"/>
      <c r="W62" s="315" t="n">
        <v>434.48</v>
      </c>
      <c r="X62" s="111">
        <f>W62/W50-1</f>
        <v/>
      </c>
      <c r="Y62" s="111" t="n"/>
      <c r="Z62" s="315" t="n">
        <v>9961.07</v>
      </c>
      <c r="AA62" s="111">
        <f>Z62/Z50-1</f>
        <v/>
      </c>
      <c r="AB62" s="111" t="n"/>
      <c r="AC62" s="315" t="n">
        <v>8386.66</v>
      </c>
      <c r="AD62" s="111">
        <f>AC62/AC50-1</f>
        <v/>
      </c>
      <c r="AE62" s="111" t="n"/>
      <c r="AF62" s="315" t="n">
        <v>1253.07</v>
      </c>
      <c r="AG62" s="111">
        <f>AF62/AF50-1</f>
        <v/>
      </c>
      <c r="AH62" s="111" t="n"/>
      <c r="AI62" s="315" t="n">
        <v>321.34</v>
      </c>
      <c r="AJ62" s="111">
        <f>AI62/AI50-1</f>
        <v/>
      </c>
      <c r="AK62" s="111" t="n"/>
      <c r="AL62" s="316" t="n">
        <v>79.93000000000001</v>
      </c>
      <c r="AM62" s="380">
        <f>AL62-AL50</f>
        <v/>
      </c>
      <c r="AN62" s="111" t="n"/>
      <c r="AO62" s="316" t="n">
        <v>80.98999999999999</v>
      </c>
      <c r="AP62" s="380">
        <f>AO62-AO50</f>
        <v/>
      </c>
      <c r="AQ62" s="111" t="n"/>
      <c r="AR62" s="316" t="n">
        <v>77.5</v>
      </c>
      <c r="AS62" s="380">
        <f>AR62-AR50</f>
        <v/>
      </c>
      <c r="AT62" s="111" t="n"/>
      <c r="AU62" s="316" t="n">
        <v>83.79000000000001</v>
      </c>
      <c r="AV62" s="380">
        <f>AU62-AU50</f>
        <v/>
      </c>
      <c r="AW62" s="111" t="n"/>
      <c r="AX62" s="315" t="n">
        <v>675</v>
      </c>
      <c r="AY62" s="111">
        <f>AX62/AX50-1</f>
        <v/>
      </c>
      <c r="AZ62" s="111" t="n"/>
      <c r="BA62" s="378" t="n"/>
      <c r="BB62" s="142" t="n"/>
      <c r="BC62" s="378" t="n"/>
      <c r="BD62" s="142" t="n"/>
      <c r="BE62" s="378" t="n"/>
      <c r="BF62" s="142" t="n"/>
      <c r="BG62" s="378" t="n"/>
      <c r="BH62" s="142" t="n"/>
      <c r="BI62" s="318" t="n"/>
      <c r="BJ62" s="142" t="n"/>
      <c r="BK62" s="318" t="n"/>
      <c r="BL62" s="142" t="n"/>
      <c r="BM62" s="318" t="n"/>
      <c r="BN62" s="142" t="n"/>
      <c r="BO62" s="318" t="n"/>
      <c r="BP62" s="318" t="n"/>
      <c r="BQ62" s="142" t="n"/>
      <c r="BR62" s="318" t="n"/>
      <c r="BS62" s="142" t="n"/>
      <c r="BT62" s="318" t="n"/>
      <c r="BU62" s="142" t="n"/>
      <c r="BV62" s="318" t="n"/>
      <c r="BW62" s="142" t="n"/>
      <c r="BX62" s="318" t="n"/>
      <c r="BY62" s="142" t="n"/>
      <c r="BZ62" s="318" t="n"/>
      <c r="CA62" s="142" t="n"/>
      <c r="CB62" s="318" t="n"/>
      <c r="CC62" s="142" t="n"/>
      <c r="CD62" s="318" t="n"/>
      <c r="CE62" s="142" t="n"/>
      <c r="CF62" s="318" t="n"/>
      <c r="CG62" s="317" t="n"/>
      <c r="CH62" s="318" t="n"/>
      <c r="CI62" s="317" t="n"/>
      <c r="CJ62" s="318" t="n"/>
      <c r="CK62" s="317" t="n"/>
      <c r="CL62" s="318" t="n"/>
      <c r="CM62" s="317" t="n"/>
      <c r="CN62" s="318" t="n"/>
      <c r="CO62" s="80" t="n"/>
      <c r="CP62" s="318" t="n"/>
      <c r="CQ62" s="80" t="n"/>
      <c r="CR62" s="318" t="n"/>
      <c r="CS62" s="80" t="n"/>
      <c r="CT62" s="318" t="n"/>
      <c r="CU62" s="80" t="n"/>
      <c r="CV62" s="361" t="n"/>
      <c r="CW62" s="318" t="n"/>
      <c r="CX62" s="142" t="n"/>
      <c r="CY62" s="318" t="n"/>
      <c r="CZ62" s="142" t="n"/>
      <c r="DA62" s="318" t="n"/>
      <c r="DB62" s="142" t="n"/>
      <c r="DC62" s="318" t="n"/>
      <c r="DD62" s="142" t="n"/>
      <c r="DE62" s="385" t="n"/>
      <c r="DF62" s="385" t="n"/>
      <c r="DG62" s="318" t="n"/>
    </row>
    <row r="63" customFormat="1" s="117">
      <c r="A63" s="376" t="n">
        <v>43465</v>
      </c>
      <c r="B63" s="315" t="n">
        <v>21285.23</v>
      </c>
      <c r="C63" s="111">
        <f>B63/B51-1</f>
        <v/>
      </c>
      <c r="D63" s="111" t="n"/>
      <c r="E63" s="315" t="n">
        <v>13434.9</v>
      </c>
      <c r="F63" s="111">
        <f>E63/E51-1</f>
        <v/>
      </c>
      <c r="G63" s="111" t="n"/>
      <c r="H63" s="315" t="n">
        <v>7316.47</v>
      </c>
      <c r="I63" s="111">
        <f>H63/H51-1</f>
        <v/>
      </c>
      <c r="J63" s="111" t="n"/>
      <c r="K63" s="315" t="n">
        <v>533.87</v>
      </c>
      <c r="L63" s="111">
        <f>K63/K51-1</f>
        <v/>
      </c>
      <c r="M63" s="111" t="n"/>
      <c r="N63" s="315" t="n">
        <v>16972.37</v>
      </c>
      <c r="O63" s="111">
        <f>N63/N51-1</f>
        <v/>
      </c>
      <c r="P63" s="111" t="n"/>
      <c r="Q63" s="315" t="n">
        <v>10712.99</v>
      </c>
      <c r="R63" s="111">
        <f>Q63/Q51-1</f>
        <v/>
      </c>
      <c r="S63" s="111" t="n"/>
      <c r="T63" s="315" t="n">
        <v>5814.49</v>
      </c>
      <c r="U63" s="111">
        <f>T63/T51-1</f>
        <v/>
      </c>
      <c r="V63" s="111" t="n"/>
      <c r="W63" s="315" t="n">
        <v>444.88</v>
      </c>
      <c r="X63" s="111">
        <f>W63/W51-1</f>
        <v/>
      </c>
      <c r="Y63" s="111" t="n"/>
      <c r="Z63" s="315" t="n">
        <v>10016.41</v>
      </c>
      <c r="AA63" s="111">
        <f>Z63/Z51-1</f>
        <v/>
      </c>
      <c r="AB63" s="111" t="n"/>
      <c r="AC63" s="315" t="n">
        <v>8305.530000000001</v>
      </c>
      <c r="AD63" s="111">
        <f>AC63/AC51-1</f>
        <v/>
      </c>
      <c r="AE63" s="111" t="n"/>
      <c r="AF63" s="315" t="n">
        <v>1381.07</v>
      </c>
      <c r="AG63" s="111">
        <f>AF63/AF51-1</f>
        <v/>
      </c>
      <c r="AH63" s="111" t="n"/>
      <c r="AI63" s="315" t="n">
        <v>329.82</v>
      </c>
      <c r="AJ63" s="111">
        <f>AI63/AI51-1</f>
        <v/>
      </c>
      <c r="AK63" s="111" t="n"/>
      <c r="AL63" s="316" t="n">
        <v>79.73999999999999</v>
      </c>
      <c r="AM63" s="380">
        <f>AL63-AL51</f>
        <v/>
      </c>
      <c r="AN63" s="111" t="n"/>
      <c r="AO63" s="316" t="n">
        <v>79.73999999999999</v>
      </c>
      <c r="AP63" s="380">
        <f>AO63-AO51</f>
        <v/>
      </c>
      <c r="AQ63" s="111" t="n"/>
      <c r="AR63" s="316" t="n">
        <v>79.47</v>
      </c>
      <c r="AS63" s="380">
        <f>AR63-AR51</f>
        <v/>
      </c>
      <c r="AT63" s="111" t="n"/>
      <c r="AU63" s="316" t="n">
        <v>83.33</v>
      </c>
      <c r="AV63" s="380">
        <f>AU63-AU51</f>
        <v/>
      </c>
      <c r="AW63" s="111" t="n"/>
      <c r="AX63" s="315" t="n">
        <v>680</v>
      </c>
      <c r="AY63" s="111">
        <f>AX63/AX51-1</f>
        <v/>
      </c>
      <c r="AZ63" s="111" t="n"/>
      <c r="BA63" s="378" t="n"/>
      <c r="BB63" s="142" t="n"/>
      <c r="BC63" s="378" t="n"/>
      <c r="BD63" s="142" t="n"/>
      <c r="BE63" s="378" t="n"/>
      <c r="BF63" s="142" t="n"/>
      <c r="BG63" s="378" t="n"/>
      <c r="BH63" s="142" t="n"/>
      <c r="BI63" s="318" t="n"/>
      <c r="BJ63" s="142" t="n"/>
      <c r="BK63" s="318" t="n"/>
      <c r="BL63" s="142" t="n"/>
      <c r="BM63" s="318" t="n"/>
      <c r="BN63" s="142" t="n"/>
      <c r="BO63" s="318" t="n"/>
      <c r="BP63" s="318" t="n"/>
      <c r="BQ63" s="142" t="n"/>
      <c r="BR63" s="318" t="n"/>
      <c r="BS63" s="142" t="n"/>
      <c r="BT63" s="318" t="n"/>
      <c r="BU63" s="142" t="n"/>
      <c r="BV63" s="318" t="n"/>
      <c r="BW63" s="142" t="n"/>
      <c r="BX63" s="318" t="n"/>
      <c r="BY63" s="142" t="n"/>
      <c r="BZ63" s="318" t="n"/>
      <c r="CA63" s="142" t="n"/>
      <c r="CB63" s="318" t="n"/>
      <c r="CC63" s="142" t="n"/>
      <c r="CD63" s="318" t="n"/>
      <c r="CE63" s="142" t="n"/>
      <c r="CF63" s="318" t="n"/>
      <c r="CG63" s="317" t="n"/>
      <c r="CH63" s="318" t="n"/>
      <c r="CI63" s="317" t="n"/>
      <c r="CJ63" s="318" t="n"/>
      <c r="CK63" s="317" t="n"/>
      <c r="CL63" s="318" t="n"/>
      <c r="CM63" s="317" t="n"/>
      <c r="CN63" s="318" t="n"/>
      <c r="CO63" s="80" t="n"/>
      <c r="CP63" s="318" t="n"/>
      <c r="CQ63" s="80" t="n"/>
      <c r="CR63" s="318" t="n"/>
      <c r="CS63" s="80" t="n"/>
      <c r="CT63" s="318" t="n"/>
      <c r="CU63" s="80" t="n"/>
      <c r="CV63" s="361" t="n"/>
      <c r="CW63" s="318" t="n"/>
      <c r="CX63" s="142" t="n"/>
      <c r="CY63" s="318" t="n"/>
      <c r="CZ63" s="142" t="n"/>
      <c r="DA63" s="318" t="n"/>
      <c r="DB63" s="142" t="n"/>
      <c r="DC63" s="318" t="n"/>
      <c r="DD63" s="142" t="n"/>
      <c r="DE63" s="385" t="n"/>
      <c r="DF63" s="385" t="n"/>
      <c r="DG63" s="318" t="n"/>
    </row>
    <row r="64" ht="13" customFormat="1" customHeight="1" s="116">
      <c r="A64" s="371" t="n">
        <v>43496</v>
      </c>
      <c r="B64" s="381" t="n">
        <v>22730.32</v>
      </c>
      <c r="C64" s="111">
        <f>B64/B52-1</f>
        <v/>
      </c>
      <c r="D64" s="111" t="n"/>
      <c r="E64" s="381" t="n">
        <v>14569.88</v>
      </c>
      <c r="F64" s="111">
        <f>E64/E52-1</f>
        <v/>
      </c>
      <c r="G64" s="111" t="n"/>
      <c r="H64" s="381" t="n">
        <v>7605.23</v>
      </c>
      <c r="I64" s="111">
        <f>H64/H52-1</f>
        <v/>
      </c>
      <c r="J64" s="111" t="n"/>
      <c r="K64" s="381" t="n">
        <v>555.2</v>
      </c>
      <c r="L64" s="111">
        <f>K64/K52-1</f>
        <v/>
      </c>
      <c r="M64" s="111" t="n"/>
      <c r="N64" s="381" t="n">
        <v>18341.87</v>
      </c>
      <c r="O64" s="111">
        <f>N64/N52-1</f>
        <v/>
      </c>
      <c r="P64" s="111" t="n"/>
      <c r="Q64" s="381" t="n">
        <v>11678.24</v>
      </c>
      <c r="R64" s="111">
        <f>Q64/Q52-1</f>
        <v/>
      </c>
      <c r="S64" s="111" t="n"/>
      <c r="T64" s="381" t="n">
        <v>6209.16</v>
      </c>
      <c r="U64" s="111">
        <f>T64/T52-1</f>
        <v/>
      </c>
      <c r="V64" s="111" t="n"/>
      <c r="W64" s="381" t="n">
        <v>454.46</v>
      </c>
      <c r="X64" s="111">
        <f>W64/W52-1</f>
        <v/>
      </c>
      <c r="Y64" s="111" t="n"/>
      <c r="Z64" s="381" t="n">
        <v>10687.73</v>
      </c>
      <c r="AA64" s="111">
        <f>Z64/Z52-1</f>
        <v/>
      </c>
      <c r="AB64" s="111" t="n"/>
      <c r="AC64" s="381" t="n">
        <v>8868.41</v>
      </c>
      <c r="AD64" s="111">
        <f>AC64/AC52-1</f>
        <v/>
      </c>
      <c r="AE64" s="111" t="n"/>
      <c r="AF64" s="381" t="n">
        <v>1483.58</v>
      </c>
      <c r="AG64" s="111">
        <f>AF64/AF52-1</f>
        <v/>
      </c>
      <c r="AH64" s="111" t="n"/>
      <c r="AI64" s="381" t="n">
        <v>335.75</v>
      </c>
      <c r="AJ64" s="111">
        <f>AI64/AI52-1</f>
        <v/>
      </c>
      <c r="AK64" s="111" t="n"/>
      <c r="AL64" s="382" t="n">
        <v>80.69</v>
      </c>
      <c r="AM64" s="380">
        <f>AL64-AL52</f>
        <v/>
      </c>
      <c r="AN64" s="111" t="n"/>
      <c r="AO64" s="382" t="n">
        <v>80.15000000000001</v>
      </c>
      <c r="AP64" s="380">
        <f>AO64-AO52</f>
        <v/>
      </c>
      <c r="AQ64" s="111" t="n"/>
      <c r="AR64" s="382" t="n">
        <v>81.64</v>
      </c>
      <c r="AS64" s="380">
        <f>AR64-AR52</f>
        <v/>
      </c>
      <c r="AT64" s="111" t="n"/>
      <c r="AU64" s="382" t="n">
        <v>81.86</v>
      </c>
      <c r="AV64" s="380">
        <f>AU64-AU52</f>
        <v/>
      </c>
      <c r="AW64" s="111" t="n"/>
      <c r="AX64" s="381" t="n">
        <v>681</v>
      </c>
      <c r="AY64" s="111">
        <f>AX64/AX52-1</f>
        <v/>
      </c>
      <c r="AZ64" s="111" t="n"/>
      <c r="BA64" s="317" t="n"/>
      <c r="BB64" s="142" t="n"/>
      <c r="BC64" s="317" t="n"/>
      <c r="BD64" s="142" t="n"/>
      <c r="BE64" s="317" t="n"/>
      <c r="BF64" s="142" t="n"/>
      <c r="BG64" s="317" t="n"/>
      <c r="BH64" s="142" t="n"/>
      <c r="BI64" s="317" t="n"/>
      <c r="BJ64" s="142" t="n"/>
      <c r="BK64" s="317" t="n"/>
      <c r="BL64" s="142" t="n"/>
      <c r="BM64" s="317" t="n"/>
      <c r="BN64" s="142" t="n"/>
      <c r="BO64" s="317" t="n"/>
      <c r="BP64" s="317" t="n"/>
      <c r="BQ64" s="142" t="n"/>
      <c r="BR64" s="317" t="n"/>
      <c r="BS64" s="142" t="n"/>
      <c r="BT64" s="317" t="n"/>
      <c r="BU64" s="142" t="n"/>
      <c r="BV64" s="317" t="n"/>
      <c r="BW64" s="142" t="n"/>
      <c r="BX64" s="317" t="n"/>
      <c r="BY64" s="142" t="n"/>
      <c r="BZ64" s="317" t="n"/>
      <c r="CA64" s="142" t="n"/>
      <c r="CB64" s="317" t="n"/>
      <c r="CC64" s="142" t="n"/>
      <c r="CD64" s="317" t="n"/>
      <c r="CE64" s="142" t="n"/>
      <c r="CF64" s="317" t="n"/>
      <c r="CG64" s="317" t="n"/>
      <c r="CH64" s="317" t="n"/>
      <c r="CI64" s="317" t="n"/>
      <c r="CJ64" s="317" t="n"/>
      <c r="CK64" s="317" t="n"/>
      <c r="CL64" s="317" t="n"/>
      <c r="CM64" s="317" t="n"/>
      <c r="CN64" s="317" t="n"/>
      <c r="CO64" s="80" t="n"/>
      <c r="CP64" s="317" t="n"/>
      <c r="CQ64" s="80" t="n"/>
      <c r="CR64" s="317" t="n"/>
      <c r="CS64" s="80" t="n"/>
      <c r="CT64" s="317" t="n"/>
      <c r="CU64" s="80" t="n"/>
      <c r="CW64" s="317" t="n"/>
      <c r="CX64" s="142" t="n"/>
      <c r="CY64" s="317" t="n"/>
      <c r="CZ64" s="142" t="n"/>
      <c r="DA64" s="317" t="n"/>
      <c r="DB64" s="142" t="n"/>
      <c r="DC64" s="317" t="n"/>
      <c r="DD64" s="142" t="n"/>
      <c r="DE64" s="319" t="n"/>
      <c r="DF64" s="319" t="n"/>
    </row>
    <row r="65" customFormat="1" s="117">
      <c r="A65" s="376" t="n">
        <v>43524</v>
      </c>
      <c r="B65" s="315" t="n">
        <v>21480.68</v>
      </c>
      <c r="C65" s="111">
        <f>B65/B53-1</f>
        <v/>
      </c>
      <c r="D65" s="111" t="n"/>
      <c r="E65" s="315" t="n">
        <v>13693.12</v>
      </c>
      <c r="F65" s="111">
        <f>E65/E53-1</f>
        <v/>
      </c>
      <c r="G65" s="111" t="n"/>
      <c r="H65" s="315" t="n">
        <v>7242.48</v>
      </c>
      <c r="I65" s="111">
        <f>H65/H53-1</f>
        <v/>
      </c>
      <c r="J65" s="111" t="n"/>
      <c r="K65" s="315" t="n">
        <v>545.08</v>
      </c>
      <c r="L65" s="111">
        <f>K65/K53-1</f>
        <v/>
      </c>
      <c r="M65" s="111" t="n"/>
      <c r="N65" s="315" t="n">
        <v>18136.68</v>
      </c>
      <c r="O65" s="111">
        <f>N65/N53-1</f>
        <v/>
      </c>
      <c r="P65" s="111" t="n"/>
      <c r="Q65" s="315" t="n">
        <v>11706.02</v>
      </c>
      <c r="R65" s="111">
        <f>Q65/Q53-1</f>
        <v/>
      </c>
      <c r="S65" s="111" t="n"/>
      <c r="T65" s="315" t="n">
        <v>5993.72</v>
      </c>
      <c r="U65" s="111">
        <f>T65/T53-1</f>
        <v/>
      </c>
      <c r="V65" s="111" t="n"/>
      <c r="W65" s="315" t="n">
        <v>436.95</v>
      </c>
      <c r="X65" s="111">
        <f>W65/W53-1</f>
        <v/>
      </c>
      <c r="Y65" s="111" t="n"/>
      <c r="Z65" s="315" t="n">
        <v>10543.81</v>
      </c>
      <c r="AA65" s="111">
        <f>Z65/Z53-1</f>
        <v/>
      </c>
      <c r="AB65" s="111" t="n"/>
      <c r="AC65" s="315" t="n">
        <v>8733.459999999999</v>
      </c>
      <c r="AD65" s="111">
        <f>AC65/AC53-1</f>
        <v/>
      </c>
      <c r="AE65" s="111" t="n"/>
      <c r="AF65" s="315" t="n">
        <v>1483.59</v>
      </c>
      <c r="AG65" s="111">
        <f>AF65/AF53-1</f>
        <v/>
      </c>
      <c r="AH65" s="111" t="n"/>
      <c r="AI65" s="315" t="n">
        <v>326.76</v>
      </c>
      <c r="AJ65" s="111">
        <f>AI65/AI53-1</f>
        <v/>
      </c>
      <c r="AK65" s="111" t="n"/>
      <c r="AL65" s="316" t="n">
        <v>84.43000000000001</v>
      </c>
      <c r="AM65" s="380">
        <f>AL65-AL53</f>
        <v/>
      </c>
      <c r="AN65" s="111" t="n"/>
      <c r="AO65" s="316" t="n">
        <v>85.48999999999999</v>
      </c>
      <c r="AP65" s="380">
        <f>AO65-AO53</f>
        <v/>
      </c>
      <c r="AQ65" s="111" t="n"/>
      <c r="AR65" s="316" t="n">
        <v>82.76000000000001</v>
      </c>
      <c r="AS65" s="380">
        <f>AR65-AR53</f>
        <v/>
      </c>
      <c r="AT65" s="111" t="n"/>
      <c r="AU65" s="316" t="n">
        <v>80.16</v>
      </c>
      <c r="AV65" s="380">
        <f>AU65-AU53</f>
        <v/>
      </c>
      <c r="AW65" s="111" t="n"/>
      <c r="AX65" s="315" t="n">
        <v>686</v>
      </c>
      <c r="AY65" s="111">
        <f>AX65/AX53-1</f>
        <v/>
      </c>
      <c r="AZ65" s="111" t="n"/>
      <c r="BA65" s="378" t="n"/>
      <c r="BB65" s="142" t="n"/>
      <c r="BC65" s="378" t="n"/>
      <c r="BD65" s="142" t="n"/>
      <c r="BE65" s="378" t="n"/>
      <c r="BF65" s="142" t="n"/>
      <c r="BG65" s="378" t="n"/>
      <c r="BH65" s="142" t="n"/>
      <c r="BI65" s="318" t="n"/>
      <c r="BJ65" s="142" t="n"/>
      <c r="BK65" s="318" t="n"/>
      <c r="BL65" s="142" t="n"/>
      <c r="BM65" s="318" t="n"/>
      <c r="BN65" s="142" t="n"/>
      <c r="BO65" s="318" t="n"/>
      <c r="BP65" s="318" t="n"/>
      <c r="BQ65" s="142" t="n"/>
      <c r="BR65" s="318" t="n"/>
      <c r="BS65" s="142" t="n"/>
      <c r="BT65" s="318" t="n"/>
      <c r="BU65" s="142" t="n"/>
      <c r="BV65" s="318" t="n"/>
      <c r="BW65" s="142" t="n"/>
      <c r="BX65" s="318" t="n"/>
      <c r="BY65" s="142" t="n"/>
      <c r="BZ65" s="318" t="n"/>
      <c r="CA65" s="142" t="n"/>
      <c r="CB65" s="318" t="n"/>
      <c r="CC65" s="142" t="n"/>
      <c r="CD65" s="318" t="n"/>
      <c r="CE65" s="142" t="n"/>
      <c r="CF65" s="318" t="n"/>
      <c r="CG65" s="317" t="n"/>
      <c r="CH65" s="318" t="n"/>
      <c r="CI65" s="317" t="n"/>
      <c r="CJ65" s="318" t="n"/>
      <c r="CK65" s="317" t="n"/>
      <c r="CL65" s="318" t="n"/>
      <c r="CM65" s="317" t="n"/>
      <c r="CN65" s="318" t="n"/>
      <c r="CO65" s="80" t="n"/>
      <c r="CP65" s="318" t="n"/>
      <c r="CQ65" s="80" t="n"/>
      <c r="CR65" s="318" t="n"/>
      <c r="CS65" s="80" t="n"/>
      <c r="CT65" s="318" t="n"/>
      <c r="CU65" s="80" t="n"/>
      <c r="CV65" s="361" t="n"/>
      <c r="CW65" s="318" t="n"/>
      <c r="CX65" s="142" t="n"/>
      <c r="CY65" s="318" t="n"/>
      <c r="CZ65" s="142" t="n"/>
      <c r="DA65" s="318" t="n"/>
      <c r="DB65" s="142" t="n"/>
      <c r="DC65" s="318" t="n"/>
      <c r="DD65" s="142" t="n"/>
      <c r="DE65" s="385" t="n"/>
      <c r="DF65" s="385" t="n"/>
      <c r="DG65" s="318" t="n"/>
    </row>
    <row r="66" customFormat="1" s="117">
      <c r="A66" s="376" t="n">
        <v>43555</v>
      </c>
      <c r="B66" s="315" t="n">
        <v>21598.12</v>
      </c>
      <c r="C66" s="111">
        <f>B66/B54-1</f>
        <v/>
      </c>
      <c r="D66" s="111" t="n"/>
      <c r="E66" s="315" t="n">
        <v>13879.24</v>
      </c>
      <c r="F66" s="111">
        <f>E66/E54-1</f>
        <v/>
      </c>
      <c r="G66" s="111" t="n"/>
      <c r="H66" s="315" t="n">
        <v>7166.81</v>
      </c>
      <c r="I66" s="111">
        <f>H66/H54-1</f>
        <v/>
      </c>
      <c r="J66" s="111" t="n"/>
      <c r="K66" s="315" t="n">
        <v>552.0700000000001</v>
      </c>
      <c r="L66" s="111">
        <f>K66/K54-1</f>
        <v/>
      </c>
      <c r="M66" s="111" t="n"/>
      <c r="N66" s="315" t="n">
        <v>17864.54</v>
      </c>
      <c r="O66" s="111">
        <f>N66/N54-1</f>
        <v/>
      </c>
      <c r="P66" s="111" t="n"/>
      <c r="Q66" s="315" t="n">
        <v>11671.79</v>
      </c>
      <c r="R66" s="111">
        <f>Q66/Q54-1</f>
        <v/>
      </c>
      <c r="S66" s="111" t="n"/>
      <c r="T66" s="315" t="n">
        <v>5728.08</v>
      </c>
      <c r="U66" s="111">
        <f>T66/T54-1</f>
        <v/>
      </c>
      <c r="V66" s="111" t="n"/>
      <c r="W66" s="315" t="n">
        <v>464.67</v>
      </c>
      <c r="X66" s="111">
        <f>W66/W54-1</f>
        <v/>
      </c>
      <c r="Y66" s="111" t="n"/>
      <c r="Z66" s="315" t="n">
        <v>10646.18</v>
      </c>
      <c r="AA66" s="111">
        <f>Z66/Z54-1</f>
        <v/>
      </c>
      <c r="AB66" s="111" t="n"/>
      <c r="AC66" s="315" t="n">
        <v>8875.93</v>
      </c>
      <c r="AD66" s="111">
        <f>AC66/AC54-1</f>
        <v/>
      </c>
      <c r="AE66" s="111" t="n"/>
      <c r="AF66" s="315" t="n">
        <v>1426.39</v>
      </c>
      <c r="AG66" s="111">
        <f>AF66/AF54-1</f>
        <v/>
      </c>
      <c r="AH66" s="111" t="n"/>
      <c r="AI66" s="315" t="n">
        <v>343.87</v>
      </c>
      <c r="AJ66" s="111">
        <f>AI66/AI54-1</f>
        <v/>
      </c>
      <c r="AK66" s="111" t="n"/>
      <c r="AL66" s="316" t="n">
        <v>82.70999999999999</v>
      </c>
      <c r="AM66" s="380">
        <f>AL66-AL54</f>
        <v/>
      </c>
      <c r="AN66" s="111" t="n"/>
      <c r="AO66" s="316" t="n">
        <v>84.09999999999999</v>
      </c>
      <c r="AP66" s="380">
        <f>AO66-AO54</f>
        <v/>
      </c>
      <c r="AQ66" s="111" t="n"/>
      <c r="AR66" s="316" t="n">
        <v>79.93000000000001</v>
      </c>
      <c r="AS66" s="380">
        <f>AR66-AR54</f>
        <v/>
      </c>
      <c r="AT66" s="111" t="n"/>
      <c r="AU66" s="316" t="n">
        <v>84.17</v>
      </c>
      <c r="AV66" s="380">
        <f>AU66-AU54</f>
        <v/>
      </c>
      <c r="AW66" s="111" t="n"/>
      <c r="AX66" s="315" t="n">
        <v>693</v>
      </c>
      <c r="AY66" s="111">
        <f>AX66/AX54-1</f>
        <v/>
      </c>
      <c r="AZ66" s="111" t="n"/>
      <c r="BA66" s="378" t="n"/>
      <c r="BB66" s="142" t="n"/>
      <c r="BC66" s="378" t="n"/>
      <c r="BD66" s="142" t="n"/>
      <c r="BE66" s="378" t="n"/>
      <c r="BF66" s="142" t="n"/>
      <c r="BG66" s="378" t="n"/>
      <c r="BH66" s="142" t="n"/>
      <c r="BI66" s="318" t="n"/>
      <c r="BJ66" s="142" t="n"/>
      <c r="BK66" s="318" t="n"/>
      <c r="BL66" s="142" t="n"/>
      <c r="BM66" s="318" t="n"/>
      <c r="BN66" s="142" t="n"/>
      <c r="BO66" s="318" t="n"/>
      <c r="BP66" s="318" t="n"/>
      <c r="BQ66" s="142" t="n"/>
      <c r="BR66" s="318" t="n"/>
      <c r="BS66" s="142" t="n"/>
      <c r="BT66" s="318" t="n"/>
      <c r="BU66" s="142" t="n"/>
      <c r="BV66" s="318" t="n"/>
      <c r="BW66" s="142" t="n"/>
      <c r="BX66" s="318" t="n"/>
      <c r="BY66" s="142" t="n"/>
      <c r="BZ66" s="318" t="n"/>
      <c r="CA66" s="142" t="n"/>
      <c r="CB66" s="318" t="n"/>
      <c r="CC66" s="142" t="n"/>
      <c r="CD66" s="318" t="n"/>
      <c r="CE66" s="142" t="n"/>
      <c r="CF66" s="318" t="n"/>
      <c r="CG66" s="317" t="n"/>
      <c r="CH66" s="318" t="n"/>
      <c r="CI66" s="317" t="n"/>
      <c r="CJ66" s="318" t="n"/>
      <c r="CK66" s="317" t="n"/>
      <c r="CL66" s="318" t="n"/>
      <c r="CM66" s="317" t="n"/>
      <c r="CN66" s="318" t="n"/>
      <c r="CO66" s="80" t="n"/>
      <c r="CP66" s="318" t="n"/>
      <c r="CQ66" s="80" t="n"/>
      <c r="CR66" s="318" t="n"/>
      <c r="CS66" s="80" t="n"/>
      <c r="CT66" s="318" t="n"/>
      <c r="CU66" s="80" t="n"/>
      <c r="CV66" s="361" t="n"/>
      <c r="CW66" s="318" t="n"/>
      <c r="CX66" s="142" t="n"/>
      <c r="CY66" s="318" t="n"/>
      <c r="CZ66" s="142" t="n"/>
      <c r="DA66" s="318" t="n"/>
      <c r="DB66" s="142" t="n"/>
      <c r="DC66" s="318" t="n"/>
      <c r="DD66" s="142" t="n"/>
      <c r="DE66" s="385" t="n"/>
      <c r="DF66" s="385" t="n"/>
      <c r="DG66" s="318" t="n"/>
    </row>
    <row r="67" customFormat="1" s="117">
      <c r="A67" s="376" t="n">
        <v>43585</v>
      </c>
      <c r="B67" s="315" t="n">
        <v>21278.89</v>
      </c>
      <c r="C67" s="111">
        <f>B67/B55-1</f>
        <v/>
      </c>
      <c r="D67" s="111" t="n"/>
      <c r="E67" s="315" t="n">
        <v>13420.88</v>
      </c>
      <c r="F67" s="111">
        <f>E67/E55-1</f>
        <v/>
      </c>
      <c r="G67" s="111" t="n"/>
      <c r="H67" s="315" t="n">
        <v>7280.52</v>
      </c>
      <c r="I67" s="111">
        <f>H67/H55-1</f>
        <v/>
      </c>
      <c r="J67" s="111" t="n"/>
      <c r="K67" s="315" t="n">
        <v>577.49</v>
      </c>
      <c r="L67" s="111">
        <f>K67/K55-1</f>
        <v/>
      </c>
      <c r="M67" s="111" t="n"/>
      <c r="N67" s="315" t="n">
        <v>17771.29</v>
      </c>
      <c r="O67" s="111">
        <f>N67/N55-1</f>
        <v/>
      </c>
      <c r="P67" s="111" t="n"/>
      <c r="Q67" s="315" t="n">
        <v>11386.97</v>
      </c>
      <c r="R67" s="111">
        <f>Q67/Q55-1</f>
        <v/>
      </c>
      <c r="S67" s="111" t="n"/>
      <c r="T67" s="315" t="n">
        <v>5909.93</v>
      </c>
      <c r="U67" s="111">
        <f>T67/T55-1</f>
        <v/>
      </c>
      <c r="V67" s="111" t="n"/>
      <c r="W67" s="315" t="n">
        <v>474.39</v>
      </c>
      <c r="X67" s="111">
        <f>W67/W55-1</f>
        <v/>
      </c>
      <c r="Y67" s="111" t="n"/>
      <c r="Z67" s="315" t="n">
        <v>10536.18</v>
      </c>
      <c r="AA67" s="111">
        <f>Z67/Z55-1</f>
        <v/>
      </c>
      <c r="AB67" s="111" t="n"/>
      <c r="AC67" s="315" t="n">
        <v>8754.48</v>
      </c>
      <c r="AD67" s="111">
        <f>AC67/AC55-1</f>
        <v/>
      </c>
      <c r="AE67" s="111" t="n"/>
      <c r="AF67" s="315" t="n">
        <v>1434.62</v>
      </c>
      <c r="AG67" s="111">
        <f>AF67/AF55-1</f>
        <v/>
      </c>
      <c r="AH67" s="111" t="n"/>
      <c r="AI67" s="315" t="n">
        <v>347.08</v>
      </c>
      <c r="AJ67" s="111">
        <f>AI67/AI55-1</f>
        <v/>
      </c>
      <c r="AK67" s="111" t="n"/>
      <c r="AL67" s="316" t="n">
        <v>83.52</v>
      </c>
      <c r="AM67" s="380">
        <f>AL67-AL55</f>
        <v/>
      </c>
      <c r="AN67" s="111" t="n"/>
      <c r="AO67" s="316" t="n">
        <v>84.84999999999999</v>
      </c>
      <c r="AP67" s="380">
        <f>AO67-AO55</f>
        <v/>
      </c>
      <c r="AQ67" s="111" t="n"/>
      <c r="AR67" s="316" t="n">
        <v>81.17</v>
      </c>
      <c r="AS67" s="380">
        <f>AR67-AR55</f>
        <v/>
      </c>
      <c r="AT67" s="111" t="n"/>
      <c r="AU67" s="316" t="n">
        <v>82.15000000000001</v>
      </c>
      <c r="AV67" s="380">
        <f>AU67-AU55</f>
        <v/>
      </c>
      <c r="AW67" s="111" t="n"/>
      <c r="AX67" s="315" t="n">
        <v>698</v>
      </c>
      <c r="AY67" s="111">
        <f>AX67/AX55-1</f>
        <v/>
      </c>
      <c r="AZ67" s="111" t="n"/>
      <c r="BA67" s="378" t="n"/>
      <c r="BB67" s="142" t="n"/>
      <c r="BC67" s="378" t="n"/>
      <c r="BD67" s="142" t="n"/>
      <c r="BE67" s="378" t="n"/>
      <c r="BF67" s="142" t="n"/>
      <c r="BG67" s="378" t="n"/>
      <c r="BH67" s="142" t="n"/>
      <c r="BI67" s="318" t="n"/>
      <c r="BJ67" s="142" t="n"/>
      <c r="BK67" s="318" t="n"/>
      <c r="BL67" s="142" t="n"/>
      <c r="BM67" s="318" t="n"/>
      <c r="BN67" s="142" t="n"/>
      <c r="BO67" s="318" t="n"/>
      <c r="BP67" s="318" t="n"/>
      <c r="BQ67" s="142" t="n"/>
      <c r="BR67" s="318" t="n"/>
      <c r="BS67" s="142" t="n"/>
      <c r="BT67" s="318" t="n"/>
      <c r="BU67" s="142" t="n"/>
      <c r="BV67" s="318" t="n"/>
      <c r="BW67" s="142" t="n"/>
      <c r="BX67" s="318" t="n"/>
      <c r="BY67" s="142" t="n"/>
      <c r="BZ67" s="318" t="n"/>
      <c r="CA67" s="142" t="n"/>
      <c r="CB67" s="318" t="n"/>
      <c r="CC67" s="142" t="n"/>
      <c r="CD67" s="318" t="n"/>
      <c r="CE67" s="142" t="n"/>
      <c r="CF67" s="318" t="n"/>
      <c r="CG67" s="317" t="n"/>
      <c r="CH67" s="318" t="n"/>
      <c r="CI67" s="317" t="n"/>
      <c r="CJ67" s="318" t="n"/>
      <c r="CK67" s="317" t="n"/>
      <c r="CL67" s="318" t="n"/>
      <c r="CM67" s="317" t="n"/>
      <c r="CN67" s="318" t="n"/>
      <c r="CO67" s="80" t="n"/>
      <c r="CP67" s="318" t="n"/>
      <c r="CQ67" s="80" t="n"/>
      <c r="CR67" s="318" t="n"/>
      <c r="CS67" s="80" t="n"/>
      <c r="CT67" s="318" t="n"/>
      <c r="CU67" s="80" t="n"/>
      <c r="CV67" s="361" t="n"/>
      <c r="CW67" s="318" t="n"/>
      <c r="CX67" s="142" t="n"/>
      <c r="CY67" s="318" t="n"/>
      <c r="CZ67" s="142" t="n"/>
      <c r="DA67" s="318" t="n"/>
      <c r="DB67" s="142" t="n"/>
      <c r="DC67" s="318" t="n"/>
      <c r="DD67" s="142" t="n"/>
      <c r="DE67" s="385" t="n"/>
      <c r="DF67" s="385" t="n"/>
      <c r="DG67" s="318" t="n"/>
    </row>
    <row r="68" customFormat="1" s="117">
      <c r="A68" s="376" t="n">
        <v>43616</v>
      </c>
      <c r="B68" s="315" t="n">
        <v>22341.43</v>
      </c>
      <c r="C68" s="111">
        <f>B68/B56-1</f>
        <v/>
      </c>
      <c r="D68" s="111" t="n"/>
      <c r="E68" s="315" t="n">
        <v>14169.57</v>
      </c>
      <c r="F68" s="111">
        <f>E68/E56-1</f>
        <v/>
      </c>
      <c r="G68" s="111" t="n"/>
      <c r="H68" s="315" t="n">
        <v>7571.92</v>
      </c>
      <c r="I68" s="111">
        <f>H68/H56-1</f>
        <v/>
      </c>
      <c r="J68" s="111" t="n"/>
      <c r="K68" s="315" t="n">
        <v>599.9400000000001</v>
      </c>
      <c r="L68" s="111">
        <f>K68/K56-1</f>
        <v/>
      </c>
      <c r="M68" s="111" t="n"/>
      <c r="N68" s="315" t="n">
        <v>18323.44</v>
      </c>
      <c r="O68" s="111">
        <f>N68/N56-1</f>
        <v/>
      </c>
      <c r="P68" s="111" t="n"/>
      <c r="Q68" s="315" t="n">
        <v>11761.12</v>
      </c>
      <c r="R68" s="111">
        <f>Q68/Q56-1</f>
        <v/>
      </c>
      <c r="S68" s="111" t="n"/>
      <c r="T68" s="315" t="n">
        <v>6068.07</v>
      </c>
      <c r="U68" s="111">
        <f>T68/T56-1</f>
        <v/>
      </c>
      <c r="V68" s="111" t="n"/>
      <c r="W68" s="315" t="n">
        <v>494.25</v>
      </c>
      <c r="X68" s="111">
        <f>W68/W56-1</f>
        <v/>
      </c>
      <c r="Y68" s="111" t="n"/>
      <c r="Z68" s="315" t="n">
        <v>10871.83</v>
      </c>
      <c r="AA68" s="111">
        <f>Z68/Z56-1</f>
        <v/>
      </c>
      <c r="AB68" s="111" t="n"/>
      <c r="AC68" s="315" t="n">
        <v>9071.219999999999</v>
      </c>
      <c r="AD68" s="111">
        <f>AC68/AC56-1</f>
        <v/>
      </c>
      <c r="AE68" s="111" t="n"/>
      <c r="AF68" s="315" t="n">
        <v>1439.84</v>
      </c>
      <c r="AG68" s="111">
        <f>AF68/AF56-1</f>
        <v/>
      </c>
      <c r="AH68" s="111" t="n"/>
      <c r="AI68" s="315" t="n">
        <v>360.77</v>
      </c>
      <c r="AJ68" s="111">
        <f>AI68/AI56-1</f>
        <v/>
      </c>
      <c r="AK68" s="111" t="n"/>
      <c r="AL68" s="316" t="n">
        <v>82.02</v>
      </c>
      <c r="AM68" s="380">
        <f>AL68-AL56</f>
        <v/>
      </c>
      <c r="AN68" s="111" t="n"/>
      <c r="AO68" s="316" t="n">
        <v>83</v>
      </c>
      <c r="AP68" s="380">
        <f>AO68-AO56</f>
        <v/>
      </c>
      <c r="AQ68" s="111" t="n"/>
      <c r="AR68" s="316" t="n">
        <v>80.14</v>
      </c>
      <c r="AS68" s="380">
        <f>AR68-AR56</f>
        <v/>
      </c>
      <c r="AT68" s="111" t="n"/>
      <c r="AU68" s="316" t="n">
        <v>82.38</v>
      </c>
      <c r="AV68" s="380">
        <f>AU68-AU56</f>
        <v/>
      </c>
      <c r="AW68" s="111" t="n"/>
      <c r="AX68" s="315" t="n">
        <v>700</v>
      </c>
      <c r="AY68" s="111">
        <f>AX68/AX56-1</f>
        <v/>
      </c>
      <c r="AZ68" s="111" t="n"/>
      <c r="BA68" s="378" t="n"/>
      <c r="BB68" s="142" t="n"/>
      <c r="BC68" s="378" t="n"/>
      <c r="BD68" s="142" t="n"/>
      <c r="BE68" s="378" t="n"/>
      <c r="BF68" s="142" t="n"/>
      <c r="BG68" s="378" t="n"/>
      <c r="BH68" s="142" t="n"/>
      <c r="BI68" s="318" t="n"/>
      <c r="BJ68" s="142" t="n"/>
      <c r="BK68" s="318" t="n"/>
      <c r="BL68" s="142" t="n"/>
      <c r="BM68" s="318" t="n"/>
      <c r="BN68" s="142" t="n"/>
      <c r="BO68" s="318" t="n"/>
      <c r="BP68" s="318" t="n"/>
      <c r="BQ68" s="142" t="n"/>
      <c r="BR68" s="318" t="n"/>
      <c r="BS68" s="142" t="n"/>
      <c r="BT68" s="318" t="n"/>
      <c r="BU68" s="142" t="n"/>
      <c r="BV68" s="318" t="n"/>
      <c r="BW68" s="142" t="n"/>
      <c r="BX68" s="318" t="n"/>
      <c r="BY68" s="142" t="n"/>
      <c r="BZ68" s="318" t="n"/>
      <c r="CA68" s="142" t="n"/>
      <c r="CB68" s="318" t="n"/>
      <c r="CC68" s="142" t="n"/>
      <c r="CD68" s="318" t="n"/>
      <c r="CE68" s="142" t="n"/>
      <c r="CF68" s="318" t="n"/>
      <c r="CG68" s="317" t="n"/>
      <c r="CH68" s="318" t="n"/>
      <c r="CI68" s="317" t="n"/>
      <c r="CJ68" s="318" t="n"/>
      <c r="CK68" s="317" t="n"/>
      <c r="CL68" s="318" t="n"/>
      <c r="CM68" s="317" t="n"/>
      <c r="CN68" s="318" t="n"/>
      <c r="CO68" s="80" t="n"/>
      <c r="CP68" s="318" t="n"/>
      <c r="CQ68" s="80" t="n"/>
      <c r="CR68" s="318" t="n"/>
      <c r="CS68" s="80" t="n"/>
      <c r="CT68" s="318" t="n"/>
      <c r="CU68" s="80" t="n"/>
      <c r="CV68" s="361" t="n"/>
      <c r="CW68" s="318" t="n"/>
      <c r="CX68" s="142" t="n"/>
      <c r="CY68" s="318" t="n"/>
      <c r="CZ68" s="142" t="n"/>
      <c r="DA68" s="318" t="n"/>
      <c r="DB68" s="142" t="n"/>
      <c r="DC68" s="318" t="n"/>
      <c r="DD68" s="142" t="n"/>
      <c r="DE68" s="385" t="n"/>
      <c r="DF68" s="385" t="n"/>
      <c r="DG68" s="318" t="n"/>
    </row>
    <row r="69" customFormat="1" s="117">
      <c r="A69" s="376" t="n">
        <v>43646</v>
      </c>
      <c r="B69" s="315" t="n">
        <v>22047.03</v>
      </c>
      <c r="C69" s="111">
        <f>B69/B57-1</f>
        <v/>
      </c>
      <c r="D69" s="111" t="n"/>
      <c r="E69" s="315" t="n">
        <v>13945.88</v>
      </c>
      <c r="F69" s="111">
        <f>E69/E57-1</f>
        <v/>
      </c>
      <c r="G69" s="111" t="n"/>
      <c r="H69" s="315" t="n">
        <v>7518.69</v>
      </c>
      <c r="I69" s="111">
        <f>H69/H57-1</f>
        <v/>
      </c>
      <c r="J69" s="111" t="n"/>
      <c r="K69" s="315" t="n">
        <v>582.46</v>
      </c>
      <c r="L69" s="111">
        <f>K69/K57-1</f>
        <v/>
      </c>
      <c r="M69" s="111" t="n"/>
      <c r="N69" s="315" t="n">
        <v>18243.85</v>
      </c>
      <c r="O69" s="111">
        <f>N69/N57-1</f>
        <v/>
      </c>
      <c r="P69" s="111" t="n"/>
      <c r="Q69" s="315" t="n">
        <v>11600.04</v>
      </c>
      <c r="R69" s="111">
        <f>Q69/Q57-1</f>
        <v/>
      </c>
      <c r="S69" s="111" t="n"/>
      <c r="T69" s="315" t="n">
        <v>6158.36</v>
      </c>
      <c r="U69" s="111">
        <f>T69/T57-1</f>
        <v/>
      </c>
      <c r="V69" s="111" t="n"/>
      <c r="W69" s="315" t="n">
        <v>485.45</v>
      </c>
      <c r="X69" s="111">
        <f>W69/W57-1</f>
        <v/>
      </c>
      <c r="Y69" s="111" t="n"/>
      <c r="Z69" s="315" t="n">
        <v>10722.01</v>
      </c>
      <c r="AA69" s="111">
        <f>Z69/Z57-1</f>
        <v/>
      </c>
      <c r="AB69" s="111" t="n"/>
      <c r="AC69" s="315" t="n">
        <v>8910.5</v>
      </c>
      <c r="AD69" s="111">
        <f>AC69/AC57-1</f>
        <v/>
      </c>
      <c r="AE69" s="111" t="n"/>
      <c r="AF69" s="315" t="n">
        <v>1456.98</v>
      </c>
      <c r="AG69" s="111">
        <f>AF69/AF57-1</f>
        <v/>
      </c>
      <c r="AH69" s="111" t="n"/>
      <c r="AI69" s="315" t="n">
        <v>354.53</v>
      </c>
      <c r="AJ69" s="111">
        <f>AI69/AI57-1</f>
        <v/>
      </c>
      <c r="AK69" s="111" t="n"/>
      <c r="AL69" s="316" t="n">
        <v>82.75</v>
      </c>
      <c r="AM69" s="380">
        <f>AL69-AL57</f>
        <v/>
      </c>
      <c r="AN69" s="111" t="n"/>
      <c r="AO69" s="316" t="n">
        <v>83.18000000000001</v>
      </c>
      <c r="AP69" s="380">
        <f>AO69-AO57</f>
        <v/>
      </c>
      <c r="AQ69" s="111" t="n"/>
      <c r="AR69" s="316" t="n">
        <v>81.91</v>
      </c>
      <c r="AS69" s="380">
        <f>AR69-AR57</f>
        <v/>
      </c>
      <c r="AT69" s="111" t="n"/>
      <c r="AU69" s="316" t="n">
        <v>83.34</v>
      </c>
      <c r="AV69" s="380">
        <f>AU69-AU57</f>
        <v/>
      </c>
      <c r="AW69" s="111" t="n"/>
      <c r="AX69" s="315" t="n">
        <v>704</v>
      </c>
      <c r="AY69" s="111">
        <f>AX69/AX57-1</f>
        <v/>
      </c>
      <c r="AZ69" s="111" t="n"/>
      <c r="BA69" s="378" t="n"/>
      <c r="BB69" s="142" t="n"/>
      <c r="BC69" s="378" t="n"/>
      <c r="BD69" s="142" t="n"/>
      <c r="BE69" s="378" t="n"/>
      <c r="BF69" s="142" t="n"/>
      <c r="BG69" s="378" t="n"/>
      <c r="BH69" s="142" t="n"/>
      <c r="BI69" s="318" t="n"/>
      <c r="BJ69" s="142" t="n"/>
      <c r="BK69" s="318" t="n"/>
      <c r="BL69" s="142" t="n"/>
      <c r="BM69" s="318" t="n"/>
      <c r="BN69" s="142" t="n"/>
      <c r="BO69" s="318" t="n"/>
      <c r="BP69" s="318" t="n"/>
      <c r="BQ69" s="142" t="n"/>
      <c r="BR69" s="318" t="n"/>
      <c r="BS69" s="142" t="n"/>
      <c r="BT69" s="318" t="n"/>
      <c r="BU69" s="142" t="n"/>
      <c r="BV69" s="318" t="n"/>
      <c r="BW69" s="142" t="n"/>
      <c r="BX69" s="318" t="n"/>
      <c r="BY69" s="142" t="n"/>
      <c r="BZ69" s="318" t="n"/>
      <c r="CA69" s="142" t="n"/>
      <c r="CB69" s="318" t="n"/>
      <c r="CC69" s="142" t="n"/>
      <c r="CD69" s="318" t="n"/>
      <c r="CE69" s="142" t="n"/>
      <c r="CF69" s="318" t="n"/>
      <c r="CG69" s="317" t="n"/>
      <c r="CH69" s="318" t="n"/>
      <c r="CI69" s="317" t="n"/>
      <c r="CJ69" s="318" t="n"/>
      <c r="CK69" s="317" t="n"/>
      <c r="CL69" s="318" t="n"/>
      <c r="CM69" s="317" t="n"/>
      <c r="CN69" s="318" t="n"/>
      <c r="CO69" s="80" t="n"/>
      <c r="CP69" s="318" t="n"/>
      <c r="CQ69" s="80" t="n"/>
      <c r="CR69" s="318" t="n"/>
      <c r="CS69" s="80" t="n"/>
      <c r="CT69" s="318" t="n"/>
      <c r="CU69" s="80" t="n"/>
      <c r="CV69" s="361" t="n"/>
      <c r="CW69" s="318" t="n"/>
      <c r="CX69" s="142" t="n"/>
      <c r="CY69" s="318" t="n"/>
      <c r="CZ69" s="142" t="n"/>
      <c r="DA69" s="318" t="n"/>
      <c r="DB69" s="142" t="n"/>
      <c r="DC69" s="318" t="n"/>
      <c r="DD69" s="142" t="n"/>
      <c r="DE69" s="385" t="n"/>
      <c r="DF69" s="385" t="n"/>
      <c r="DG69" s="318" t="n"/>
    </row>
    <row r="70" ht="15" customFormat="1" customHeight="1" s="117">
      <c r="A70" s="376" t="n">
        <v>43677</v>
      </c>
      <c r="B70" s="315" t="n">
        <v>23941.01</v>
      </c>
      <c r="C70" s="111">
        <f>B70/B58-1</f>
        <v/>
      </c>
      <c r="D70" s="111" t="n"/>
      <c r="E70" s="315" t="n">
        <v>15282.42</v>
      </c>
      <c r="F70" s="111">
        <f>E70/E58-1</f>
        <v/>
      </c>
      <c r="G70" s="111" t="n"/>
      <c r="H70" s="315" t="n">
        <v>8034.89</v>
      </c>
      <c r="I70" s="111">
        <f>H70/H58-1</f>
        <v/>
      </c>
      <c r="J70" s="111" t="n"/>
      <c r="K70" s="315" t="n">
        <v>623.7</v>
      </c>
      <c r="L70" s="111">
        <f>K70/K58-1</f>
        <v/>
      </c>
      <c r="M70" s="111" t="n"/>
      <c r="N70" s="315" t="n">
        <v>19618.77</v>
      </c>
      <c r="O70" s="111">
        <f>N70/N58-1</f>
        <v/>
      </c>
      <c r="P70" s="111" t="n"/>
      <c r="Q70" s="315" t="n">
        <v>12650.24</v>
      </c>
      <c r="R70" s="111">
        <f>Q70/Q58-1</f>
        <v/>
      </c>
      <c r="S70" s="111" t="n"/>
      <c r="T70" s="315" t="n">
        <v>6463.64</v>
      </c>
      <c r="U70" s="111">
        <f>T70/T58-1</f>
        <v/>
      </c>
      <c r="V70" s="111" t="n"/>
      <c r="W70" s="315" t="n">
        <v>504.88</v>
      </c>
      <c r="X70" s="111">
        <f>W70/W58-1</f>
        <v/>
      </c>
      <c r="Y70" s="111" t="n"/>
      <c r="Z70" s="315" t="n">
        <v>11526.43</v>
      </c>
      <c r="AA70" s="111">
        <f>Z70/Z58-1</f>
        <v/>
      </c>
      <c r="AB70" s="111" t="n"/>
      <c r="AC70" s="315" t="n">
        <v>9649.82</v>
      </c>
      <c r="AD70" s="111">
        <f>AC70/AC58-1</f>
        <v/>
      </c>
      <c r="AE70" s="111" t="n"/>
      <c r="AF70" s="315" t="n">
        <v>1507.09</v>
      </c>
      <c r="AG70" s="111">
        <f>AF70/AF58-1</f>
        <v/>
      </c>
      <c r="AH70" s="111" t="n"/>
      <c r="AI70" s="315" t="n">
        <v>369.53</v>
      </c>
      <c r="AJ70" s="111">
        <f>AI70/AI58-1</f>
        <v/>
      </c>
      <c r="AK70" s="111" t="n"/>
      <c r="AL70" s="316" t="n">
        <v>81.95</v>
      </c>
      <c r="AM70" s="380">
        <f>AL70-AL58</f>
        <v/>
      </c>
      <c r="AN70" s="111" t="n"/>
      <c r="AO70" s="316" t="n">
        <v>82.78</v>
      </c>
      <c r="AP70" s="380">
        <f>AO70-AO58</f>
        <v/>
      </c>
      <c r="AQ70" s="111" t="n"/>
      <c r="AR70" s="316" t="n">
        <v>80.44</v>
      </c>
      <c r="AS70" s="380">
        <f>AR70-AR58</f>
        <v/>
      </c>
      <c r="AT70" s="111" t="n"/>
      <c r="AU70" s="316" t="n">
        <v>80.95</v>
      </c>
      <c r="AV70" s="380">
        <f>AU70-AU58</f>
        <v/>
      </c>
      <c r="AW70" s="111" t="n"/>
      <c r="AX70" s="315" t="n">
        <v>705</v>
      </c>
      <c r="AY70" s="111">
        <f>AX70/AX58-1</f>
        <v/>
      </c>
      <c r="AZ70" s="111" t="n"/>
      <c r="BA70" s="378" t="n"/>
      <c r="BB70" s="142" t="n"/>
      <c r="BC70" s="378" t="n"/>
      <c r="BD70" s="142" t="n"/>
      <c r="BE70" s="378" t="n"/>
      <c r="BF70" s="142" t="n"/>
      <c r="BG70" s="378" t="n"/>
      <c r="BH70" s="142" t="n"/>
      <c r="BI70" s="318" t="n"/>
      <c r="BJ70" s="142" t="n"/>
      <c r="BK70" s="318" t="n"/>
      <c r="BL70" s="142" t="n"/>
      <c r="BM70" s="318" t="n"/>
      <c r="BN70" s="142" t="n"/>
      <c r="BO70" s="318" t="n"/>
      <c r="BP70" s="318" t="n"/>
      <c r="BQ70" s="142" t="n"/>
      <c r="BR70" s="318" t="n"/>
      <c r="BS70" s="142" t="n"/>
      <c r="BT70" s="318" t="n"/>
      <c r="BU70" s="142" t="n"/>
      <c r="BV70" s="318" t="n"/>
      <c r="BW70" s="142" t="n"/>
      <c r="BX70" s="318" t="n"/>
      <c r="BY70" s="142" t="n"/>
      <c r="BZ70" s="318" t="n"/>
      <c r="CA70" s="142" t="n"/>
      <c r="CB70" s="318" t="n"/>
      <c r="CC70" s="142" t="n"/>
      <c r="CD70" s="318" t="n"/>
      <c r="CE70" s="142" t="n"/>
      <c r="CF70" s="318" t="n"/>
      <c r="CG70" s="317" t="n"/>
      <c r="CH70" s="318" t="n"/>
      <c r="CI70" s="317" t="n"/>
      <c r="CJ70" s="318" t="n"/>
      <c r="CK70" s="317" t="n"/>
      <c r="CL70" s="318" t="n"/>
      <c r="CM70" s="317" t="n"/>
      <c r="CN70" s="318" t="n"/>
      <c r="CO70" s="80" t="n"/>
      <c r="CP70" s="318" t="n"/>
      <c r="CQ70" s="80" t="n"/>
      <c r="CR70" s="318" t="n"/>
      <c r="CS70" s="80" t="n"/>
      <c r="CT70" s="318" t="n"/>
      <c r="CU70" s="80" t="n"/>
      <c r="CV70" s="361" t="n"/>
      <c r="CW70" s="318" t="n"/>
      <c r="CX70" s="142" t="n"/>
      <c r="CY70" s="318" t="n"/>
      <c r="CZ70" s="142" t="n"/>
      <c r="DA70" s="318" t="n"/>
      <c r="DB70" s="142" t="n"/>
      <c r="DC70" s="318" t="n"/>
      <c r="DD70" s="142" t="n"/>
      <c r="DE70" s="385" t="n"/>
      <c r="DF70" s="385" t="n"/>
      <c r="DG70" s="318" t="n"/>
    </row>
    <row r="71" customFormat="1" s="117">
      <c r="A71" s="376" t="n">
        <v>43708</v>
      </c>
      <c r="B71" s="315" t="n">
        <v>23763.2</v>
      </c>
      <c r="C71" s="111">
        <f>B71/B59-1</f>
        <v/>
      </c>
      <c r="D71" s="111" t="n"/>
      <c r="E71" s="315" t="n">
        <v>15193.01</v>
      </c>
      <c r="F71" s="111">
        <f>E71/E59-1</f>
        <v/>
      </c>
      <c r="G71" s="111" t="n"/>
      <c r="H71" s="315" t="n">
        <v>8008.65</v>
      </c>
      <c r="I71" s="111">
        <f>H71/H59-1</f>
        <v/>
      </c>
      <c r="J71" s="111" t="n"/>
      <c r="K71" s="315" t="n">
        <v>561.54</v>
      </c>
      <c r="L71" s="111">
        <f>K71/K59-1</f>
        <v/>
      </c>
      <c r="M71" s="111" t="n"/>
      <c r="N71" s="315" t="n">
        <v>20277.76</v>
      </c>
      <c r="O71" s="111">
        <f>N71/N59-1</f>
        <v/>
      </c>
      <c r="P71" s="111" t="n"/>
      <c r="Q71" s="315" t="n">
        <v>13144.62</v>
      </c>
      <c r="R71" s="111">
        <f>Q71/Q59-1</f>
        <v/>
      </c>
      <c r="S71" s="111" t="n"/>
      <c r="T71" s="315" t="n">
        <v>6714.96</v>
      </c>
      <c r="U71" s="111">
        <f>T71/T59-1</f>
        <v/>
      </c>
      <c r="V71" s="111" t="n"/>
      <c r="W71" s="315" t="n">
        <v>418.17</v>
      </c>
      <c r="X71" s="111">
        <f>W71/W59-1</f>
        <v/>
      </c>
      <c r="Y71" s="111" t="n"/>
      <c r="Z71" s="315" t="n">
        <v>11904.23</v>
      </c>
      <c r="AA71" s="111">
        <f>Z71/Z59-1</f>
        <v/>
      </c>
      <c r="AB71" s="111" t="n"/>
      <c r="AC71" s="315" t="n">
        <v>9996.5</v>
      </c>
      <c r="AD71" s="111">
        <f>AC71/AC59-1</f>
        <v/>
      </c>
      <c r="AE71" s="111" t="n"/>
      <c r="AF71" s="315" t="n">
        <v>1600.96</v>
      </c>
      <c r="AG71" s="111">
        <f>AF71/AF59-1</f>
        <v/>
      </c>
      <c r="AH71" s="111" t="n"/>
      <c r="AI71" s="315" t="n">
        <v>306.77</v>
      </c>
      <c r="AJ71" s="111">
        <f>AI71/AI59-1</f>
        <v/>
      </c>
      <c r="AK71" s="111" t="n"/>
      <c r="AL71" s="316" t="n">
        <v>85.33</v>
      </c>
      <c r="AM71" s="380">
        <f>AL71-AL59</f>
        <v/>
      </c>
      <c r="AN71" s="111" t="n"/>
      <c r="AO71" s="316" t="n">
        <v>86.52</v>
      </c>
      <c r="AP71" s="380">
        <f>AO71-AO59</f>
        <v/>
      </c>
      <c r="AQ71" s="111" t="n"/>
      <c r="AR71" s="316" t="n">
        <v>83.84999999999999</v>
      </c>
      <c r="AS71" s="380">
        <f>AR71-AR59</f>
        <v/>
      </c>
      <c r="AT71" s="111" t="n"/>
      <c r="AU71" s="316" t="n">
        <v>74.47</v>
      </c>
      <c r="AV71" s="380">
        <f>AU71-AU59</f>
        <v/>
      </c>
      <c r="AW71" s="111" t="n"/>
      <c r="AX71" s="315" t="n">
        <v>705</v>
      </c>
      <c r="AY71" s="111">
        <f>AX71/AX59-1</f>
        <v/>
      </c>
      <c r="AZ71" s="111" t="n"/>
      <c r="BA71" s="378" t="n"/>
      <c r="BB71" s="142" t="n"/>
      <c r="BC71" s="378" t="n"/>
      <c r="BD71" s="142" t="n"/>
      <c r="BE71" s="378" t="n"/>
      <c r="BF71" s="142" t="n"/>
      <c r="BG71" s="378" t="n"/>
      <c r="BH71" s="142" t="n"/>
      <c r="BI71" s="318" t="n"/>
      <c r="BJ71" s="142" t="n"/>
      <c r="BK71" s="318" t="n"/>
      <c r="BL71" s="142" t="n"/>
      <c r="BM71" s="318" t="n"/>
      <c r="BN71" s="142" t="n"/>
      <c r="BO71" s="318" t="n"/>
      <c r="BP71" s="318" t="n"/>
      <c r="BQ71" s="142" t="n"/>
      <c r="BR71" s="318" t="n"/>
      <c r="BS71" s="142" t="n"/>
      <c r="BT71" s="318" t="n"/>
      <c r="BU71" s="142" t="n"/>
      <c r="BV71" s="318" t="n"/>
      <c r="BW71" s="142" t="n"/>
      <c r="BX71" s="318" t="n"/>
      <c r="BY71" s="142" t="n"/>
      <c r="BZ71" s="318" t="n"/>
      <c r="CA71" s="142" t="n"/>
      <c r="CB71" s="318" t="n"/>
      <c r="CC71" s="142" t="n"/>
      <c r="CD71" s="318" t="n"/>
      <c r="CE71" s="142" t="n"/>
      <c r="CF71" s="318" t="n"/>
      <c r="CG71" s="317" t="n"/>
      <c r="CH71" s="318" t="n"/>
      <c r="CI71" s="317" t="n"/>
      <c r="CJ71" s="318" t="n"/>
      <c r="CK71" s="317" t="n"/>
      <c r="CL71" s="318" t="n"/>
      <c r="CM71" s="317" t="n"/>
      <c r="CN71" s="318" t="n"/>
      <c r="CO71" s="80" t="n"/>
      <c r="CP71" s="318" t="n"/>
      <c r="CQ71" s="80" t="n"/>
      <c r="CR71" s="318" t="n"/>
      <c r="CS71" s="80" t="n"/>
      <c r="CT71" s="318" t="n"/>
      <c r="CU71" s="80" t="n"/>
      <c r="CV71" s="361" t="n"/>
      <c r="CW71" s="318" t="n"/>
      <c r="CX71" s="142" t="n"/>
      <c r="CY71" s="318" t="n"/>
      <c r="CZ71" s="142" t="n"/>
      <c r="DA71" s="318" t="n"/>
      <c r="DB71" s="142" t="n"/>
      <c r="DC71" s="318" t="n"/>
      <c r="DD71" s="142" t="n"/>
      <c r="DE71" s="385" t="n"/>
      <c r="DF71" s="385" t="n"/>
      <c r="DG71" s="318" t="n"/>
    </row>
    <row r="72" customFormat="1" s="117">
      <c r="A72" s="376" t="n">
        <v>43738</v>
      </c>
      <c r="B72" s="315" t="n">
        <v>22534.48</v>
      </c>
      <c r="C72" s="111">
        <f>B72/B60-1</f>
        <v/>
      </c>
      <c r="D72" s="111" t="n"/>
      <c r="E72" s="315" t="n">
        <v>14229.55</v>
      </c>
      <c r="F72" s="111">
        <f>E72/E60-1</f>
        <v/>
      </c>
      <c r="G72" s="111" t="n"/>
      <c r="H72" s="315" t="n">
        <v>7839.19</v>
      </c>
      <c r="I72" s="111">
        <f>H72/H60-1</f>
        <v/>
      </c>
      <c r="J72" s="111" t="n"/>
      <c r="K72" s="315" t="n">
        <v>465.75</v>
      </c>
      <c r="L72" s="111">
        <f>K72/K60-1</f>
        <v/>
      </c>
      <c r="M72" s="111" t="n"/>
      <c r="N72" s="315" t="n">
        <v>17984.64</v>
      </c>
      <c r="O72" s="111">
        <f>N72/N60-1</f>
        <v/>
      </c>
      <c r="P72" s="111" t="n"/>
      <c r="Q72" s="315" t="n">
        <v>11583.19</v>
      </c>
      <c r="R72" s="111">
        <f>Q72/Q60-1</f>
        <v/>
      </c>
      <c r="S72" s="111" t="n"/>
      <c r="T72" s="315" t="n">
        <v>6077.78</v>
      </c>
      <c r="U72" s="111">
        <f>T72/T60-1</f>
        <v/>
      </c>
      <c r="V72" s="111" t="n"/>
      <c r="W72" s="315" t="n">
        <v>323.67</v>
      </c>
      <c r="X72" s="111">
        <f>W72/W60-1</f>
        <v/>
      </c>
      <c r="Y72" s="111" t="n"/>
      <c r="Z72" s="315" t="n">
        <v>10481.7</v>
      </c>
      <c r="AA72" s="111">
        <f>Z72/Z60-1</f>
        <v/>
      </c>
      <c r="AB72" s="111" t="n"/>
      <c r="AC72" s="315" t="n">
        <v>8828.02</v>
      </c>
      <c r="AD72" s="111">
        <f>AC72/AC60-1</f>
        <v/>
      </c>
      <c r="AE72" s="111" t="n"/>
      <c r="AF72" s="315" t="n">
        <v>1419.5</v>
      </c>
      <c r="AG72" s="111">
        <f>AF72/AF60-1</f>
        <v/>
      </c>
      <c r="AH72" s="111" t="n"/>
      <c r="AI72" s="315" t="n">
        <v>234.19</v>
      </c>
      <c r="AJ72" s="111">
        <f>AI72/AI60-1</f>
        <v/>
      </c>
      <c r="AK72" s="111" t="n"/>
      <c r="AL72" s="316" t="n">
        <v>79.81</v>
      </c>
      <c r="AM72" s="380">
        <f>AL72-AL60</f>
        <v/>
      </c>
      <c r="AN72" s="111" t="n"/>
      <c r="AO72" s="316" t="n">
        <v>81.40000000000001</v>
      </c>
      <c r="AP72" s="380">
        <f>AO72-AO60</f>
        <v/>
      </c>
      <c r="AQ72" s="111" t="n"/>
      <c r="AR72" s="316" t="n">
        <v>77.53</v>
      </c>
      <c r="AS72" s="380">
        <f>AR72-AR60</f>
        <v/>
      </c>
      <c r="AT72" s="111" t="n"/>
      <c r="AU72" s="316" t="n">
        <v>69.5</v>
      </c>
      <c r="AV72" s="380">
        <f>AU72-AU60</f>
        <v/>
      </c>
      <c r="AW72" s="111" t="n"/>
      <c r="AX72" s="315" t="n">
        <v>706</v>
      </c>
      <c r="AY72" s="111">
        <f>AX72/AX60-1</f>
        <v/>
      </c>
      <c r="AZ72" s="111" t="n"/>
      <c r="BA72" s="378" t="n"/>
      <c r="BB72" s="142" t="n"/>
      <c r="BC72" s="378" t="n"/>
      <c r="BD72" s="142" t="n"/>
      <c r="BE72" s="378" t="n"/>
      <c r="BF72" s="142" t="n"/>
      <c r="BG72" s="378" t="n"/>
      <c r="BH72" s="142" t="n"/>
      <c r="BI72" s="318" t="n"/>
      <c r="BJ72" s="142" t="n"/>
      <c r="BK72" s="318" t="n"/>
      <c r="BL72" s="142" t="n"/>
      <c r="BM72" s="318" t="n"/>
      <c r="BN72" s="142" t="n"/>
      <c r="BO72" s="318" t="n"/>
      <c r="BP72" s="318" t="n"/>
      <c r="BQ72" s="142" t="n"/>
      <c r="BR72" s="318" t="n"/>
      <c r="BS72" s="142" t="n"/>
      <c r="BT72" s="318" t="n"/>
      <c r="BU72" s="142" t="n"/>
      <c r="BV72" s="318" t="n"/>
      <c r="BW72" s="142" t="n"/>
      <c r="BX72" s="318" t="n"/>
      <c r="BY72" s="142" t="n"/>
      <c r="BZ72" s="318" t="n"/>
      <c r="CA72" s="142" t="n"/>
      <c r="CB72" s="318" t="n"/>
      <c r="CC72" s="142" t="n"/>
      <c r="CD72" s="318" t="n"/>
      <c r="CE72" s="142" t="n"/>
      <c r="CF72" s="318" t="n"/>
      <c r="CG72" s="317" t="n"/>
      <c r="CH72" s="318" t="n"/>
      <c r="CI72" s="317" t="n"/>
      <c r="CJ72" s="318" t="n"/>
      <c r="CK72" s="317" t="n"/>
      <c r="CL72" s="318" t="n"/>
      <c r="CM72" s="317" t="n"/>
      <c r="CN72" s="318" t="n"/>
      <c r="CO72" s="80" t="n"/>
      <c r="CP72" s="318" t="n"/>
      <c r="CQ72" s="80" t="n"/>
      <c r="CR72" s="318" t="n"/>
      <c r="CS72" s="80" t="n"/>
      <c r="CT72" s="318" t="n"/>
      <c r="CU72" s="80" t="n"/>
      <c r="CV72" s="361" t="n"/>
      <c r="CW72" s="318" t="n"/>
      <c r="CX72" s="142" t="n"/>
      <c r="CY72" s="318" t="n"/>
      <c r="CZ72" s="142" t="n"/>
      <c r="DA72" s="318" t="n"/>
      <c r="DB72" s="142" t="n"/>
      <c r="DC72" s="318" t="n"/>
      <c r="DD72" s="142" t="n"/>
      <c r="DE72" s="385" t="n"/>
      <c r="DF72" s="385" t="n"/>
      <c r="DG72" s="318" t="n"/>
    </row>
    <row r="73" customFormat="1" s="117">
      <c r="A73" s="376" t="n">
        <v>43769</v>
      </c>
      <c r="B73" s="315" t="n">
        <v>23098.47</v>
      </c>
      <c r="C73" s="111">
        <f>B73/B61-1</f>
        <v/>
      </c>
      <c r="D73" s="111" t="n"/>
      <c r="E73" s="315" t="n">
        <v>14625.85</v>
      </c>
      <c r="F73" s="111">
        <f>E73/E61-1</f>
        <v/>
      </c>
      <c r="G73" s="111" t="n"/>
      <c r="H73" s="315" t="n">
        <v>7978.96</v>
      </c>
      <c r="I73" s="111">
        <f>H73/H61-1</f>
        <v/>
      </c>
      <c r="J73" s="111" t="n"/>
      <c r="K73" s="315" t="n">
        <v>493.66</v>
      </c>
      <c r="L73" s="111">
        <f>K73/K61-1</f>
        <v/>
      </c>
      <c r="M73" s="111" t="n"/>
      <c r="N73" s="315" t="n">
        <v>18667.3</v>
      </c>
      <c r="O73" s="111">
        <f>N73/N61-1</f>
        <v/>
      </c>
      <c r="P73" s="111" t="n"/>
      <c r="Q73" s="315" t="n">
        <v>12236.41</v>
      </c>
      <c r="R73" s="111">
        <f>Q73/Q61-1</f>
        <v/>
      </c>
      <c r="S73" s="111" t="n"/>
      <c r="T73" s="315" t="n">
        <v>6081.35</v>
      </c>
      <c r="U73" s="111">
        <f>T73/T61-1</f>
        <v/>
      </c>
      <c r="V73" s="111" t="n"/>
      <c r="W73" s="315" t="n">
        <v>349.53</v>
      </c>
      <c r="X73" s="111">
        <f>W73/W61-1</f>
        <v/>
      </c>
      <c r="Y73" s="111" t="n"/>
      <c r="Z73" s="315" t="n">
        <v>11039.84</v>
      </c>
      <c r="AA73" s="111">
        <f>Z73/Z61-1</f>
        <v/>
      </c>
      <c r="AB73" s="111" t="n"/>
      <c r="AC73" s="315" t="n">
        <v>9365.09</v>
      </c>
      <c r="AD73" s="111">
        <f>AC73/AC61-1</f>
        <v/>
      </c>
      <c r="AE73" s="111" t="n"/>
      <c r="AF73" s="315" t="n">
        <v>1421.67</v>
      </c>
      <c r="AG73" s="111">
        <f>AF73/AF61-1</f>
        <v/>
      </c>
      <c r="AH73" s="111" t="n"/>
      <c r="AI73" s="315" t="n">
        <v>253.09</v>
      </c>
      <c r="AJ73" s="111">
        <f>AI73/AI61-1</f>
        <v/>
      </c>
      <c r="AK73" s="111" t="n"/>
      <c r="AL73" s="316" t="n">
        <v>80.81999999999999</v>
      </c>
      <c r="AM73" s="380">
        <f>AL73-AL61</f>
        <v/>
      </c>
      <c r="AN73" s="111" t="n"/>
      <c r="AO73" s="316" t="n">
        <v>83.66</v>
      </c>
      <c r="AP73" s="380">
        <f>AO73-AO61</f>
        <v/>
      </c>
      <c r="AQ73" s="111" t="n"/>
      <c r="AR73" s="316" t="n">
        <v>76.22</v>
      </c>
      <c r="AS73" s="380">
        <f>AR73-AR61</f>
        <v/>
      </c>
      <c r="AT73" s="111" t="n"/>
      <c r="AU73" s="316" t="n">
        <v>70.8</v>
      </c>
      <c r="AV73" s="380">
        <f>AU73-AU61</f>
        <v/>
      </c>
      <c r="AW73" s="111" t="n"/>
      <c r="AX73" s="315" t="n">
        <v>710</v>
      </c>
      <c r="AY73" s="111">
        <f>AX73/AX61-1</f>
        <v/>
      </c>
      <c r="AZ73" s="111" t="n"/>
      <c r="BA73" s="378" t="n"/>
      <c r="BB73" s="142" t="n"/>
      <c r="BC73" s="378" t="n"/>
      <c r="BD73" s="142" t="n"/>
      <c r="BE73" s="378" t="n"/>
      <c r="BF73" s="142" t="n"/>
      <c r="BG73" s="378" t="n"/>
      <c r="BH73" s="142" t="n"/>
      <c r="BI73" s="318" t="n"/>
      <c r="BJ73" s="142" t="n"/>
      <c r="BK73" s="318" t="n"/>
      <c r="BL73" s="142" t="n"/>
      <c r="BM73" s="318" t="n"/>
      <c r="BN73" s="142" t="n"/>
      <c r="BO73" s="318" t="n"/>
      <c r="BP73" s="318" t="n"/>
      <c r="BQ73" s="142" t="n"/>
      <c r="BR73" s="318" t="n"/>
      <c r="BS73" s="142" t="n"/>
      <c r="BT73" s="318" t="n"/>
      <c r="BU73" s="142" t="n"/>
      <c r="BV73" s="318" t="n"/>
      <c r="BW73" s="142" t="n"/>
      <c r="BX73" s="318" t="n"/>
      <c r="BY73" s="142" t="n"/>
      <c r="BZ73" s="318" t="n"/>
      <c r="CA73" s="142" t="n"/>
      <c r="CB73" s="318" t="n"/>
      <c r="CC73" s="142" t="n"/>
      <c r="CD73" s="318" t="n"/>
      <c r="CE73" s="142" t="n"/>
      <c r="CF73" s="318" t="n"/>
      <c r="CG73" s="317" t="n"/>
      <c r="CH73" s="318" t="n"/>
      <c r="CI73" s="317" t="n"/>
      <c r="CJ73" s="318" t="n"/>
      <c r="CK73" s="317" t="n"/>
      <c r="CL73" s="318" t="n"/>
      <c r="CM73" s="317" t="n"/>
      <c r="CN73" s="318" t="n"/>
      <c r="CO73" s="80" t="n"/>
      <c r="CP73" s="318" t="n"/>
      <c r="CQ73" s="80" t="n"/>
      <c r="CR73" s="318" t="n"/>
      <c r="CS73" s="80" t="n"/>
      <c r="CT73" s="318" t="n"/>
      <c r="CU73" s="80" t="n"/>
      <c r="CV73" s="361" t="n"/>
      <c r="CW73" s="318" t="n"/>
      <c r="CX73" s="142" t="n"/>
      <c r="CY73" s="318" t="n"/>
      <c r="CZ73" s="142" t="n"/>
      <c r="DA73" s="318" t="n"/>
      <c r="DB73" s="142" t="n"/>
      <c r="DC73" s="318" t="n"/>
      <c r="DD73" s="142" t="n"/>
      <c r="DE73" s="385" t="n"/>
      <c r="DF73" s="385" t="n"/>
      <c r="DG73" s="318" t="n"/>
    </row>
    <row r="74" customFormat="1" s="117">
      <c r="A74" s="376" t="n">
        <v>43799</v>
      </c>
      <c r="B74" s="315" t="n">
        <v>22598.11</v>
      </c>
      <c r="C74" s="111">
        <f>B74/B62-1</f>
        <v/>
      </c>
      <c r="D74" s="111" t="n"/>
      <c r="E74" s="315" t="n">
        <v>14317.7</v>
      </c>
      <c r="F74" s="111">
        <f>E74/E62-1</f>
        <v/>
      </c>
      <c r="G74" s="111" t="n"/>
      <c r="H74" s="315" t="n">
        <v>7846.91</v>
      </c>
      <c r="I74" s="111">
        <f>H74/H62-1</f>
        <v/>
      </c>
      <c r="J74" s="111" t="n"/>
      <c r="K74" s="315" t="n">
        <v>433.5</v>
      </c>
      <c r="L74" s="111">
        <f>K74/K62-1</f>
        <v/>
      </c>
      <c r="M74" s="111" t="n"/>
      <c r="N74" s="315" t="n">
        <v>18101.19</v>
      </c>
      <c r="O74" s="111">
        <f>N74/N62-1</f>
        <v/>
      </c>
      <c r="P74" s="111" t="n"/>
      <c r="Q74" s="315" t="n">
        <v>11809.15</v>
      </c>
      <c r="R74" s="111">
        <f>Q74/Q62-1</f>
        <v/>
      </c>
      <c r="S74" s="111" t="n"/>
      <c r="T74" s="315" t="n">
        <v>5967.37</v>
      </c>
      <c r="U74" s="111">
        <f>T74/T62-1</f>
        <v/>
      </c>
      <c r="V74" s="111" t="n"/>
      <c r="W74" s="315" t="n">
        <v>324.67</v>
      </c>
      <c r="X74" s="111">
        <f>W74/W62-1</f>
        <v/>
      </c>
      <c r="Y74" s="111" t="n"/>
      <c r="Z74" s="315" t="n">
        <v>10659.82</v>
      </c>
      <c r="AA74" s="111">
        <f>Z74/Z62-1</f>
        <v/>
      </c>
      <c r="AB74" s="111" t="n"/>
      <c r="AC74" s="315" t="n">
        <v>9009.450000000001</v>
      </c>
      <c r="AD74" s="111">
        <f>AC74/AC62-1</f>
        <v/>
      </c>
      <c r="AE74" s="111" t="n"/>
      <c r="AF74" s="315" t="n">
        <v>1408.39</v>
      </c>
      <c r="AG74" s="111">
        <f>AF74/AF62-1</f>
        <v/>
      </c>
      <c r="AH74" s="111" t="n"/>
      <c r="AI74" s="315" t="n">
        <v>241.99</v>
      </c>
      <c r="AJ74" s="111">
        <f>AI74/AI62-1</f>
        <v/>
      </c>
      <c r="AK74" s="111" t="n"/>
      <c r="AL74" s="316" t="n">
        <v>80.09999999999999</v>
      </c>
      <c r="AM74" s="380">
        <f>AL74-AL62</f>
        <v/>
      </c>
      <c r="AN74" s="111" t="n"/>
      <c r="AO74" s="316" t="n">
        <v>82.48</v>
      </c>
      <c r="AP74" s="380">
        <f>AO74-AO62</f>
        <v/>
      </c>
      <c r="AQ74" s="111" t="n"/>
      <c r="AR74" s="316" t="n">
        <v>76.05</v>
      </c>
      <c r="AS74" s="380">
        <f>AR74-AR62</f>
        <v/>
      </c>
      <c r="AT74" s="111" t="n"/>
      <c r="AU74" s="316" t="n">
        <v>74.90000000000001</v>
      </c>
      <c r="AV74" s="380">
        <f>AU74-AU62</f>
        <v/>
      </c>
      <c r="AW74" s="111" t="n"/>
      <c r="AX74" s="315" t="n">
        <v>712</v>
      </c>
      <c r="AY74" s="111">
        <f>AX74/AX62-1</f>
        <v/>
      </c>
      <c r="AZ74" s="111" t="n"/>
      <c r="BA74" s="378" t="n"/>
      <c r="BB74" s="142" t="n"/>
      <c r="BC74" s="378" t="n"/>
      <c r="BD74" s="142" t="n"/>
      <c r="BE74" s="378" t="n"/>
      <c r="BF74" s="142" t="n"/>
      <c r="BG74" s="378" t="n"/>
      <c r="BH74" s="142" t="n"/>
      <c r="BI74" s="318" t="n"/>
      <c r="BJ74" s="142" t="n"/>
      <c r="BK74" s="318" t="n"/>
      <c r="BL74" s="142" t="n"/>
      <c r="BM74" s="318" t="n"/>
      <c r="BN74" s="142" t="n"/>
      <c r="BO74" s="318" t="n"/>
      <c r="BP74" s="318" t="n"/>
      <c r="BQ74" s="142" t="n"/>
      <c r="BR74" s="318" t="n"/>
      <c r="BS74" s="142" t="n"/>
      <c r="BT74" s="318" t="n"/>
      <c r="BU74" s="142" t="n"/>
      <c r="BV74" s="318" t="n"/>
      <c r="BW74" s="142" t="n"/>
      <c r="BX74" s="318" t="n"/>
      <c r="BY74" s="142" t="n"/>
      <c r="BZ74" s="318" t="n"/>
      <c r="CA74" s="142" t="n"/>
      <c r="CB74" s="318" t="n"/>
      <c r="CC74" s="142" t="n"/>
      <c r="CD74" s="318" t="n"/>
      <c r="CE74" s="142" t="n"/>
      <c r="CF74" s="318" t="n"/>
      <c r="CG74" s="317" t="n"/>
      <c r="CH74" s="318" t="n"/>
      <c r="CI74" s="317" t="n"/>
      <c r="CJ74" s="318" t="n"/>
      <c r="CK74" s="317" t="n"/>
      <c r="CL74" s="318" t="n"/>
      <c r="CM74" s="317" t="n"/>
      <c r="CN74" s="318" t="n"/>
      <c r="CO74" s="80" t="n"/>
      <c r="CP74" s="318" t="n"/>
      <c r="CQ74" s="80" t="n"/>
      <c r="CR74" s="318" t="n"/>
      <c r="CS74" s="80" t="n"/>
      <c r="CT74" s="318" t="n"/>
      <c r="CU74" s="80" t="n"/>
      <c r="CV74" s="361" t="n"/>
      <c r="CW74" s="318" t="n"/>
      <c r="CX74" s="142" t="n"/>
      <c r="CY74" s="318" t="n"/>
      <c r="CZ74" s="142" t="n"/>
      <c r="DA74" s="318" t="n"/>
      <c r="DB74" s="142" t="n"/>
      <c r="DC74" s="318" t="n"/>
      <c r="DD74" s="142" t="n"/>
      <c r="DE74" s="385" t="n"/>
      <c r="DF74" s="385" t="n"/>
      <c r="DG74" s="318" t="n"/>
    </row>
    <row r="75" customFormat="1" s="117">
      <c r="A75" s="376" t="n">
        <v>43830</v>
      </c>
      <c r="B75" s="315" t="n">
        <v>22749.46</v>
      </c>
      <c r="C75" s="111">
        <f>B75/B63-1</f>
        <v/>
      </c>
      <c r="D75" s="111" t="n"/>
      <c r="E75" s="315" t="n">
        <v>14335.2</v>
      </c>
      <c r="F75" s="111">
        <f>E75/E63-1</f>
        <v/>
      </c>
      <c r="G75" s="111" t="n"/>
      <c r="H75" s="315" t="n">
        <v>7997.55</v>
      </c>
      <c r="I75" s="111">
        <f>H75/H63-1</f>
        <v/>
      </c>
      <c r="J75" s="111" t="n"/>
      <c r="K75" s="315" t="n">
        <v>416.71</v>
      </c>
      <c r="L75" s="111">
        <f>K75/K63-1</f>
        <v/>
      </c>
      <c r="M75" s="111" t="n"/>
      <c r="N75" s="315" t="n">
        <v>18226.08</v>
      </c>
      <c r="O75" s="111">
        <f>N75/N63-1</f>
        <v/>
      </c>
      <c r="P75" s="111" t="n"/>
      <c r="Q75" s="315" t="n">
        <v>11607.16</v>
      </c>
      <c r="R75" s="111">
        <f>Q75/Q63-1</f>
        <v/>
      </c>
      <c r="S75" s="111" t="n"/>
      <c r="T75" s="315" t="n">
        <v>6304.19</v>
      </c>
      <c r="U75" s="111">
        <f>T75/T63-1</f>
        <v/>
      </c>
      <c r="V75" s="111" t="n"/>
      <c r="W75" s="315" t="n">
        <v>314.73</v>
      </c>
      <c r="X75" s="111">
        <f>W75/W63-1</f>
        <v/>
      </c>
      <c r="Y75" s="111" t="n"/>
      <c r="Z75" s="315" t="n">
        <v>10592.16</v>
      </c>
      <c r="AA75" s="111">
        <f>Z75/Z63-1</f>
        <v/>
      </c>
      <c r="AB75" s="111" t="n"/>
      <c r="AC75" s="315" t="n">
        <v>8887.9</v>
      </c>
      <c r="AD75" s="111">
        <f>AC75/AC63-1</f>
        <v/>
      </c>
      <c r="AE75" s="111" t="n"/>
      <c r="AF75" s="315" t="n">
        <v>1468.73</v>
      </c>
      <c r="AG75" s="111">
        <f>AF75/AF63-1</f>
        <v/>
      </c>
      <c r="AH75" s="111" t="n"/>
      <c r="AI75" s="315" t="n">
        <v>235.53</v>
      </c>
      <c r="AJ75" s="111">
        <f>AI75/AI63-1</f>
        <v/>
      </c>
      <c r="AK75" s="111" t="n"/>
      <c r="AL75" s="316" t="n">
        <v>80.12</v>
      </c>
      <c r="AM75" s="380">
        <f>AL75-AL63</f>
        <v/>
      </c>
      <c r="AN75" s="111" t="n"/>
      <c r="AO75" s="316" t="n">
        <v>80.97</v>
      </c>
      <c r="AP75" s="380">
        <f>AO75-AO63</f>
        <v/>
      </c>
      <c r="AQ75" s="111" t="n"/>
      <c r="AR75" s="316" t="n">
        <v>78.83</v>
      </c>
      <c r="AS75" s="380">
        <f>AR75-AR63</f>
        <v/>
      </c>
      <c r="AT75" s="111" t="n"/>
      <c r="AU75" s="316" t="n">
        <v>75.53</v>
      </c>
      <c r="AV75" s="380">
        <f>AU75-AU63</f>
        <v/>
      </c>
      <c r="AW75" s="111" t="n"/>
      <c r="AX75" s="315" t="n">
        <v>723</v>
      </c>
      <c r="AY75" s="111">
        <f>AX75/AX63-1</f>
        <v/>
      </c>
      <c r="AZ75" s="111" t="n"/>
      <c r="BA75" s="378" t="n"/>
      <c r="BB75" s="142" t="n"/>
      <c r="BC75" s="378" t="n"/>
      <c r="BD75" s="142" t="n"/>
      <c r="BE75" s="378" t="n"/>
      <c r="BF75" s="142" t="n"/>
      <c r="BG75" s="378" t="n"/>
      <c r="BH75" s="142" t="n"/>
      <c r="BI75" s="318" t="n"/>
      <c r="BJ75" s="142" t="n"/>
      <c r="BK75" s="318" t="n"/>
      <c r="BL75" s="142" t="n"/>
      <c r="BM75" s="318" t="n"/>
      <c r="BN75" s="142" t="n"/>
      <c r="BO75" s="318" t="n"/>
      <c r="BP75" s="318" t="n"/>
      <c r="BQ75" s="142" t="n"/>
      <c r="BR75" s="318" t="n"/>
      <c r="BS75" s="142" t="n"/>
      <c r="BT75" s="318" t="n"/>
      <c r="BU75" s="142" t="n"/>
      <c r="BV75" s="318" t="n"/>
      <c r="BW75" s="142" t="n"/>
      <c r="BX75" s="318" t="n"/>
      <c r="BY75" s="142" t="n"/>
      <c r="BZ75" s="318" t="n"/>
      <c r="CA75" s="142" t="n"/>
      <c r="CB75" s="318" t="n"/>
      <c r="CC75" s="142" t="n"/>
      <c r="CD75" s="318" t="n"/>
      <c r="CE75" s="142" t="n"/>
      <c r="CF75" s="318" t="n"/>
      <c r="CG75" s="317" t="n"/>
      <c r="CH75" s="318" t="n"/>
      <c r="CI75" s="317" t="n"/>
      <c r="CJ75" s="318" t="n"/>
      <c r="CK75" s="317" t="n"/>
      <c r="CL75" s="318" t="n"/>
      <c r="CM75" s="317" t="n"/>
      <c r="CN75" s="318" t="n"/>
      <c r="CO75" s="80" t="n"/>
      <c r="CP75" s="318" t="n"/>
      <c r="CQ75" s="80" t="n"/>
      <c r="CR75" s="318" t="n"/>
      <c r="CS75" s="80" t="n"/>
      <c r="CT75" s="318" t="n"/>
      <c r="CU75" s="80" t="n"/>
      <c r="CV75" s="361" t="n"/>
      <c r="CW75" s="318" t="n"/>
      <c r="CX75" s="142" t="n"/>
      <c r="CY75" s="318" t="n"/>
      <c r="CZ75" s="142" t="n"/>
      <c r="DA75" s="318" t="n"/>
      <c r="DB75" s="142" t="n"/>
      <c r="DC75" s="318" t="n"/>
      <c r="DD75" s="142" t="n"/>
      <c r="DE75" s="385" t="n"/>
      <c r="DF75" s="385" t="n"/>
      <c r="DG75" s="318" t="n"/>
    </row>
    <row r="76" ht="13" customFormat="1" customHeight="1" s="116">
      <c r="A76" s="371" t="n">
        <v>43861</v>
      </c>
      <c r="B76" s="381" t="n">
        <v>24071.78</v>
      </c>
      <c r="C76" s="111">
        <f>B76/B64-1</f>
        <v/>
      </c>
      <c r="D76" s="111" t="n"/>
      <c r="E76" s="381" t="n">
        <v>14852.37</v>
      </c>
      <c r="F76" s="111">
        <f>E76/E64-1</f>
        <v/>
      </c>
      <c r="G76" s="111" t="n"/>
      <c r="H76" s="381" t="n">
        <v>8758.34</v>
      </c>
      <c r="I76" s="111">
        <f>H76/H64-1</f>
        <v/>
      </c>
      <c r="J76" s="111" t="n"/>
      <c r="K76" s="381" t="n">
        <v>461.07</v>
      </c>
      <c r="L76" s="111">
        <f>K76/K64-1</f>
        <v/>
      </c>
      <c r="M76" s="111" t="n"/>
      <c r="N76" s="381" t="n">
        <v>18145.6</v>
      </c>
      <c r="O76" s="111">
        <f>N76/N64-1</f>
        <v/>
      </c>
      <c r="P76" s="111" t="n"/>
      <c r="Q76" s="381" t="n">
        <v>11114.33</v>
      </c>
      <c r="R76" s="111">
        <f>Q76/Q64-1</f>
        <v/>
      </c>
      <c r="S76" s="111" t="n"/>
      <c r="T76" s="381" t="n">
        <v>6712.54</v>
      </c>
      <c r="U76" s="111">
        <f>T76/T64-1</f>
        <v/>
      </c>
      <c r="V76" s="111" t="n"/>
      <c r="W76" s="381" t="n">
        <v>318.73</v>
      </c>
      <c r="X76" s="111">
        <f>W76/W64-1</f>
        <v/>
      </c>
      <c r="Y76" s="111" t="n"/>
      <c r="Z76" s="381" t="n">
        <v>10118.71</v>
      </c>
      <c r="AA76" s="111">
        <f>Z76/Z64-1</f>
        <v/>
      </c>
      <c r="AB76" s="111" t="n"/>
      <c r="AC76" s="381" t="n">
        <v>8300.57</v>
      </c>
      <c r="AD76" s="111">
        <f>AC76/AC64-1</f>
        <v/>
      </c>
      <c r="AE76" s="111" t="n"/>
      <c r="AF76" s="381" t="n">
        <v>1577.67</v>
      </c>
      <c r="AG76" s="111">
        <f>AF76/AF64-1</f>
        <v/>
      </c>
      <c r="AH76" s="111" t="n"/>
      <c r="AI76" s="381" t="n">
        <v>240.47</v>
      </c>
      <c r="AJ76" s="111">
        <f>AI76/AI64-1</f>
        <v/>
      </c>
      <c r="AK76" s="111" t="n"/>
      <c r="AL76" s="382" t="n">
        <v>75.38</v>
      </c>
      <c r="AM76" s="380">
        <f>AL76-AL64</f>
        <v/>
      </c>
      <c r="AN76" s="111" t="n"/>
      <c r="AO76" s="382" t="n">
        <v>74.83</v>
      </c>
      <c r="AP76" s="380">
        <f>AO76-AO64</f>
        <v/>
      </c>
      <c r="AQ76" s="111" t="n"/>
      <c r="AR76" s="382" t="n">
        <v>76.64</v>
      </c>
      <c r="AS76" s="380">
        <f>AR76-AR64</f>
        <v/>
      </c>
      <c r="AT76" s="111" t="n"/>
      <c r="AU76" s="382" t="n">
        <v>69.13</v>
      </c>
      <c r="AV76" s="380">
        <f>AU76-AU64</f>
        <v/>
      </c>
      <c r="AW76" s="111" t="n"/>
      <c r="AX76" s="381" t="n">
        <v>724</v>
      </c>
      <c r="AY76" s="111">
        <f>AX76/AX64-1</f>
        <v/>
      </c>
      <c r="AZ76" s="111" t="n"/>
      <c r="BA76" s="317" t="n"/>
      <c r="BB76" s="142" t="n"/>
      <c r="BC76" s="317" t="n"/>
      <c r="BD76" s="142" t="n"/>
      <c r="BE76" s="317" t="n"/>
      <c r="BF76" s="142" t="n"/>
      <c r="BG76" s="317" t="n"/>
      <c r="BH76" s="142" t="n"/>
      <c r="BI76" s="317" t="n"/>
      <c r="BJ76" s="142" t="n"/>
      <c r="BK76" s="317" t="n"/>
      <c r="BL76" s="142" t="n"/>
      <c r="BM76" s="317" t="n"/>
      <c r="BN76" s="142" t="n"/>
      <c r="BO76" s="317" t="n"/>
      <c r="BP76" s="317" t="n"/>
      <c r="BQ76" s="142" t="n"/>
      <c r="BR76" s="317" t="n"/>
      <c r="BS76" s="142" t="n"/>
      <c r="BT76" s="317" t="n"/>
      <c r="BU76" s="142" t="n"/>
      <c r="BV76" s="317" t="n"/>
      <c r="BW76" s="142" t="n"/>
      <c r="BX76" s="317" t="n"/>
      <c r="BY76" s="142" t="n"/>
      <c r="BZ76" s="317" t="n"/>
      <c r="CA76" s="142" t="n"/>
      <c r="CB76" s="317" t="n"/>
      <c r="CC76" s="142" t="n"/>
      <c r="CD76" s="317" t="n"/>
      <c r="CE76" s="142" t="n"/>
      <c r="CF76" s="317" t="n"/>
      <c r="CG76" s="317" t="n"/>
      <c r="CH76" s="317" t="n"/>
      <c r="CI76" s="317" t="n"/>
      <c r="CJ76" s="317" t="n"/>
      <c r="CK76" s="317" t="n"/>
      <c r="CL76" s="317" t="n"/>
      <c r="CM76" s="317" t="n"/>
      <c r="CN76" s="317" t="n"/>
      <c r="CO76" s="80" t="n"/>
      <c r="CP76" s="317" t="n"/>
      <c r="CQ76" s="80" t="n"/>
      <c r="CR76" s="317" t="n"/>
      <c r="CS76" s="80" t="n"/>
      <c r="CT76" s="317" t="n"/>
      <c r="CU76" s="80" t="n"/>
      <c r="CW76" s="317" t="n"/>
      <c r="CX76" s="142" t="n"/>
      <c r="CY76" s="317" t="n"/>
      <c r="CZ76" s="142" t="n"/>
      <c r="DA76" s="317" t="n"/>
      <c r="DB76" s="142" t="n"/>
      <c r="DC76" s="317" t="n"/>
      <c r="DD76" s="142" t="n"/>
      <c r="DE76" s="319" t="n"/>
      <c r="DF76" s="319" t="n"/>
    </row>
    <row r="77" customFormat="1" s="117">
      <c r="A77" s="376" t="n">
        <v>43890</v>
      </c>
      <c r="B77" s="315" t="n">
        <v>5875.82</v>
      </c>
      <c r="C77" s="111">
        <f>B77/B65-1</f>
        <v/>
      </c>
      <c r="D77" s="111" t="n"/>
      <c r="E77" s="315" t="n">
        <v>3013.79</v>
      </c>
      <c r="F77" s="111">
        <f>E77/E65-1</f>
        <v/>
      </c>
      <c r="G77" s="111" t="n"/>
      <c r="H77" s="315" t="n">
        <v>2775.99</v>
      </c>
      <c r="I77" s="111">
        <f>H77/H65-1</f>
        <v/>
      </c>
      <c r="J77" s="111" t="n"/>
      <c r="K77" s="315" t="n">
        <v>86.05</v>
      </c>
      <c r="L77" s="111">
        <f>K77/K65-1</f>
        <v/>
      </c>
      <c r="M77" s="111" t="n"/>
      <c r="N77" s="315" t="n">
        <v>2954.41</v>
      </c>
      <c r="O77" s="111">
        <f>N77/N65-1</f>
        <v/>
      </c>
      <c r="P77" s="111" t="n"/>
      <c r="Q77" s="315" t="n">
        <v>1350.49</v>
      </c>
      <c r="R77" s="111">
        <f>Q77/Q65-1</f>
        <v/>
      </c>
      <c r="S77" s="111" t="n"/>
      <c r="T77" s="315" t="n">
        <v>1572.53</v>
      </c>
      <c r="U77" s="111">
        <f>T77/T65-1</f>
        <v/>
      </c>
      <c r="V77" s="111" t="n"/>
      <c r="W77" s="315" t="n">
        <v>31.39</v>
      </c>
      <c r="X77" s="111">
        <f>W77/W65-1</f>
        <v/>
      </c>
      <c r="Y77" s="111" t="n"/>
      <c r="Z77" s="315" t="n">
        <v>1321.71</v>
      </c>
      <c r="AA77" s="111">
        <f>Z77/Z65-1</f>
        <v/>
      </c>
      <c r="AB77" s="111" t="n"/>
      <c r="AC77" s="315" t="n">
        <v>1005.03</v>
      </c>
      <c r="AD77" s="111">
        <f>AC77/AC65-1</f>
        <v/>
      </c>
      <c r="AE77" s="111" t="n"/>
      <c r="AF77" s="315" t="n">
        <v>291.65</v>
      </c>
      <c r="AG77" s="111">
        <f>AF77/AF65-1</f>
        <v/>
      </c>
      <c r="AH77" s="111" t="n"/>
      <c r="AI77" s="315" t="n">
        <v>25.03</v>
      </c>
      <c r="AJ77" s="111">
        <f>AI77/AI65-1</f>
        <v/>
      </c>
      <c r="AK77" s="111" t="n"/>
      <c r="AL77" s="316" t="n">
        <v>50.28</v>
      </c>
      <c r="AM77" s="380">
        <f>AL77-AL65</f>
        <v/>
      </c>
      <c r="AN77" s="111" t="n"/>
      <c r="AO77" s="316" t="n">
        <v>44.81</v>
      </c>
      <c r="AP77" s="380">
        <f>AO77-AO65</f>
        <v/>
      </c>
      <c r="AQ77" s="111" t="n"/>
      <c r="AR77" s="316" t="n">
        <v>56.65</v>
      </c>
      <c r="AS77" s="380">
        <f>AR77-AR65</f>
        <v/>
      </c>
      <c r="AT77" s="111" t="n"/>
      <c r="AU77" s="316" t="n">
        <v>36.48</v>
      </c>
      <c r="AV77" s="380">
        <f>AU77-AU65</f>
        <v/>
      </c>
      <c r="AW77" s="111" t="n"/>
      <c r="AX77" s="315" t="n">
        <v>724</v>
      </c>
      <c r="AY77" s="111">
        <f>AX77/AX65-1</f>
        <v/>
      </c>
      <c r="AZ77" s="111" t="n"/>
      <c r="BA77" s="378" t="n"/>
      <c r="BB77" s="142" t="n"/>
      <c r="BC77" s="378" t="n"/>
      <c r="BD77" s="142" t="n"/>
      <c r="BE77" s="378" t="n"/>
      <c r="BF77" s="142" t="n"/>
      <c r="BG77" s="378" t="n"/>
      <c r="BH77" s="142" t="n"/>
      <c r="BI77" s="318" t="n"/>
      <c r="BJ77" s="142" t="n"/>
      <c r="BK77" s="318" t="n"/>
      <c r="BL77" s="142" t="n"/>
      <c r="BM77" s="318" t="n"/>
      <c r="BN77" s="142" t="n"/>
      <c r="BO77" s="318" t="n"/>
      <c r="BP77" s="318" t="n"/>
      <c r="BQ77" s="142" t="n"/>
      <c r="BR77" s="318" t="n"/>
      <c r="BS77" s="142" t="n"/>
      <c r="BT77" s="318" t="n"/>
      <c r="BU77" s="142" t="n"/>
      <c r="BV77" s="318" t="n"/>
      <c r="BW77" s="142" t="n"/>
      <c r="BX77" s="318" t="n"/>
      <c r="BY77" s="142" t="n"/>
      <c r="BZ77" s="318" t="n"/>
      <c r="CA77" s="142" t="n"/>
      <c r="CB77" s="318" t="n"/>
      <c r="CC77" s="142" t="n"/>
      <c r="CD77" s="318" t="n"/>
      <c r="CE77" s="142" t="n"/>
      <c r="CF77" s="318" t="n"/>
      <c r="CG77" s="317" t="n"/>
      <c r="CH77" s="318" t="n"/>
      <c r="CI77" s="317" t="n"/>
      <c r="CJ77" s="318" t="n"/>
      <c r="CK77" s="317" t="n"/>
      <c r="CL77" s="318" t="n"/>
      <c r="CM77" s="317" t="n"/>
      <c r="CN77" s="318" t="n"/>
      <c r="CO77" s="80" t="n"/>
      <c r="CP77" s="318" t="n"/>
      <c r="CQ77" s="80" t="n"/>
      <c r="CR77" s="318" t="n"/>
      <c r="CS77" s="80" t="n"/>
      <c r="CT77" s="318" t="n"/>
      <c r="CU77" s="80" t="n"/>
      <c r="CV77" s="361" t="n"/>
      <c r="CW77" s="318" t="n"/>
      <c r="CX77" s="142" t="n"/>
      <c r="CY77" s="318" t="n"/>
      <c r="CZ77" s="142" t="n"/>
      <c r="DA77" s="318" t="n"/>
      <c r="DB77" s="142" t="n"/>
      <c r="DC77" s="318" t="n"/>
      <c r="DD77" s="142" t="n"/>
      <c r="DE77" s="385" t="n"/>
      <c r="DF77" s="385" t="n"/>
      <c r="DG77" s="318" t="n"/>
    </row>
    <row r="78" customFormat="1" s="117">
      <c r="A78" s="376" t="n">
        <v>43921</v>
      </c>
      <c r="B78" s="315" t="n">
        <v>6699.71</v>
      </c>
      <c r="C78" s="111">
        <f>B78/B66-1</f>
        <v/>
      </c>
      <c r="D78" s="111" t="n"/>
      <c r="E78" s="315" t="n">
        <v>5036.51</v>
      </c>
      <c r="F78" s="111">
        <f>E78/E66-1</f>
        <v/>
      </c>
      <c r="G78" s="111" t="n"/>
      <c r="H78" s="315" t="n">
        <v>1618.58</v>
      </c>
      <c r="I78" s="111">
        <f>H78/H66-1</f>
        <v/>
      </c>
      <c r="J78" s="111" t="n"/>
      <c r="K78" s="315" t="n">
        <v>44.61</v>
      </c>
      <c r="L78" s="111">
        <f>K78/K66-1</f>
        <v/>
      </c>
      <c r="M78" s="111" t="n"/>
      <c r="N78" s="315" t="n">
        <v>3737.08</v>
      </c>
      <c r="O78" s="111">
        <f>N78/N66-1</f>
        <v/>
      </c>
      <c r="P78" s="111" t="n"/>
      <c r="Q78" s="315" t="n">
        <v>2952.1</v>
      </c>
      <c r="R78" s="111">
        <f>Q78/Q66-1</f>
        <v/>
      </c>
      <c r="S78" s="111" t="n"/>
      <c r="T78" s="315" t="n">
        <v>773.28</v>
      </c>
      <c r="U78" s="111">
        <f>T78/T66-1</f>
        <v/>
      </c>
      <c r="V78" s="111" t="n"/>
      <c r="W78" s="315" t="n">
        <v>11.69</v>
      </c>
      <c r="X78" s="111">
        <f>W78/W66-1</f>
        <v/>
      </c>
      <c r="Y78" s="111" t="n"/>
      <c r="Z78" s="315" t="n">
        <v>2262.36</v>
      </c>
      <c r="AA78" s="111">
        <f>Z78/Z66-1</f>
        <v/>
      </c>
      <c r="AB78" s="111" t="n"/>
      <c r="AC78" s="315" t="n">
        <v>2115.45</v>
      </c>
      <c r="AD78" s="111">
        <f>AC78/AC66-1</f>
        <v/>
      </c>
      <c r="AE78" s="111" t="n"/>
      <c r="AF78" s="315" t="n">
        <v>137.34</v>
      </c>
      <c r="AG78" s="111">
        <f>AF78/AF66-1</f>
        <v/>
      </c>
      <c r="AH78" s="111" t="n"/>
      <c r="AI78" s="315" t="n">
        <v>9.56</v>
      </c>
      <c r="AJ78" s="111">
        <f>AI78/AI66-1</f>
        <v/>
      </c>
      <c r="AK78" s="111" t="n"/>
      <c r="AL78" s="316" t="n">
        <v>55.78</v>
      </c>
      <c r="AM78" s="380">
        <f>AL78-AL66</f>
        <v/>
      </c>
      <c r="AN78" s="111" t="n"/>
      <c r="AO78" s="316" t="n">
        <v>58.61</v>
      </c>
      <c r="AP78" s="380">
        <f>AO78-AO66</f>
        <v/>
      </c>
      <c r="AQ78" s="111" t="n"/>
      <c r="AR78" s="316" t="n">
        <v>47.78</v>
      </c>
      <c r="AS78" s="380">
        <f>AR78-AR66</f>
        <v/>
      </c>
      <c r="AT78" s="111" t="n"/>
      <c r="AU78" s="316" t="n">
        <v>26.21</v>
      </c>
      <c r="AV78" s="380">
        <f>AU78-AU66</f>
        <v/>
      </c>
      <c r="AW78" s="111" t="n"/>
      <c r="AX78" s="315" t="n">
        <v>723</v>
      </c>
      <c r="AY78" s="111">
        <f>AX78/AX66-1</f>
        <v/>
      </c>
      <c r="AZ78" s="111" t="n"/>
      <c r="BA78" s="378" t="n"/>
      <c r="BB78" s="142" t="n"/>
      <c r="BC78" s="378" t="n"/>
      <c r="BD78" s="142" t="n"/>
      <c r="BE78" s="378" t="n"/>
      <c r="BF78" s="142" t="n"/>
      <c r="BG78" s="378" t="n"/>
      <c r="BH78" s="142" t="n"/>
      <c r="BI78" s="318" t="n"/>
      <c r="BJ78" s="142" t="n"/>
      <c r="BK78" s="318" t="n"/>
      <c r="BL78" s="142" t="n"/>
      <c r="BM78" s="318" t="n"/>
      <c r="BN78" s="142" t="n"/>
      <c r="BO78" s="318" t="n"/>
      <c r="BP78" s="318" t="n"/>
      <c r="BQ78" s="142" t="n"/>
      <c r="BR78" s="318" t="n"/>
      <c r="BS78" s="142" t="n"/>
      <c r="BT78" s="318" t="n"/>
      <c r="BU78" s="142" t="n"/>
      <c r="BV78" s="318" t="n"/>
      <c r="BW78" s="142" t="n"/>
      <c r="BX78" s="318" t="n"/>
      <c r="BY78" s="142" t="n"/>
      <c r="BZ78" s="318" t="n"/>
      <c r="CA78" s="142" t="n"/>
      <c r="CB78" s="318" t="n"/>
      <c r="CC78" s="142" t="n"/>
      <c r="CD78" s="318" t="n"/>
      <c r="CE78" s="142" t="n"/>
      <c r="CF78" s="318" t="n"/>
      <c r="CG78" s="317" t="n"/>
      <c r="CH78" s="318" t="n"/>
      <c r="CI78" s="317" t="n"/>
      <c r="CJ78" s="318" t="n"/>
      <c r="CK78" s="317" t="n"/>
      <c r="CL78" s="318" t="n"/>
      <c r="CM78" s="317" t="n"/>
      <c r="CN78" s="318" t="n"/>
      <c r="CO78" s="80" t="n"/>
      <c r="CP78" s="318" t="n"/>
      <c r="CQ78" s="80" t="n"/>
      <c r="CR78" s="318" t="n"/>
      <c r="CS78" s="80" t="n"/>
      <c r="CT78" s="318" t="n"/>
      <c r="CU78" s="80" t="n"/>
      <c r="CV78" s="361" t="n"/>
      <c r="CW78" s="318" t="n"/>
      <c r="CX78" s="142" t="n"/>
      <c r="CY78" s="318" t="n"/>
      <c r="CZ78" s="142" t="n"/>
      <c r="DA78" s="318" t="n"/>
      <c r="DB78" s="142" t="n"/>
      <c r="DC78" s="318" t="n"/>
      <c r="DD78" s="142" t="n"/>
      <c r="DE78" s="385" t="n"/>
      <c r="DF78" s="385" t="n"/>
      <c r="DG78" s="318" t="n"/>
    </row>
    <row r="79" customFormat="1" s="117">
      <c r="A79" s="376" t="n">
        <v>43951</v>
      </c>
      <c r="B79" s="315" t="n">
        <v>5802.27</v>
      </c>
      <c r="C79" s="111">
        <f>B79/B67-1</f>
        <v/>
      </c>
      <c r="D79" s="111" t="n"/>
      <c r="E79" s="315" t="n">
        <v>5476.24</v>
      </c>
      <c r="F79" s="111">
        <f>E79/E67-1</f>
        <v/>
      </c>
      <c r="G79" s="111" t="n"/>
      <c r="H79" s="315" t="n">
        <v>300.91</v>
      </c>
      <c r="I79" s="111">
        <f>H79/H67-1</f>
        <v/>
      </c>
      <c r="J79" s="111" t="n"/>
      <c r="K79" s="315" t="n">
        <v>25.11</v>
      </c>
      <c r="L79" s="111">
        <f>K79/K67-1</f>
        <v/>
      </c>
      <c r="M79" s="111" t="n"/>
      <c r="N79" s="315" t="n">
        <v>3725.75</v>
      </c>
      <c r="O79" s="111">
        <f>N79/N67-1</f>
        <v/>
      </c>
      <c r="P79" s="111" t="n"/>
      <c r="Q79" s="315" t="n">
        <v>3593.32</v>
      </c>
      <c r="R79" s="111">
        <f>Q79/Q67-1</f>
        <v/>
      </c>
      <c r="S79" s="111" t="n"/>
      <c r="T79" s="315" t="n">
        <v>128.47</v>
      </c>
      <c r="U79" s="111">
        <f>T79/T67-1</f>
        <v/>
      </c>
      <c r="V79" s="111" t="n"/>
      <c r="W79" s="315" t="n">
        <v>3.96</v>
      </c>
      <c r="X79" s="111">
        <f>W79/W67-1</f>
        <v/>
      </c>
      <c r="Y79" s="111" t="n"/>
      <c r="Z79" s="315" t="n">
        <v>2662.95</v>
      </c>
      <c r="AA79" s="111">
        <f>Z79/Z67-1</f>
        <v/>
      </c>
      <c r="AB79" s="111" t="n"/>
      <c r="AC79" s="315" t="n">
        <v>2641.87</v>
      </c>
      <c r="AD79" s="111">
        <f>AC79/AC67-1</f>
        <v/>
      </c>
      <c r="AE79" s="111" t="n"/>
      <c r="AF79" s="315" t="n">
        <v>17.6</v>
      </c>
      <c r="AG79" s="111">
        <f>AF79/AF67-1</f>
        <v/>
      </c>
      <c r="AH79" s="111" t="n"/>
      <c r="AI79" s="315" t="n">
        <v>3.47</v>
      </c>
      <c r="AJ79" s="111">
        <f>AI79/AI67-1</f>
        <v/>
      </c>
      <c r="AK79" s="111" t="n"/>
      <c r="AL79" s="316" t="n">
        <v>64.20999999999999</v>
      </c>
      <c r="AM79" s="380">
        <f>AL79-AL67</f>
        <v/>
      </c>
      <c r="AN79" s="111" t="n"/>
      <c r="AO79" s="316" t="n">
        <v>65.62</v>
      </c>
      <c r="AP79" s="380">
        <f>AO79-AO67</f>
        <v/>
      </c>
      <c r="AQ79" s="111" t="n"/>
      <c r="AR79" s="316" t="n">
        <v>42.69</v>
      </c>
      <c r="AS79" s="380">
        <f>AR79-AR67</f>
        <v/>
      </c>
      <c r="AT79" s="111" t="n"/>
      <c r="AU79" s="316" t="n">
        <v>15.76</v>
      </c>
      <c r="AV79" s="380">
        <f>AU79-AU67</f>
        <v/>
      </c>
      <c r="AW79" s="111" t="n"/>
      <c r="AX79" s="315" t="n">
        <v>723</v>
      </c>
      <c r="AY79" s="111">
        <f>AX79/AX67-1</f>
        <v/>
      </c>
      <c r="AZ79" s="111" t="n"/>
      <c r="BA79" s="378" t="n"/>
      <c r="BB79" s="142" t="n"/>
      <c r="BC79" s="378" t="n"/>
      <c r="BD79" s="142" t="n"/>
      <c r="BE79" s="378" t="n"/>
      <c r="BF79" s="142" t="n"/>
      <c r="BG79" s="378" t="n"/>
      <c r="BH79" s="142" t="n"/>
      <c r="BI79" s="318" t="n"/>
      <c r="BJ79" s="142" t="n"/>
      <c r="BK79" s="318" t="n"/>
      <c r="BL79" s="142" t="n"/>
      <c r="BM79" s="318" t="n"/>
      <c r="BN79" s="142" t="n"/>
      <c r="BO79" s="318" t="n"/>
      <c r="BP79" s="318" t="n"/>
      <c r="BQ79" s="142" t="n"/>
      <c r="BR79" s="318" t="n"/>
      <c r="BS79" s="142" t="n"/>
      <c r="BT79" s="318" t="n"/>
      <c r="BU79" s="142" t="n"/>
      <c r="BV79" s="318" t="n"/>
      <c r="BW79" s="142" t="n"/>
      <c r="BX79" s="318" t="n"/>
      <c r="BY79" s="142" t="n"/>
      <c r="BZ79" s="318" t="n"/>
      <c r="CA79" s="142" t="n"/>
      <c r="CB79" s="318" t="n"/>
      <c r="CC79" s="142" t="n"/>
      <c r="CD79" s="318" t="n"/>
      <c r="CE79" s="142" t="n"/>
      <c r="CF79" s="318" t="n"/>
      <c r="CG79" s="317" t="n"/>
      <c r="CH79" s="318" t="n"/>
      <c r="CI79" s="317" t="n"/>
      <c r="CJ79" s="318" t="n"/>
      <c r="CK79" s="317" t="n"/>
      <c r="CL79" s="318" t="n"/>
      <c r="CM79" s="317" t="n"/>
      <c r="CN79" s="318" t="n"/>
      <c r="CO79" s="80" t="n"/>
      <c r="CP79" s="318" t="n"/>
      <c r="CQ79" s="80" t="n"/>
      <c r="CR79" s="318" t="n"/>
      <c r="CS79" s="80" t="n"/>
      <c r="CT79" s="318" t="n"/>
      <c r="CU79" s="80" t="n"/>
      <c r="CV79" s="361" t="n"/>
      <c r="CW79" s="318" t="n"/>
      <c r="CX79" s="142" t="n"/>
      <c r="CY79" s="318" t="n"/>
      <c r="CZ79" s="142" t="n"/>
      <c r="DA79" s="318" t="n"/>
      <c r="DB79" s="142" t="n"/>
      <c r="DC79" s="318" t="n"/>
      <c r="DD79" s="142" t="n"/>
      <c r="DE79" s="385" t="n"/>
      <c r="DF79" s="385" t="n"/>
      <c r="DG79" s="318" t="n"/>
    </row>
    <row r="80" customFormat="1" s="117">
      <c r="A80" s="376" t="n">
        <v>43982</v>
      </c>
      <c r="B80" s="315" t="n">
        <v>8691.25</v>
      </c>
      <c r="C80" s="111">
        <f>B80/B68-1</f>
        <v/>
      </c>
      <c r="D80" s="111" t="n"/>
      <c r="E80" s="315" t="n">
        <v>8314</v>
      </c>
      <c r="F80" s="111">
        <f>E80/E68-1</f>
        <v/>
      </c>
      <c r="G80" s="111" t="n"/>
      <c r="H80" s="315" t="n">
        <v>352.28</v>
      </c>
      <c r="I80" s="111">
        <f>H80/H68-1</f>
        <v/>
      </c>
      <c r="J80" s="111" t="n"/>
      <c r="K80" s="315" t="n">
        <v>24.97</v>
      </c>
      <c r="L80" s="111">
        <f>K80/K68-1</f>
        <v/>
      </c>
      <c r="M80" s="111" t="n"/>
      <c r="N80" s="315" t="n">
        <v>5615.04</v>
      </c>
      <c r="O80" s="111">
        <f>N80/N68-1</f>
        <v/>
      </c>
      <c r="P80" s="111" t="n"/>
      <c r="Q80" s="315" t="n">
        <v>5455.4</v>
      </c>
      <c r="R80" s="111">
        <f>Q80/Q68-1</f>
        <v/>
      </c>
      <c r="S80" s="111" t="n"/>
      <c r="T80" s="315" t="n">
        <v>155.84</v>
      </c>
      <c r="U80" s="111">
        <f>T80/T68-1</f>
        <v/>
      </c>
      <c r="V80" s="111" t="n"/>
      <c r="W80" s="315" t="n">
        <v>3.79</v>
      </c>
      <c r="X80" s="111">
        <f>W80/W68-1</f>
        <v/>
      </c>
      <c r="Y80" s="111" t="n"/>
      <c r="Z80" s="315" t="n">
        <v>4165.64</v>
      </c>
      <c r="AA80" s="111">
        <f>Z80/Z68-1</f>
        <v/>
      </c>
      <c r="AB80" s="111" t="n"/>
      <c r="AC80" s="315" t="n">
        <v>4139.31</v>
      </c>
      <c r="AD80" s="111">
        <f>AC80/AC68-1</f>
        <v/>
      </c>
      <c r="AE80" s="111" t="n"/>
      <c r="AF80" s="315" t="n">
        <v>22.67</v>
      </c>
      <c r="AG80" s="111">
        <f>AF80/AF68-1</f>
        <v/>
      </c>
      <c r="AH80" s="111" t="n"/>
      <c r="AI80" s="315" t="n">
        <v>3.66</v>
      </c>
      <c r="AJ80" s="111">
        <f>AI80/AI68-1</f>
        <v/>
      </c>
      <c r="AK80" s="111" t="n"/>
      <c r="AL80" s="316" t="n">
        <v>64.61</v>
      </c>
      <c r="AM80" s="380">
        <f>AL80-AL68</f>
        <v/>
      </c>
      <c r="AN80" s="111" t="n"/>
      <c r="AO80" s="316" t="n">
        <v>65.62</v>
      </c>
      <c r="AP80" s="380">
        <f>AO80-AO68</f>
        <v/>
      </c>
      <c r="AQ80" s="111" t="n"/>
      <c r="AR80" s="316" t="n">
        <v>44.24</v>
      </c>
      <c r="AS80" s="380">
        <f>AR80-AR68</f>
        <v/>
      </c>
      <c r="AT80" s="111" t="n"/>
      <c r="AU80" s="316" t="n">
        <v>15.19</v>
      </c>
      <c r="AV80" s="380">
        <f>AU80-AU68</f>
        <v/>
      </c>
      <c r="AW80" s="111" t="n"/>
      <c r="AX80" s="315" t="n">
        <v>722</v>
      </c>
      <c r="AY80" s="111">
        <f>AX80/AX68-1</f>
        <v/>
      </c>
      <c r="AZ80" s="111" t="n"/>
      <c r="BA80" s="378" t="n"/>
      <c r="BB80" s="142" t="n"/>
      <c r="BC80" s="378" t="n"/>
      <c r="BD80" s="142" t="n"/>
      <c r="BE80" s="378" t="n"/>
      <c r="BF80" s="142" t="n"/>
      <c r="BG80" s="378" t="n"/>
      <c r="BH80" s="142" t="n"/>
      <c r="BI80" s="318" t="n"/>
      <c r="BJ80" s="142" t="n"/>
      <c r="BK80" s="318" t="n"/>
      <c r="BL80" s="142" t="n"/>
      <c r="BM80" s="318" t="n"/>
      <c r="BN80" s="142" t="n"/>
      <c r="BO80" s="318" t="n"/>
      <c r="BP80" s="318" t="n"/>
      <c r="BQ80" s="142" t="n"/>
      <c r="BR80" s="318" t="n"/>
      <c r="BS80" s="142" t="n"/>
      <c r="BT80" s="318" t="n"/>
      <c r="BU80" s="142" t="n"/>
      <c r="BV80" s="318" t="n"/>
      <c r="BW80" s="142" t="n"/>
      <c r="BX80" s="318" t="n"/>
      <c r="BY80" s="142" t="n"/>
      <c r="BZ80" s="318" t="n"/>
      <c r="CA80" s="142" t="n"/>
      <c r="CB80" s="318" t="n"/>
      <c r="CC80" s="142" t="n"/>
      <c r="CD80" s="318" t="n"/>
      <c r="CE80" s="142" t="n"/>
      <c r="CF80" s="318" t="n"/>
      <c r="CG80" s="317" t="n"/>
      <c r="CH80" s="318" t="n"/>
      <c r="CI80" s="317" t="n"/>
      <c r="CJ80" s="318" t="n"/>
      <c r="CK80" s="317" t="n"/>
      <c r="CL80" s="318" t="n"/>
      <c r="CM80" s="317" t="n"/>
      <c r="CN80" s="318" t="n"/>
      <c r="CO80" s="80" t="n"/>
      <c r="CP80" s="318" t="n"/>
      <c r="CQ80" s="80" t="n"/>
      <c r="CR80" s="318" t="n"/>
      <c r="CS80" s="80" t="n"/>
      <c r="CT80" s="318" t="n"/>
      <c r="CU80" s="80" t="n"/>
      <c r="CV80" s="361" t="n"/>
      <c r="CW80" s="318" t="n"/>
      <c r="CX80" s="142" t="n"/>
      <c r="CY80" s="318" t="n"/>
      <c r="CZ80" s="142" t="n"/>
      <c r="DA80" s="318" t="n"/>
      <c r="DB80" s="142" t="n"/>
      <c r="DC80" s="318" t="n"/>
      <c r="DD80" s="142" t="n"/>
      <c r="DE80" s="385" t="n"/>
      <c r="DF80" s="385" t="n"/>
      <c r="DG80" s="318" t="n"/>
    </row>
    <row r="81" customFormat="1" s="117">
      <c r="A81" s="376" t="n">
        <v>44012</v>
      </c>
      <c r="B81" s="315" t="n">
        <v>10578.39</v>
      </c>
      <c r="C81" s="111">
        <f>B81/B69-1</f>
        <v/>
      </c>
      <c r="D81" s="111" t="n"/>
      <c r="E81" s="315" t="n">
        <v>10234.59</v>
      </c>
      <c r="F81" s="111">
        <f>E81/E69-1</f>
        <v/>
      </c>
      <c r="G81" s="111" t="n"/>
      <c r="H81" s="315" t="n">
        <v>319.54</v>
      </c>
      <c r="I81" s="111">
        <f>H81/H69-1</f>
        <v/>
      </c>
      <c r="J81" s="111" t="n"/>
      <c r="K81" s="315" t="n">
        <v>24.26</v>
      </c>
      <c r="L81" s="111">
        <f>K81/K69-1</f>
        <v/>
      </c>
      <c r="M81" s="111" t="n"/>
      <c r="N81" s="315" t="n">
        <v>7028.05</v>
      </c>
      <c r="O81" s="111">
        <f>N81/N69-1</f>
        <v/>
      </c>
      <c r="P81" s="111" t="n"/>
      <c r="Q81" s="315" t="n">
        <v>6831.6</v>
      </c>
      <c r="R81" s="111">
        <f>Q81/Q69-1</f>
        <v/>
      </c>
      <c r="S81" s="111" t="n"/>
      <c r="T81" s="315" t="n">
        <v>192.86</v>
      </c>
      <c r="U81" s="111">
        <f>T81/T69-1</f>
        <v/>
      </c>
      <c r="V81" s="111" t="n"/>
      <c r="W81" s="315" t="n">
        <v>3.59</v>
      </c>
      <c r="X81" s="111">
        <f>W81/W69-1</f>
        <v/>
      </c>
      <c r="Y81" s="111" t="n"/>
      <c r="Z81" s="315" t="n">
        <v>5205.5</v>
      </c>
      <c r="AA81" s="111">
        <f>Z81/Z69-1</f>
        <v/>
      </c>
      <c r="AB81" s="111" t="n"/>
      <c r="AC81" s="315" t="n">
        <v>5174.26</v>
      </c>
      <c r="AD81" s="111">
        <f>AC81/AC69-1</f>
        <v/>
      </c>
      <c r="AE81" s="111" t="n"/>
      <c r="AF81" s="315" t="n">
        <v>27.84</v>
      </c>
      <c r="AG81" s="111">
        <f>AF81/AF69-1</f>
        <v/>
      </c>
      <c r="AH81" s="111" t="n"/>
      <c r="AI81" s="315" t="n">
        <v>3.41</v>
      </c>
      <c r="AJ81" s="111">
        <f>AI81/AI69-1</f>
        <v/>
      </c>
      <c r="AK81" s="111" t="n"/>
      <c r="AL81" s="316" t="n">
        <v>66.44</v>
      </c>
      <c r="AM81" s="380">
        <f>AL81-AL69</f>
        <v/>
      </c>
      <c r="AN81" s="111" t="n"/>
      <c r="AO81" s="316" t="n">
        <v>66.75</v>
      </c>
      <c r="AP81" s="380">
        <f>AO81-AO69</f>
        <v/>
      </c>
      <c r="AQ81" s="111" t="n"/>
      <c r="AR81" s="316" t="n">
        <v>60.36</v>
      </c>
      <c r="AS81" s="380">
        <f>AR81-AR69</f>
        <v/>
      </c>
      <c r="AT81" s="111" t="n"/>
      <c r="AU81" s="316" t="n">
        <v>14.81</v>
      </c>
      <c r="AV81" s="380">
        <f>AU81-AU69</f>
        <v/>
      </c>
      <c r="AW81" s="111" t="n"/>
      <c r="AX81" s="315" t="n">
        <v>721</v>
      </c>
      <c r="AY81" s="111">
        <f>AX81/AX69-1</f>
        <v/>
      </c>
      <c r="AZ81" s="111" t="n"/>
      <c r="BA81" s="378" t="n"/>
      <c r="BB81" s="142" t="n"/>
      <c r="BC81" s="378" t="n"/>
      <c r="BD81" s="142" t="n"/>
      <c r="BE81" s="378" t="n"/>
      <c r="BF81" s="142" t="n"/>
      <c r="BG81" s="378" t="n"/>
      <c r="BH81" s="142" t="n"/>
      <c r="BI81" s="318" t="n"/>
      <c r="BJ81" s="142" t="n"/>
      <c r="BK81" s="318" t="n"/>
      <c r="BL81" s="142" t="n"/>
      <c r="BM81" s="318" t="n"/>
      <c r="BN81" s="142" t="n"/>
      <c r="BO81" s="318" t="n"/>
      <c r="BP81" s="318" t="n"/>
      <c r="BQ81" s="142" t="n"/>
      <c r="BR81" s="318" t="n"/>
      <c r="BS81" s="142" t="n"/>
      <c r="BT81" s="318" t="n"/>
      <c r="BU81" s="142" t="n"/>
      <c r="BV81" s="318" t="n"/>
      <c r="BW81" s="142" t="n"/>
      <c r="BX81" s="318" t="n"/>
      <c r="BY81" s="142" t="n"/>
      <c r="BZ81" s="318" t="n"/>
      <c r="CA81" s="142" t="n"/>
      <c r="CB81" s="318" t="n"/>
      <c r="CC81" s="142" t="n"/>
      <c r="CD81" s="318" t="n"/>
      <c r="CE81" s="142" t="n"/>
      <c r="CF81" s="318" t="n"/>
      <c r="CG81" s="317" t="n"/>
      <c r="CH81" s="318" t="n"/>
      <c r="CI81" s="317" t="n"/>
      <c r="CJ81" s="318" t="n"/>
      <c r="CK81" s="317" t="n"/>
      <c r="CL81" s="318" t="n"/>
      <c r="CM81" s="317" t="n"/>
      <c r="CN81" s="318" t="n"/>
      <c r="CO81" s="80" t="n"/>
      <c r="CP81" s="318" t="n"/>
      <c r="CQ81" s="80" t="n"/>
      <c r="CR81" s="318" t="n"/>
      <c r="CS81" s="80" t="n"/>
      <c r="CT81" s="318" t="n"/>
      <c r="CU81" s="80" t="n"/>
      <c r="CV81" s="361" t="n"/>
      <c r="CW81" s="318" t="n"/>
      <c r="CX81" s="142" t="n"/>
      <c r="CY81" s="318" t="n"/>
      <c r="CZ81" s="142" t="n"/>
      <c r="DA81" s="318" t="n"/>
      <c r="DB81" s="142" t="n"/>
      <c r="DC81" s="318" t="n"/>
      <c r="DD81" s="142" t="n"/>
      <c r="DE81" s="385" t="n"/>
      <c r="DF81" s="385" t="n"/>
      <c r="DG81" s="318" t="n"/>
    </row>
    <row r="82" customFormat="1" s="117">
      <c r="A82" s="376" t="n">
        <v>44043</v>
      </c>
      <c r="B82" s="315" t="n">
        <v>13434.24</v>
      </c>
      <c r="C82" s="111">
        <f>B82/B70-1</f>
        <v/>
      </c>
      <c r="D82" s="111" t="n"/>
      <c r="E82" s="315" t="n">
        <v>13069.87</v>
      </c>
      <c r="F82" s="111">
        <f>E82/E70-1</f>
        <v/>
      </c>
      <c r="G82" s="111" t="n"/>
      <c r="H82" s="315" t="n">
        <v>335.71</v>
      </c>
      <c r="I82" s="111">
        <f>H82/H70-1</f>
        <v/>
      </c>
      <c r="J82" s="111" t="n"/>
      <c r="K82" s="315" t="n">
        <v>28.66</v>
      </c>
      <c r="L82" s="111">
        <f>K82/K70-1</f>
        <v/>
      </c>
      <c r="M82" s="111" t="n"/>
      <c r="N82" s="315" t="n">
        <v>9782.190000000001</v>
      </c>
      <c r="O82" s="111">
        <f>N82/N70-1</f>
        <v/>
      </c>
      <c r="P82" s="111" t="n"/>
      <c r="Q82" s="315" t="n">
        <v>9581.48</v>
      </c>
      <c r="R82" s="111">
        <f>Q82/Q70-1</f>
        <v/>
      </c>
      <c r="S82" s="111" t="n"/>
      <c r="T82" s="315" t="n">
        <v>193.86</v>
      </c>
      <c r="U82" s="111">
        <f>T82/T70-1</f>
        <v/>
      </c>
      <c r="V82" s="111" t="n"/>
      <c r="W82" s="315" t="n">
        <v>6.85</v>
      </c>
      <c r="X82" s="111">
        <f>W82/W70-1</f>
        <v/>
      </c>
      <c r="Y82" s="111" t="n"/>
      <c r="Z82" s="315" t="n">
        <v>7238.39</v>
      </c>
      <c r="AA82" s="111">
        <f>Z82/Z70-1</f>
        <v/>
      </c>
      <c r="AB82" s="111" t="n"/>
      <c r="AC82" s="315" t="n">
        <v>7200.1</v>
      </c>
      <c r="AD82" s="111">
        <f>AC82/AC70-1</f>
        <v/>
      </c>
      <c r="AE82" s="111" t="n"/>
      <c r="AF82" s="315" t="n">
        <v>32.16</v>
      </c>
      <c r="AG82" s="111">
        <f>AF82/AF70-1</f>
        <v/>
      </c>
      <c r="AH82" s="111" t="n"/>
      <c r="AI82" s="315" t="n">
        <v>6.14</v>
      </c>
      <c r="AJ82" s="111">
        <f>AI82/AI70-1</f>
        <v/>
      </c>
      <c r="AK82" s="111" t="n"/>
      <c r="AL82" s="316" t="n">
        <v>72.81999999999999</v>
      </c>
      <c r="AM82" s="380">
        <f>AL82-AL70</f>
        <v/>
      </c>
      <c r="AN82" s="111" t="n"/>
      <c r="AO82" s="316" t="n">
        <v>73.31</v>
      </c>
      <c r="AP82" s="380">
        <f>AO82-AO70</f>
        <v/>
      </c>
      <c r="AQ82" s="111" t="n"/>
      <c r="AR82" s="316" t="n">
        <v>57.75</v>
      </c>
      <c r="AS82" s="380">
        <f>AR82-AR70</f>
        <v/>
      </c>
      <c r="AT82" s="111" t="n"/>
      <c r="AU82" s="316" t="n">
        <v>23.9</v>
      </c>
      <c r="AV82" s="380">
        <f>AU82-AU70</f>
        <v/>
      </c>
      <c r="AW82" s="111" t="n"/>
      <c r="AX82" s="315" t="n">
        <v>722</v>
      </c>
      <c r="AY82" s="111">
        <f>AX82/AX70-1</f>
        <v/>
      </c>
      <c r="AZ82" s="111" t="n"/>
      <c r="BA82" s="378" t="n"/>
      <c r="BB82" s="142" t="n"/>
      <c r="BC82" s="378" t="n"/>
      <c r="BD82" s="142" t="n"/>
      <c r="BE82" s="378" t="n"/>
      <c r="BF82" s="142" t="n"/>
      <c r="BG82" s="378" t="n"/>
      <c r="BH82" s="142" t="n"/>
      <c r="BI82" s="318" t="n"/>
      <c r="BJ82" s="142" t="n"/>
      <c r="BK82" s="318" t="n"/>
      <c r="BL82" s="142" t="n"/>
      <c r="BM82" s="318" t="n"/>
      <c r="BN82" s="142" t="n"/>
      <c r="BO82" s="318" t="n"/>
      <c r="BP82" s="318" t="n"/>
      <c r="BQ82" s="142" t="n"/>
      <c r="BR82" s="318" t="n"/>
      <c r="BS82" s="142" t="n"/>
      <c r="BT82" s="318" t="n"/>
      <c r="BU82" s="142" t="n"/>
      <c r="BV82" s="318" t="n"/>
      <c r="BW82" s="142" t="n"/>
      <c r="BX82" s="318" t="n"/>
      <c r="BY82" s="142" t="n"/>
      <c r="BZ82" s="318" t="n"/>
      <c r="CA82" s="142" t="n"/>
      <c r="CB82" s="318" t="n"/>
      <c r="CC82" s="142" t="n"/>
      <c r="CD82" s="318" t="n"/>
      <c r="CE82" s="142" t="n"/>
      <c r="CF82" s="318" t="n"/>
      <c r="CG82" s="317" t="n"/>
      <c r="CH82" s="318" t="n"/>
      <c r="CI82" s="317" t="n"/>
      <c r="CJ82" s="318" t="n"/>
      <c r="CK82" s="317" t="n"/>
      <c r="CL82" s="318" t="n"/>
      <c r="CM82" s="317" t="n"/>
      <c r="CN82" s="318" t="n"/>
      <c r="CO82" s="80" t="n"/>
      <c r="CP82" s="318" t="n"/>
      <c r="CQ82" s="80" t="n"/>
      <c r="CR82" s="318" t="n"/>
      <c r="CS82" s="80" t="n"/>
      <c r="CT82" s="318" t="n"/>
      <c r="CU82" s="80" t="n"/>
      <c r="CV82" s="361" t="n"/>
      <c r="CW82" s="318" t="n"/>
      <c r="CX82" s="142" t="n"/>
      <c r="CY82" s="318" t="n"/>
      <c r="CZ82" s="142" t="n"/>
      <c r="DA82" s="318" t="n"/>
      <c r="DB82" s="142" t="n"/>
      <c r="DC82" s="318" t="n"/>
      <c r="DD82" s="142" t="n"/>
      <c r="DE82" s="385" t="n"/>
      <c r="DF82" s="385" t="n"/>
      <c r="DG82" s="318" t="n"/>
    </row>
    <row r="83" customFormat="1" s="117">
      <c r="A83" s="376" t="n">
        <v>44074</v>
      </c>
      <c r="B83" s="315" t="n">
        <v>15502.46</v>
      </c>
      <c r="C83" s="111">
        <f>B83/B71-1</f>
        <v/>
      </c>
      <c r="D83" s="111" t="n"/>
      <c r="E83" s="315" t="n">
        <v>15075.12</v>
      </c>
      <c r="F83" s="111">
        <f>E83/E71-1</f>
        <v/>
      </c>
      <c r="G83" s="111" t="n"/>
      <c r="H83" s="315" t="n">
        <v>398.42</v>
      </c>
      <c r="I83" s="111">
        <f>H83/H71-1</f>
        <v/>
      </c>
      <c r="J83" s="111" t="n"/>
      <c r="K83" s="315" t="n">
        <v>28.91</v>
      </c>
      <c r="L83" s="111">
        <f>K83/K71-1</f>
        <v/>
      </c>
      <c r="M83" s="111" t="n"/>
      <c r="N83" s="315" t="n">
        <v>11367.06</v>
      </c>
      <c r="O83" s="111">
        <f>N83/N71-1</f>
        <v/>
      </c>
      <c r="P83" s="111" t="n"/>
      <c r="Q83" s="315" t="n">
        <v>11155.46</v>
      </c>
      <c r="R83" s="111">
        <f>Q83/Q71-1</f>
        <v/>
      </c>
      <c r="S83" s="111" t="n"/>
      <c r="T83" s="315" t="n">
        <v>203.09</v>
      </c>
      <c r="U83" s="111">
        <f>T83/T71-1</f>
        <v/>
      </c>
      <c r="V83" s="111" t="n"/>
      <c r="W83" s="315" t="n">
        <v>8.51</v>
      </c>
      <c r="X83" s="111">
        <f>W83/W71-1</f>
        <v/>
      </c>
      <c r="Y83" s="111" t="n"/>
      <c r="Z83" s="315" t="n">
        <v>8548.120000000001</v>
      </c>
      <c r="AA83" s="111">
        <f>Z83/Z71-1</f>
        <v/>
      </c>
      <c r="AB83" s="111" t="n"/>
      <c r="AC83" s="315" t="n">
        <v>8509.42</v>
      </c>
      <c r="AD83" s="111">
        <f>AC83/AC71-1</f>
        <v/>
      </c>
      <c r="AE83" s="111" t="n"/>
      <c r="AF83" s="315" t="n">
        <v>30.92</v>
      </c>
      <c r="AG83" s="111">
        <f>AF83/AF71-1</f>
        <v/>
      </c>
      <c r="AH83" s="111" t="n"/>
      <c r="AI83" s="315" t="n">
        <v>7.78</v>
      </c>
      <c r="AJ83" s="111">
        <f>AI83/AI71-1</f>
        <v/>
      </c>
      <c r="AK83" s="111" t="n"/>
      <c r="AL83" s="316" t="n">
        <v>73.31999999999999</v>
      </c>
      <c r="AM83" s="380">
        <f>AL83-AL71</f>
        <v/>
      </c>
      <c r="AN83" s="111" t="n"/>
      <c r="AO83" s="316" t="n">
        <v>74</v>
      </c>
      <c r="AP83" s="380">
        <f>AO83-AO71</f>
        <v/>
      </c>
      <c r="AQ83" s="111" t="n"/>
      <c r="AR83" s="316" t="n">
        <v>50.97</v>
      </c>
      <c r="AS83" s="380">
        <f>AR83-AR71</f>
        <v/>
      </c>
      <c r="AT83" s="111" t="n"/>
      <c r="AU83" s="316" t="n">
        <v>29.41</v>
      </c>
      <c r="AV83" s="380">
        <f>AU83-AU71</f>
        <v/>
      </c>
      <c r="AW83" s="111" t="n"/>
      <c r="AX83" s="315" t="n">
        <v>720</v>
      </c>
      <c r="AY83" s="111">
        <f>AX83/AX71-1</f>
        <v/>
      </c>
      <c r="AZ83" s="111" t="n"/>
      <c r="BA83" s="378" t="n"/>
      <c r="BB83" s="142" t="n"/>
      <c r="BC83" s="378" t="n"/>
      <c r="BD83" s="142" t="n"/>
      <c r="BE83" s="378" t="n"/>
      <c r="BF83" s="142" t="n"/>
      <c r="BG83" s="378" t="n"/>
      <c r="BH83" s="142" t="n"/>
      <c r="BI83" s="318" t="n"/>
      <c r="BJ83" s="142" t="n"/>
      <c r="BK83" s="318" t="n"/>
      <c r="BL83" s="142" t="n"/>
      <c r="BM83" s="318" t="n"/>
      <c r="BN83" s="142" t="n"/>
      <c r="BO83" s="318" t="n"/>
      <c r="BP83" s="318" t="n"/>
      <c r="BQ83" s="142" t="n"/>
      <c r="BR83" s="318" t="n"/>
      <c r="BS83" s="142" t="n"/>
      <c r="BT83" s="318" t="n"/>
      <c r="BU83" s="142" t="n"/>
      <c r="BV83" s="318" t="n"/>
      <c r="BW83" s="142" t="n"/>
      <c r="BX83" s="318" t="n"/>
      <c r="BY83" s="142" t="n"/>
      <c r="BZ83" s="318" t="n"/>
      <c r="CA83" s="142" t="n"/>
      <c r="CB83" s="318" t="n"/>
      <c r="CC83" s="142" t="n"/>
      <c r="CD83" s="318" t="n"/>
      <c r="CE83" s="142" t="n"/>
      <c r="CF83" s="318" t="n"/>
      <c r="CG83" s="317" t="n"/>
      <c r="CH83" s="318" t="n"/>
      <c r="CI83" s="317" t="n"/>
      <c r="CJ83" s="318" t="n"/>
      <c r="CK83" s="317" t="n"/>
      <c r="CL83" s="318" t="n"/>
      <c r="CM83" s="317" t="n"/>
      <c r="CN83" s="318" t="n"/>
      <c r="CO83" s="80" t="n"/>
      <c r="CP83" s="318" t="n"/>
      <c r="CQ83" s="80" t="n"/>
      <c r="CR83" s="318" t="n"/>
      <c r="CS83" s="80" t="n"/>
      <c r="CT83" s="318" t="n"/>
      <c r="CU83" s="80" t="n"/>
      <c r="CV83" s="361" t="n"/>
      <c r="CW83" s="318" t="n"/>
      <c r="CX83" s="142" t="n"/>
      <c r="CY83" s="318" t="n"/>
      <c r="CZ83" s="142" t="n"/>
      <c r="DA83" s="318" t="n"/>
      <c r="DB83" s="142" t="n"/>
      <c r="DC83" s="318" t="n"/>
      <c r="DD83" s="142" t="n"/>
      <c r="DE83" s="385" t="n"/>
      <c r="DF83" s="385" t="n"/>
      <c r="DG83" s="318" t="n"/>
    </row>
    <row r="84" customFormat="1" s="117">
      <c r="A84" s="376" t="n">
        <v>44104</v>
      </c>
      <c r="B84" s="315" t="n">
        <v>15879</v>
      </c>
      <c r="C84" s="111">
        <f>B84/B72-1</f>
        <v/>
      </c>
      <c r="D84" s="111" t="n"/>
      <c r="E84" s="315" t="n">
        <v>15445.09</v>
      </c>
      <c r="F84" s="111">
        <f>E84/E72-1</f>
        <v/>
      </c>
      <c r="G84" s="111" t="n"/>
      <c r="H84" s="315" t="n">
        <v>402.1</v>
      </c>
      <c r="I84" s="111">
        <f>H84/H72-1</f>
        <v/>
      </c>
      <c r="J84" s="111" t="n"/>
      <c r="K84" s="315" t="n">
        <v>31.81</v>
      </c>
      <c r="L84" s="111">
        <f>K84/K72-1</f>
        <v/>
      </c>
      <c r="M84" s="111" t="n"/>
      <c r="N84" s="315" t="n">
        <v>12207.11</v>
      </c>
      <c r="O84" s="111">
        <f>N84/N72-1</f>
        <v/>
      </c>
      <c r="P84" s="111" t="n"/>
      <c r="Q84" s="315" t="n">
        <v>12004.21</v>
      </c>
      <c r="R84" s="111">
        <f>Q84/Q72-1</f>
        <v/>
      </c>
      <c r="S84" s="111" t="n"/>
      <c r="T84" s="315" t="n">
        <v>193.32</v>
      </c>
      <c r="U84" s="111">
        <f>T84/T72-1</f>
        <v/>
      </c>
      <c r="V84" s="111" t="n"/>
      <c r="W84" s="315" t="n">
        <v>9.58</v>
      </c>
      <c r="X84" s="111">
        <f>W84/W72-1</f>
        <v/>
      </c>
      <c r="Y84" s="111" t="n"/>
      <c r="Z84" s="315" t="n">
        <v>8983.15</v>
      </c>
      <c r="AA84" s="111">
        <f>Z84/Z72-1</f>
        <v/>
      </c>
      <c r="AB84" s="111" t="n"/>
      <c r="AC84" s="315" t="n">
        <v>8945.709999999999</v>
      </c>
      <c r="AD84" s="111">
        <f>AC84/AC72-1</f>
        <v/>
      </c>
      <c r="AE84" s="111" t="n"/>
      <c r="AF84" s="315" t="n">
        <v>29.17</v>
      </c>
      <c r="AG84" s="111">
        <f>AF84/AF72-1</f>
        <v/>
      </c>
      <c r="AH84" s="111" t="n"/>
      <c r="AI84" s="315" t="n">
        <v>8.279999999999999</v>
      </c>
      <c r="AJ84" s="111">
        <f>AI84/AI72-1</f>
        <v/>
      </c>
      <c r="AK84" s="111" t="n"/>
      <c r="AL84" s="316" t="n">
        <v>76.88</v>
      </c>
      <c r="AM84" s="380">
        <f>AL84-AL72</f>
        <v/>
      </c>
      <c r="AN84" s="111" t="n"/>
      <c r="AO84" s="316" t="n">
        <v>77.72</v>
      </c>
      <c r="AP84" s="380">
        <f>AO84-AO72</f>
        <v/>
      </c>
      <c r="AQ84" s="111" t="n"/>
      <c r="AR84" s="316" t="n">
        <v>48.08</v>
      </c>
      <c r="AS84" s="380">
        <f>AR84-AR72</f>
        <v/>
      </c>
      <c r="AT84" s="111" t="n"/>
      <c r="AU84" s="316" t="n">
        <v>30.12</v>
      </c>
      <c r="AV84" s="380">
        <f>AU84-AU72</f>
        <v/>
      </c>
      <c r="AW84" s="111" t="n"/>
      <c r="AX84" s="315" t="n">
        <v>722</v>
      </c>
      <c r="AY84" s="111">
        <f>AX84/AX72-1</f>
        <v/>
      </c>
      <c r="AZ84" s="111" t="n"/>
      <c r="BA84" s="378" t="n"/>
      <c r="BB84" s="142" t="n"/>
      <c r="BC84" s="378" t="n"/>
      <c r="BD84" s="142" t="n"/>
      <c r="BE84" s="378" t="n"/>
      <c r="BF84" s="142" t="n"/>
      <c r="BG84" s="378" t="n"/>
      <c r="BH84" s="142" t="n"/>
      <c r="BI84" s="318" t="n"/>
      <c r="BJ84" s="142" t="n"/>
      <c r="BK84" s="318" t="n"/>
      <c r="BL84" s="142" t="n"/>
      <c r="BM84" s="318" t="n"/>
      <c r="BN84" s="142" t="n"/>
      <c r="BO84" s="318" t="n"/>
      <c r="BP84" s="318" t="n"/>
      <c r="BQ84" s="142" t="n"/>
      <c r="BR84" s="318" t="n"/>
      <c r="BS84" s="142" t="n"/>
      <c r="BT84" s="318" t="n"/>
      <c r="BU84" s="142" t="n"/>
      <c r="BV84" s="318" t="n"/>
      <c r="BW84" s="142" t="n"/>
      <c r="BX84" s="318" t="n"/>
      <c r="BY84" s="142" t="n"/>
      <c r="BZ84" s="318" t="n"/>
      <c r="CA84" s="142" t="n"/>
      <c r="CB84" s="318" t="n"/>
      <c r="CC84" s="142" t="n"/>
      <c r="CD84" s="318" t="n"/>
      <c r="CE84" s="142" t="n"/>
      <c r="CF84" s="318" t="n"/>
      <c r="CG84" s="317" t="n"/>
      <c r="CH84" s="318" t="n"/>
      <c r="CI84" s="317" t="n"/>
      <c r="CJ84" s="318" t="n"/>
      <c r="CK84" s="317" t="n"/>
      <c r="CL84" s="318" t="n"/>
      <c r="CM84" s="317" t="n"/>
      <c r="CN84" s="318" t="n"/>
      <c r="CO84" s="80" t="n"/>
      <c r="CP84" s="318" t="n"/>
      <c r="CQ84" s="80" t="n"/>
      <c r="CR84" s="318" t="n"/>
      <c r="CS84" s="80" t="n"/>
      <c r="CT84" s="318" t="n"/>
      <c r="CU84" s="80" t="n"/>
      <c r="CV84" s="361" t="n"/>
      <c r="CW84" s="318" t="n"/>
      <c r="CX84" s="142" t="n"/>
      <c r="CY84" s="318" t="n"/>
      <c r="CZ84" s="142" t="n"/>
      <c r="DA84" s="318" t="n"/>
      <c r="DB84" s="142" t="n"/>
      <c r="DC84" s="318" t="n"/>
      <c r="DD84" s="142" t="n"/>
      <c r="DE84" s="385" t="n"/>
      <c r="DF84" s="385" t="n"/>
      <c r="DG84" s="318" t="n"/>
    </row>
    <row r="85" customFormat="1" s="117">
      <c r="A85" s="376" t="n">
        <v>44135</v>
      </c>
      <c r="B85" s="315" t="n">
        <v>16473.78</v>
      </c>
      <c r="C85" s="111">
        <f>B85/B73-1</f>
        <v/>
      </c>
      <c r="D85" s="111" t="n"/>
      <c r="E85" s="315" t="n">
        <v>16034.87</v>
      </c>
      <c r="F85" s="111">
        <f>E85/E73-1</f>
        <v/>
      </c>
      <c r="G85" s="111" t="n"/>
      <c r="H85" s="315" t="n">
        <v>386.65</v>
      </c>
      <c r="I85" s="111">
        <f>H85/H73-1</f>
        <v/>
      </c>
      <c r="J85" s="111" t="n"/>
      <c r="K85" s="315" t="n">
        <v>52.26</v>
      </c>
      <c r="L85" s="111">
        <f>K85/K73-1</f>
        <v/>
      </c>
      <c r="M85" s="111" t="n"/>
      <c r="N85" s="315" t="n">
        <v>12510.9</v>
      </c>
      <c r="O85" s="111">
        <f>N85/N73-1</f>
        <v/>
      </c>
      <c r="P85" s="111" t="n"/>
      <c r="Q85" s="315" t="n">
        <v>12314.01</v>
      </c>
      <c r="R85" s="111">
        <f>Q85/Q73-1</f>
        <v/>
      </c>
      <c r="S85" s="111" t="n"/>
      <c r="T85" s="315" t="n">
        <v>176.64</v>
      </c>
      <c r="U85" s="111">
        <f>T85/T73-1</f>
        <v/>
      </c>
      <c r="V85" s="111" t="n"/>
      <c r="W85" s="315" t="n">
        <v>20.26</v>
      </c>
      <c r="X85" s="111">
        <f>W85/W73-1</f>
        <v/>
      </c>
      <c r="Y85" s="111" t="n"/>
      <c r="Z85" s="315" t="n">
        <v>9161.940000000001</v>
      </c>
      <c r="AA85" s="111">
        <f>Z85/Z73-1</f>
        <v/>
      </c>
      <c r="AB85" s="111" t="n"/>
      <c r="AC85" s="315" t="n">
        <v>9120.67</v>
      </c>
      <c r="AD85" s="111">
        <f>AC85/AC73-1</f>
        <v/>
      </c>
      <c r="AE85" s="111" t="n"/>
      <c r="AF85" s="315" t="n">
        <v>26.73</v>
      </c>
      <c r="AG85" s="111">
        <f>AF85/AF73-1</f>
        <v/>
      </c>
      <c r="AH85" s="111" t="n"/>
      <c r="AI85" s="315" t="n">
        <v>14.55</v>
      </c>
      <c r="AJ85" s="111">
        <f>AI85/AI73-1</f>
        <v/>
      </c>
      <c r="AK85" s="111" t="n"/>
      <c r="AL85" s="316" t="n">
        <v>75.94</v>
      </c>
      <c r="AM85" s="380">
        <f>AL85-AL73</f>
        <v/>
      </c>
      <c r="AN85" s="111" t="n"/>
      <c r="AO85" s="316" t="n">
        <v>76.8</v>
      </c>
      <c r="AP85" s="380">
        <f>AO85-AO73</f>
        <v/>
      </c>
      <c r="AQ85" s="111" t="n"/>
      <c r="AR85" s="316" t="n">
        <v>45.68</v>
      </c>
      <c r="AS85" s="380">
        <f>AR85-AR73</f>
        <v/>
      </c>
      <c r="AT85" s="111" t="n"/>
      <c r="AU85" s="316" t="n">
        <v>38.76</v>
      </c>
      <c r="AV85" s="380">
        <f>AU85-AU73</f>
        <v/>
      </c>
      <c r="AW85" s="111" t="n"/>
      <c r="AX85" s="315" t="n">
        <v>721</v>
      </c>
      <c r="AY85" s="111">
        <f>AX85/AX73-1</f>
        <v/>
      </c>
      <c r="AZ85" s="111" t="n"/>
      <c r="BA85" s="378" t="n"/>
      <c r="BB85" s="142" t="n"/>
      <c r="BC85" s="378" t="n"/>
      <c r="BD85" s="142" t="n"/>
      <c r="BE85" s="378" t="n"/>
      <c r="BF85" s="142" t="n"/>
      <c r="BG85" s="378" t="n"/>
      <c r="BH85" s="142" t="n"/>
      <c r="BI85" s="318" t="n"/>
      <c r="BJ85" s="142" t="n"/>
      <c r="BK85" s="318" t="n"/>
      <c r="BL85" s="142" t="n"/>
      <c r="BM85" s="318" t="n"/>
      <c r="BN85" s="142" t="n"/>
      <c r="BO85" s="318" t="n"/>
      <c r="BP85" s="318" t="n"/>
      <c r="BQ85" s="142" t="n"/>
      <c r="BR85" s="318" t="n"/>
      <c r="BS85" s="142" t="n"/>
      <c r="BT85" s="318" t="n"/>
      <c r="BU85" s="142" t="n"/>
      <c r="BV85" s="318" t="n"/>
      <c r="BW85" s="142" t="n"/>
      <c r="BX85" s="318" t="n"/>
      <c r="BY85" s="142" t="n"/>
      <c r="BZ85" s="318" t="n"/>
      <c r="CA85" s="142" t="n"/>
      <c r="CB85" s="318" t="n"/>
      <c r="CC85" s="142" t="n"/>
      <c r="CD85" s="318" t="n"/>
      <c r="CE85" s="142" t="n"/>
      <c r="CF85" s="318" t="n"/>
      <c r="CG85" s="317" t="n"/>
      <c r="CH85" s="318" t="n"/>
      <c r="CI85" s="317" t="n"/>
      <c r="CJ85" s="318" t="n"/>
      <c r="CK85" s="317" t="n"/>
      <c r="CL85" s="318" t="n"/>
      <c r="CM85" s="317" t="n"/>
      <c r="CN85" s="318" t="n"/>
      <c r="CO85" s="80" t="n"/>
      <c r="CP85" s="318" t="n"/>
      <c r="CQ85" s="80" t="n"/>
      <c r="CR85" s="318" t="n"/>
      <c r="CS85" s="80" t="n"/>
      <c r="CT85" s="318" t="n"/>
      <c r="CU85" s="80" t="n"/>
      <c r="CV85" s="361" t="n"/>
      <c r="CW85" s="318" t="n"/>
      <c r="CX85" s="142" t="n"/>
      <c r="CY85" s="318" t="n"/>
      <c r="CZ85" s="142" t="n"/>
      <c r="DA85" s="318" t="n"/>
      <c r="DB85" s="142" t="n"/>
      <c r="DC85" s="318" t="n"/>
      <c r="DD85" s="142" t="n"/>
      <c r="DE85" s="385" t="n"/>
      <c r="DF85" s="385" t="n"/>
      <c r="DG85" s="386" t="n"/>
    </row>
    <row r="86" customFormat="1" s="117">
      <c r="A86" s="376" t="n">
        <v>44165</v>
      </c>
      <c r="B86" s="315" t="n">
        <v>14798.52</v>
      </c>
      <c r="C86" s="111">
        <f>B86/B74-1</f>
        <v/>
      </c>
      <c r="D86" s="111" t="n"/>
      <c r="E86" s="315" t="n">
        <v>14355.41</v>
      </c>
      <c r="F86" s="111">
        <f>E86/E74-1</f>
        <v/>
      </c>
      <c r="G86" s="111" t="n"/>
      <c r="H86" s="315" t="n">
        <v>393.74</v>
      </c>
      <c r="I86" s="111">
        <f>H86/H74-1</f>
        <v/>
      </c>
      <c r="J86" s="111" t="n"/>
      <c r="K86" s="315" t="n">
        <v>49.37</v>
      </c>
      <c r="L86" s="111">
        <f>K86/K74-1</f>
        <v/>
      </c>
      <c r="M86" s="111" t="n"/>
      <c r="N86" s="315" t="n">
        <v>10495.89</v>
      </c>
      <c r="O86" s="111">
        <f>N86/N74-1</f>
        <v/>
      </c>
      <c r="P86" s="111" t="n"/>
      <c r="Q86" s="315" t="n">
        <v>10322.26</v>
      </c>
      <c r="R86" s="111">
        <f>Q86/Q74-1</f>
        <v/>
      </c>
      <c r="S86" s="111" t="n"/>
      <c r="T86" s="315" t="n">
        <v>156.81</v>
      </c>
      <c r="U86" s="111">
        <f>T86/T74-1</f>
        <v/>
      </c>
      <c r="V86" s="111" t="n"/>
      <c r="W86" s="315" t="n">
        <v>16.82</v>
      </c>
      <c r="X86" s="111">
        <f>W86/W74-1</f>
        <v/>
      </c>
      <c r="Y86" s="111" t="n"/>
      <c r="Z86" s="315" t="n">
        <v>7745.33</v>
      </c>
      <c r="AA86" s="111">
        <f>Z86/Z74-1</f>
        <v/>
      </c>
      <c r="AB86" s="111" t="n"/>
      <c r="AC86" s="315" t="n">
        <v>7709.52</v>
      </c>
      <c r="AD86" s="111">
        <f>AC86/AC74-1</f>
        <v/>
      </c>
      <c r="AE86" s="111" t="n"/>
      <c r="AF86" s="315" t="n">
        <v>24.1</v>
      </c>
      <c r="AG86" s="111">
        <f>AF86/AF74-1</f>
        <v/>
      </c>
      <c r="AH86" s="111" t="n"/>
      <c r="AI86" s="315" t="n">
        <v>11.72</v>
      </c>
      <c r="AJ86" s="111">
        <f>AI86/AI74-1</f>
        <v/>
      </c>
      <c r="AK86" s="111" t="n"/>
      <c r="AL86" s="316" t="n">
        <v>70.93000000000001</v>
      </c>
      <c r="AM86" s="380">
        <f>AL86-AL74</f>
        <v/>
      </c>
      <c r="AN86" s="111" t="n"/>
      <c r="AO86" s="316" t="n">
        <v>71.91</v>
      </c>
      <c r="AP86" s="380">
        <f>AO86-AO74</f>
        <v/>
      </c>
      <c r="AQ86" s="111" t="n"/>
      <c r="AR86" s="316" t="n">
        <v>39.83</v>
      </c>
      <c r="AS86" s="380">
        <f>AR86-AR74</f>
        <v/>
      </c>
      <c r="AT86" s="111" t="n"/>
      <c r="AU86" s="316" t="n">
        <v>34.06</v>
      </c>
      <c r="AV86" s="380">
        <f>AU86-AU74</f>
        <v/>
      </c>
      <c r="AW86" s="111" t="n"/>
      <c r="AX86" s="315" t="n">
        <v>720</v>
      </c>
      <c r="AY86" s="111">
        <f>AX86/AX74-1</f>
        <v/>
      </c>
      <c r="AZ86" s="111" t="n"/>
      <c r="BA86" s="378" t="n"/>
      <c r="BB86" s="142" t="n"/>
      <c r="BC86" s="378" t="n"/>
      <c r="BD86" s="142" t="n"/>
      <c r="BE86" s="378" t="n"/>
      <c r="BF86" s="142" t="n"/>
      <c r="BG86" s="378" t="n"/>
      <c r="BH86" s="142" t="n"/>
      <c r="BI86" s="318" t="n"/>
      <c r="BJ86" s="142" t="n"/>
      <c r="BK86" s="318" t="n"/>
      <c r="BL86" s="142" t="n"/>
      <c r="BM86" s="318" t="n"/>
      <c r="BN86" s="142" t="n"/>
      <c r="BO86" s="318" t="n"/>
      <c r="BP86" s="318" t="n"/>
      <c r="BQ86" s="142" t="n"/>
      <c r="BR86" s="318" t="n"/>
      <c r="BS86" s="142" t="n"/>
      <c r="BT86" s="318" t="n"/>
      <c r="BU86" s="142" t="n"/>
      <c r="BV86" s="318" t="n"/>
      <c r="BW86" s="142" t="n"/>
      <c r="BX86" s="318" t="n"/>
      <c r="BY86" s="142" t="n"/>
      <c r="BZ86" s="318" t="n"/>
      <c r="CA86" s="142" t="n"/>
      <c r="CB86" s="318" t="n"/>
      <c r="CC86" s="142" t="n"/>
      <c r="CD86" s="318" t="n"/>
      <c r="CE86" s="142" t="n"/>
      <c r="CF86" s="318" t="n"/>
      <c r="CG86" s="317" t="n"/>
      <c r="CH86" s="318" t="n"/>
      <c r="CI86" s="317" t="n"/>
      <c r="CJ86" s="318" t="n"/>
      <c r="CK86" s="317" t="n"/>
      <c r="CL86" s="318" t="n"/>
      <c r="CM86" s="317" t="n"/>
      <c r="CN86" s="318" t="n"/>
      <c r="CO86" s="80" t="n"/>
      <c r="CP86" s="318" t="n"/>
      <c r="CQ86" s="80" t="n"/>
      <c r="CR86" s="318" t="n"/>
      <c r="CS86" s="80" t="n"/>
      <c r="CT86" s="318" t="n"/>
      <c r="CU86" s="80" t="n"/>
      <c r="CV86" s="361" t="n"/>
      <c r="CW86" s="318" t="n"/>
      <c r="CX86" s="142" t="n"/>
      <c r="CY86" s="318" t="n"/>
      <c r="CZ86" s="142" t="n"/>
      <c r="DA86" s="318" t="n"/>
      <c r="DB86" s="142" t="n"/>
      <c r="DC86" s="318" t="n"/>
      <c r="DD86" s="142" t="n"/>
      <c r="DE86" s="385" t="n"/>
      <c r="DF86" s="385" t="n"/>
      <c r="DG86" s="318" t="n"/>
    </row>
    <row r="87" customFormat="1" s="117">
      <c r="A87" s="376" t="n">
        <v>44196</v>
      </c>
      <c r="B87" s="315" t="n">
        <v>14263.71</v>
      </c>
      <c r="C87" s="111">
        <f>B87/B75-1</f>
        <v/>
      </c>
      <c r="D87" s="111" t="n"/>
      <c r="E87" s="315" t="n">
        <v>13822.62</v>
      </c>
      <c r="F87" s="111">
        <f>E87/E75-1</f>
        <v/>
      </c>
      <c r="G87" s="111" t="n"/>
      <c r="H87" s="315" t="n">
        <v>392.37</v>
      </c>
      <c r="I87" s="111">
        <f>H87/H75-1</f>
        <v/>
      </c>
      <c r="J87" s="111" t="n"/>
      <c r="K87" s="315" t="n">
        <v>48.72</v>
      </c>
      <c r="L87" s="111">
        <f>K87/K75-1</f>
        <v/>
      </c>
      <c r="M87" s="111" t="n"/>
      <c r="N87" s="315" t="n">
        <v>9732.469999999999</v>
      </c>
      <c r="O87" s="111">
        <f>N87/N75-1</f>
        <v/>
      </c>
      <c r="P87" s="111" t="n"/>
      <c r="Q87" s="315" t="n">
        <v>9559.23</v>
      </c>
      <c r="R87" s="111">
        <f>Q87/Q75-1</f>
        <v/>
      </c>
      <c r="S87" s="111" t="n"/>
      <c r="T87" s="315" t="n">
        <v>150.46</v>
      </c>
      <c r="U87" s="111">
        <f>T87/T75-1</f>
        <v/>
      </c>
      <c r="V87" s="111" t="n"/>
      <c r="W87" s="315" t="n">
        <v>22.78</v>
      </c>
      <c r="X87" s="111">
        <f>W87/W75-1</f>
        <v/>
      </c>
      <c r="Y87" s="111" t="n"/>
      <c r="Z87" s="315" t="n">
        <v>7073.99</v>
      </c>
      <c r="AA87" s="111">
        <f>Z87/Z75-1</f>
        <v/>
      </c>
      <c r="AB87" s="111" t="n"/>
      <c r="AC87" s="315" t="n">
        <v>7035.35</v>
      </c>
      <c r="AD87" s="111">
        <f>AC87/AC75-1</f>
        <v/>
      </c>
      <c r="AE87" s="111" t="n"/>
      <c r="AF87" s="315" t="n">
        <v>23.41</v>
      </c>
      <c r="AG87" s="111">
        <f>AF87/AF75-1</f>
        <v/>
      </c>
      <c r="AH87" s="111" t="n"/>
      <c r="AI87" s="315" t="n">
        <v>15.23</v>
      </c>
      <c r="AJ87" s="111">
        <f>AI87/AI75-1</f>
        <v/>
      </c>
      <c r="AK87" s="111" t="n"/>
      <c r="AL87" s="316" t="n">
        <v>68.23</v>
      </c>
      <c r="AM87" s="380">
        <f>AL87-AL75</f>
        <v/>
      </c>
      <c r="AN87" s="111" t="n"/>
      <c r="AO87" s="316" t="n">
        <v>69.16</v>
      </c>
      <c r="AP87" s="380">
        <f>AO87-AO75</f>
        <v/>
      </c>
      <c r="AQ87" s="111" t="n"/>
      <c r="AR87" s="316" t="n">
        <v>38.35</v>
      </c>
      <c r="AS87" s="380">
        <f>AR87-AR75</f>
        <v/>
      </c>
      <c r="AT87" s="111" t="n"/>
      <c r="AU87" s="316" t="n">
        <v>46.75</v>
      </c>
      <c r="AV87" s="380">
        <f>AU87-AU75</f>
        <v/>
      </c>
      <c r="AW87" s="111" t="n"/>
      <c r="AX87" s="315" t="n">
        <v>725</v>
      </c>
      <c r="AY87" s="111">
        <f>AX87/AX75-1</f>
        <v/>
      </c>
      <c r="AZ87" s="111" t="n"/>
      <c r="BA87" s="378" t="n"/>
      <c r="BB87" s="142" t="n"/>
      <c r="BC87" s="378" t="n"/>
      <c r="BD87" s="142" t="n"/>
      <c r="BE87" s="378" t="n"/>
      <c r="BF87" s="142" t="n"/>
      <c r="BG87" s="378" t="n"/>
      <c r="BH87" s="142" t="n"/>
      <c r="BI87" s="318" t="n"/>
      <c r="BJ87" s="142" t="n"/>
      <c r="BK87" s="318" t="n"/>
      <c r="BL87" s="142" t="n"/>
      <c r="BM87" s="318" t="n"/>
      <c r="BN87" s="142" t="n"/>
      <c r="BO87" s="318" t="n"/>
      <c r="BP87" s="318" t="n"/>
      <c r="BQ87" s="142" t="n"/>
      <c r="BR87" s="318" t="n"/>
      <c r="BS87" s="142" t="n"/>
      <c r="BT87" s="318" t="n"/>
      <c r="BU87" s="142" t="n"/>
      <c r="BV87" s="318" t="n"/>
      <c r="BW87" s="142" t="n"/>
      <c r="BX87" s="318" t="n"/>
      <c r="BY87" s="142" t="n"/>
      <c r="BZ87" s="318" t="n"/>
      <c r="CA87" s="142" t="n"/>
      <c r="CB87" s="318" t="n"/>
      <c r="CC87" s="142" t="n"/>
      <c r="CD87" s="318" t="n"/>
      <c r="CE87" s="142" t="n"/>
      <c r="CF87" s="318" t="n"/>
      <c r="CG87" s="317" t="n"/>
      <c r="CH87" s="318" t="n"/>
      <c r="CI87" s="317" t="n"/>
      <c r="CJ87" s="318" t="n"/>
      <c r="CK87" s="317" t="n"/>
      <c r="CL87" s="318" t="n"/>
      <c r="CM87" s="317" t="n"/>
      <c r="CN87" s="318" t="n"/>
      <c r="CO87" s="80" t="n"/>
      <c r="CP87" s="318" t="n"/>
      <c r="CQ87" s="80" t="n"/>
      <c r="CR87" s="318" t="n"/>
      <c r="CS87" s="80" t="n"/>
      <c r="CT87" s="318" t="n"/>
      <c r="CU87" s="80" t="n"/>
      <c r="CV87" s="361" t="n"/>
      <c r="CW87" s="318" t="n"/>
      <c r="CX87" s="142" t="n"/>
      <c r="CY87" s="318" t="n"/>
      <c r="CZ87" s="142" t="n"/>
      <c r="DA87" s="318" t="n"/>
      <c r="DB87" s="142" t="n"/>
      <c r="DC87" s="318" t="n"/>
      <c r="DD87" s="142" t="n"/>
      <c r="DE87" s="385" t="n"/>
      <c r="DF87" s="385" t="n"/>
      <c r="DG87" s="318" t="n"/>
    </row>
    <row r="88" customFormat="1" s="116">
      <c r="A88" s="371" t="n">
        <v>44227</v>
      </c>
      <c r="B88" s="381" t="n">
        <v>12023.94</v>
      </c>
      <c r="C88" s="111">
        <f>B88/B76-1</f>
        <v/>
      </c>
      <c r="D88" s="111" t="n"/>
      <c r="E88" s="381" t="n">
        <v>11579.07</v>
      </c>
      <c r="F88" s="111">
        <f>E88/E76-1</f>
        <v/>
      </c>
      <c r="G88" s="111" t="n"/>
      <c r="H88" s="381" t="n">
        <v>390.39</v>
      </c>
      <c r="I88" s="111">
        <f>H88/H76-1</f>
        <v/>
      </c>
      <c r="J88" s="111" t="n"/>
      <c r="K88" s="381" t="n">
        <v>54.48</v>
      </c>
      <c r="L88" s="111">
        <f>K88/K76-1</f>
        <v/>
      </c>
      <c r="M88" s="111" t="n"/>
      <c r="N88" s="381" t="n">
        <v>7148.88</v>
      </c>
      <c r="O88" s="111">
        <f>N88/N76-1</f>
        <v/>
      </c>
      <c r="P88" s="111" t="n"/>
      <c r="Q88" s="381" t="n">
        <v>6988.98</v>
      </c>
      <c r="R88" s="111">
        <f>Q88/Q76-1</f>
        <v/>
      </c>
      <c r="S88" s="111" t="n"/>
      <c r="T88" s="381" t="n">
        <v>135.1</v>
      </c>
      <c r="U88" s="111">
        <f>T88/T76-1</f>
        <v/>
      </c>
      <c r="V88" s="111" t="n"/>
      <c r="W88" s="381" t="n">
        <v>24.8</v>
      </c>
      <c r="X88" s="111">
        <f>W88/W76-1</f>
        <v/>
      </c>
      <c r="Y88" s="111" t="n"/>
      <c r="Z88" s="381" t="n">
        <v>5141.65</v>
      </c>
      <c r="AA88" s="111">
        <f>Z88/Z76-1</f>
        <v/>
      </c>
      <c r="AB88" s="111" t="n"/>
      <c r="AC88" s="381" t="n">
        <v>5101.74</v>
      </c>
      <c r="AD88" s="111">
        <f>AC88/AC76-1</f>
        <v/>
      </c>
      <c r="AE88" s="111" t="n"/>
      <c r="AF88" s="381" t="n">
        <v>22.61</v>
      </c>
      <c r="AG88" s="111">
        <f>AF88/AF76-1</f>
        <v/>
      </c>
      <c r="AH88" s="111" t="n"/>
      <c r="AI88" s="381" t="n">
        <v>17.29</v>
      </c>
      <c r="AJ88" s="111">
        <f>AI88/AI76-1</f>
        <v/>
      </c>
      <c r="AK88" s="111" t="n"/>
      <c r="AL88" s="382" t="n">
        <v>59.46</v>
      </c>
      <c r="AM88" s="380">
        <f>AL88-AL76</f>
        <v/>
      </c>
      <c r="AN88" s="111" t="n"/>
      <c r="AO88" s="382" t="n">
        <v>60.36</v>
      </c>
      <c r="AP88" s="380">
        <f>AO88-AO76</f>
        <v/>
      </c>
      <c r="AQ88" s="111" t="n"/>
      <c r="AR88" s="382" t="n">
        <v>34.61</v>
      </c>
      <c r="AS88" s="380">
        <f>AR88-AR76</f>
        <v/>
      </c>
      <c r="AT88" s="111" t="n"/>
      <c r="AU88" s="382" t="n">
        <v>45.52</v>
      </c>
      <c r="AV88" s="380">
        <f>AU88-AU76</f>
        <v/>
      </c>
      <c r="AW88" s="111" t="n"/>
      <c r="AX88" s="381" t="n">
        <v>726</v>
      </c>
      <c r="AY88" s="111">
        <f>AX88/AX76-1</f>
        <v/>
      </c>
      <c r="AZ88" s="111" t="n"/>
      <c r="BA88" s="317" t="n"/>
      <c r="BB88" s="142" t="n"/>
      <c r="BC88" s="317" t="n"/>
      <c r="BD88" s="142" t="n"/>
      <c r="BE88" s="317" t="n"/>
      <c r="BF88" s="142" t="n"/>
      <c r="BG88" s="317" t="n"/>
      <c r="BH88" s="142" t="n"/>
      <c r="BI88" s="317" t="n"/>
      <c r="BJ88" s="142" t="n"/>
      <c r="BK88" s="317" t="n"/>
      <c r="BL88" s="142" t="n"/>
      <c r="BM88" s="317" t="n"/>
      <c r="BN88" s="142" t="n"/>
      <c r="BO88" s="317" t="n"/>
      <c r="BP88" s="317" t="n"/>
      <c r="BQ88" s="142" t="n"/>
      <c r="BR88" s="317" t="n"/>
      <c r="BS88" s="142" t="n"/>
      <c r="BT88" s="317" t="n"/>
      <c r="BU88" s="142" t="n"/>
      <c r="BV88" s="317" t="n"/>
      <c r="BW88" s="142" t="n"/>
      <c r="BX88" s="317" t="n"/>
      <c r="BY88" s="142" t="n"/>
      <c r="BZ88" s="317" t="n"/>
      <c r="CA88" s="142" t="n"/>
      <c r="CB88" s="317" t="n"/>
      <c r="CC88" s="142" t="n"/>
      <c r="CD88" s="317" t="n"/>
      <c r="CE88" s="142" t="n"/>
      <c r="CF88" s="317" t="n"/>
      <c r="CG88" s="317" t="n"/>
      <c r="CH88" s="317" t="n"/>
      <c r="CI88" s="317" t="n"/>
      <c r="CJ88" s="317" t="n"/>
      <c r="CK88" s="317" t="n"/>
      <c r="CL88" s="317" t="n"/>
      <c r="CM88" s="317" t="n"/>
      <c r="CN88" s="317" t="n"/>
      <c r="CO88" s="80" t="n"/>
      <c r="CP88" s="317" t="n"/>
      <c r="CQ88" s="80" t="n"/>
      <c r="CR88" s="318" t="n"/>
      <c r="CS88" s="80" t="n"/>
      <c r="CT88" s="317" t="n"/>
      <c r="CU88" s="80" t="n"/>
      <c r="CW88" s="317" t="n"/>
      <c r="CX88" s="142" t="n"/>
      <c r="CY88" s="317" t="n"/>
      <c r="CZ88" s="142" t="n"/>
      <c r="DA88" s="317" t="n"/>
      <c r="DB88" s="142" t="n"/>
      <c r="DC88" s="317" t="n"/>
      <c r="DD88" s="142" t="n"/>
      <c r="DE88" s="319" t="n"/>
      <c r="DF88" s="319" t="n"/>
    </row>
    <row r="89" customFormat="1" s="117">
      <c r="A89" s="376" t="n">
        <v>44255</v>
      </c>
      <c r="B89" s="315" t="n">
        <v>8824.85</v>
      </c>
      <c r="C89" s="111">
        <f>B89/B77-1</f>
        <v/>
      </c>
      <c r="D89" s="111" t="n"/>
      <c r="E89" s="315" t="n">
        <v>8472.26</v>
      </c>
      <c r="F89" s="111">
        <f>E89/E77-1</f>
        <v/>
      </c>
      <c r="G89" s="111" t="n"/>
      <c r="H89" s="315" t="n">
        <v>317.19</v>
      </c>
      <c r="I89" s="111">
        <f>H89/H77-1</f>
        <v/>
      </c>
      <c r="J89" s="111" t="n"/>
      <c r="K89" s="315" t="n">
        <v>35.41</v>
      </c>
      <c r="L89" s="111">
        <f>K89/K77-1</f>
        <v/>
      </c>
      <c r="M89" s="111" t="n"/>
      <c r="N89" s="315" t="n">
        <v>5429.17</v>
      </c>
      <c r="O89" s="111">
        <f>N89/N77-1</f>
        <v/>
      </c>
      <c r="P89" s="111" t="n"/>
      <c r="Q89" s="315" t="n">
        <v>5314.62</v>
      </c>
      <c r="R89" s="111">
        <f>Q89/Q77-1</f>
        <v/>
      </c>
      <c r="S89" s="111" t="n"/>
      <c r="T89" s="315" t="n">
        <v>100.04</v>
      </c>
      <c r="U89" s="111">
        <f>T89/T77-1</f>
        <v/>
      </c>
      <c r="V89" s="111" t="n"/>
      <c r="W89" s="315" t="n">
        <v>14.51</v>
      </c>
      <c r="X89" s="111">
        <f>W89/W77-1</f>
        <v/>
      </c>
      <c r="Y89" s="111" t="n"/>
      <c r="Z89" s="315" t="n">
        <v>3884.33</v>
      </c>
      <c r="AA89" s="111">
        <f>Z89/Z77-1</f>
        <v/>
      </c>
      <c r="AB89" s="111" t="n"/>
      <c r="AC89" s="315" t="n">
        <v>3859.27</v>
      </c>
      <c r="AD89" s="111">
        <f>AC89/AC77-1</f>
        <v/>
      </c>
      <c r="AE89" s="111" t="n"/>
      <c r="AF89" s="315" t="n">
        <v>15.02</v>
      </c>
      <c r="AG89" s="111">
        <f>AF89/AF77-1</f>
        <v/>
      </c>
      <c r="AH89" s="111" t="n"/>
      <c r="AI89" s="315" t="n">
        <v>10.03</v>
      </c>
      <c r="AJ89" s="111">
        <f>AI89/AI77-1</f>
        <v/>
      </c>
      <c r="AK89" s="111" t="n"/>
      <c r="AL89" s="316" t="n">
        <v>61.52</v>
      </c>
      <c r="AM89" s="380">
        <f>AL89-AL77</f>
        <v/>
      </c>
      <c r="AN89" s="111" t="n"/>
      <c r="AO89" s="316" t="n">
        <v>62.73</v>
      </c>
      <c r="AP89" s="380">
        <f>AO89-AO77</f>
        <v/>
      </c>
      <c r="AQ89" s="111" t="n"/>
      <c r="AR89" s="316" t="n">
        <v>31.54</v>
      </c>
      <c r="AS89" s="380">
        <f>AR89-AR77</f>
        <v/>
      </c>
      <c r="AT89" s="111" t="n"/>
      <c r="AU89" s="316" t="n">
        <v>40.99</v>
      </c>
      <c r="AV89" s="380">
        <f>AU89-AU77</f>
        <v/>
      </c>
      <c r="AW89" s="111" t="n"/>
      <c r="AX89" s="315" t="n">
        <v>728</v>
      </c>
      <c r="AY89" s="111">
        <f>AX89/AX77-1</f>
        <v/>
      </c>
      <c r="AZ89" s="111" t="n"/>
      <c r="BA89" s="378" t="n"/>
      <c r="BB89" s="142" t="n"/>
      <c r="BC89" s="378" t="n"/>
      <c r="BD89" s="142" t="n"/>
      <c r="BE89" s="378" t="n"/>
      <c r="BF89" s="142" t="n"/>
      <c r="BG89" s="378" t="n"/>
      <c r="BH89" s="142" t="n"/>
      <c r="BI89" s="318" t="n"/>
      <c r="BJ89" s="142" t="n"/>
      <c r="BK89" s="318" t="n"/>
      <c r="BL89" s="142" t="n"/>
      <c r="BM89" s="318" t="n"/>
      <c r="BN89" s="142" t="n"/>
      <c r="BO89" s="318" t="n"/>
      <c r="BP89" s="318" t="n"/>
      <c r="BQ89" s="142" t="n"/>
      <c r="BR89" s="318" t="n"/>
      <c r="BS89" s="142" t="n"/>
      <c r="BT89" s="318" t="n"/>
      <c r="BU89" s="142" t="n"/>
      <c r="BV89" s="318" t="n"/>
      <c r="BW89" s="142" t="n"/>
      <c r="BX89" s="318" t="n"/>
      <c r="BY89" s="142" t="n"/>
      <c r="BZ89" s="318" t="n"/>
      <c r="CA89" s="142" t="n"/>
      <c r="CB89" s="318" t="n"/>
      <c r="CC89" s="142" t="n"/>
      <c r="CD89" s="318" t="n"/>
      <c r="CE89" s="142" t="n"/>
      <c r="CF89" s="318" t="n"/>
      <c r="CG89" s="317" t="n"/>
      <c r="CH89" s="318" t="n"/>
      <c r="CI89" s="317" t="n"/>
      <c r="CJ89" s="318" t="n"/>
      <c r="CK89" s="317" t="n"/>
      <c r="CL89" s="318" t="n"/>
      <c r="CM89" s="317" t="n"/>
      <c r="CN89" s="318" t="n"/>
      <c r="CO89" s="80" t="n"/>
      <c r="CP89" s="318" t="n"/>
      <c r="CQ89" s="80" t="n"/>
      <c r="CR89" s="318" t="n"/>
      <c r="CS89" s="80" t="n"/>
      <c r="CT89" s="318" t="n"/>
      <c r="CU89" s="80" t="n"/>
      <c r="CV89" s="361" t="n"/>
      <c r="CW89" s="318" t="n"/>
      <c r="CX89" s="142" t="n"/>
      <c r="CY89" s="318" t="n"/>
      <c r="CZ89" s="142" t="n"/>
      <c r="DA89" s="318" t="n"/>
      <c r="DB89" s="142" t="n"/>
      <c r="DC89" s="318" t="n"/>
      <c r="DD89" s="142" t="n"/>
      <c r="DE89" s="385" t="n"/>
      <c r="DF89" s="385" t="n"/>
      <c r="DG89" s="318" t="n"/>
    </row>
    <row r="90" customFormat="1" s="117">
      <c r="A90" s="376" t="n">
        <v>44286</v>
      </c>
      <c r="B90" s="315" t="n">
        <v>16376.64</v>
      </c>
      <c r="C90" s="111">
        <f>B90/B78-1</f>
        <v/>
      </c>
      <c r="D90" s="111" t="n"/>
      <c r="E90" s="315" t="n">
        <v>15941.64</v>
      </c>
      <c r="F90" s="111">
        <f>E90/E78-1</f>
        <v/>
      </c>
      <c r="G90" s="111" t="n"/>
      <c r="H90" s="315" t="n">
        <v>385.42</v>
      </c>
      <c r="I90" s="111">
        <f>H90/H78-1</f>
        <v/>
      </c>
      <c r="J90" s="111" t="n"/>
      <c r="K90" s="315" t="n">
        <v>49.58</v>
      </c>
      <c r="L90" s="111">
        <f>K90/K78-1</f>
        <v/>
      </c>
      <c r="M90" s="111" t="n"/>
      <c r="N90" s="315" t="n">
        <v>11940.65</v>
      </c>
      <c r="O90" s="111">
        <f>N90/N78-1</f>
        <v/>
      </c>
      <c r="P90" s="111" t="n"/>
      <c r="Q90" s="315" t="n">
        <v>11777.78</v>
      </c>
      <c r="R90" s="111">
        <f>Q90/Q78-1</f>
        <v/>
      </c>
      <c r="S90" s="111" t="n"/>
      <c r="T90" s="315" t="n">
        <v>136.76</v>
      </c>
      <c r="U90" s="111">
        <f>T90/T78-1</f>
        <v/>
      </c>
      <c r="V90" s="111" t="n"/>
      <c r="W90" s="315" t="n">
        <v>26.12</v>
      </c>
      <c r="X90" s="111">
        <f>W90/W78-1</f>
        <v/>
      </c>
      <c r="Y90" s="111" t="n"/>
      <c r="Z90" s="315" t="n">
        <v>8609.5</v>
      </c>
      <c r="AA90" s="111">
        <f>Z90/Z78-1</f>
        <v/>
      </c>
      <c r="AB90" s="111" t="n"/>
      <c r="AC90" s="315" t="n">
        <v>8568.219999999999</v>
      </c>
      <c r="AD90" s="111">
        <f>AC90/AC78-1</f>
        <v/>
      </c>
      <c r="AE90" s="111" t="n"/>
      <c r="AF90" s="315" t="n">
        <v>23.85</v>
      </c>
      <c r="AG90" s="111">
        <f>AF90/AF78-1</f>
        <v/>
      </c>
      <c r="AH90" s="111" t="n"/>
      <c r="AI90" s="315" t="n">
        <v>17.43</v>
      </c>
      <c r="AJ90" s="111">
        <f>AI90/AI78-1</f>
        <v/>
      </c>
      <c r="AK90" s="111" t="n"/>
      <c r="AL90" s="316" t="n">
        <v>72.91</v>
      </c>
      <c r="AM90" s="380">
        <f>AL90-AL78</f>
        <v/>
      </c>
      <c r="AN90" s="111" t="n"/>
      <c r="AO90" s="316" t="n">
        <v>73.88</v>
      </c>
      <c r="AP90" s="380">
        <f>AO90-AO78</f>
        <v/>
      </c>
      <c r="AQ90" s="111" t="n"/>
      <c r="AR90" s="316" t="n">
        <v>35.48</v>
      </c>
      <c r="AS90" s="380">
        <f>AR90-AR78</f>
        <v/>
      </c>
      <c r="AT90" s="111" t="n"/>
      <c r="AU90" s="316" t="n">
        <v>52.68</v>
      </c>
      <c r="AV90" s="380">
        <f>AU90-AU78</f>
        <v/>
      </c>
      <c r="AW90" s="111" t="n"/>
      <c r="AX90" s="315" t="n">
        <v>730</v>
      </c>
      <c r="AY90" s="111">
        <f>AX90/AX78-1</f>
        <v/>
      </c>
      <c r="AZ90" s="111" t="n"/>
      <c r="BA90" s="378" t="n"/>
      <c r="BB90" s="142" t="n"/>
      <c r="BC90" s="378" t="n"/>
      <c r="BD90" s="142" t="n"/>
      <c r="BE90" s="378" t="n"/>
      <c r="BF90" s="142" t="n"/>
      <c r="BG90" s="378" t="n"/>
      <c r="BH90" s="142" t="n"/>
      <c r="BI90" s="318" t="n"/>
      <c r="BJ90" s="142" t="n"/>
      <c r="BK90" s="318" t="n"/>
      <c r="BL90" s="142" t="n"/>
      <c r="BM90" s="318" t="n"/>
      <c r="BN90" s="142" t="n"/>
      <c r="BO90" s="318" t="n"/>
      <c r="BP90" s="318" t="n"/>
      <c r="BQ90" s="142" t="n"/>
      <c r="BR90" s="318" t="n"/>
      <c r="BS90" s="142" t="n"/>
      <c r="BT90" s="318" t="n"/>
      <c r="BU90" s="142" t="n"/>
      <c r="BV90" s="318" t="n"/>
      <c r="BW90" s="142" t="n"/>
      <c r="BX90" s="318" t="n"/>
      <c r="BY90" s="142" t="n"/>
      <c r="BZ90" s="318" t="n"/>
      <c r="CA90" s="142" t="n"/>
      <c r="CB90" s="318" t="n"/>
      <c r="CC90" s="142" t="n"/>
      <c r="CD90" s="318" t="n"/>
      <c r="CE90" s="142" t="n"/>
      <c r="CF90" s="318" t="n"/>
      <c r="CG90" s="317" t="n"/>
      <c r="CH90" s="318" t="n"/>
      <c r="CI90" s="317" t="n"/>
      <c r="CJ90" s="318" t="n"/>
      <c r="CK90" s="317" t="n"/>
      <c r="CL90" s="318" t="n"/>
      <c r="CM90" s="317" t="n"/>
      <c r="CN90" s="318" t="n"/>
      <c r="CO90" s="80" t="n"/>
      <c r="CP90" s="318" t="n"/>
      <c r="CQ90" s="80" t="n"/>
      <c r="CR90" s="318" t="n"/>
      <c r="CS90" s="80" t="n"/>
      <c r="CT90" s="318" t="n"/>
      <c r="CU90" s="80" t="n"/>
      <c r="CV90" s="361" t="n"/>
      <c r="CW90" s="318" t="n"/>
      <c r="CX90" s="142" t="n"/>
      <c r="CY90" s="318" t="n"/>
      <c r="CZ90" s="142" t="n"/>
      <c r="DA90" s="318" t="n"/>
      <c r="DB90" s="142" t="n"/>
      <c r="DC90" s="318" t="n"/>
      <c r="DD90" s="142" t="n"/>
      <c r="DE90" s="385" t="n"/>
      <c r="DF90" s="385" t="n"/>
      <c r="DG90" s="386" t="n"/>
    </row>
    <row r="91" customFormat="1" s="117">
      <c r="A91" s="376" t="n">
        <v>44316</v>
      </c>
      <c r="B91" s="315" t="n">
        <v>17070.37</v>
      </c>
      <c r="C91" s="111">
        <f>B91/B79-1</f>
        <v/>
      </c>
      <c r="D91" s="111" t="n"/>
      <c r="E91" s="315" t="n">
        <v>16670.85</v>
      </c>
      <c r="F91" s="111">
        <f>E91/E79-1</f>
        <v/>
      </c>
      <c r="G91" s="111" t="n"/>
      <c r="H91" s="315" t="n">
        <v>344.39</v>
      </c>
      <c r="I91" s="111">
        <f>H91/H79-1</f>
        <v/>
      </c>
      <c r="J91" s="111" t="n"/>
      <c r="K91" s="315" t="n">
        <v>55.13</v>
      </c>
      <c r="L91" s="111">
        <f>K91/K79-1</f>
        <v/>
      </c>
      <c r="M91" s="111" t="n"/>
      <c r="N91" s="315" t="n">
        <v>12699.11</v>
      </c>
      <c r="O91" s="111">
        <f>N91/N79-1</f>
        <v/>
      </c>
      <c r="P91" s="111" t="n"/>
      <c r="Q91" s="315" t="n">
        <v>12534.02</v>
      </c>
      <c r="R91" s="111">
        <f>Q91/Q79-1</f>
        <v/>
      </c>
      <c r="S91" s="111" t="n"/>
      <c r="T91" s="315" t="n">
        <v>134.64</v>
      </c>
      <c r="U91" s="111">
        <f>T91/T79-1</f>
        <v/>
      </c>
      <c r="V91" s="111" t="n"/>
      <c r="W91" s="315" t="n">
        <v>30.45</v>
      </c>
      <c r="X91" s="111">
        <f>W91/W79-1</f>
        <v/>
      </c>
      <c r="Y91" s="111" t="n"/>
      <c r="Z91" s="315" t="n">
        <v>9313.91</v>
      </c>
      <c r="AA91" s="111">
        <f>Z91/Z79-1</f>
        <v/>
      </c>
      <c r="AB91" s="111" t="n"/>
      <c r="AC91" s="315" t="n">
        <v>9270.040000000001</v>
      </c>
      <c r="AD91" s="111">
        <f>AC91/AC79-1</f>
        <v/>
      </c>
      <c r="AE91" s="111" t="n"/>
      <c r="AF91" s="315" t="n">
        <v>23.8</v>
      </c>
      <c r="AG91" s="111">
        <f>AF91/AF79-1</f>
        <v/>
      </c>
      <c r="AH91" s="111" t="n"/>
      <c r="AI91" s="315" t="n">
        <v>20.06</v>
      </c>
      <c r="AJ91" s="111">
        <f>AI91/AI79-1</f>
        <v/>
      </c>
      <c r="AK91" s="111" t="n"/>
      <c r="AL91" s="316" t="n">
        <v>74.39</v>
      </c>
      <c r="AM91" s="380">
        <f>AL91-AL79</f>
        <v/>
      </c>
      <c r="AN91" s="111" t="n"/>
      <c r="AO91" s="316" t="n">
        <v>75.19</v>
      </c>
      <c r="AP91" s="380">
        <f>AO91-AO79</f>
        <v/>
      </c>
      <c r="AQ91" s="111" t="n"/>
      <c r="AR91" s="316" t="n">
        <v>39.09</v>
      </c>
      <c r="AS91" s="380">
        <f>AR91-AR79</f>
        <v/>
      </c>
      <c r="AT91" s="111" t="n"/>
      <c r="AU91" s="316" t="n">
        <v>55.23</v>
      </c>
      <c r="AV91" s="380">
        <f>AU91-AU79</f>
        <v/>
      </c>
      <c r="AW91" s="111" t="n"/>
      <c r="AX91" s="315" t="n">
        <v>732</v>
      </c>
      <c r="AY91" s="111">
        <f>AX91/AX79-1</f>
        <v/>
      </c>
      <c r="AZ91" s="111" t="n"/>
      <c r="BA91" s="378" t="n"/>
      <c r="BB91" s="142" t="n"/>
      <c r="BC91" s="378" t="n"/>
      <c r="BD91" s="142" t="n"/>
      <c r="BE91" s="378" t="n"/>
      <c r="BF91" s="142" t="n"/>
      <c r="BG91" s="378" t="n"/>
      <c r="BH91" s="142" t="n"/>
      <c r="BI91" s="318" t="n"/>
      <c r="BJ91" s="142" t="n"/>
      <c r="BK91" s="318" t="n"/>
      <c r="BL91" s="142" t="n"/>
      <c r="BM91" s="318" t="n"/>
      <c r="BN91" s="142" t="n"/>
      <c r="BO91" s="318" t="n"/>
      <c r="BP91" s="318" t="n"/>
      <c r="BQ91" s="142" t="n"/>
      <c r="BR91" s="318" t="n"/>
      <c r="BS91" s="142" t="n"/>
      <c r="BT91" s="318" t="n"/>
      <c r="BU91" s="142" t="n"/>
      <c r="BV91" s="318" t="n"/>
      <c r="BW91" s="142" t="n"/>
      <c r="BX91" s="318" t="n"/>
      <c r="BY91" s="142" t="n"/>
      <c r="BZ91" s="318" t="n"/>
      <c r="CA91" s="142" t="n"/>
      <c r="CB91" s="318" t="n"/>
      <c r="CC91" s="142" t="n"/>
      <c r="CD91" s="318" t="n"/>
      <c r="CE91" s="142" t="n"/>
      <c r="CF91" s="318" t="n"/>
      <c r="CG91" s="317" t="n"/>
      <c r="CH91" s="318" t="n"/>
      <c r="CI91" s="317" t="n"/>
      <c r="CJ91" s="318" t="n"/>
      <c r="CK91" s="317" t="n"/>
      <c r="CL91" s="318" t="n"/>
      <c r="CM91" s="317" t="n"/>
      <c r="CN91" s="318" t="n"/>
      <c r="CO91" s="80" t="n"/>
      <c r="CP91" s="318" t="n"/>
      <c r="CQ91" s="80" t="n"/>
      <c r="CR91" s="318" t="n"/>
      <c r="CS91" s="80" t="n"/>
      <c r="CT91" s="318" t="n"/>
      <c r="CU91" s="80" t="n"/>
      <c r="CV91" s="361" t="n"/>
      <c r="CW91" s="318" t="n"/>
      <c r="CX91" s="142" t="n"/>
      <c r="CY91" s="318" t="n"/>
      <c r="CZ91" s="142" t="n"/>
      <c r="DA91" s="318" t="n"/>
      <c r="DB91" s="142" t="n"/>
      <c r="DC91" s="318" t="n"/>
      <c r="DD91" s="142" t="n"/>
      <c r="DE91" s="385" t="n"/>
      <c r="DF91" s="385" t="n"/>
      <c r="DG91" s="386" t="n"/>
    </row>
    <row r="92" customFormat="1" s="117">
      <c r="A92" s="376" t="n">
        <v>44347</v>
      </c>
      <c r="B92" s="315" t="n">
        <v>16799.56</v>
      </c>
      <c r="C92" s="111">
        <f>B92/B80-1</f>
        <v/>
      </c>
      <c r="D92" s="111" t="n"/>
      <c r="E92" s="315" t="n">
        <v>16359.51</v>
      </c>
      <c r="F92" s="111">
        <f>E92/E80-1</f>
        <v/>
      </c>
      <c r="G92" s="111" t="n"/>
      <c r="H92" s="315" t="n">
        <v>362.78</v>
      </c>
      <c r="I92" s="111">
        <f>H92/H80-1</f>
        <v/>
      </c>
      <c r="J92" s="111" t="n"/>
      <c r="K92" s="315" t="n">
        <v>77.28</v>
      </c>
      <c r="L92" s="111">
        <f>K92/K80-1</f>
        <v/>
      </c>
      <c r="M92" s="111" t="n"/>
      <c r="N92" s="315" t="n">
        <v>12699.23</v>
      </c>
      <c r="O92" s="111">
        <f>N92/N80-1</f>
        <v/>
      </c>
      <c r="P92" s="111" t="n"/>
      <c r="Q92" s="315" t="n">
        <v>12503.91</v>
      </c>
      <c r="R92" s="111">
        <f>Q92/Q80-1</f>
        <v/>
      </c>
      <c r="S92" s="111" t="n"/>
      <c r="T92" s="315" t="n">
        <v>147.9</v>
      </c>
      <c r="U92" s="111">
        <f>T92/T80-1</f>
        <v/>
      </c>
      <c r="V92" s="111" t="n"/>
      <c r="W92" s="315" t="n">
        <v>47.42</v>
      </c>
      <c r="X92" s="111">
        <f>W92/W80-1</f>
        <v/>
      </c>
      <c r="Y92" s="111" t="n"/>
      <c r="Z92" s="315" t="n">
        <v>9335.09</v>
      </c>
      <c r="AA92" s="111">
        <f>Z92/Z80-1</f>
        <v/>
      </c>
      <c r="AB92" s="111" t="n"/>
      <c r="AC92" s="315" t="n">
        <v>9281.530000000001</v>
      </c>
      <c r="AD92" s="111">
        <f>AC92/AC80-1</f>
        <v/>
      </c>
      <c r="AE92" s="111" t="n"/>
      <c r="AF92" s="315" t="n">
        <v>22.9</v>
      </c>
      <c r="AG92" s="111">
        <f>AF92/AF80-1</f>
        <v/>
      </c>
      <c r="AH92" s="111" t="n"/>
      <c r="AI92" s="315" t="n">
        <v>30.66</v>
      </c>
      <c r="AJ92" s="111">
        <f>AI92/AI80-1</f>
        <v/>
      </c>
      <c r="AK92" s="111" t="n"/>
      <c r="AL92" s="316" t="n">
        <v>75.59</v>
      </c>
      <c r="AM92" s="380">
        <f>AL92-AL80</f>
        <v/>
      </c>
      <c r="AN92" s="111" t="n"/>
      <c r="AO92" s="316" t="n">
        <v>76.43000000000001</v>
      </c>
      <c r="AP92" s="380">
        <f>AO92-AO80</f>
        <v/>
      </c>
      <c r="AQ92" s="111" t="n"/>
      <c r="AR92" s="316" t="n">
        <v>40.77</v>
      </c>
      <c r="AS92" s="380">
        <f>AR92-AR80</f>
        <v/>
      </c>
      <c r="AT92" s="111" t="n"/>
      <c r="AU92" s="316" t="n">
        <v>61.37</v>
      </c>
      <c r="AV92" s="380">
        <f>AU92-AU80</f>
        <v/>
      </c>
      <c r="AW92" s="111" t="n"/>
      <c r="AX92" s="315" t="n">
        <v>738</v>
      </c>
      <c r="AY92" s="111">
        <f>AX92/AX80-1</f>
        <v/>
      </c>
      <c r="AZ92" s="111" t="n"/>
      <c r="BA92" s="378" t="n"/>
      <c r="BB92" s="142" t="n"/>
      <c r="BC92" s="378" t="n"/>
      <c r="BD92" s="142" t="n"/>
      <c r="BE92" s="378" t="n"/>
      <c r="BF92" s="142" t="n"/>
      <c r="BG92" s="378" t="n"/>
      <c r="BH92" s="142" t="n"/>
      <c r="BI92" s="318" t="n"/>
      <c r="BJ92" s="142" t="n"/>
      <c r="BK92" s="318" t="n"/>
      <c r="BL92" s="142" t="n"/>
      <c r="BM92" s="318" t="n"/>
      <c r="BN92" s="142" t="n"/>
      <c r="BO92" s="318" t="n"/>
      <c r="BP92" s="318" t="n"/>
      <c r="BQ92" s="142" t="n"/>
      <c r="BR92" s="318" t="n"/>
      <c r="BS92" s="142" t="n"/>
      <c r="BT92" s="318" t="n"/>
      <c r="BU92" s="142" t="n"/>
      <c r="BV92" s="318" t="n"/>
      <c r="BW92" s="142" t="n"/>
      <c r="BX92" s="318" t="n"/>
      <c r="BY92" s="142" t="n"/>
      <c r="BZ92" s="318" t="n"/>
      <c r="CA92" s="142" t="n"/>
      <c r="CB92" s="318" t="n"/>
      <c r="CC92" s="142" t="n"/>
      <c r="CD92" s="318" t="n"/>
      <c r="CE92" s="142" t="n"/>
      <c r="CF92" s="318" t="n"/>
      <c r="CG92" s="317" t="n"/>
      <c r="CH92" s="318" t="n"/>
      <c r="CI92" s="317" t="n"/>
      <c r="CJ92" s="318" t="n"/>
      <c r="CK92" s="317" t="n"/>
      <c r="CL92" s="318" t="n"/>
      <c r="CM92" s="317" t="n"/>
      <c r="CN92" s="318" t="n"/>
      <c r="CO92" s="80" t="n"/>
      <c r="CP92" s="318" t="n"/>
      <c r="CQ92" s="80" t="n"/>
      <c r="CR92" s="318" t="n"/>
      <c r="CS92" s="80" t="n"/>
      <c r="CT92" s="318" t="n"/>
      <c r="CU92" s="80" t="n"/>
      <c r="CV92" s="361" t="n"/>
      <c r="CW92" s="318" t="n"/>
      <c r="CX92" s="142" t="n"/>
      <c r="CY92" s="318" t="n"/>
      <c r="CZ92" s="142" t="n"/>
      <c r="DA92" s="318" t="n"/>
      <c r="DB92" s="142" t="n"/>
      <c r="DC92" s="318" t="n"/>
      <c r="DD92" s="142" t="n"/>
      <c r="DE92" s="385" t="n"/>
      <c r="DF92" s="385" t="n"/>
      <c r="DG92" s="386" t="n"/>
    </row>
    <row r="93" customFormat="1" s="117">
      <c r="A93" s="376" t="n">
        <v>44377</v>
      </c>
      <c r="B93" s="315" t="n">
        <v>14832.43</v>
      </c>
      <c r="C93" s="111">
        <f>B93/B81-1</f>
        <v/>
      </c>
      <c r="D93" s="111" t="n"/>
      <c r="E93" s="315" t="n">
        <v>14435.51</v>
      </c>
      <c r="F93" s="111">
        <f>E93/E81-1</f>
        <v/>
      </c>
      <c r="G93" s="111" t="n"/>
      <c r="H93" s="315" t="n">
        <v>320.47</v>
      </c>
      <c r="I93" s="111">
        <f>H93/H81-1</f>
        <v/>
      </c>
      <c r="J93" s="111" t="n"/>
      <c r="K93" s="315" t="n">
        <v>76.45999999999999</v>
      </c>
      <c r="L93" s="111">
        <f>K93/K81-1</f>
        <v/>
      </c>
      <c r="M93" s="111" t="n"/>
      <c r="N93" s="315" t="n">
        <v>10919.56</v>
      </c>
      <c r="O93" s="111">
        <f>N93/N81-1</f>
        <v/>
      </c>
      <c r="P93" s="111" t="n"/>
      <c r="Q93" s="315" t="n">
        <v>10718.87</v>
      </c>
      <c r="R93" s="111">
        <f>Q93/Q81-1</f>
        <v/>
      </c>
      <c r="S93" s="111" t="n"/>
      <c r="T93" s="315" t="n">
        <v>150.29</v>
      </c>
      <c r="U93" s="111">
        <f>T93/T81-1</f>
        <v/>
      </c>
      <c r="V93" s="111" t="n"/>
      <c r="W93" s="315" t="n">
        <v>50.4</v>
      </c>
      <c r="X93" s="111">
        <f>W93/W81-1</f>
        <v/>
      </c>
      <c r="Y93" s="111" t="n"/>
      <c r="Z93" s="315" t="n">
        <v>8024.26</v>
      </c>
      <c r="AA93" s="111">
        <f>Z93/Z81-1</f>
        <v/>
      </c>
      <c r="AB93" s="111" t="n"/>
      <c r="AC93" s="315" t="n">
        <v>7968.48</v>
      </c>
      <c r="AD93" s="111">
        <f>AC93/AC81-1</f>
        <v/>
      </c>
      <c r="AE93" s="111" t="n"/>
      <c r="AF93" s="315" t="n">
        <v>22.73</v>
      </c>
      <c r="AG93" s="111">
        <f>AF93/AF81-1</f>
        <v/>
      </c>
      <c r="AH93" s="111" t="n"/>
      <c r="AI93" s="315" t="n">
        <v>33.06</v>
      </c>
      <c r="AJ93" s="111">
        <f>AI93/AI81-1</f>
        <v/>
      </c>
      <c r="AK93" s="111" t="n"/>
      <c r="AL93" s="316" t="n">
        <v>73.62</v>
      </c>
      <c r="AM93" s="380">
        <f>AL93-AL81</f>
        <v/>
      </c>
      <c r="AN93" s="111" t="n"/>
      <c r="AO93" s="316" t="n">
        <v>74.25</v>
      </c>
      <c r="AP93" s="380">
        <f>AO93-AO81</f>
        <v/>
      </c>
      <c r="AQ93" s="111" t="n"/>
      <c r="AR93" s="316" t="n">
        <v>46.9</v>
      </c>
      <c r="AS93" s="380">
        <f>AR93-AR81</f>
        <v/>
      </c>
      <c r="AT93" s="111" t="n"/>
      <c r="AU93" s="316" t="n">
        <v>65.92</v>
      </c>
      <c r="AV93" s="380">
        <f>AU93-AU81</f>
        <v/>
      </c>
      <c r="AW93" s="111" t="n"/>
      <c r="AX93" s="315" t="n">
        <v>740</v>
      </c>
      <c r="AY93" s="111">
        <f>AX93/AX81-1</f>
        <v/>
      </c>
      <c r="AZ93" s="111" t="n"/>
      <c r="BA93" s="378" t="n"/>
      <c r="BB93" s="142" t="n"/>
      <c r="BC93" s="378" t="n"/>
      <c r="BD93" s="142" t="n"/>
      <c r="BE93" s="378" t="n"/>
      <c r="BF93" s="142" t="n"/>
      <c r="BG93" s="378" t="n"/>
      <c r="BH93" s="142" t="n"/>
      <c r="BI93" s="318" t="n"/>
      <c r="BJ93" s="142" t="n"/>
      <c r="BK93" s="318" t="n"/>
      <c r="BL93" s="142" t="n"/>
      <c r="BM93" s="318" t="n"/>
      <c r="BN93" s="142" t="n"/>
      <c r="BO93" s="318" t="n"/>
      <c r="BP93" s="318" t="n"/>
      <c r="BQ93" s="142" t="n"/>
      <c r="BR93" s="318" t="n"/>
      <c r="BS93" s="142" t="n"/>
      <c r="BT93" s="318" t="n"/>
      <c r="BU93" s="142" t="n"/>
      <c r="BV93" s="318" t="n"/>
      <c r="BW93" s="142" t="n"/>
      <c r="BX93" s="318" t="n"/>
      <c r="BY93" s="142" t="n"/>
      <c r="BZ93" s="318" t="n"/>
      <c r="CA93" s="142" t="n"/>
      <c r="CB93" s="318" t="n"/>
      <c r="CC93" s="142" t="n"/>
      <c r="CD93" s="318" t="n"/>
      <c r="CE93" s="142" t="n"/>
      <c r="CF93" s="318" t="n"/>
      <c r="CG93" s="317" t="n"/>
      <c r="CH93" s="318" t="n"/>
      <c r="CI93" s="317" t="n"/>
      <c r="CJ93" s="318" t="n"/>
      <c r="CK93" s="317" t="n"/>
      <c r="CL93" s="318" t="n"/>
      <c r="CM93" s="317" t="n"/>
      <c r="CN93" s="318" t="n"/>
      <c r="CO93" s="80" t="n"/>
      <c r="CP93" s="318" t="n"/>
      <c r="CQ93" s="80" t="n"/>
      <c r="CR93" s="318" t="n"/>
      <c r="CS93" s="80" t="n"/>
      <c r="CT93" s="318" t="n"/>
      <c r="CU93" s="80" t="n"/>
      <c r="CV93" s="361" t="n"/>
      <c r="CW93" s="318" t="n"/>
      <c r="CX93" s="142" t="n"/>
      <c r="CY93" s="318" t="n"/>
      <c r="CZ93" s="142" t="n"/>
      <c r="DA93" s="318" t="n"/>
      <c r="DB93" s="142" t="n"/>
      <c r="DC93" s="318" t="n"/>
      <c r="DD93" s="142" t="n"/>
      <c r="DE93" s="385" t="n"/>
      <c r="DF93" s="385" t="n"/>
      <c r="DG93" s="318" t="n"/>
    </row>
    <row r="94" customFormat="1" s="117">
      <c r="A94" s="376" t="n">
        <v>44408</v>
      </c>
      <c r="B94" s="315" t="n">
        <v>16336.58</v>
      </c>
      <c r="C94" s="111">
        <f>B94/B82-1</f>
        <v/>
      </c>
      <c r="D94" s="111" t="n"/>
      <c r="E94" s="315" t="n">
        <v>15937.02</v>
      </c>
      <c r="F94" s="111">
        <f>E94/E82-1</f>
        <v/>
      </c>
      <c r="G94" s="111" t="n"/>
      <c r="H94" s="315" t="n">
        <v>311.73</v>
      </c>
      <c r="I94" s="111">
        <f>H94/H82-1</f>
        <v/>
      </c>
      <c r="J94" s="111" t="n"/>
      <c r="K94" s="315" t="n">
        <v>87.83</v>
      </c>
      <c r="L94" s="111">
        <f>K94/K82-1</f>
        <v/>
      </c>
      <c r="M94" s="111" t="n"/>
      <c r="N94" s="315" t="n">
        <v>12222.32</v>
      </c>
      <c r="O94" s="111">
        <f>N94/N82-1</f>
        <v/>
      </c>
      <c r="P94" s="111" t="n"/>
      <c r="Q94" s="315" t="n">
        <v>12016.16</v>
      </c>
      <c r="R94" s="111">
        <f>Q94/Q82-1</f>
        <v/>
      </c>
      <c r="S94" s="111" t="n"/>
      <c r="T94" s="315" t="n">
        <v>145.89</v>
      </c>
      <c r="U94" s="111">
        <f>T94/T82-1</f>
        <v/>
      </c>
      <c r="V94" s="111" t="n"/>
      <c r="W94" s="315" t="n">
        <v>60.26</v>
      </c>
      <c r="X94" s="111">
        <f>W94/W82-1</f>
        <v/>
      </c>
      <c r="Y94" s="111" t="n"/>
      <c r="Z94" s="315" t="n">
        <v>8810.16</v>
      </c>
      <c r="AA94" s="111">
        <f>Z94/Z82-1</f>
        <v/>
      </c>
      <c r="AB94" s="111" t="n"/>
      <c r="AC94" s="315" t="n">
        <v>8747.360000000001</v>
      </c>
      <c r="AD94" s="111">
        <f>AC94/AC82-1</f>
        <v/>
      </c>
      <c r="AE94" s="111" t="n"/>
      <c r="AF94" s="315" t="n">
        <v>23.39</v>
      </c>
      <c r="AG94" s="111">
        <f>AF94/AF82-1</f>
        <v/>
      </c>
      <c r="AH94" s="111" t="n"/>
      <c r="AI94" s="315" t="n">
        <v>39.41</v>
      </c>
      <c r="AJ94" s="111">
        <f>AI94/AI82-1</f>
        <v/>
      </c>
      <c r="AK94" s="111" t="n"/>
      <c r="AL94" s="316" t="n">
        <v>74.81999999999999</v>
      </c>
      <c r="AM94" s="380">
        <f>AL94-AL82</f>
        <v/>
      </c>
      <c r="AN94" s="111" t="n"/>
      <c r="AO94" s="316" t="n">
        <v>75.40000000000001</v>
      </c>
      <c r="AP94" s="380">
        <f>AO94-AO82</f>
        <v/>
      </c>
      <c r="AQ94" s="111" t="n"/>
      <c r="AR94" s="316" t="n">
        <v>46.8</v>
      </c>
      <c r="AS94" s="380">
        <f>AR94-AR82</f>
        <v/>
      </c>
      <c r="AT94" s="111" t="n"/>
      <c r="AU94" s="316" t="n">
        <v>68.62</v>
      </c>
      <c r="AV94" s="380">
        <f>AU94-AU82</f>
        <v/>
      </c>
      <c r="AW94" s="111" t="n"/>
      <c r="AX94" s="315" t="n">
        <v>743</v>
      </c>
      <c r="AY94" s="111">
        <f>AX94/AX82-1</f>
        <v/>
      </c>
      <c r="AZ94" s="111" t="n"/>
      <c r="BA94" s="378" t="n"/>
      <c r="BB94" s="142" t="n"/>
      <c r="BC94" s="378" t="n"/>
      <c r="BD94" s="142" t="n"/>
      <c r="BE94" s="378" t="n"/>
      <c r="BF94" s="142" t="n"/>
      <c r="BG94" s="378" t="n"/>
      <c r="BH94" s="142" t="n"/>
      <c r="BI94" s="318" t="n"/>
      <c r="BJ94" s="142" t="n"/>
      <c r="BK94" s="318" t="n"/>
      <c r="BL94" s="142" t="n"/>
      <c r="BM94" s="318" t="n"/>
      <c r="BN94" s="142" t="n"/>
      <c r="BO94" s="318" t="n"/>
      <c r="BP94" s="318" t="n"/>
      <c r="BQ94" s="142" t="n"/>
      <c r="BR94" s="318" t="n"/>
      <c r="BS94" s="142" t="n"/>
      <c r="BT94" s="318" t="n"/>
      <c r="BU94" s="142" t="n"/>
      <c r="BV94" s="318" t="n"/>
      <c r="BW94" s="142" t="n"/>
      <c r="BX94" s="318" t="n"/>
      <c r="BY94" s="142" t="n"/>
      <c r="BZ94" s="318" t="n"/>
      <c r="CA94" s="142" t="n"/>
      <c r="CB94" s="318" t="n"/>
      <c r="CC94" s="142" t="n"/>
      <c r="CD94" s="318" t="n"/>
      <c r="CE94" s="142" t="n"/>
      <c r="CF94" s="318" t="n"/>
      <c r="CG94" s="317" t="n"/>
      <c r="CH94" s="318" t="n"/>
      <c r="CI94" s="317" t="n"/>
      <c r="CJ94" s="318" t="n"/>
      <c r="CK94" s="317" t="n"/>
      <c r="CL94" s="318" t="n"/>
      <c r="CM94" s="317" t="n"/>
      <c r="CN94" s="318" t="n"/>
      <c r="CO94" s="80" t="n"/>
      <c r="CP94" s="318" t="n"/>
      <c r="CQ94" s="80" t="n"/>
      <c r="CR94" s="318" t="n"/>
      <c r="CS94" s="80" t="n"/>
      <c r="CT94" s="318" t="n"/>
      <c r="CU94" s="80" t="n"/>
      <c r="CV94" s="361" t="n"/>
      <c r="CW94" s="318" t="n"/>
      <c r="CX94" s="142" t="n"/>
      <c r="CY94" s="318" t="n"/>
      <c r="CZ94" s="142" t="n"/>
      <c r="DA94" s="318" t="n"/>
      <c r="DB94" s="142" t="n"/>
      <c r="DC94" s="318" t="n"/>
      <c r="DD94" s="142" t="n"/>
      <c r="DE94" s="385" t="n"/>
      <c r="DF94" s="385" t="n"/>
      <c r="DG94" s="318" t="n"/>
    </row>
    <row r="95" customFormat="1" s="117">
      <c r="A95" s="376" t="n">
        <v>44439</v>
      </c>
      <c r="B95" s="315" t="n">
        <v>9002.67</v>
      </c>
      <c r="C95" s="111">
        <f>B95/B83-1</f>
        <v/>
      </c>
      <c r="D95" s="111" t="n"/>
      <c r="E95" s="315" t="n">
        <v>8616.6</v>
      </c>
      <c r="F95" s="111">
        <f>E95/E83-1</f>
        <v/>
      </c>
      <c r="G95" s="111" t="n"/>
      <c r="H95" s="315" t="n">
        <v>335.17</v>
      </c>
      <c r="I95" s="111">
        <f>H95/H83-1</f>
        <v/>
      </c>
      <c r="J95" s="111" t="n"/>
      <c r="K95" s="315" t="n">
        <v>50.9</v>
      </c>
      <c r="L95" s="111">
        <f>K95/K83-1</f>
        <v/>
      </c>
      <c r="M95" s="111" t="n"/>
      <c r="N95" s="315" t="n">
        <v>5026.23</v>
      </c>
      <c r="O95" s="111">
        <f>N95/N83-1</f>
        <v/>
      </c>
      <c r="P95" s="111" t="n"/>
      <c r="Q95" s="315" t="n">
        <v>4801.58</v>
      </c>
      <c r="R95" s="111">
        <f>Q95/Q83-1</f>
        <v/>
      </c>
      <c r="S95" s="111" t="n"/>
      <c r="T95" s="315" t="n">
        <v>203.89</v>
      </c>
      <c r="U95" s="111">
        <f>T95/T83-1</f>
        <v/>
      </c>
      <c r="V95" s="111" t="n"/>
      <c r="W95" s="315" t="n">
        <v>20.76</v>
      </c>
      <c r="X95" s="111">
        <f>W95/W83-1</f>
        <v/>
      </c>
      <c r="Y95" s="111" t="n"/>
      <c r="Z95" s="315" t="n">
        <v>3557.98</v>
      </c>
      <c r="AA95" s="111">
        <f>Z95/Z83-1</f>
        <v/>
      </c>
      <c r="AB95" s="111" t="n"/>
      <c r="AC95" s="315" t="n">
        <v>3517.81</v>
      </c>
      <c r="AD95" s="111">
        <f>AC95/AC83-1</f>
        <v/>
      </c>
      <c r="AE95" s="111" t="n"/>
      <c r="AF95" s="315" t="n">
        <v>25.79</v>
      </c>
      <c r="AG95" s="111">
        <f>AF95/AF83-1</f>
        <v/>
      </c>
      <c r="AH95" s="111" t="n"/>
      <c r="AI95" s="315" t="n">
        <v>14.37</v>
      </c>
      <c r="AJ95" s="111">
        <f>AI95/AI83-1</f>
        <v/>
      </c>
      <c r="AK95" s="111" t="n"/>
      <c r="AL95" s="316" t="n">
        <v>55.83</v>
      </c>
      <c r="AM95" s="380">
        <f>AL95-AL83</f>
        <v/>
      </c>
      <c r="AN95" s="111" t="n"/>
      <c r="AO95" s="316" t="n">
        <v>55.72</v>
      </c>
      <c r="AP95" s="380">
        <f>AO95-AO83</f>
        <v/>
      </c>
      <c r="AQ95" s="111" t="n"/>
      <c r="AR95" s="316" t="n">
        <v>60.83</v>
      </c>
      <c r="AS95" s="380">
        <f>AR95-AR83</f>
        <v/>
      </c>
      <c r="AT95" s="111" t="n"/>
      <c r="AU95" s="316" t="n">
        <v>40.78</v>
      </c>
      <c r="AV95" s="380">
        <f>AU95-AU83</f>
        <v/>
      </c>
      <c r="AW95" s="111" t="n"/>
      <c r="AX95" s="315" t="n">
        <v>743</v>
      </c>
      <c r="AY95" s="111">
        <f>AX95/AX83-1</f>
        <v/>
      </c>
      <c r="AZ95" s="111" t="n"/>
      <c r="BA95" s="378" t="n"/>
      <c r="BB95" s="142" t="n"/>
      <c r="BC95" s="378" t="n"/>
      <c r="BD95" s="142" t="n"/>
      <c r="BE95" s="378" t="n"/>
      <c r="BF95" s="142" t="n"/>
      <c r="BG95" s="378" t="n"/>
      <c r="BH95" s="142" t="n"/>
      <c r="BI95" s="318" t="n"/>
      <c r="BJ95" s="142" t="n"/>
      <c r="BK95" s="318" t="n"/>
      <c r="BL95" s="142" t="n"/>
      <c r="BM95" s="318" t="n"/>
      <c r="BN95" s="142" t="n"/>
      <c r="BO95" s="318" t="n"/>
      <c r="BP95" s="318" t="n"/>
      <c r="BQ95" s="142" t="n"/>
      <c r="BR95" s="318" t="n"/>
      <c r="BS95" s="142" t="n"/>
      <c r="BT95" s="318" t="n"/>
      <c r="BU95" s="142" t="n"/>
      <c r="BV95" s="318" t="n"/>
      <c r="BW95" s="142" t="n"/>
      <c r="BX95" s="318" t="n"/>
      <c r="BY95" s="142" t="n"/>
      <c r="BZ95" s="318" t="n"/>
      <c r="CA95" s="142" t="n"/>
      <c r="CB95" s="318" t="n"/>
      <c r="CC95" s="142" t="n"/>
      <c r="CD95" s="318" t="n"/>
      <c r="CE95" s="142" t="n"/>
      <c r="CF95" s="318" t="n"/>
      <c r="CG95" s="317" t="n"/>
      <c r="CH95" s="318" t="n"/>
      <c r="CI95" s="317" t="n"/>
      <c r="CJ95" s="318" t="n"/>
      <c r="CK95" s="317" t="n"/>
      <c r="CL95" s="318" t="n"/>
      <c r="CM95" s="317" t="n"/>
      <c r="CN95" s="318" t="n"/>
      <c r="CO95" s="80" t="n"/>
      <c r="CP95" s="318" t="n"/>
      <c r="CQ95" s="80" t="n"/>
      <c r="CR95" s="318" t="n"/>
      <c r="CS95" s="80" t="n"/>
      <c r="CT95" s="318" t="n"/>
      <c r="CU95" s="80" t="n"/>
      <c r="CV95" s="361" t="n"/>
      <c r="CW95" s="318" t="n"/>
      <c r="CX95" s="142" t="n"/>
      <c r="CY95" s="318" t="n"/>
      <c r="CZ95" s="142" t="n"/>
      <c r="DA95" s="318" t="n"/>
      <c r="DB95" s="142" t="n"/>
      <c r="DC95" s="318" t="n"/>
      <c r="DD95" s="142" t="n"/>
      <c r="DE95" s="385" t="n"/>
      <c r="DF95" s="385" t="n"/>
      <c r="DG95" s="318" t="n"/>
    </row>
    <row r="96" customFormat="1" s="117">
      <c r="A96" s="376" t="n">
        <v>44469</v>
      </c>
      <c r="B96" s="315" t="n">
        <v>12977.83</v>
      </c>
      <c r="C96" s="111">
        <f>B96/B84-1</f>
        <v/>
      </c>
      <c r="D96" s="111" t="n"/>
      <c r="E96" s="315" t="n">
        <v>12636.37</v>
      </c>
      <c r="F96" s="111">
        <f>E96/E84-1</f>
        <v/>
      </c>
      <c r="G96" s="111" t="n"/>
      <c r="H96" s="315" t="n">
        <v>284.18</v>
      </c>
      <c r="I96" s="111">
        <f>H96/H84-1</f>
        <v/>
      </c>
      <c r="J96" s="111" t="n"/>
      <c r="K96" s="315" t="n">
        <v>57.28</v>
      </c>
      <c r="L96" s="111">
        <f>K96/K84-1</f>
        <v/>
      </c>
      <c r="M96" s="111" t="n"/>
      <c r="N96" s="315" t="n">
        <v>8408.139999999999</v>
      </c>
      <c r="O96" s="111">
        <f>N96/N84-1</f>
        <v/>
      </c>
      <c r="P96" s="111" t="n"/>
      <c r="Q96" s="315" t="n">
        <v>8209.76</v>
      </c>
      <c r="R96" s="111">
        <f>Q96/Q84-1</f>
        <v/>
      </c>
      <c r="S96" s="111" t="n"/>
      <c r="T96" s="315" t="n">
        <v>168.42</v>
      </c>
      <c r="U96" s="111">
        <f>T96/T84-1</f>
        <v/>
      </c>
      <c r="V96" s="111" t="n"/>
      <c r="W96" s="315" t="n">
        <v>29.95</v>
      </c>
      <c r="X96" s="111">
        <f>W96/W84-1</f>
        <v/>
      </c>
      <c r="Y96" s="111" t="n"/>
      <c r="Z96" s="315" t="n">
        <v>6130.21</v>
      </c>
      <c r="AA96" s="111">
        <f>Z96/Z84-1</f>
        <v/>
      </c>
      <c r="AB96" s="111" t="n"/>
      <c r="AC96" s="315" t="n">
        <v>6088.03</v>
      </c>
      <c r="AD96" s="111">
        <f>AC96/AC84-1</f>
        <v/>
      </c>
      <c r="AE96" s="111" t="n"/>
      <c r="AF96" s="315" t="n">
        <v>21.47</v>
      </c>
      <c r="AG96" s="111">
        <f>AF96/AF84-1</f>
        <v/>
      </c>
      <c r="AH96" s="111" t="n"/>
      <c r="AI96" s="315" t="n">
        <v>20.71</v>
      </c>
      <c r="AJ96" s="111">
        <f>AI96/AI84-1</f>
        <v/>
      </c>
      <c r="AK96" s="111" t="n"/>
      <c r="AL96" s="316" t="n">
        <v>64.79000000000001</v>
      </c>
      <c r="AM96" s="380">
        <f>AL96-AL84</f>
        <v/>
      </c>
      <c r="AN96" s="111" t="n"/>
      <c r="AO96" s="316" t="n">
        <v>64.97</v>
      </c>
      <c r="AP96" s="380">
        <f>AO96-AO84</f>
        <v/>
      </c>
      <c r="AQ96" s="111" t="n"/>
      <c r="AR96" s="316" t="n">
        <v>59.27</v>
      </c>
      <c r="AS96" s="380">
        <f>AR96-AR84</f>
        <v/>
      </c>
      <c r="AT96" s="111" t="n"/>
      <c r="AU96" s="316" t="n">
        <v>52.29</v>
      </c>
      <c r="AV96" s="380">
        <f>AU96-AU84</f>
        <v/>
      </c>
      <c r="AW96" s="111" t="n"/>
      <c r="AX96" s="315" t="n">
        <v>746</v>
      </c>
      <c r="AY96" s="111">
        <f>AX96/AX84-1</f>
        <v/>
      </c>
      <c r="AZ96" s="111" t="n"/>
      <c r="BA96" s="378" t="n"/>
      <c r="BB96" s="142" t="n"/>
      <c r="BC96" s="378" t="n"/>
      <c r="BD96" s="142" t="n"/>
      <c r="BE96" s="378" t="n"/>
      <c r="BF96" s="142" t="n"/>
      <c r="BG96" s="378" t="n"/>
      <c r="BH96" s="142" t="n"/>
      <c r="BI96" s="318" t="n"/>
      <c r="BJ96" s="142" t="n"/>
      <c r="BK96" s="318" t="n"/>
      <c r="BL96" s="142" t="n"/>
      <c r="BM96" s="318" t="n"/>
      <c r="BN96" s="142" t="n"/>
      <c r="BO96" s="318" t="n"/>
      <c r="BP96" s="318" t="n"/>
      <c r="BQ96" s="142" t="n"/>
      <c r="BR96" s="318" t="n"/>
      <c r="BS96" s="142" t="n"/>
      <c r="BT96" s="318" t="n"/>
      <c r="BU96" s="142" t="n"/>
      <c r="BV96" s="318" t="n"/>
      <c r="BW96" s="142" t="n"/>
      <c r="BX96" s="318" t="n"/>
      <c r="BY96" s="142" t="n"/>
      <c r="BZ96" s="318" t="n"/>
      <c r="CA96" s="142" t="n"/>
      <c r="CB96" s="318" t="n"/>
      <c r="CC96" s="142" t="n"/>
      <c r="CD96" s="318" t="n"/>
      <c r="CE96" s="142" t="n"/>
      <c r="CF96" s="318" t="n"/>
      <c r="CG96" s="317" t="n"/>
      <c r="CH96" s="318" t="n"/>
      <c r="CI96" s="317" t="n"/>
      <c r="CJ96" s="318" t="n"/>
      <c r="CK96" s="317" t="n"/>
      <c r="CL96" s="318" t="n"/>
      <c r="CM96" s="317" t="n"/>
      <c r="CN96" s="318" t="n"/>
      <c r="CO96" s="80" t="n"/>
      <c r="CP96" s="318" t="n"/>
      <c r="CQ96" s="80" t="n"/>
      <c r="CR96" s="318" t="n"/>
      <c r="CS96" s="80" t="n"/>
      <c r="CT96" s="318" t="n"/>
      <c r="CU96" s="80" t="n"/>
      <c r="CV96" s="361" t="n"/>
      <c r="CW96" s="318" t="n"/>
      <c r="CX96" s="142" t="n"/>
      <c r="CY96" s="318" t="n"/>
      <c r="CZ96" s="142" t="n"/>
      <c r="DA96" s="318" t="n"/>
      <c r="DB96" s="142" t="n"/>
      <c r="DC96" s="318" t="n"/>
      <c r="DD96" s="142" t="n"/>
      <c r="DE96" s="385" t="n"/>
      <c r="DF96" s="385" t="n"/>
      <c r="DG96" s="318" t="n"/>
    </row>
    <row r="97" customFormat="1" s="117">
      <c r="A97" s="376" t="n">
        <v>44500</v>
      </c>
      <c r="B97" s="315" t="n">
        <v>14988.14</v>
      </c>
      <c r="C97" s="111">
        <f>B97/B85-1</f>
        <v/>
      </c>
      <c r="D97" s="111" t="n"/>
      <c r="E97" s="315" t="n">
        <v>14653.85</v>
      </c>
      <c r="F97" s="111">
        <f>E97/E85-1</f>
        <v/>
      </c>
      <c r="G97" s="111" t="n"/>
      <c r="H97" s="315" t="n">
        <v>278.8</v>
      </c>
      <c r="I97" s="111">
        <f>H97/H85-1</f>
        <v/>
      </c>
      <c r="J97" s="111" t="n"/>
      <c r="K97" s="315" t="n">
        <v>55.48</v>
      </c>
      <c r="L97" s="111">
        <f>K97/K85-1</f>
        <v/>
      </c>
      <c r="M97" s="111" t="n"/>
      <c r="N97" s="315" t="n">
        <v>9700.629999999999</v>
      </c>
      <c r="O97" s="111">
        <f>N97/N85-1</f>
        <v/>
      </c>
      <c r="P97" s="111" t="n"/>
      <c r="Q97" s="315" t="n">
        <v>9521.870000000001</v>
      </c>
      <c r="R97" s="111">
        <f>Q97/Q85-1</f>
        <v/>
      </c>
      <c r="S97" s="111" t="n"/>
      <c r="T97" s="315" t="n">
        <v>152.38</v>
      </c>
      <c r="U97" s="111">
        <f>T97/T85-1</f>
        <v/>
      </c>
      <c r="V97" s="111" t="n"/>
      <c r="W97" s="315" t="n">
        <v>26.38</v>
      </c>
      <c r="X97" s="111">
        <f>W97/W85-1</f>
        <v/>
      </c>
      <c r="Y97" s="111" t="n"/>
      <c r="Z97" s="315" t="n">
        <v>7133.17</v>
      </c>
      <c r="AA97" s="111">
        <f>Z97/Z85-1</f>
        <v/>
      </c>
      <c r="AB97" s="111" t="n"/>
      <c r="AC97" s="315" t="n">
        <v>7094.03</v>
      </c>
      <c r="AD97" s="111">
        <f>AC97/AC85-1</f>
        <v/>
      </c>
      <c r="AE97" s="111" t="n"/>
      <c r="AF97" s="315" t="n">
        <v>20.3</v>
      </c>
      <c r="AG97" s="111">
        <f>AF97/AF85-1</f>
        <v/>
      </c>
      <c r="AH97" s="111" t="n"/>
      <c r="AI97" s="315" t="n">
        <v>18.84</v>
      </c>
      <c r="AJ97" s="111">
        <f>AI97/AI85-1</f>
        <v/>
      </c>
      <c r="AK97" s="111" t="n"/>
      <c r="AL97" s="316" t="n">
        <v>64.72</v>
      </c>
      <c r="AM97" s="380">
        <f>AL97-AL85</f>
        <v/>
      </c>
      <c r="AN97" s="111" t="n"/>
      <c r="AO97" s="316" t="n">
        <v>64.98</v>
      </c>
      <c r="AP97" s="380">
        <f>AO97-AO85</f>
        <v/>
      </c>
      <c r="AQ97" s="111" t="n"/>
      <c r="AR97" s="316" t="n">
        <v>54.66</v>
      </c>
      <c r="AS97" s="380">
        <f>AR97-AR85</f>
        <v/>
      </c>
      <c r="AT97" s="111" t="n"/>
      <c r="AU97" s="316" t="n">
        <v>47.55</v>
      </c>
      <c r="AV97" s="380">
        <f>AU97-AU85</f>
        <v/>
      </c>
      <c r="AW97" s="111" t="n"/>
      <c r="AX97" s="315" t="n">
        <v>748</v>
      </c>
      <c r="AY97" s="111">
        <f>AX97/AX85-1</f>
        <v/>
      </c>
      <c r="AZ97" s="111" t="n"/>
      <c r="BA97" s="378" t="n"/>
      <c r="BB97" s="142" t="n"/>
      <c r="BC97" s="378" t="n"/>
      <c r="BD97" s="142" t="n"/>
      <c r="BE97" s="378" t="n"/>
      <c r="BF97" s="142" t="n"/>
      <c r="BG97" s="378" t="n"/>
      <c r="BH97" s="142" t="n"/>
      <c r="BI97" s="318" t="n"/>
      <c r="BJ97" s="142" t="n"/>
      <c r="BK97" s="318" t="n"/>
      <c r="BL97" s="142" t="n"/>
      <c r="BM97" s="318" t="n"/>
      <c r="BN97" s="142" t="n"/>
      <c r="BO97" s="318" t="n"/>
      <c r="BP97" s="318" t="n"/>
      <c r="BQ97" s="142" t="n"/>
      <c r="BR97" s="318" t="n"/>
      <c r="BS97" s="142" t="n"/>
      <c r="BT97" s="318" t="n"/>
      <c r="BU97" s="142" t="n"/>
      <c r="BV97" s="318" t="n"/>
      <c r="BW97" s="142" t="n"/>
      <c r="BX97" s="318" t="n"/>
      <c r="BY97" s="142" t="n"/>
      <c r="BZ97" s="318" t="n"/>
      <c r="CA97" s="142" t="n"/>
      <c r="CB97" s="318" t="n"/>
      <c r="CC97" s="142" t="n"/>
      <c r="CD97" s="318" t="n"/>
      <c r="CE97" s="142" t="n"/>
      <c r="CF97" s="318" t="n"/>
      <c r="CG97" s="317" t="n"/>
      <c r="CH97" s="318" t="n"/>
      <c r="CI97" s="317" t="n"/>
      <c r="CJ97" s="318" t="n"/>
      <c r="CK97" s="317" t="n"/>
      <c r="CL97" s="318" t="n"/>
      <c r="CM97" s="317" t="n"/>
      <c r="CN97" s="318" t="n"/>
      <c r="CO97" s="80" t="n"/>
      <c r="CP97" s="318" t="n"/>
      <c r="CQ97" s="80" t="n"/>
      <c r="CR97" s="318" t="n"/>
      <c r="CS97" s="80" t="n"/>
      <c r="CT97" s="318" t="n"/>
      <c r="CU97" s="80" t="n"/>
      <c r="CV97" s="361" t="n"/>
      <c r="CW97" s="318" t="n"/>
      <c r="CX97" s="142" t="n"/>
      <c r="CY97" s="318" t="n"/>
      <c r="CZ97" s="142" t="n"/>
      <c r="DA97" s="318" t="n"/>
      <c r="DB97" s="142" t="n"/>
      <c r="DC97" s="318" t="n"/>
      <c r="DD97" s="142" t="n"/>
      <c r="DE97" s="385" t="n"/>
      <c r="DF97" s="385" t="n"/>
      <c r="DG97" s="318" t="n"/>
    </row>
    <row r="98" customFormat="1" s="117">
      <c r="A98" s="376" t="n">
        <v>44530</v>
      </c>
      <c r="B98" s="315" t="n">
        <v>10140.96</v>
      </c>
      <c r="C98" s="111">
        <f>B98/B86-1</f>
        <v/>
      </c>
      <c r="D98" s="111" t="n"/>
      <c r="E98" s="315" t="n">
        <v>9767.77</v>
      </c>
      <c r="F98" s="111">
        <f>E98/E86-1</f>
        <v/>
      </c>
      <c r="G98" s="111" t="n"/>
      <c r="H98" s="315" t="n">
        <v>312.6</v>
      </c>
      <c r="I98" s="111">
        <f>H98/H86-1</f>
        <v/>
      </c>
      <c r="J98" s="111" t="n"/>
      <c r="K98" s="315" t="n">
        <v>60.6</v>
      </c>
      <c r="L98" s="111">
        <f>K98/K86-1</f>
        <v/>
      </c>
      <c r="M98" s="111" t="n"/>
      <c r="N98" s="315" t="n">
        <v>5916.61</v>
      </c>
      <c r="O98" s="111">
        <f>N98/N86-1</f>
        <v/>
      </c>
      <c r="P98" s="111" t="n"/>
      <c r="Q98" s="315" t="n">
        <v>5726.94</v>
      </c>
      <c r="R98" s="111">
        <f>Q98/Q86-1</f>
        <v/>
      </c>
      <c r="S98" s="111" t="n"/>
      <c r="T98" s="315" t="n">
        <v>158.06</v>
      </c>
      <c r="U98" s="111">
        <f>T98/T86-1</f>
        <v/>
      </c>
      <c r="V98" s="111" t="n"/>
      <c r="W98" s="315" t="n">
        <v>31.61</v>
      </c>
      <c r="X98" s="111">
        <f>W98/W86-1</f>
        <v/>
      </c>
      <c r="Y98" s="111" t="n"/>
      <c r="Z98" s="315" t="n">
        <v>4300.28</v>
      </c>
      <c r="AA98" s="111">
        <f>Z98/Z86-1</f>
        <v/>
      </c>
      <c r="AB98" s="111" t="n"/>
      <c r="AC98" s="315" t="n">
        <v>4256.85</v>
      </c>
      <c r="AD98" s="111">
        <f>AC98/AC86-1</f>
        <v/>
      </c>
      <c r="AE98" s="111" t="n"/>
      <c r="AF98" s="315" t="n">
        <v>22.27</v>
      </c>
      <c r="AG98" s="111">
        <f>AF98/AF86-1</f>
        <v/>
      </c>
      <c r="AH98" s="111" t="n"/>
      <c r="AI98" s="315" t="n">
        <v>21.16</v>
      </c>
      <c r="AJ98" s="111">
        <f>AI98/AI86-1</f>
        <v/>
      </c>
      <c r="AK98" s="111" t="n"/>
      <c r="AL98" s="316" t="n">
        <v>58.34</v>
      </c>
      <c r="AM98" s="380">
        <f>AL98-AL86</f>
        <v/>
      </c>
      <c r="AN98" s="111" t="n"/>
      <c r="AO98" s="316" t="n">
        <v>58.63</v>
      </c>
      <c r="AP98" s="380">
        <f>AO98-AO86</f>
        <v/>
      </c>
      <c r="AQ98" s="111" t="n"/>
      <c r="AR98" s="316" t="n">
        <v>50.56</v>
      </c>
      <c r="AS98" s="380">
        <f>AR98-AR86</f>
        <v/>
      </c>
      <c r="AT98" s="111" t="n"/>
      <c r="AU98" s="316" t="n">
        <v>52.16</v>
      </c>
      <c r="AV98" s="380">
        <f>AU98-AU86</f>
        <v/>
      </c>
      <c r="AW98" s="111" t="n"/>
      <c r="AX98" s="315" t="n">
        <v>750</v>
      </c>
      <c r="AY98" s="111">
        <f>AX98/AX86-1</f>
        <v/>
      </c>
      <c r="AZ98" s="111" t="n"/>
      <c r="BA98" s="378" t="n"/>
      <c r="BB98" s="142" t="n"/>
      <c r="BC98" s="378" t="n"/>
      <c r="BD98" s="142" t="n"/>
      <c r="BE98" s="378" t="n"/>
      <c r="BF98" s="142" t="n"/>
      <c r="BG98" s="378" t="n"/>
      <c r="BH98" s="142" t="n"/>
      <c r="BI98" s="318" t="n"/>
      <c r="BJ98" s="142" t="n"/>
      <c r="BK98" s="318" t="n"/>
      <c r="BL98" s="142" t="n"/>
      <c r="BM98" s="318" t="n"/>
      <c r="BN98" s="142" t="n"/>
      <c r="BP98" s="388" t="n"/>
      <c r="BQ98" s="142" t="n"/>
      <c r="BR98" s="388" t="n"/>
      <c r="BS98" s="142" t="n"/>
      <c r="BT98" s="388" t="n"/>
      <c r="BU98" s="142" t="n"/>
      <c r="BV98" s="388" t="n"/>
      <c r="BW98" s="142" t="n"/>
      <c r="BX98" s="388" t="n"/>
      <c r="BY98" s="142" t="n"/>
      <c r="BZ98" s="388" t="n"/>
      <c r="CA98" s="142" t="n"/>
      <c r="CB98" s="388" t="n"/>
      <c r="CC98" s="142" t="n"/>
      <c r="CD98" s="388" t="n"/>
      <c r="CE98" s="142" t="n"/>
      <c r="CF98" s="388" t="n"/>
      <c r="CG98" s="317" t="n"/>
      <c r="CH98" s="388" t="n"/>
      <c r="CI98" s="317" t="n"/>
      <c r="CJ98" s="388" t="n"/>
      <c r="CK98" s="317" t="n"/>
      <c r="CL98" s="388" t="n"/>
      <c r="CM98" s="317" t="n"/>
      <c r="CN98" s="318" t="n"/>
      <c r="CO98" s="80" t="n"/>
      <c r="CP98" s="318" t="n"/>
      <c r="CQ98" s="80" t="n"/>
      <c r="CR98" s="318" t="n"/>
      <c r="CS98" s="80" t="n"/>
      <c r="CT98" s="318" t="n"/>
      <c r="CU98" s="80" t="n"/>
      <c r="CV98" s="361" t="n"/>
      <c r="CW98" s="388" t="n"/>
      <c r="CX98" s="142" t="n"/>
      <c r="CY98" s="388" t="n"/>
      <c r="CZ98" s="142" t="n"/>
      <c r="DA98" s="388" t="n"/>
      <c r="DB98" s="142" t="n"/>
      <c r="DC98" s="388" t="n"/>
      <c r="DD98" s="142" t="n"/>
      <c r="DE98" s="385" t="n"/>
      <c r="DF98" s="385" t="n"/>
    </row>
    <row r="99" customFormat="1" s="117">
      <c r="A99" s="376" t="n">
        <v>44561</v>
      </c>
      <c r="B99" s="315" t="n">
        <v>11317.84</v>
      </c>
      <c r="C99" s="111">
        <f>B99/B87-1</f>
        <v/>
      </c>
      <c r="D99" s="111" t="n"/>
      <c r="E99" s="315" t="n">
        <v>10926.33</v>
      </c>
      <c r="F99" s="111">
        <f>E99/E87-1</f>
        <v/>
      </c>
      <c r="G99" s="111" t="n"/>
      <c r="H99" s="315" t="n">
        <v>316.57</v>
      </c>
      <c r="I99" s="111">
        <f>H99/H87-1</f>
        <v/>
      </c>
      <c r="J99" s="111" t="n"/>
      <c r="K99" s="315" t="n">
        <v>74.94</v>
      </c>
      <c r="L99" s="111">
        <f>K99/K87-1</f>
        <v/>
      </c>
      <c r="M99" s="111" t="n"/>
      <c r="N99" s="315" t="n">
        <v>6676.87</v>
      </c>
      <c r="O99" s="111">
        <f>N99/N87-1</f>
        <v/>
      </c>
      <c r="P99" s="111" t="n"/>
      <c r="Q99" s="315" t="n">
        <v>6474.2</v>
      </c>
      <c r="R99" s="111">
        <f>Q99/Q87-1</f>
        <v/>
      </c>
      <c r="S99" s="111" t="n"/>
      <c r="T99" s="315" t="n">
        <v>155.4</v>
      </c>
      <c r="U99" s="111">
        <f>T99/T87-1</f>
        <v/>
      </c>
      <c r="V99" s="111" t="n"/>
      <c r="W99" s="315" t="n">
        <v>47.27</v>
      </c>
      <c r="X99" s="111">
        <f>W99/W87-1</f>
        <v/>
      </c>
      <c r="Y99" s="111" t="n"/>
      <c r="Z99" s="315" t="n">
        <v>4814.1</v>
      </c>
      <c r="AA99" s="111">
        <f>Z99/Z87-1</f>
        <v/>
      </c>
      <c r="AB99" s="111" t="n"/>
      <c r="AC99" s="315" t="n">
        <v>4759.38</v>
      </c>
      <c r="AD99" s="111">
        <f>AC99/AC87-1</f>
        <v/>
      </c>
      <c r="AE99" s="111" t="n"/>
      <c r="AF99" s="315" t="n">
        <v>23.24</v>
      </c>
      <c r="AG99" s="111">
        <f>AF99/AF87-1</f>
        <v/>
      </c>
      <c r="AH99" s="111" t="n"/>
      <c r="AI99" s="315" t="n">
        <v>31.49</v>
      </c>
      <c r="AJ99" s="111">
        <f>AI99/AI87-1</f>
        <v/>
      </c>
      <c r="AK99" s="111" t="n"/>
      <c r="AL99" s="316" t="n">
        <v>58.99</v>
      </c>
      <c r="AM99" s="380">
        <f>AL99-AL87</f>
        <v/>
      </c>
      <c r="AN99" s="111" t="n"/>
      <c r="AO99" s="316" t="n">
        <v>59.25</v>
      </c>
      <c r="AP99" s="380">
        <f>AO99-AO87</f>
        <v/>
      </c>
      <c r="AQ99" s="111" t="n"/>
      <c r="AR99" s="316" t="n">
        <v>49.09</v>
      </c>
      <c r="AS99" s="380">
        <f>AR99-AR87</f>
        <v/>
      </c>
      <c r="AT99" s="111" t="n"/>
      <c r="AU99" s="316" t="n">
        <v>63.07</v>
      </c>
      <c r="AV99" s="380">
        <f>AU99-AU87</f>
        <v/>
      </c>
      <c r="AW99" s="111" t="n"/>
      <c r="AX99" s="315" t="n">
        <v>752</v>
      </c>
      <c r="AY99" s="111">
        <f>AX99/AX87-1</f>
        <v/>
      </c>
      <c r="AZ99" s="111" t="n"/>
      <c r="BA99" s="378" t="n"/>
      <c r="BB99" s="142" t="n"/>
      <c r="BC99" s="378" t="n"/>
      <c r="BD99" s="142" t="n"/>
      <c r="BE99" s="378" t="n"/>
      <c r="BF99" s="142" t="n"/>
      <c r="BG99" s="378" t="n"/>
      <c r="BH99" s="142" t="n"/>
      <c r="BI99" s="318" t="n"/>
      <c r="BJ99" s="142" t="n"/>
      <c r="BK99" s="318" t="n"/>
      <c r="BL99" s="142" t="n"/>
      <c r="BM99" s="318" t="n"/>
      <c r="BN99" s="142" t="n"/>
      <c r="BP99" s="388" t="n"/>
      <c r="BQ99" s="142" t="n"/>
      <c r="BR99" s="388" t="n"/>
      <c r="BS99" s="142" t="n"/>
      <c r="BT99" s="388" t="n"/>
      <c r="BU99" s="142" t="n"/>
      <c r="BV99" s="388" t="n"/>
      <c r="BW99" s="142" t="n"/>
      <c r="BX99" s="388" t="n"/>
      <c r="BY99" s="142" t="n"/>
      <c r="BZ99" s="388" t="n"/>
      <c r="CA99" s="142" t="n"/>
      <c r="CB99" s="388" t="n"/>
      <c r="CC99" s="142" t="n"/>
      <c r="CD99" s="388" t="n"/>
      <c r="CE99" s="142" t="n"/>
      <c r="CF99" s="388" t="n"/>
      <c r="CG99" s="317" t="n"/>
      <c r="CH99" s="388" t="n"/>
      <c r="CI99" s="317" t="n"/>
      <c r="CJ99" s="388" t="n"/>
      <c r="CK99" s="317" t="n"/>
      <c r="CL99" s="388" t="n"/>
      <c r="CM99" s="317" t="n"/>
      <c r="CN99" s="318" t="n"/>
      <c r="CO99" s="80" t="n"/>
      <c r="CP99" s="318" t="n"/>
      <c r="CQ99" s="80" t="n"/>
      <c r="CR99" s="318" t="n"/>
      <c r="CS99" s="80" t="n"/>
      <c r="CT99" s="318" t="n"/>
      <c r="CU99" s="80" t="n"/>
      <c r="CV99" s="361" t="n"/>
      <c r="CW99" s="388" t="n"/>
      <c r="CX99" s="142" t="n"/>
      <c r="CY99" s="388" t="n"/>
      <c r="CZ99" s="142" t="n"/>
      <c r="DA99" s="388" t="n"/>
      <c r="DB99" s="142" t="n"/>
      <c r="DC99" s="388" t="n"/>
      <c r="DD99" s="142" t="n"/>
      <c r="DE99" s="385" t="n"/>
      <c r="DF99" s="356" t="n"/>
    </row>
    <row r="100" customFormat="1" s="117">
      <c r="A100" s="371" t="n">
        <v>44592</v>
      </c>
      <c r="B100" s="158" t="n">
        <v>12788.3</v>
      </c>
      <c r="C100" s="111">
        <f>B100/B88-1</f>
        <v/>
      </c>
      <c r="D100" s="111" t="n"/>
      <c r="E100" s="158" t="n">
        <v>12436.96</v>
      </c>
      <c r="F100" s="111">
        <f>E100/E88-1</f>
        <v/>
      </c>
      <c r="G100" s="111" t="n"/>
      <c r="H100" s="158" t="n">
        <v>260.24</v>
      </c>
      <c r="I100" s="111">
        <f>H100/H88-1</f>
        <v/>
      </c>
      <c r="J100" s="111" t="n"/>
      <c r="K100" s="158" t="n">
        <v>91.11</v>
      </c>
      <c r="L100" s="111">
        <f>K100/K88-1</f>
        <v/>
      </c>
      <c r="M100" s="111" t="n"/>
      <c r="N100" s="158" t="n">
        <v>7177.58</v>
      </c>
      <c r="O100" s="111">
        <f>N100/N88-1</f>
        <v/>
      </c>
      <c r="P100" s="111" t="n"/>
      <c r="Q100" s="158" t="n">
        <v>7000.25</v>
      </c>
      <c r="R100" s="111">
        <f>Q100/Q88-1</f>
        <v/>
      </c>
      <c r="S100" s="111" t="n"/>
      <c r="T100" s="158" t="n">
        <v>121.32</v>
      </c>
      <c r="U100" s="111">
        <f>T100/T88-1</f>
        <v/>
      </c>
      <c r="V100" s="111" t="n"/>
      <c r="W100" s="158" t="n">
        <v>56.02</v>
      </c>
      <c r="X100" s="111">
        <f>W100/W88-1</f>
        <v/>
      </c>
      <c r="Y100" s="111" t="n"/>
      <c r="Z100" s="158" t="n">
        <v>5023.59</v>
      </c>
      <c r="AA100" s="111">
        <f>Z100/Z88-1</f>
        <v/>
      </c>
      <c r="AB100" s="111" t="n"/>
      <c r="AC100" s="158" t="n">
        <v>4967.61</v>
      </c>
      <c r="AD100" s="111">
        <f>AC100/AC88-1</f>
        <v/>
      </c>
      <c r="AE100" s="111" t="n"/>
      <c r="AF100" s="158" t="n">
        <v>18.44</v>
      </c>
      <c r="AG100" s="111">
        <f>AF100/AF88-1</f>
        <v/>
      </c>
      <c r="AH100" s="111" t="n"/>
      <c r="AI100" s="158" t="n">
        <v>37.54</v>
      </c>
      <c r="AJ100" s="111">
        <f>AI100/AI88-1</f>
        <v/>
      </c>
      <c r="AK100" s="111" t="n"/>
      <c r="AL100" s="389" t="n">
        <v>56.13</v>
      </c>
      <c r="AM100" s="380">
        <f>AL100-AL88</f>
        <v/>
      </c>
      <c r="AN100" s="111" t="n"/>
      <c r="AO100" s="389" t="n">
        <v>56.29</v>
      </c>
      <c r="AP100" s="380">
        <f>AO100-AO88</f>
        <v/>
      </c>
      <c r="AQ100" s="111" t="n"/>
      <c r="AR100" s="389" t="n">
        <v>46.62</v>
      </c>
      <c r="AS100" s="380">
        <f>AR100-AR88</f>
        <v/>
      </c>
      <c r="AT100" s="111" t="n"/>
      <c r="AU100" s="389" t="n">
        <v>61.49</v>
      </c>
      <c r="AV100" s="380">
        <f>AU100-AU88</f>
        <v/>
      </c>
      <c r="AW100" s="111" t="n"/>
      <c r="AX100" s="158" t="n">
        <v>751</v>
      </c>
      <c r="AY100" s="111">
        <f>AX100/AX88-1</f>
        <v/>
      </c>
      <c r="AZ100" s="111" t="n"/>
      <c r="BA100" s="378" t="n"/>
      <c r="BB100" s="142" t="n"/>
      <c r="BC100" s="378" t="n"/>
      <c r="BD100" s="142" t="n"/>
      <c r="BE100" s="378" t="n"/>
      <c r="BF100" s="142" t="n"/>
      <c r="BG100" s="378" t="n"/>
      <c r="BH100" s="142" t="n"/>
      <c r="BI100" s="318" t="n"/>
      <c r="BJ100" s="142" t="n"/>
      <c r="BK100" s="318" t="n"/>
      <c r="BL100" s="142" t="n"/>
      <c r="BM100" s="318" t="n"/>
      <c r="BN100" s="142" t="n"/>
      <c r="BP100" s="388" t="n"/>
      <c r="BQ100" s="142" t="n"/>
      <c r="BR100" s="388" t="n"/>
      <c r="BS100" s="142" t="n"/>
      <c r="BT100" s="388" t="n"/>
      <c r="BU100" s="142" t="n"/>
      <c r="BV100" s="388" t="n"/>
      <c r="BW100" s="142" t="n"/>
      <c r="BX100" s="388" t="n"/>
      <c r="BY100" s="142" t="n"/>
      <c r="BZ100" s="388" t="n"/>
      <c r="CA100" s="142" t="n"/>
      <c r="CB100" s="388" t="n"/>
      <c r="CC100" s="142" t="n"/>
      <c r="CD100" s="388" t="n"/>
      <c r="CE100" s="142" t="n"/>
      <c r="CF100" s="388" t="n"/>
      <c r="CG100" s="317" t="n"/>
      <c r="CH100" s="388" t="n"/>
      <c r="CI100" s="317" t="n"/>
      <c r="CJ100" s="388" t="n"/>
      <c r="CK100" s="317" t="n"/>
      <c r="CL100" s="388" t="n"/>
      <c r="CM100" s="317" t="n"/>
      <c r="CN100" s="318" t="n"/>
      <c r="CO100" s="80" t="n"/>
      <c r="CP100" s="318" t="n"/>
      <c r="CQ100" s="80" t="n"/>
      <c r="CR100" s="318" t="n"/>
      <c r="CS100" s="80" t="n"/>
      <c r="CT100" s="318" t="n"/>
      <c r="CU100" s="80" t="n"/>
      <c r="CW100" s="388" t="n"/>
      <c r="CX100" s="142" t="n"/>
      <c r="CY100" s="388" t="n"/>
      <c r="CZ100" s="142" t="n"/>
      <c r="DA100" s="388" t="n"/>
      <c r="DB100" s="142" t="n"/>
      <c r="DC100" s="388" t="n"/>
      <c r="DD100" s="142" t="n"/>
      <c r="DE100" s="385" t="n"/>
      <c r="DF100" s="356" t="n"/>
    </row>
    <row r="101" customFormat="1" s="117">
      <c r="A101" s="376" t="n">
        <v>44620</v>
      </c>
      <c r="B101" s="315" t="n">
        <v>12567.14</v>
      </c>
      <c r="C101" s="111">
        <f>B101/B89-1</f>
        <v/>
      </c>
      <c r="D101" s="111" t="n"/>
      <c r="E101" s="315" t="n">
        <v>12285.5</v>
      </c>
      <c r="F101" s="111">
        <f>E101/E89-1</f>
        <v/>
      </c>
      <c r="G101" s="111" t="n"/>
      <c r="H101" s="315" t="n">
        <v>187.91</v>
      </c>
      <c r="I101" s="111">
        <f>H101/H89-1</f>
        <v/>
      </c>
      <c r="J101" s="111" t="n"/>
      <c r="K101" s="315" t="n">
        <v>93.72</v>
      </c>
      <c r="L101" s="111">
        <f>K101/K89-1</f>
        <v/>
      </c>
      <c r="M101" s="111" t="n"/>
      <c r="N101" s="315" t="n">
        <v>8060.55</v>
      </c>
      <c r="O101" s="111">
        <f>N101/N89-1</f>
        <v/>
      </c>
      <c r="P101" s="111" t="n"/>
      <c r="Q101" s="315" t="n">
        <v>7914.94</v>
      </c>
      <c r="R101" s="111">
        <f>Q101/Q89-1</f>
        <v/>
      </c>
      <c r="S101" s="111" t="n"/>
      <c r="T101" s="315" t="n">
        <v>89.5</v>
      </c>
      <c r="U101" s="111">
        <f>T101/T89-1</f>
        <v/>
      </c>
      <c r="V101" s="111" t="n"/>
      <c r="W101" s="315" t="n">
        <v>56.11</v>
      </c>
      <c r="X101" s="111">
        <f>W101/W89-1</f>
        <v/>
      </c>
      <c r="Y101" s="111" t="n"/>
      <c r="Z101" s="315" t="n">
        <v>5603.48</v>
      </c>
      <c r="AA101" s="111">
        <f>Z101/Z89-1</f>
        <v/>
      </c>
      <c r="AB101" s="111" t="n"/>
      <c r="AC101" s="315" t="n">
        <v>5551.1</v>
      </c>
      <c r="AD101" s="111">
        <f>AC101/AC89-1</f>
        <v/>
      </c>
      <c r="AE101" s="111" t="n"/>
      <c r="AF101" s="315" t="n">
        <v>14.69</v>
      </c>
      <c r="AG101" s="111">
        <f>AF101/AF89-1</f>
        <v/>
      </c>
      <c r="AH101" s="111" t="n"/>
      <c r="AI101" s="315" t="n">
        <v>37.69</v>
      </c>
      <c r="AJ101" s="111">
        <f>AI101/AI89-1</f>
        <v/>
      </c>
      <c r="AK101" s="111" t="n"/>
      <c r="AL101" s="316" t="n">
        <v>64.14</v>
      </c>
      <c r="AM101" s="380">
        <f>AL101-AL89</f>
        <v/>
      </c>
      <c r="AN101" s="111" t="n"/>
      <c r="AO101" s="316" t="n">
        <v>64.43000000000001</v>
      </c>
      <c r="AP101" s="380">
        <f>AO101-AO89</f>
        <v/>
      </c>
      <c r="AQ101" s="111" t="n"/>
      <c r="AR101" s="316" t="n">
        <v>47.63</v>
      </c>
      <c r="AS101" s="380">
        <f>AR101-AR89</f>
        <v/>
      </c>
      <c r="AT101" s="111" t="n"/>
      <c r="AU101" s="316" t="n">
        <v>59.87</v>
      </c>
      <c r="AV101" s="380">
        <f>AU101-AU89</f>
        <v/>
      </c>
      <c r="AW101" s="111" t="n"/>
      <c r="AX101" s="315" t="n">
        <v>752</v>
      </c>
      <c r="AY101" s="111">
        <f>AX101/AX89-1</f>
        <v/>
      </c>
      <c r="AZ101" s="111" t="n"/>
      <c r="BA101" s="378" t="n"/>
      <c r="BB101" s="142" t="n"/>
      <c r="BC101" s="378" t="n"/>
      <c r="BD101" s="142" t="n"/>
      <c r="BE101" s="378" t="n"/>
      <c r="BF101" s="142" t="n"/>
      <c r="BG101" s="378" t="n"/>
      <c r="BH101" s="142" t="n"/>
      <c r="BI101" s="318" t="n"/>
      <c r="BJ101" s="142" t="n"/>
      <c r="BK101" s="318" t="n"/>
      <c r="BL101" s="142" t="n"/>
      <c r="BM101" s="318" t="n"/>
      <c r="BN101" s="142" t="n"/>
      <c r="BP101" s="318" t="n"/>
      <c r="BQ101" s="142" t="n"/>
      <c r="BR101" s="388" t="n"/>
      <c r="BS101" s="142" t="n"/>
      <c r="BT101" s="388" t="n"/>
      <c r="BU101" s="142" t="n"/>
      <c r="BV101" s="318" t="n"/>
      <c r="BW101" s="142" t="n"/>
      <c r="BX101" s="388" t="n"/>
      <c r="BY101" s="142" t="n"/>
      <c r="BZ101" s="318" t="n"/>
      <c r="CA101" s="142" t="n"/>
      <c r="CB101" s="388" t="n"/>
      <c r="CC101" s="142" t="n"/>
      <c r="CD101" s="388" t="n"/>
      <c r="CE101" s="142" t="n"/>
      <c r="CF101" s="388" t="n"/>
      <c r="CG101" s="317" t="n"/>
      <c r="CH101" s="318" t="n"/>
      <c r="CI101" s="317" t="n"/>
      <c r="CJ101" s="318" t="n"/>
      <c r="CK101" s="317" t="n"/>
      <c r="CL101" s="388" t="n"/>
      <c r="CM101" s="317" t="n"/>
      <c r="CN101" s="318" t="n"/>
      <c r="CO101" s="80" t="n"/>
      <c r="CP101" s="318" t="n"/>
      <c r="CQ101" s="80" t="n"/>
      <c r="CR101" s="318" t="n"/>
      <c r="CS101" s="80" t="n"/>
      <c r="CT101" s="318" t="n"/>
      <c r="CU101" s="80" t="n"/>
      <c r="CV101" s="361" t="n"/>
      <c r="CW101" s="318" t="n"/>
      <c r="CX101" s="142" t="n"/>
      <c r="CY101" s="388" t="n"/>
      <c r="CZ101" s="142" t="n"/>
      <c r="DA101" s="388" t="n"/>
      <c r="DB101" s="142" t="n"/>
      <c r="DC101" s="388" t="n"/>
      <c r="DD101" s="142" t="n"/>
      <c r="DE101" s="385" t="n"/>
      <c r="DF101" s="356" t="n"/>
    </row>
    <row r="102" customFormat="1" s="117">
      <c r="A102" s="376" t="n">
        <v>44651</v>
      </c>
      <c r="B102" s="315" t="n">
        <v>6166.79</v>
      </c>
      <c r="C102" s="111">
        <f>B102/B90-1</f>
        <v/>
      </c>
      <c r="D102" s="111" t="n"/>
      <c r="E102" s="315" t="n">
        <v>5890.04</v>
      </c>
      <c r="F102" s="111">
        <f>E102/E90-1</f>
        <v/>
      </c>
      <c r="G102" s="111" t="n"/>
      <c r="H102" s="315" t="n">
        <v>232.86</v>
      </c>
      <c r="I102" s="111">
        <f>H102/H90-1</f>
        <v/>
      </c>
      <c r="J102" s="111" t="n"/>
      <c r="K102" s="315" t="n">
        <v>43.89</v>
      </c>
      <c r="L102" s="111">
        <f>K102/K90-1</f>
        <v/>
      </c>
      <c r="M102" s="111" t="n"/>
      <c r="N102" s="315" t="n">
        <v>3664.82</v>
      </c>
      <c r="O102" s="111">
        <f>N102/N90-1</f>
        <v/>
      </c>
      <c r="P102" s="111" t="n"/>
      <c r="Q102" s="315" t="n">
        <v>3533.23</v>
      </c>
      <c r="R102" s="111">
        <f>Q102/Q90-1</f>
        <v/>
      </c>
      <c r="S102" s="111" t="n"/>
      <c r="T102" s="315" t="n">
        <v>114.86</v>
      </c>
      <c r="U102" s="111">
        <f>T102/T90-1</f>
        <v/>
      </c>
      <c r="V102" s="111" t="n"/>
      <c r="W102" s="315" t="n">
        <v>16.74</v>
      </c>
      <c r="X102" s="111">
        <f>W102/W90-1</f>
        <v/>
      </c>
      <c r="Y102" s="111" t="n"/>
      <c r="Z102" s="315" t="n">
        <v>2507.79</v>
      </c>
      <c r="AA102" s="111">
        <f>Z102/Z90-1</f>
        <v/>
      </c>
      <c r="AB102" s="111" t="n"/>
      <c r="AC102" s="315" t="n">
        <v>2478.32</v>
      </c>
      <c r="AD102" s="111">
        <f>AC102/AC90-1</f>
        <v/>
      </c>
      <c r="AE102" s="111" t="n"/>
      <c r="AF102" s="315" t="n">
        <v>17.84</v>
      </c>
      <c r="AG102" s="111">
        <f>AF102/AF90-1</f>
        <v/>
      </c>
      <c r="AH102" s="111" t="n"/>
      <c r="AI102" s="315" t="n">
        <v>11.63</v>
      </c>
      <c r="AJ102" s="111">
        <f>AI102/AI90-1</f>
        <v/>
      </c>
      <c r="AK102" s="111" t="n"/>
      <c r="AL102" s="316" t="n">
        <v>59.43</v>
      </c>
      <c r="AM102" s="380">
        <f>AL102-AL90</f>
        <v/>
      </c>
      <c r="AN102" s="111" t="n"/>
      <c r="AO102" s="316" t="n">
        <v>59.99</v>
      </c>
      <c r="AP102" s="380">
        <f>AO102-AO90</f>
        <v/>
      </c>
      <c r="AQ102" s="111" t="n"/>
      <c r="AR102" s="316" t="n">
        <v>49.32</v>
      </c>
      <c r="AS102" s="380">
        <f>AR102-AR90</f>
        <v/>
      </c>
      <c r="AT102" s="111" t="n"/>
      <c r="AU102" s="316" t="n">
        <v>38.13</v>
      </c>
      <c r="AV102" s="380">
        <f>AU102-AU90</f>
        <v/>
      </c>
      <c r="AW102" s="111" t="n"/>
      <c r="AX102" s="315" t="n">
        <v>751</v>
      </c>
      <c r="AY102" s="111">
        <f>AX102/AX90-1</f>
        <v/>
      </c>
      <c r="AZ102" s="111" t="n"/>
      <c r="BA102" s="378" t="n"/>
      <c r="BB102" s="142" t="n"/>
      <c r="BC102" s="378" t="n"/>
      <c r="BD102" s="142" t="n"/>
      <c r="BE102" s="378" t="n"/>
      <c r="BF102" s="142" t="n"/>
      <c r="BG102" s="378" t="n"/>
      <c r="BH102" s="142" t="n"/>
      <c r="BI102" s="318" t="n"/>
      <c r="BJ102" s="142" t="n"/>
      <c r="BK102" s="318" t="n"/>
      <c r="BL102" s="142" t="n"/>
      <c r="BM102" s="318" t="n"/>
      <c r="BN102" s="142" t="n"/>
      <c r="BP102" s="318" t="n"/>
      <c r="BQ102" s="142" t="n"/>
      <c r="BR102" s="318" t="n"/>
      <c r="BS102" s="142" t="n"/>
      <c r="BT102" s="318" t="n"/>
      <c r="BU102" s="142" t="n"/>
      <c r="BV102" s="318" t="n"/>
      <c r="BW102" s="142" t="n"/>
      <c r="BX102" s="388" t="n"/>
      <c r="BY102" s="142" t="n"/>
      <c r="BZ102" s="318" t="n"/>
      <c r="CA102" s="142" t="n"/>
      <c r="CB102" s="318" t="n"/>
      <c r="CC102" s="142" t="n"/>
      <c r="CD102" s="318" t="n"/>
      <c r="CE102" s="142" t="n"/>
      <c r="CF102" s="318" t="n"/>
      <c r="CG102" s="317" t="n"/>
      <c r="CH102" s="318" t="n"/>
      <c r="CI102" s="317" t="n"/>
      <c r="CJ102" s="318" t="n"/>
      <c r="CK102" s="317" t="n"/>
      <c r="CL102" s="318" t="n"/>
      <c r="CM102" s="317" t="n"/>
      <c r="CN102" s="318" t="n"/>
      <c r="CO102" s="80" t="n"/>
      <c r="CP102" s="318" t="n"/>
      <c r="CQ102" s="80" t="n"/>
      <c r="CR102" s="318" t="n"/>
      <c r="CS102" s="80" t="n"/>
      <c r="CT102" s="318" t="n"/>
      <c r="CU102" s="80" t="n"/>
      <c r="CV102" s="361" t="n"/>
      <c r="CW102" s="318" t="n"/>
      <c r="CX102" s="142" t="n"/>
      <c r="CY102" s="318" t="n"/>
      <c r="CZ102" s="142" t="n"/>
      <c r="DA102" s="318" t="n"/>
      <c r="DB102" s="142" t="n"/>
      <c r="DC102" s="318" t="n"/>
      <c r="DD102" s="142" t="n"/>
      <c r="DE102" s="385" t="n"/>
      <c r="DF102" s="356" t="n"/>
    </row>
    <row r="103" customFormat="1" s="117">
      <c r="A103" s="376" t="n">
        <v>44681</v>
      </c>
      <c r="B103" s="315" t="n">
        <v>2286.39</v>
      </c>
      <c r="C103" s="111">
        <f>B103/B91-1</f>
        <v/>
      </c>
      <c r="D103" s="111" t="n"/>
      <c r="E103" s="315" t="n">
        <v>2079.81</v>
      </c>
      <c r="F103" s="111">
        <f>E103/E91-1</f>
        <v/>
      </c>
      <c r="G103" s="111" t="n"/>
      <c r="H103" s="315" t="n">
        <v>204.96</v>
      </c>
      <c r="I103" s="111">
        <f>H103/H91-1</f>
        <v/>
      </c>
      <c r="J103" s="111" t="n"/>
      <c r="K103" s="315" t="n">
        <v>1.62</v>
      </c>
      <c r="L103" s="111">
        <f>K103/K91-1</f>
        <v/>
      </c>
      <c r="M103" s="111" t="n"/>
      <c r="N103" s="315" t="n">
        <v>1301.06</v>
      </c>
      <c r="O103" s="111">
        <f>N103/N91-1</f>
        <v/>
      </c>
      <c r="P103" s="111" t="n"/>
      <c r="Q103" s="315" t="n">
        <v>1207.53</v>
      </c>
      <c r="R103" s="111">
        <f>Q103/Q91-1</f>
        <v/>
      </c>
      <c r="S103" s="111" t="n"/>
      <c r="T103" s="315" t="n">
        <v>93.06999999999999</v>
      </c>
      <c r="U103" s="111">
        <f>T103/T91-1</f>
        <v/>
      </c>
      <c r="V103" s="111" t="n"/>
      <c r="W103" s="315" t="n">
        <v>0.46</v>
      </c>
      <c r="X103" s="111">
        <f>W103/W91-1</f>
        <v/>
      </c>
      <c r="Y103" s="111" t="n"/>
      <c r="Z103" s="315" t="n">
        <v>868.11</v>
      </c>
      <c r="AA103" s="111">
        <f>Z103/Z91-1</f>
        <v/>
      </c>
      <c r="AB103" s="111" t="n"/>
      <c r="AC103" s="315" t="n">
        <v>853.29</v>
      </c>
      <c r="AD103" s="111">
        <f>AC103/AC91-1</f>
        <v/>
      </c>
      <c r="AE103" s="111" t="n"/>
      <c r="AF103" s="315" t="n">
        <v>14.45</v>
      </c>
      <c r="AG103" s="111">
        <f>AF103/AF91-1</f>
        <v/>
      </c>
      <c r="AH103" s="111" t="n"/>
      <c r="AI103" s="315" t="n">
        <v>0.38</v>
      </c>
      <c r="AJ103" s="111">
        <f>AI103/AI91-1</f>
        <v/>
      </c>
      <c r="AK103" s="111" t="n"/>
      <c r="AL103" s="316" t="n">
        <v>56.9</v>
      </c>
      <c r="AM103" s="380">
        <f>AL103-AL91</f>
        <v/>
      </c>
      <c r="AN103" s="111" t="n"/>
      <c r="AO103" s="316" t="n">
        <v>58.06</v>
      </c>
      <c r="AP103" s="380">
        <f>AO103-AO91</f>
        <v/>
      </c>
      <c r="AQ103" s="111" t="n"/>
      <c r="AR103" s="316" t="n">
        <v>45.41</v>
      </c>
      <c r="AS103" s="380">
        <f>AR103-AR91</f>
        <v/>
      </c>
      <c r="AT103" s="111" t="n"/>
      <c r="AU103" s="316" t="n">
        <v>28.48</v>
      </c>
      <c r="AV103" s="380">
        <f>AU103-AU91</f>
        <v/>
      </c>
      <c r="AW103" s="111" t="n"/>
      <c r="AX103" s="315" t="n">
        <v>751</v>
      </c>
      <c r="AY103" s="111">
        <f>AX103/AX91-1</f>
        <v/>
      </c>
      <c r="AZ103" s="111" t="n"/>
      <c r="BA103" s="378" t="n"/>
      <c r="BB103" s="142" t="n"/>
      <c r="BC103" s="378" t="n"/>
      <c r="BD103" s="142" t="n"/>
      <c r="BE103" s="378" t="n"/>
      <c r="BF103" s="142" t="n"/>
      <c r="BG103" s="378" t="n"/>
      <c r="BH103" s="142" t="n"/>
      <c r="BI103" s="318" t="n"/>
      <c r="BJ103" s="142" t="n"/>
      <c r="BK103" s="318" t="n"/>
      <c r="BL103" s="142" t="n"/>
      <c r="BM103" s="318" t="n"/>
      <c r="BN103" s="142" t="n"/>
      <c r="BP103" s="318" t="n"/>
      <c r="BQ103" s="142" t="n"/>
      <c r="BR103" s="318" t="n"/>
      <c r="BS103" s="142" t="n"/>
      <c r="BT103" s="318" t="n"/>
      <c r="BU103" s="142" t="n"/>
      <c r="BV103" s="318" t="n"/>
      <c r="BW103" s="142" t="n"/>
      <c r="BX103" s="388" t="n"/>
      <c r="BY103" s="142" t="n"/>
      <c r="BZ103" s="318" t="n"/>
      <c r="CA103" s="142" t="n"/>
      <c r="CB103" s="318" t="n"/>
      <c r="CC103" s="142" t="n"/>
      <c r="CD103" s="318" t="n"/>
      <c r="CE103" s="142" t="n"/>
      <c r="CF103" s="318" t="n"/>
      <c r="CG103" s="317" t="n"/>
      <c r="CH103" s="318" t="n"/>
      <c r="CI103" s="317" t="n"/>
      <c r="CJ103" s="318" t="n"/>
      <c r="CK103" s="317" t="n"/>
      <c r="CL103" s="318" t="n"/>
      <c r="CM103" s="317" t="n"/>
      <c r="CN103" s="318" t="n"/>
      <c r="CO103" s="80" t="n"/>
      <c r="CP103" s="318" t="n"/>
      <c r="CQ103" s="80" t="n"/>
      <c r="CR103" s="318" t="n"/>
      <c r="CS103" s="80" t="n"/>
      <c r="CT103" s="318" t="n"/>
      <c r="CU103" s="80" t="n"/>
      <c r="CV103" s="361" t="n"/>
      <c r="CW103" s="318" t="n"/>
      <c r="CX103" s="142" t="n"/>
      <c r="CY103" s="318" t="n"/>
      <c r="CZ103" s="142" t="n"/>
      <c r="DA103" s="318" t="n"/>
      <c r="DB103" s="142" t="n"/>
      <c r="DC103" s="318" t="n"/>
      <c r="DD103" s="142" t="n"/>
      <c r="DE103" s="385" t="n"/>
      <c r="DF103" s="356" t="n"/>
    </row>
    <row r="104" customFormat="1" s="117">
      <c r="A104" s="376" t="n">
        <v>44712</v>
      </c>
      <c r="B104" s="315" t="n">
        <v>3685.57</v>
      </c>
      <c r="C104" s="111">
        <f>B104/B92-1</f>
        <v/>
      </c>
      <c r="D104" s="111" t="n"/>
      <c r="E104" s="315" t="n">
        <v>3450.93</v>
      </c>
      <c r="F104" s="111">
        <f>E104/E92-1</f>
        <v/>
      </c>
      <c r="G104" s="111" t="n"/>
      <c r="H104" s="315" t="n">
        <v>233.58</v>
      </c>
      <c r="I104" s="111">
        <f>H104/H92-1</f>
        <v/>
      </c>
      <c r="J104" s="111" t="n"/>
      <c r="K104" s="315" t="n">
        <v>1.06</v>
      </c>
      <c r="L104" s="111">
        <f>K104/K92-1</f>
        <v/>
      </c>
      <c r="M104" s="111" t="n"/>
      <c r="N104" s="315" t="n">
        <v>2240.61</v>
      </c>
      <c r="O104" s="111">
        <f>N104/N92-1</f>
        <v/>
      </c>
      <c r="P104" s="111" t="n"/>
      <c r="Q104" s="315" t="n">
        <v>2133.65</v>
      </c>
      <c r="R104" s="111">
        <f>Q104/Q92-1</f>
        <v/>
      </c>
      <c r="S104" s="111" t="n"/>
      <c r="T104" s="315" t="n">
        <v>106.7</v>
      </c>
      <c r="U104" s="111">
        <f>T104/T92-1</f>
        <v/>
      </c>
      <c r="V104" s="111" t="n"/>
      <c r="W104" s="315" t="n">
        <v>0.25</v>
      </c>
      <c r="X104" s="111">
        <f>W104/W92-1</f>
        <v/>
      </c>
      <c r="Y104" s="111" t="n"/>
      <c r="Z104" s="315" t="n">
        <v>1512.37</v>
      </c>
      <c r="AA104" s="111">
        <f>Z104/Z92-1</f>
        <v/>
      </c>
      <c r="AB104" s="111" t="n"/>
      <c r="AC104" s="315" t="n">
        <v>1497.84</v>
      </c>
      <c r="AD104" s="111">
        <f>AC104/AC92-1</f>
        <v/>
      </c>
      <c r="AE104" s="111" t="n"/>
      <c r="AF104" s="315" t="n">
        <v>14.36</v>
      </c>
      <c r="AG104" s="111">
        <f>AF104/AF92-1</f>
        <v/>
      </c>
      <c r="AH104" s="111" t="n"/>
      <c r="AI104" s="315" t="n">
        <v>0.17</v>
      </c>
      <c r="AJ104" s="111">
        <f>AI104/AI92-1</f>
        <v/>
      </c>
      <c r="AK104" s="111" t="n"/>
      <c r="AL104" s="316" t="n">
        <v>60.79</v>
      </c>
      <c r="AM104" s="380">
        <f>AL104-AL92</f>
        <v/>
      </c>
      <c r="AN104" s="111" t="n"/>
      <c r="AO104" s="316" t="n">
        <v>61.83</v>
      </c>
      <c r="AP104" s="380">
        <f>AO104-AO92</f>
        <v/>
      </c>
      <c r="AQ104" s="111" t="n"/>
      <c r="AR104" s="316" t="n">
        <v>45.68</v>
      </c>
      <c r="AS104" s="380">
        <f>AR104-AR92</f>
        <v/>
      </c>
      <c r="AT104" s="111" t="n"/>
      <c r="AU104" s="316" t="n">
        <v>23.85</v>
      </c>
      <c r="AV104" s="380">
        <f>AU104-AU92</f>
        <v/>
      </c>
      <c r="AW104" s="111" t="n"/>
      <c r="AX104" s="315" t="n">
        <v>750</v>
      </c>
      <c r="AY104" s="111">
        <f>AX104/AX92-1</f>
        <v/>
      </c>
      <c r="AZ104" s="111" t="n"/>
      <c r="BA104" s="378" t="n"/>
      <c r="BB104" s="142" t="n"/>
      <c r="BC104" s="378" t="n"/>
      <c r="BD104" s="142" t="n"/>
      <c r="BE104" s="378" t="n"/>
      <c r="BF104" s="142" t="n"/>
      <c r="BG104" s="378" t="n"/>
      <c r="BH104" s="142" t="n"/>
      <c r="BI104" s="318" t="n"/>
      <c r="BJ104" s="142" t="n"/>
      <c r="BK104" s="318" t="n"/>
      <c r="BL104" s="142" t="n"/>
      <c r="BM104" s="318" t="n"/>
      <c r="BN104" s="142" t="n"/>
      <c r="BP104" s="318" t="n"/>
      <c r="BQ104" s="142" t="n"/>
      <c r="BR104" s="318" t="n"/>
      <c r="BS104" s="142" t="n"/>
      <c r="BT104" s="318" t="n"/>
      <c r="BU104" s="142" t="n"/>
      <c r="BV104" s="318" t="n"/>
      <c r="BW104" s="142" t="n"/>
      <c r="BX104" s="318" t="n"/>
      <c r="BY104" s="142" t="n"/>
      <c r="BZ104" s="318" t="n"/>
      <c r="CA104" s="142" t="n"/>
      <c r="CB104" s="318" t="n"/>
      <c r="CC104" s="142" t="n"/>
      <c r="CD104" s="318" t="n"/>
      <c r="CE104" s="142" t="n"/>
      <c r="CF104" s="318" t="n"/>
      <c r="CG104" s="317" t="n"/>
      <c r="CH104" s="318" t="n"/>
      <c r="CI104" s="317" t="n"/>
      <c r="CJ104" s="318" t="n"/>
      <c r="CK104" s="317" t="n"/>
      <c r="CL104" s="318" t="n"/>
      <c r="CM104" s="317" t="n"/>
      <c r="CN104" s="318" t="n"/>
      <c r="CO104" s="80" t="n"/>
      <c r="CP104" s="318" t="n"/>
      <c r="CQ104" s="80" t="n"/>
      <c r="CR104" s="318" t="n"/>
      <c r="CS104" s="80" t="n"/>
      <c r="CT104" s="318" t="n"/>
      <c r="CU104" s="80" t="n"/>
      <c r="CV104" s="361" t="n"/>
      <c r="CW104" s="318" t="n"/>
      <c r="CX104" s="142" t="n"/>
      <c r="CY104" s="318" t="n"/>
      <c r="CZ104" s="142" t="n"/>
      <c r="DA104" s="318" t="n"/>
      <c r="DB104" s="142" t="n"/>
      <c r="DC104" s="318" t="n"/>
      <c r="DD104" s="142" t="n"/>
      <c r="DE104" s="356" t="n"/>
      <c r="DF104" s="356" t="n"/>
    </row>
    <row r="105" customFormat="1" s="116">
      <c r="A105" s="376" t="n">
        <v>44742</v>
      </c>
      <c r="B105" s="315" t="n">
        <v>7041.41</v>
      </c>
      <c r="C105" s="111">
        <f>B105/B93-1</f>
        <v/>
      </c>
      <c r="D105" s="111" t="n"/>
      <c r="E105" s="315" t="n">
        <v>6817.7</v>
      </c>
      <c r="F105" s="111">
        <f>E105/E93-1</f>
        <v/>
      </c>
      <c r="G105" s="111" t="n"/>
      <c r="H105" s="315" t="n">
        <v>223.18</v>
      </c>
      <c r="I105" s="111">
        <f>H105/H93-1</f>
        <v/>
      </c>
      <c r="J105" s="111" t="n"/>
      <c r="K105" s="315" t="n">
        <v>0.53</v>
      </c>
      <c r="L105" s="111">
        <f>K105/K93-1</f>
        <v/>
      </c>
      <c r="M105" s="111" t="n"/>
      <c r="N105" s="315" t="n">
        <v>4561.33</v>
      </c>
      <c r="O105" s="111">
        <f>N105/N93-1</f>
        <v/>
      </c>
      <c r="P105" s="111" t="n"/>
      <c r="Q105" s="315" t="n">
        <v>4441.51</v>
      </c>
      <c r="R105" s="111">
        <f>Q105/Q93-1</f>
        <v/>
      </c>
      <c r="S105" s="111" t="n"/>
      <c r="T105" s="315" t="n">
        <v>119.64</v>
      </c>
      <c r="U105" s="111">
        <f>T105/T93-1</f>
        <v/>
      </c>
      <c r="V105" s="111" t="n"/>
      <c r="W105" s="315" t="n">
        <v>0.17</v>
      </c>
      <c r="X105" s="111">
        <f>W105/W93-1</f>
        <v/>
      </c>
      <c r="Y105" s="111" t="n"/>
      <c r="Z105" s="315" t="n">
        <v>3160.28</v>
      </c>
      <c r="AA105" s="111">
        <f>Z105/Z93-1</f>
        <v/>
      </c>
      <c r="AB105" s="111" t="n"/>
      <c r="AC105" s="315" t="n">
        <v>3142.37</v>
      </c>
      <c r="AD105" s="111">
        <f>AC105/AC93-1</f>
        <v/>
      </c>
      <c r="AE105" s="111" t="n"/>
      <c r="AF105" s="315" t="n">
        <v>17.79</v>
      </c>
      <c r="AG105" s="111">
        <f>AF105/AF93-1</f>
        <v/>
      </c>
      <c r="AH105" s="111" t="n"/>
      <c r="AI105" s="315" t="n">
        <v>0.12</v>
      </c>
      <c r="AJ105" s="111">
        <f>AI105/AI93-1</f>
        <v/>
      </c>
      <c r="AK105" s="111" t="n"/>
      <c r="AL105" s="316" t="n">
        <v>64.78</v>
      </c>
      <c r="AM105" s="380">
        <f>AL105-AL93</f>
        <v/>
      </c>
      <c r="AN105" s="111" t="n"/>
      <c r="AO105" s="316" t="n">
        <v>65.15000000000001</v>
      </c>
      <c r="AP105" s="380">
        <f>AO105-AO93</f>
        <v/>
      </c>
      <c r="AQ105" s="111" t="n"/>
      <c r="AR105" s="316" t="n">
        <v>53.61</v>
      </c>
      <c r="AS105" s="380">
        <f>AR105-AR93</f>
        <v/>
      </c>
      <c r="AT105" s="111" t="n"/>
      <c r="AU105" s="316" t="n">
        <v>33.04</v>
      </c>
      <c r="AV105" s="380">
        <f>AU105-AU93</f>
        <v/>
      </c>
      <c r="AW105" s="111" t="n"/>
      <c r="AX105" s="315" t="n">
        <v>750</v>
      </c>
      <c r="AY105" s="111">
        <f>AX105/AX93-1</f>
        <v/>
      </c>
      <c r="AZ105" s="111" t="n"/>
      <c r="BA105" s="378" t="n"/>
      <c r="BB105" s="142" t="n"/>
      <c r="BC105" s="378" t="n"/>
      <c r="BD105" s="142" t="n"/>
      <c r="BE105" s="378" t="n"/>
      <c r="BF105" s="142" t="n"/>
      <c r="BG105" s="378" t="n"/>
      <c r="BH105" s="142" t="n"/>
      <c r="BI105" s="318" t="n"/>
      <c r="BJ105" s="142" t="n"/>
      <c r="BK105" s="318" t="n"/>
      <c r="BL105" s="142" t="n"/>
      <c r="BM105" s="318" t="n"/>
      <c r="BN105" s="142" t="n"/>
      <c r="BP105" s="318" t="n"/>
      <c r="BQ105" s="142" t="n"/>
      <c r="BR105" s="318" t="n"/>
      <c r="BS105" s="142" t="n"/>
      <c r="BT105" s="318" t="n"/>
      <c r="BU105" s="142" t="n"/>
      <c r="BV105" s="318" t="n"/>
      <c r="BW105" s="142" t="n"/>
      <c r="BX105" s="318" t="n"/>
      <c r="BY105" s="142" t="n"/>
      <c r="BZ105" s="318" t="n"/>
      <c r="CA105" s="142" t="n"/>
      <c r="CB105" s="318" t="n"/>
      <c r="CC105" s="142" t="n"/>
      <c r="CD105" s="318" t="n"/>
      <c r="CE105" s="142" t="n"/>
      <c r="CF105" s="318" t="n"/>
      <c r="CG105" s="317" t="n"/>
      <c r="CH105" s="318" t="n"/>
      <c r="CI105" s="317" t="n"/>
      <c r="CJ105" s="318" t="n"/>
      <c r="CK105" s="317" t="n"/>
      <c r="CL105" s="318" t="n"/>
      <c r="CM105" s="317" t="n"/>
      <c r="CN105" s="318" t="n"/>
      <c r="CO105" s="80" t="n"/>
      <c r="CP105" s="318" t="n"/>
      <c r="CQ105" s="80" t="n"/>
      <c r="CR105" s="318" t="n"/>
      <c r="CS105" s="80" t="n"/>
      <c r="CT105" s="318" t="n"/>
      <c r="CU105" s="80" t="n"/>
      <c r="CW105" s="318" t="n"/>
      <c r="CX105" s="142" t="n"/>
      <c r="CY105" s="318" t="n"/>
      <c r="CZ105" s="142" t="n"/>
      <c r="DA105" s="318" t="n"/>
      <c r="DB105" s="142" t="n"/>
      <c r="DC105" s="318" t="n"/>
      <c r="DD105" s="142" t="n"/>
      <c r="DE105" s="395" t="n"/>
      <c r="DF105" s="395" t="n"/>
    </row>
    <row r="106" customFormat="1" s="116">
      <c r="A106" s="376" t="n">
        <v>44773</v>
      </c>
      <c r="B106" s="315" t="n">
        <v>10978.59</v>
      </c>
      <c r="C106" s="111">
        <f>B106/B94-1</f>
        <v/>
      </c>
      <c r="D106" s="111" t="n"/>
      <c r="E106" s="315" t="n">
        <v>10730.81</v>
      </c>
      <c r="F106" s="111">
        <f>E106/E94-1</f>
        <v/>
      </c>
      <c r="G106" s="111" t="n"/>
      <c r="H106" s="315" t="n">
        <v>246.73</v>
      </c>
      <c r="I106" s="111">
        <f>H106/H94-1</f>
        <v/>
      </c>
      <c r="J106" s="111" t="n"/>
      <c r="K106" s="315" t="n">
        <v>1.06</v>
      </c>
      <c r="L106" s="111">
        <f>K106/K94-1</f>
        <v/>
      </c>
      <c r="M106" s="111" t="n"/>
      <c r="N106" s="315" t="n">
        <v>7353.35</v>
      </c>
      <c r="O106" s="111">
        <f>N106/N94-1</f>
        <v/>
      </c>
      <c r="P106" s="111" t="n"/>
      <c r="Q106" s="315" t="n">
        <v>7215.27</v>
      </c>
      <c r="R106" s="111">
        <f>Q106/Q94-1</f>
        <v/>
      </c>
      <c r="S106" s="111" t="n"/>
      <c r="T106" s="315" t="n">
        <v>137.51</v>
      </c>
      <c r="U106" s="111">
        <f>T106/T94-1</f>
        <v/>
      </c>
      <c r="V106" s="111" t="n"/>
      <c r="W106" s="315" t="n">
        <v>0.57</v>
      </c>
      <c r="X106" s="111">
        <f>W106/W94-1</f>
        <v/>
      </c>
      <c r="Y106" s="111" t="n"/>
      <c r="Z106" s="315" t="n">
        <v>5078.55</v>
      </c>
      <c r="AA106" s="111">
        <f>Z106/Z94-1</f>
        <v/>
      </c>
      <c r="AB106" s="111" t="n"/>
      <c r="AC106" s="315" t="n">
        <v>5056.04</v>
      </c>
      <c r="AD106" s="111">
        <f>AC106/AC94-1</f>
        <v/>
      </c>
      <c r="AE106" s="111" t="n"/>
      <c r="AF106" s="315" t="n">
        <v>22.13</v>
      </c>
      <c r="AG106" s="111">
        <f>AF106/AF94-1</f>
        <v/>
      </c>
      <c r="AH106" s="111" t="n"/>
      <c r="AI106" s="315" t="n">
        <v>0.38</v>
      </c>
      <c r="AJ106" s="111">
        <f>AI106/AI94-1</f>
        <v/>
      </c>
      <c r="AK106" s="111" t="n"/>
      <c r="AL106" s="316" t="n">
        <v>66.98</v>
      </c>
      <c r="AM106" s="380">
        <f>AL106-AL94</f>
        <v/>
      </c>
      <c r="AN106" s="111" t="n"/>
      <c r="AO106" s="316" t="n">
        <v>67.23999999999999</v>
      </c>
      <c r="AP106" s="380">
        <f>AO106-AO94</f>
        <v/>
      </c>
      <c r="AQ106" s="111" t="n"/>
      <c r="AR106" s="316" t="n">
        <v>55.73</v>
      </c>
      <c r="AS106" s="380">
        <f>AR106-AR94</f>
        <v/>
      </c>
      <c r="AT106" s="111" t="n"/>
      <c r="AU106" s="316" t="n">
        <v>53.94</v>
      </c>
      <c r="AV106" s="380">
        <f>AU106-AU94</f>
        <v/>
      </c>
      <c r="AW106" s="111" t="n"/>
      <c r="AX106" s="315" t="n">
        <v>754</v>
      </c>
      <c r="AY106" s="111">
        <f>AX106/AX94-1</f>
        <v/>
      </c>
      <c r="AZ106" s="111" t="n"/>
      <c r="BA106" s="378" t="n"/>
      <c r="BB106" s="142" t="n"/>
      <c r="BC106" s="378" t="n"/>
      <c r="BD106" s="142" t="n"/>
      <c r="BE106" s="378" t="n"/>
      <c r="BF106" s="142" t="n"/>
      <c r="BG106" s="378" t="n"/>
      <c r="BH106" s="142" t="n"/>
      <c r="BI106" s="318" t="n"/>
      <c r="BJ106" s="142" t="n"/>
      <c r="BK106" s="318" t="n"/>
      <c r="BL106" s="142" t="n"/>
      <c r="BM106" s="318" t="n"/>
      <c r="BN106" s="142" t="n"/>
      <c r="BO106" s="117" t="n"/>
      <c r="BP106" s="318" t="n"/>
      <c r="BQ106" s="142" t="n"/>
      <c r="BR106" s="318" t="n"/>
      <c r="BS106" s="142" t="n"/>
      <c r="BT106" s="318" t="n"/>
      <c r="BU106" s="142" t="n"/>
      <c r="BV106" s="318" t="n"/>
      <c r="BW106" s="142" t="n"/>
      <c r="BX106" s="318" t="n"/>
      <c r="BY106" s="142" t="n"/>
      <c r="BZ106" s="318" t="n"/>
      <c r="CA106" s="142" t="n"/>
      <c r="CB106" s="318" t="n"/>
      <c r="CC106" s="142" t="n"/>
      <c r="CD106" s="318" t="n"/>
      <c r="CE106" s="142" t="n"/>
      <c r="CF106" s="318" t="n"/>
      <c r="CG106" s="317" t="n"/>
      <c r="CH106" s="318" t="n"/>
      <c r="CI106" s="317" t="n"/>
      <c r="CJ106" s="318" t="n"/>
      <c r="CK106" s="317" t="n"/>
      <c r="CL106" s="318" t="n"/>
      <c r="CM106" s="317" t="n"/>
      <c r="CN106" s="318" t="n"/>
      <c r="CO106" s="80" t="n"/>
      <c r="CP106" s="318" t="n"/>
      <c r="CQ106" s="80" t="n"/>
      <c r="CR106" s="318" t="n"/>
      <c r="CS106" s="80" t="n"/>
      <c r="CT106" s="318" t="n"/>
      <c r="CU106" s="80" t="n"/>
      <c r="CW106" s="318" t="n"/>
      <c r="CX106" s="142" t="n"/>
      <c r="CY106" s="318" t="n"/>
      <c r="CZ106" s="142" t="n"/>
      <c r="DA106" s="318" t="n"/>
      <c r="DB106" s="142" t="n"/>
      <c r="DC106" s="318" t="n"/>
      <c r="DD106" s="142" t="n"/>
      <c r="DE106" s="356" t="n"/>
      <c r="DF106" s="356" t="n"/>
    </row>
    <row r="107" customFormat="1" s="116">
      <c r="A107" s="376" t="n">
        <v>44804</v>
      </c>
      <c r="B107" s="315" t="n">
        <v>12162.67</v>
      </c>
      <c r="C107" s="111">
        <f>B107/B95-1</f>
        <v/>
      </c>
      <c r="D107" s="111" t="n"/>
      <c r="E107" s="315" t="n">
        <v>11847.09</v>
      </c>
      <c r="F107" s="111">
        <f>E107/E95-1</f>
        <v/>
      </c>
      <c r="G107" s="111" t="n"/>
      <c r="H107" s="315" t="n">
        <v>313.01</v>
      </c>
      <c r="I107" s="111">
        <f>H107/H95-1</f>
        <v/>
      </c>
      <c r="J107" s="111" t="n"/>
      <c r="K107" s="315" t="n">
        <v>2.57</v>
      </c>
      <c r="L107" s="111">
        <f>K107/K95-1</f>
        <v/>
      </c>
      <c r="M107" s="111" t="n"/>
      <c r="N107" s="315" t="n">
        <v>8149.67</v>
      </c>
      <c r="O107" s="111">
        <f>N107/N95-1</f>
        <v/>
      </c>
      <c r="P107" s="111" t="n"/>
      <c r="Q107" s="315" t="n">
        <v>7963.72</v>
      </c>
      <c r="R107" s="111">
        <f>Q107/Q95-1</f>
        <v/>
      </c>
      <c r="S107" s="111" t="n"/>
      <c r="T107" s="315" t="n">
        <v>184.57</v>
      </c>
      <c r="U107" s="111">
        <f>T107/T95-1</f>
        <v/>
      </c>
      <c r="V107" s="111" t="n"/>
      <c r="W107" s="315" t="n">
        <v>1.37</v>
      </c>
      <c r="X107" s="111">
        <f>W107/W95-1</f>
        <v/>
      </c>
      <c r="Y107" s="111" t="n"/>
      <c r="Z107" s="315" t="n">
        <v>5818.63</v>
      </c>
      <c r="AA107" s="111">
        <f>Z107/Z95-1</f>
        <v/>
      </c>
      <c r="AB107" s="111" t="n"/>
      <c r="AC107" s="315" t="n">
        <v>5790.19</v>
      </c>
      <c r="AD107" s="111">
        <f>AC107/AC95-1</f>
        <v/>
      </c>
      <c r="AE107" s="111" t="n"/>
      <c r="AF107" s="315" t="n">
        <v>27.43</v>
      </c>
      <c r="AG107" s="111">
        <f>AF107/AF95-1</f>
        <v/>
      </c>
      <c r="AH107" s="111" t="n"/>
      <c r="AI107" s="315" t="n">
        <v>1.01</v>
      </c>
      <c r="AJ107" s="111">
        <f>AI107/AI95-1</f>
        <v/>
      </c>
      <c r="AK107" s="111" t="n"/>
      <c r="AL107" s="316" t="n">
        <v>67.01000000000001</v>
      </c>
      <c r="AM107" s="380">
        <f>AL107-AL95</f>
        <v/>
      </c>
      <c r="AN107" s="111" t="n"/>
      <c r="AO107" s="316" t="n">
        <v>67.22</v>
      </c>
      <c r="AP107" s="380">
        <f>AO107-AO95</f>
        <v/>
      </c>
      <c r="AQ107" s="111" t="n"/>
      <c r="AR107" s="316" t="n">
        <v>58.97</v>
      </c>
      <c r="AS107" s="380">
        <f>AR107-AR95</f>
        <v/>
      </c>
      <c r="AT107" s="111" t="n"/>
      <c r="AU107" s="316" t="n">
        <v>53.37</v>
      </c>
      <c r="AV107" s="380">
        <f>AU107-AU95</f>
        <v/>
      </c>
      <c r="AW107" s="111" t="n"/>
      <c r="AX107" s="315" t="n">
        <v>757</v>
      </c>
      <c r="AY107" s="111">
        <f>AX107/AX95-1</f>
        <v/>
      </c>
      <c r="AZ107" s="111" t="n"/>
      <c r="BA107" s="378" t="n"/>
      <c r="BB107" s="142" t="n"/>
      <c r="BC107" s="378" t="n"/>
      <c r="BD107" s="142" t="n"/>
      <c r="BE107" s="378" t="n"/>
      <c r="BF107" s="142" t="n"/>
      <c r="BG107" s="378" t="n"/>
      <c r="BH107" s="142" t="n"/>
      <c r="BI107" s="318" t="n"/>
      <c r="BJ107" s="142" t="n"/>
      <c r="BK107" s="318" t="n"/>
      <c r="BL107" s="142" t="n"/>
      <c r="BM107" s="318" t="n"/>
      <c r="BN107" s="142" t="n"/>
      <c r="BO107" s="117" t="n"/>
      <c r="BP107" s="318" t="n"/>
      <c r="BQ107" s="142" t="n"/>
      <c r="BR107" s="318" t="n"/>
      <c r="BS107" s="142" t="n"/>
      <c r="BT107" s="318" t="n"/>
      <c r="BU107" s="142" t="n"/>
      <c r="BV107" s="318" t="n"/>
      <c r="BW107" s="142" t="n"/>
      <c r="BX107" s="318" t="n"/>
      <c r="BY107" s="142" t="n"/>
      <c r="BZ107" s="318" t="n"/>
      <c r="CA107" s="142" t="n"/>
      <c r="CB107" s="318" t="n"/>
      <c r="CC107" s="142" t="n"/>
      <c r="CD107" s="318" t="n"/>
      <c r="CE107" s="142" t="n"/>
      <c r="CF107" s="318" t="n"/>
      <c r="CG107" s="317" t="n"/>
      <c r="CH107" s="318" t="n"/>
      <c r="CI107" s="317" t="n"/>
      <c r="CJ107" s="318" t="n"/>
      <c r="CK107" s="317" t="n"/>
      <c r="CL107" s="318" t="n"/>
      <c r="CM107" s="317" t="n"/>
      <c r="CN107" s="318" t="n"/>
      <c r="CO107" s="80" t="n"/>
      <c r="CP107" s="318" t="n"/>
      <c r="CQ107" s="80" t="n"/>
      <c r="CR107" s="318" t="n"/>
      <c r="CS107" s="80" t="n"/>
      <c r="CT107" s="318" t="n"/>
      <c r="CU107" s="80" t="n"/>
      <c r="CW107" s="318" t="n"/>
      <c r="CX107" s="142" t="n"/>
      <c r="CY107" s="318" t="n"/>
      <c r="CZ107" s="142" t="n"/>
      <c r="DA107" s="318" t="n"/>
      <c r="DB107" s="142" t="n"/>
      <c r="DC107" s="318" t="n"/>
      <c r="DD107" s="142" t="n"/>
      <c r="DE107" s="356" t="n"/>
      <c r="DF107" s="356" t="n"/>
    </row>
    <row r="108" customFormat="1" s="116">
      <c r="A108" s="376" t="n">
        <v>44834</v>
      </c>
      <c r="B108" s="315" t="n">
        <v>8648.34</v>
      </c>
      <c r="C108" s="111">
        <f>B108/B96-1</f>
        <v/>
      </c>
      <c r="D108" s="111" t="n"/>
      <c r="E108" s="315" t="n">
        <v>8304.309999999999</v>
      </c>
      <c r="F108" s="111">
        <f>E108/E96-1</f>
        <v/>
      </c>
      <c r="G108" s="111" t="n"/>
      <c r="H108" s="315" t="n">
        <v>321.31</v>
      </c>
      <c r="I108" s="111">
        <f>H108/H96-1</f>
        <v/>
      </c>
      <c r="J108" s="111" t="n"/>
      <c r="K108" s="315" t="n">
        <v>22.73</v>
      </c>
      <c r="L108" s="111">
        <f>K108/K96-1</f>
        <v/>
      </c>
      <c r="M108" s="111" t="n"/>
      <c r="N108" s="315" t="n">
        <v>5929.27</v>
      </c>
      <c r="O108" s="111">
        <f>N108/N96-1</f>
        <v/>
      </c>
      <c r="P108" s="111" t="n"/>
      <c r="Q108" s="315" t="n">
        <v>5706.84</v>
      </c>
      <c r="R108" s="111">
        <f>Q108/Q96-1</f>
        <v/>
      </c>
      <c r="S108" s="111" t="n"/>
      <c r="T108" s="315" t="n">
        <v>210.63</v>
      </c>
      <c r="U108" s="111">
        <f>T108/T96-1</f>
        <v/>
      </c>
      <c r="V108" s="111" t="n"/>
      <c r="W108" s="315" t="n">
        <v>11.81</v>
      </c>
      <c r="X108" s="111">
        <f>W108/W96-1</f>
        <v/>
      </c>
      <c r="Y108" s="111" t="n"/>
      <c r="Z108" s="315" t="n">
        <v>4228.56</v>
      </c>
      <c r="AA108" s="111">
        <f>Z108/Z96-1</f>
        <v/>
      </c>
      <c r="AB108" s="111" t="n"/>
      <c r="AC108" s="315" t="n">
        <v>4187.27</v>
      </c>
      <c r="AD108" s="111">
        <f>AC108/AC96-1</f>
        <v/>
      </c>
      <c r="AE108" s="111" t="n"/>
      <c r="AF108" s="315" t="n">
        <v>33.55</v>
      </c>
      <c r="AG108" s="111">
        <f>AF108/AF96-1</f>
        <v/>
      </c>
      <c r="AH108" s="111" t="n"/>
      <c r="AI108" s="315" t="n">
        <v>7.74</v>
      </c>
      <c r="AJ108" s="111">
        <f>AI108/AI96-1</f>
        <v/>
      </c>
      <c r="AK108" s="111" t="n"/>
      <c r="AL108" s="316" t="n">
        <v>68.56</v>
      </c>
      <c r="AM108" s="380">
        <f>AL108-AL96</f>
        <v/>
      </c>
      <c r="AN108" s="111" t="n"/>
      <c r="AO108" s="316" t="n">
        <v>68.72</v>
      </c>
      <c r="AP108" s="380">
        <f>AO108-AO96</f>
        <v/>
      </c>
      <c r="AQ108" s="111" t="n"/>
      <c r="AR108" s="316" t="n">
        <v>65.55</v>
      </c>
      <c r="AS108" s="380">
        <f>AR108-AR96</f>
        <v/>
      </c>
      <c r="AT108" s="111" t="n"/>
      <c r="AU108" s="316" t="n">
        <v>51.97</v>
      </c>
      <c r="AV108" s="380">
        <f>AU108-AU96</f>
        <v/>
      </c>
      <c r="AW108" s="111" t="n"/>
      <c r="AX108" s="315" t="n">
        <v>758</v>
      </c>
      <c r="AY108" s="111">
        <f>AX108/AX96-1</f>
        <v/>
      </c>
      <c r="AZ108" s="111" t="n"/>
      <c r="BA108" s="378" t="n"/>
      <c r="BB108" s="142" t="n"/>
      <c r="BC108" s="378" t="n"/>
      <c r="BD108" s="142" t="n"/>
      <c r="BE108" s="378" t="n"/>
      <c r="BF108" s="142" t="n"/>
      <c r="BG108" s="378" t="n"/>
      <c r="BH108" s="142" t="n"/>
      <c r="BI108" s="318" t="n"/>
      <c r="BJ108" s="142" t="n"/>
      <c r="BK108" s="318" t="n"/>
      <c r="BL108" s="142" t="n"/>
      <c r="BM108" s="318" t="n"/>
      <c r="BN108" s="142" t="n"/>
      <c r="BO108" s="117" t="n"/>
      <c r="BP108" s="318" t="n"/>
      <c r="BQ108" s="142" t="n"/>
      <c r="BR108" s="318" t="n"/>
      <c r="BS108" s="142" t="n"/>
      <c r="BT108" s="318" t="n"/>
      <c r="BU108" s="142" t="n"/>
      <c r="BV108" s="318" t="n"/>
      <c r="BW108" s="142" t="n"/>
      <c r="BX108" s="318" t="n"/>
      <c r="BY108" s="142" t="n"/>
      <c r="BZ108" s="318" t="n"/>
      <c r="CA108" s="142" t="n"/>
      <c r="CB108" s="318" t="n"/>
      <c r="CC108" s="142" t="n"/>
      <c r="CD108" s="318" t="n"/>
      <c r="CE108" s="142" t="n"/>
      <c r="CF108" s="318" t="n"/>
      <c r="CG108" s="317" t="n"/>
      <c r="CH108" s="318" t="n"/>
      <c r="CI108" s="317" t="n"/>
      <c r="CJ108" s="318" t="n"/>
      <c r="CK108" s="317" t="n"/>
      <c r="CL108" s="318" t="n"/>
      <c r="CM108" s="317" t="n"/>
      <c r="CN108" s="318" t="n"/>
      <c r="CO108" s="80" t="n"/>
      <c r="CP108" s="318" t="n"/>
      <c r="CQ108" s="80" t="n"/>
      <c r="CR108" s="318" t="n"/>
      <c r="CS108" s="80" t="n"/>
      <c r="CT108" s="318" t="n"/>
      <c r="CU108" s="80" t="n"/>
      <c r="CW108" s="318" t="n"/>
      <c r="CX108" s="142" t="n"/>
      <c r="CY108" s="318" t="n"/>
      <c r="CZ108" s="142" t="n"/>
      <c r="DA108" s="318" t="n"/>
      <c r="DB108" s="142" t="n"/>
      <c r="DC108" s="318" t="n"/>
      <c r="DD108" s="142" t="n"/>
      <c r="DE108" s="356" t="n"/>
      <c r="DF108" s="356" t="n"/>
    </row>
    <row r="109" customFormat="1" s="116">
      <c r="A109" s="376" t="n">
        <v>44865</v>
      </c>
      <c r="B109" s="315" t="n">
        <v>6570.93</v>
      </c>
      <c r="C109" s="111">
        <f>B109/B97-1</f>
        <v/>
      </c>
      <c r="D109" s="111" t="n"/>
      <c r="E109" s="315" t="n">
        <v>6154.3</v>
      </c>
      <c r="F109" s="111">
        <f>E109/E97-1</f>
        <v/>
      </c>
      <c r="G109" s="111" t="n"/>
      <c r="H109" s="315" t="n">
        <v>375.19</v>
      </c>
      <c r="I109" s="111">
        <f>H109/H97-1</f>
        <v/>
      </c>
      <c r="J109" s="111" t="n"/>
      <c r="K109" s="315" t="n">
        <v>41.44</v>
      </c>
      <c r="L109" s="111">
        <f>K109/K97-1</f>
        <v/>
      </c>
      <c r="M109" s="111" t="n"/>
      <c r="N109" s="315" t="n">
        <v>4325.28</v>
      </c>
      <c r="O109" s="111">
        <f>N109/N97-1</f>
        <v/>
      </c>
      <c r="P109" s="111" t="n"/>
      <c r="Q109" s="315" t="n">
        <v>4074.33</v>
      </c>
      <c r="R109" s="111">
        <f>Q109/Q97-1</f>
        <v/>
      </c>
      <c r="S109" s="111" t="n"/>
      <c r="T109" s="315" t="n">
        <v>230.73</v>
      </c>
      <c r="U109" s="111">
        <f>T109/T97-1</f>
        <v/>
      </c>
      <c r="V109" s="111" t="n"/>
      <c r="W109" s="315" t="n">
        <v>20.22</v>
      </c>
      <c r="X109" s="111">
        <f>W109/W97-1</f>
        <v/>
      </c>
      <c r="Y109" s="111" t="n"/>
      <c r="Z109" s="315" t="n">
        <v>3036.47</v>
      </c>
      <c r="AA109" s="111">
        <f>Z109/Z97-1</f>
        <v/>
      </c>
      <c r="AB109" s="111" t="n"/>
      <c r="AC109" s="315" t="n">
        <v>2987.26</v>
      </c>
      <c r="AD109" s="111">
        <f>AC109/AC97-1</f>
        <v/>
      </c>
      <c r="AE109" s="111" t="n"/>
      <c r="AF109" s="315" t="n">
        <v>35.67</v>
      </c>
      <c r="AG109" s="111">
        <f>AF109/AF97-1</f>
        <v/>
      </c>
      <c r="AH109" s="111" t="n"/>
      <c r="AI109" s="315" t="n">
        <v>13.53</v>
      </c>
      <c r="AJ109" s="111">
        <f>AI109/AI97-1</f>
        <v/>
      </c>
      <c r="AK109" s="111" t="n"/>
      <c r="AL109" s="316" t="n">
        <v>65.81999999999999</v>
      </c>
      <c r="AM109" s="380">
        <f>AL109-AL97</f>
        <v/>
      </c>
      <c r="AN109" s="111" t="n"/>
      <c r="AO109" s="316" t="n">
        <v>66.2</v>
      </c>
      <c r="AP109" s="380">
        <f>AO109-AO97</f>
        <v/>
      </c>
      <c r="AQ109" s="111" t="n"/>
      <c r="AR109" s="316" t="n">
        <v>61.5</v>
      </c>
      <c r="AS109" s="380">
        <f>AR109-AR97</f>
        <v/>
      </c>
      <c r="AT109" s="111" t="n"/>
      <c r="AU109" s="316" t="n">
        <v>48.78</v>
      </c>
      <c r="AV109" s="380">
        <f>AU109-AU97</f>
        <v/>
      </c>
      <c r="AW109" s="111" t="n"/>
      <c r="AX109" s="315" t="n">
        <v>763</v>
      </c>
      <c r="AY109" s="111">
        <f>AX109/AX97-1</f>
        <v/>
      </c>
      <c r="AZ109" s="111" t="n"/>
      <c r="BA109" s="378" t="n"/>
      <c r="BB109" s="142" t="n"/>
      <c r="BC109" s="378" t="n"/>
      <c r="BD109" s="142" t="n"/>
      <c r="BE109" s="378" t="n"/>
      <c r="BF109" s="142" t="n"/>
      <c r="BG109" s="378" t="n"/>
      <c r="BH109" s="142" t="n"/>
      <c r="BI109" s="318" t="n"/>
      <c r="BJ109" s="142" t="n"/>
      <c r="BK109" s="318" t="n"/>
      <c r="BL109" s="142" t="n"/>
      <c r="BM109" s="318" t="n"/>
      <c r="BN109" s="142" t="n"/>
      <c r="BP109" s="318" t="n"/>
      <c r="BQ109" s="142" t="n"/>
      <c r="BR109" s="318" t="n"/>
      <c r="BS109" s="142" t="n"/>
      <c r="BT109" s="318" t="n"/>
      <c r="BU109" s="142" t="n"/>
      <c r="BV109" s="318" t="n"/>
      <c r="BW109" s="142" t="n"/>
      <c r="BX109" s="318" t="n"/>
      <c r="BY109" s="142" t="n"/>
      <c r="BZ109" s="318" t="n"/>
      <c r="CA109" s="142" t="n"/>
      <c r="CB109" s="318" t="n"/>
      <c r="CC109" s="142" t="n"/>
      <c r="CD109" s="318" t="n"/>
      <c r="CE109" s="142" t="n"/>
      <c r="CF109" s="318" t="n"/>
      <c r="CG109" s="317" t="n"/>
      <c r="CH109" s="318" t="n"/>
      <c r="CI109" s="317" t="n"/>
      <c r="CJ109" s="318" t="n"/>
      <c r="CK109" s="317" t="n"/>
      <c r="CL109" s="318" t="n"/>
      <c r="CM109" s="317" t="n"/>
      <c r="CN109" s="318" t="n"/>
      <c r="CO109" s="80" t="n"/>
      <c r="CP109" s="318" t="n"/>
      <c r="CQ109" s="80" t="n"/>
      <c r="CR109" s="318" t="n"/>
      <c r="CS109" s="80" t="n"/>
      <c r="CT109" s="318" t="n"/>
      <c r="CU109" s="80" t="n"/>
      <c r="CW109" s="318" t="n"/>
      <c r="CX109" s="142" t="n"/>
      <c r="CY109" s="318" t="n"/>
      <c r="CZ109" s="142" t="n"/>
      <c r="DA109" s="318" t="n"/>
      <c r="DB109" s="142" t="n"/>
      <c r="DC109" s="318" t="n"/>
      <c r="DD109" s="142" t="n"/>
      <c r="DE109" s="395" t="n"/>
      <c r="DF109" s="395" t="n"/>
    </row>
    <row r="110" customFormat="1" s="116">
      <c r="A110" s="376" t="n">
        <v>44895</v>
      </c>
      <c r="B110" s="315" t="n">
        <v>5757.75</v>
      </c>
      <c r="C110" s="111">
        <f>B110/B98-1</f>
        <v/>
      </c>
      <c r="D110" s="111" t="n"/>
      <c r="E110" s="315" t="n">
        <v>5274.47</v>
      </c>
      <c r="F110" s="111">
        <f>E110/E98-1</f>
        <v/>
      </c>
      <c r="G110" s="111" t="n"/>
      <c r="H110" s="315" t="n">
        <v>437.3</v>
      </c>
      <c r="I110" s="111">
        <f>H110/H98-1</f>
        <v/>
      </c>
      <c r="J110" s="111" t="n"/>
      <c r="K110" s="315" t="n">
        <v>45.97</v>
      </c>
      <c r="L110" s="111">
        <f>K110/K98-1</f>
        <v/>
      </c>
      <c r="M110" s="111" t="n"/>
      <c r="N110" s="315" t="n">
        <v>3745.52</v>
      </c>
      <c r="O110" s="111">
        <f>N110/N98-1</f>
        <v/>
      </c>
      <c r="P110" s="111" t="n"/>
      <c r="Q110" s="315" t="n">
        <v>3443.6</v>
      </c>
      <c r="R110" s="111">
        <f>Q110/Q98-1</f>
        <v/>
      </c>
      <c r="S110" s="111" t="n"/>
      <c r="T110" s="315" t="n">
        <v>273.12</v>
      </c>
      <c r="U110" s="111">
        <f>T110/T98-1</f>
        <v/>
      </c>
      <c r="V110" s="111" t="n"/>
      <c r="W110" s="315" t="n">
        <v>28.8</v>
      </c>
      <c r="X110" s="111">
        <f>W110/W98-1</f>
        <v/>
      </c>
      <c r="Y110" s="111" t="n"/>
      <c r="Z110" s="315" t="n">
        <v>2521.76</v>
      </c>
      <c r="AA110" s="111">
        <f>Z110/Z98-1</f>
        <v/>
      </c>
      <c r="AB110" s="111" t="n"/>
      <c r="AC110" s="315" t="n">
        <v>2455.65</v>
      </c>
      <c r="AD110" s="111">
        <f>AC110/AC98-1</f>
        <v/>
      </c>
      <c r="AE110" s="111" t="n"/>
      <c r="AF110" s="315" t="n">
        <v>46.69</v>
      </c>
      <c r="AG110" s="111">
        <f>AF110/AF98-1</f>
        <v/>
      </c>
      <c r="AH110" s="111" t="n"/>
      <c r="AI110" s="315" t="n">
        <v>19.42</v>
      </c>
      <c r="AJ110" s="111">
        <f>AI110/AI98-1</f>
        <v/>
      </c>
      <c r="AK110" s="111" t="n"/>
      <c r="AL110" s="316" t="n">
        <v>65.05</v>
      </c>
      <c r="AM110" s="380">
        <f>AL110-AL98</f>
        <v/>
      </c>
      <c r="AN110" s="111" t="n"/>
      <c r="AO110" s="316" t="n">
        <v>65.29000000000001</v>
      </c>
      <c r="AP110" s="380">
        <f>AO110-AO98</f>
        <v/>
      </c>
      <c r="AQ110" s="111" t="n"/>
      <c r="AR110" s="316" t="n">
        <v>62.45</v>
      </c>
      <c r="AS110" s="380">
        <f>AR110-AR98</f>
        <v/>
      </c>
      <c r="AT110" s="111" t="n"/>
      <c r="AU110" s="316" t="n">
        <v>62.64</v>
      </c>
      <c r="AV110" s="380">
        <f>AU110-AU98</f>
        <v/>
      </c>
      <c r="AW110" s="111" t="n"/>
      <c r="AX110" s="315" t="n">
        <v>767</v>
      </c>
      <c r="AY110" s="111">
        <f>AX110/AX98-1</f>
        <v/>
      </c>
      <c r="AZ110" s="111" t="n"/>
      <c r="BA110" s="378" t="n"/>
      <c r="BB110" s="142" t="n"/>
      <c r="BC110" s="378" t="n"/>
      <c r="BD110" s="142" t="n"/>
      <c r="BE110" s="378" t="n"/>
      <c r="BF110" s="142" t="n"/>
      <c r="BG110" s="378" t="n"/>
      <c r="BH110" s="142" t="n"/>
      <c r="BI110" s="318" t="n"/>
      <c r="BJ110" s="142" t="n"/>
      <c r="BK110" s="318" t="n"/>
      <c r="BL110" s="142" t="n"/>
      <c r="BM110" s="318" t="n"/>
      <c r="BN110" s="142" t="n"/>
      <c r="BP110" s="318" t="n"/>
      <c r="BQ110" s="142" t="n"/>
      <c r="BR110" s="318" t="n"/>
      <c r="BS110" s="142" t="n"/>
      <c r="BT110" s="318" t="n"/>
      <c r="BU110" s="142" t="n"/>
      <c r="BV110" s="318" t="n"/>
      <c r="BW110" s="142" t="n"/>
      <c r="BX110" s="318" t="n"/>
      <c r="BY110" s="142" t="n"/>
      <c r="BZ110" s="318" t="n"/>
      <c r="CA110" s="142" t="n"/>
      <c r="CB110" s="318" t="n"/>
      <c r="CC110" s="142" t="n"/>
      <c r="CD110" s="318" t="n"/>
      <c r="CE110" s="142" t="n"/>
      <c r="CF110" s="318" t="n"/>
      <c r="CG110" s="317" t="n"/>
      <c r="CH110" s="318" t="n"/>
      <c r="CI110" s="317" t="n"/>
      <c r="CJ110" s="318" t="n"/>
      <c r="CK110" s="317" t="n"/>
      <c r="CL110" s="318" t="n"/>
      <c r="CM110" s="317" t="n"/>
      <c r="CN110" s="318" t="n"/>
      <c r="CO110" s="80" t="n"/>
      <c r="CP110" s="318" t="n"/>
      <c r="CQ110" s="80" t="n"/>
      <c r="CR110" s="318" t="n"/>
      <c r="CS110" s="80" t="n"/>
      <c r="CT110" s="318" t="n"/>
      <c r="CU110" s="80" t="n"/>
      <c r="CW110" s="318" t="n"/>
      <c r="CX110" s="142" t="n"/>
      <c r="CY110" s="318" t="n"/>
      <c r="CZ110" s="142" t="n"/>
      <c r="DA110" s="318" t="n"/>
      <c r="DB110" s="142" t="n"/>
      <c r="DC110" s="318" t="n"/>
      <c r="DD110" s="142" t="n"/>
      <c r="DE110" s="395" t="n"/>
      <c r="DF110" s="395" t="n"/>
    </row>
    <row r="111" customFormat="1" s="116">
      <c r="A111" s="376" t="n">
        <v>44926</v>
      </c>
      <c r="B111" s="315" t="n">
        <v>7525.77</v>
      </c>
      <c r="C111" s="111">
        <f>B111/B99-1</f>
        <v/>
      </c>
      <c r="D111" s="111" t="n"/>
      <c r="E111" s="315" t="n">
        <v>6909.36</v>
      </c>
      <c r="F111" s="111">
        <f>E111/E99-1</f>
        <v/>
      </c>
      <c r="G111" s="111" t="n"/>
      <c r="H111" s="315" t="n">
        <v>534.86</v>
      </c>
      <c r="I111" s="111">
        <f>H111/H99-1</f>
        <v/>
      </c>
      <c r="J111" s="111" t="n"/>
      <c r="K111" s="315" t="n">
        <v>81.56</v>
      </c>
      <c r="L111" s="111">
        <f>K111/K99-1</f>
        <v/>
      </c>
      <c r="M111" s="111" t="n"/>
      <c r="N111" s="315" t="n">
        <v>4762.56</v>
      </c>
      <c r="O111" s="111">
        <f>N111/N99-1</f>
        <v/>
      </c>
      <c r="P111" s="111" t="n"/>
      <c r="Q111" s="315" t="n">
        <v>4384.14</v>
      </c>
      <c r="R111" s="111">
        <f>Q111/Q99-1</f>
        <v/>
      </c>
      <c r="S111" s="111" t="n"/>
      <c r="T111" s="315" t="n">
        <v>332.54</v>
      </c>
      <c r="U111" s="111">
        <f>T111/T99-1</f>
        <v/>
      </c>
      <c r="V111" s="111" t="n"/>
      <c r="W111" s="315" t="n">
        <v>45.89</v>
      </c>
      <c r="X111" s="111">
        <f>W111/W99-1</f>
        <v/>
      </c>
      <c r="Y111" s="111" t="n"/>
      <c r="Z111" s="315" t="n">
        <v>3168.02</v>
      </c>
      <c r="AA111" s="111">
        <f>Z111/Z99-1</f>
        <v/>
      </c>
      <c r="AB111" s="111" t="n"/>
      <c r="AC111" s="315" t="n">
        <v>3077.98</v>
      </c>
      <c r="AD111" s="111">
        <f>AC111/AC99-1</f>
        <v/>
      </c>
      <c r="AE111" s="111" t="n"/>
      <c r="AF111" s="315" t="n">
        <v>59.03</v>
      </c>
      <c r="AG111" s="111">
        <f>AF111/AF99-1</f>
        <v/>
      </c>
      <c r="AH111" s="111" t="n"/>
      <c r="AI111" s="315" t="n">
        <v>31.01</v>
      </c>
      <c r="AJ111" s="111">
        <f>AI111/AI99-1</f>
        <v/>
      </c>
      <c r="AK111" s="111" t="n"/>
      <c r="AL111" s="316" t="n">
        <v>63.28</v>
      </c>
      <c r="AM111" s="380">
        <f>AL111-AL99</f>
        <v/>
      </c>
      <c r="AN111" s="111" t="n"/>
      <c r="AO111" s="316" t="n">
        <v>63.45</v>
      </c>
      <c r="AP111" s="380">
        <f>AO111-AO99</f>
        <v/>
      </c>
      <c r="AQ111" s="111" t="n"/>
      <c r="AR111" s="316" t="n">
        <v>62.17</v>
      </c>
      <c r="AS111" s="380">
        <f>AR111-AR99</f>
        <v/>
      </c>
      <c r="AT111" s="111" t="n"/>
      <c r="AU111" s="316" t="n">
        <v>56.26</v>
      </c>
      <c r="AV111" s="380">
        <f>AU111-AU99</f>
        <v/>
      </c>
      <c r="AW111" s="111" t="n"/>
      <c r="AX111" s="315" t="n">
        <v>775</v>
      </c>
      <c r="AY111" s="111">
        <f>AX111/AX99-1</f>
        <v/>
      </c>
      <c r="AZ111" s="111" t="n"/>
      <c r="BA111" s="378" t="n"/>
      <c r="BB111" s="142" t="n"/>
      <c r="BC111" s="378" t="n"/>
      <c r="BD111" s="142" t="n"/>
      <c r="BE111" s="378" t="n"/>
      <c r="BF111" s="142" t="n"/>
      <c r="BG111" s="378" t="n"/>
      <c r="BH111" s="142" t="n"/>
      <c r="BI111" s="318" t="n"/>
      <c r="BJ111" s="142" t="n"/>
      <c r="BK111" s="318" t="n"/>
      <c r="BL111" s="142" t="n"/>
      <c r="BM111" s="318" t="n"/>
      <c r="BN111" s="142" t="n"/>
      <c r="BP111" s="318" t="n"/>
      <c r="BQ111" s="142" t="n"/>
      <c r="BR111" s="318" t="n"/>
      <c r="BS111" s="142" t="n"/>
      <c r="BT111" s="318" t="n"/>
      <c r="BU111" s="142" t="n"/>
      <c r="BV111" s="318" t="n"/>
      <c r="BW111" s="142" t="n"/>
      <c r="BX111" s="318" t="n"/>
      <c r="BY111" s="142" t="n"/>
      <c r="BZ111" s="318" t="n"/>
      <c r="CA111" s="142" t="n"/>
      <c r="CB111" s="318" t="n"/>
      <c r="CC111" s="142" t="n"/>
      <c r="CD111" s="318" t="n"/>
      <c r="CE111" s="142" t="n"/>
      <c r="CF111" s="318" t="n"/>
      <c r="CG111" s="317" t="n"/>
      <c r="CH111" s="318" t="n"/>
      <c r="CI111" s="317" t="n"/>
      <c r="CJ111" s="318" t="n"/>
      <c r="CK111" s="317" t="n"/>
      <c r="CL111" s="318" t="n"/>
      <c r="CM111" s="317" t="n"/>
      <c r="CN111" s="318" t="n"/>
      <c r="CO111" s="80" t="n"/>
      <c r="CP111" s="318" t="n"/>
      <c r="CQ111" s="80" t="n"/>
      <c r="CR111" s="318" t="n"/>
      <c r="CS111" s="80" t="n"/>
      <c r="CT111" s="318" t="n"/>
      <c r="CU111" s="80" t="n"/>
      <c r="CW111" s="318" t="n"/>
      <c r="CX111" s="142" t="n"/>
      <c r="CY111" s="318" t="n"/>
      <c r="CZ111" s="142" t="n"/>
      <c r="DA111" s="318" t="n"/>
      <c r="DB111" s="142" t="n"/>
      <c r="DC111" s="318" t="n"/>
      <c r="DD111" s="142" t="n"/>
      <c r="DE111" s="117" t="n"/>
      <c r="DF111" s="395" t="n"/>
    </row>
    <row r="112" customFormat="1" s="116">
      <c r="A112" s="396" t="n">
        <v>44957</v>
      </c>
      <c r="B112" s="320" t="n">
        <v>14991.56</v>
      </c>
      <c r="C112" s="111">
        <f>B112/B100-1</f>
        <v/>
      </c>
      <c r="D112" s="111">
        <f>B112/B64-1</f>
        <v/>
      </c>
      <c r="E112" s="320" t="n">
        <v>14197.35</v>
      </c>
      <c r="F112" s="111">
        <f>E112/E100-1</f>
        <v/>
      </c>
      <c r="G112" s="111">
        <f>E112/E64-1</f>
        <v/>
      </c>
      <c r="H112" s="320" t="n">
        <v>656.34</v>
      </c>
      <c r="I112" s="111">
        <f>H112/H100-1</f>
        <v/>
      </c>
      <c r="J112" s="111">
        <f>H112/H64-1</f>
        <v/>
      </c>
      <c r="K112" s="320" t="n">
        <v>137.87</v>
      </c>
      <c r="L112" s="111">
        <f>K112/K100-1</f>
        <v/>
      </c>
      <c r="M112" s="111">
        <f>K112/K64-1</f>
        <v/>
      </c>
      <c r="N112" s="320" t="n">
        <v>10243.91</v>
      </c>
      <c r="O112" s="111">
        <f>N112/N100-1</f>
        <v/>
      </c>
      <c r="P112" s="111">
        <f>N112/N64-1</f>
        <v/>
      </c>
      <c r="Q112" s="320" t="n">
        <v>9707.040000000001</v>
      </c>
      <c r="R112" s="111">
        <f>Q112/Q100-1</f>
        <v/>
      </c>
      <c r="S112" s="111">
        <f>Q112/Q64-1</f>
        <v/>
      </c>
      <c r="T112" s="320" t="n">
        <v>436.78</v>
      </c>
      <c r="U112" s="111">
        <f>T112/T100-1</f>
        <v/>
      </c>
      <c r="V112" s="111">
        <f>T112/T64-1</f>
        <v/>
      </c>
      <c r="W112" s="320" t="n">
        <v>100.09</v>
      </c>
      <c r="X112" s="111">
        <f>W112/W100-1</f>
        <v/>
      </c>
      <c r="Y112" s="111">
        <f>W112/W64-1</f>
        <v/>
      </c>
      <c r="Z112" s="320" t="n">
        <v>6901.85</v>
      </c>
      <c r="AA112" s="111">
        <f>Z112/Z100-1</f>
        <v/>
      </c>
      <c r="AB112" s="111">
        <f>Z112/Z64-1</f>
        <v/>
      </c>
      <c r="AC112" s="320" t="n">
        <v>6753.37</v>
      </c>
      <c r="AD112" s="111">
        <f>AC112/AC100-1</f>
        <v/>
      </c>
      <c r="AE112" s="111">
        <f>AC112/AC64-1</f>
        <v/>
      </c>
      <c r="AF112" s="320" t="n">
        <v>79.95</v>
      </c>
      <c r="AG112" s="111">
        <f>AF112/AF100-1</f>
        <v/>
      </c>
      <c r="AH112" s="111">
        <f>AF112/AF64-1</f>
        <v/>
      </c>
      <c r="AI112" s="320" t="n">
        <v>68.53</v>
      </c>
      <c r="AJ112" s="111">
        <f>AI112/AI100-1</f>
        <v/>
      </c>
      <c r="AK112" s="111">
        <f>AI112/AI64-1</f>
        <v/>
      </c>
      <c r="AL112" s="321" t="n">
        <v>68.33</v>
      </c>
      <c r="AM112" s="380">
        <f>AL112-AL100</f>
        <v/>
      </c>
      <c r="AN112" s="380">
        <f>AL112-AL64</f>
        <v/>
      </c>
      <c r="AO112" s="321" t="n">
        <v>68.37</v>
      </c>
      <c r="AP112" s="380">
        <f>AO112-AO100</f>
        <v/>
      </c>
      <c r="AQ112" s="380">
        <f>AO112-AO64</f>
        <v/>
      </c>
      <c r="AR112" s="321" t="n">
        <v>66.55</v>
      </c>
      <c r="AS112" s="380">
        <f>AR112-AR100</f>
        <v/>
      </c>
      <c r="AT112" s="380">
        <f>AR112-AR64</f>
        <v/>
      </c>
      <c r="AU112" s="321" t="n">
        <v>72.59999999999999</v>
      </c>
      <c r="AV112" s="380">
        <f>AU112-AU100</f>
        <v/>
      </c>
      <c r="AW112" s="380">
        <f>AU112-AU64</f>
        <v/>
      </c>
      <c r="AX112" s="320" t="n">
        <v>775</v>
      </c>
      <c r="AY112" s="111">
        <f>AX112/AX100-1</f>
        <v/>
      </c>
      <c r="AZ112" s="111">
        <f>AX112/AX64-1</f>
        <v/>
      </c>
      <c r="BA112" s="378" t="n"/>
      <c r="BB112" s="142" t="n"/>
      <c r="BC112" s="378" t="n"/>
      <c r="BD112" s="142" t="n"/>
      <c r="BE112" s="378" t="n"/>
      <c r="BF112" s="142" t="n"/>
      <c r="BG112" s="378" t="n"/>
      <c r="BH112" s="142" t="n"/>
      <c r="BI112" s="318" t="n"/>
      <c r="BJ112" s="142" t="n"/>
      <c r="BK112" s="318" t="n"/>
      <c r="BL112" s="142" t="n"/>
      <c r="BM112" s="318" t="n"/>
      <c r="BN112" s="142" t="n"/>
      <c r="BP112" s="318" t="n"/>
      <c r="BQ112" s="142" t="n"/>
      <c r="BR112" s="318" t="n"/>
      <c r="BS112" s="142" t="n"/>
      <c r="BT112" s="318" t="n"/>
      <c r="BU112" s="142" t="n"/>
      <c r="BV112" s="318" t="n"/>
      <c r="BW112" s="142" t="n"/>
      <c r="BX112" s="318" t="n"/>
      <c r="BY112" s="142" t="n"/>
      <c r="BZ112" s="318" t="n"/>
      <c r="CA112" s="142" t="n"/>
      <c r="CB112" s="318" t="n"/>
      <c r="CC112" s="142" t="n"/>
      <c r="CD112" s="318" t="n"/>
      <c r="CE112" s="142" t="n"/>
      <c r="CF112" s="318" t="n"/>
      <c r="CG112" s="317" t="n"/>
      <c r="CH112" s="318" t="n"/>
      <c r="CI112" s="317" t="n"/>
      <c r="CJ112" s="318" t="n"/>
      <c r="CK112" s="317" t="n"/>
      <c r="CL112" s="318" t="n"/>
      <c r="CM112" s="317" t="n"/>
      <c r="CN112" s="318" t="n"/>
      <c r="CO112" s="80" t="n"/>
      <c r="CP112" s="318" t="n"/>
      <c r="CQ112" s="80" t="n"/>
      <c r="CR112" s="318" t="n"/>
      <c r="CS112" s="80" t="n"/>
      <c r="CT112" s="318" t="n"/>
      <c r="CU112" s="80" t="n"/>
      <c r="CW112" s="318" t="n"/>
      <c r="CX112" s="142" t="n"/>
      <c r="CY112" s="318" t="n"/>
      <c r="CZ112" s="142" t="n"/>
      <c r="DA112" s="318" t="n"/>
      <c r="DB112" s="142" t="n"/>
      <c r="DC112" s="318" t="n"/>
      <c r="DD112" s="142" t="n"/>
      <c r="DE112" s="117" t="n"/>
      <c r="DF112" s="395" t="n"/>
    </row>
    <row r="113" customFormat="1" s="116">
      <c r="A113" s="376" t="n">
        <v>44985</v>
      </c>
      <c r="B113" s="315" t="n">
        <v>15848.84</v>
      </c>
      <c r="C113" s="111">
        <f>B113/B101-1</f>
        <v/>
      </c>
      <c r="D113" s="111">
        <f>B113/B65-1</f>
        <v/>
      </c>
      <c r="E113" s="315" t="n">
        <v>14666.69</v>
      </c>
      <c r="F113" s="111">
        <f>E113/E101-1</f>
        <v/>
      </c>
      <c r="G113" s="111">
        <f>E113/E65-1</f>
        <v/>
      </c>
      <c r="H113" s="315" t="n">
        <v>988.39</v>
      </c>
      <c r="I113" s="111">
        <f>H113/H101-1</f>
        <v/>
      </c>
      <c r="J113" s="111">
        <f>H113/H65-1</f>
        <v/>
      </c>
      <c r="K113" s="315" t="n">
        <v>193.76</v>
      </c>
      <c r="L113" s="111">
        <f>K113/K101-1</f>
        <v/>
      </c>
      <c r="M113" s="111">
        <f>K113/K65-1</f>
        <v/>
      </c>
      <c r="N113" s="315" t="n">
        <v>11565.59</v>
      </c>
      <c r="O113" s="111">
        <f>N113/N101-1</f>
        <v/>
      </c>
      <c r="P113" s="111">
        <f>N113/N65-1</f>
        <v/>
      </c>
      <c r="Q113" s="315" t="n">
        <v>10803.47</v>
      </c>
      <c r="R113" s="111">
        <f>Q113/Q101-1</f>
        <v/>
      </c>
      <c r="S113" s="111">
        <f>Q113/Q65-1</f>
        <v/>
      </c>
      <c r="T113" s="315" t="n">
        <v>620.59</v>
      </c>
      <c r="U113" s="111">
        <f>T113/T101-1</f>
        <v/>
      </c>
      <c r="V113" s="111">
        <f>T113/T65-1</f>
        <v/>
      </c>
      <c r="W113" s="315" t="n">
        <v>141.54</v>
      </c>
      <c r="X113" s="111">
        <f>W113/W101-1</f>
        <v/>
      </c>
      <c r="Y113" s="111">
        <f>W113/W65-1</f>
        <v/>
      </c>
      <c r="Z113" s="315" t="n">
        <v>7807.17</v>
      </c>
      <c r="AA113" s="111">
        <f>Z113/Z101-1</f>
        <v/>
      </c>
      <c r="AB113" s="111">
        <f>Z113/Z65-1</f>
        <v/>
      </c>
      <c r="AC113" s="315" t="n">
        <v>7597.47</v>
      </c>
      <c r="AD113" s="111">
        <f>AC113/AC101-1</f>
        <v/>
      </c>
      <c r="AE113" s="111">
        <f>AC113/AC65-1</f>
        <v/>
      </c>
      <c r="AF113" s="315" t="n">
        <v>113.34</v>
      </c>
      <c r="AG113" s="111">
        <f>AF113/AF101-1</f>
        <v/>
      </c>
      <c r="AH113" s="111">
        <f>AF113/AF65-1</f>
        <v/>
      </c>
      <c r="AI113" s="315" t="n">
        <v>96.36</v>
      </c>
      <c r="AJ113" s="111">
        <f>AI113/AI101-1</f>
        <v/>
      </c>
      <c r="AK113" s="111">
        <f>AI113/AI65-1</f>
        <v/>
      </c>
      <c r="AL113" s="316" t="n">
        <v>72.97</v>
      </c>
      <c r="AM113" s="380">
        <f>AL113-AL101</f>
        <v/>
      </c>
      <c r="AN113" s="380">
        <f>AL113-AL65</f>
        <v/>
      </c>
      <c r="AO113" s="316" t="n">
        <v>73.66</v>
      </c>
      <c r="AP113" s="380">
        <f>AO113-AO101</f>
        <v/>
      </c>
      <c r="AQ113" s="380">
        <f>AO113-AO65</f>
        <v/>
      </c>
      <c r="AR113" s="316" t="n">
        <v>62.79</v>
      </c>
      <c r="AS113" s="380">
        <f>AR113-AR101</f>
        <v/>
      </c>
      <c r="AT113" s="380">
        <f>AR113-AR65</f>
        <v/>
      </c>
      <c r="AU113" s="316" t="n">
        <v>73.05</v>
      </c>
      <c r="AV113" s="380">
        <f>AU113-AU101</f>
        <v/>
      </c>
      <c r="AW113" s="380">
        <f>AU113-AU65</f>
        <v/>
      </c>
      <c r="AX113" s="315" t="n">
        <v>778</v>
      </c>
      <c r="AY113" s="111">
        <f>AX113/AX101-1</f>
        <v/>
      </c>
      <c r="AZ113" s="111">
        <f>AX113/AX65-1</f>
        <v/>
      </c>
      <c r="BA113" s="317" t="n"/>
      <c r="BB113" s="317" t="n"/>
      <c r="BC113" s="317" t="n"/>
      <c r="BD113" s="317" t="n"/>
      <c r="BE113" s="317" t="n"/>
      <c r="BF113" s="317" t="n"/>
      <c r="BG113" s="317" t="n"/>
      <c r="BH113" s="317" t="n"/>
      <c r="BI113" s="317" t="n"/>
      <c r="BJ113" s="317" t="n"/>
      <c r="BK113" s="318" t="n"/>
      <c r="BL113" s="317" t="n"/>
      <c r="BM113" s="317" t="n"/>
      <c r="BN113" s="317" t="n"/>
      <c r="BO113" s="317" t="n"/>
      <c r="BP113" s="317" t="n"/>
      <c r="BQ113" s="317" t="n"/>
      <c r="BR113" s="317" t="n"/>
      <c r="BS113" s="317" t="n"/>
      <c r="BT113" s="317" t="n"/>
      <c r="BU113" s="317" t="n"/>
      <c r="BV113" s="317" t="n"/>
      <c r="BW113" s="317" t="n"/>
      <c r="BX113" s="317" t="n"/>
      <c r="BY113" s="317" t="n"/>
      <c r="BZ113" s="317" t="n"/>
      <c r="CA113" s="317" t="n"/>
      <c r="CB113" s="317" t="n"/>
      <c r="CC113" s="317" t="n"/>
      <c r="CD113" s="317" t="n"/>
      <c r="CE113" s="317" t="n"/>
      <c r="CF113" s="317" t="n"/>
      <c r="CG113" s="317" t="n"/>
      <c r="CH113" s="317" t="n"/>
      <c r="CI113" s="317" t="n"/>
      <c r="CJ113" s="317" t="n"/>
      <c r="CK113" s="317" t="n"/>
      <c r="CL113" s="317" t="n"/>
      <c r="CM113" s="317" t="n"/>
      <c r="CN113" s="317" t="n"/>
      <c r="CW113" s="317" t="n"/>
      <c r="CX113" s="317" t="n"/>
      <c r="CY113" s="317" t="n"/>
      <c r="CZ113" s="317" t="n"/>
      <c r="DA113" s="317" t="n"/>
      <c r="DB113" s="317" t="n"/>
      <c r="DC113" s="317" t="n"/>
      <c r="DD113" s="317" t="n"/>
      <c r="DE113" s="319" t="n"/>
      <c r="DF113" s="319" t="n"/>
    </row>
    <row r="114" customFormat="1" s="116">
      <c r="A114" s="424" t="n">
        <v>45016</v>
      </c>
      <c r="B114" s="315" t="n">
        <v>17249.26</v>
      </c>
      <c r="C114" s="111">
        <f>B114/B102-1</f>
        <v/>
      </c>
      <c r="D114" s="111">
        <f>B114/B66-1</f>
        <v/>
      </c>
      <c r="E114" s="315" t="n">
        <v>15505.75</v>
      </c>
      <c r="F114" s="111">
        <f>E114/E102-1</f>
        <v/>
      </c>
      <c r="G114" s="111">
        <f>E114/E66-1</f>
        <v/>
      </c>
      <c r="H114" s="315" t="n">
        <v>1446.63</v>
      </c>
      <c r="I114" s="111">
        <f>H114/H102-1</f>
        <v/>
      </c>
      <c r="J114" s="111">
        <f>H114/H66-1</f>
        <v/>
      </c>
      <c r="K114" s="315" t="n">
        <v>296.89</v>
      </c>
      <c r="L114" s="111">
        <f>K114/K102-1</f>
        <v/>
      </c>
      <c r="M114" s="111">
        <f>K114/K66-1</f>
        <v/>
      </c>
      <c r="N114" s="315" t="n">
        <v>12144.61</v>
      </c>
      <c r="O114" s="111">
        <f>N114/N102-1</f>
        <v/>
      </c>
      <c r="P114" s="111">
        <f>N114/N66-1</f>
        <v/>
      </c>
      <c r="Q114" s="315" t="n">
        <v>11036.08</v>
      </c>
      <c r="R114" s="111">
        <f>Q114/Q102-1</f>
        <v/>
      </c>
      <c r="S114" s="111">
        <f>Q114/Q66-1</f>
        <v/>
      </c>
      <c r="T114" s="315" t="n">
        <v>891.14</v>
      </c>
      <c r="U114" s="111">
        <f>T114/T102-1</f>
        <v/>
      </c>
      <c r="V114" s="111">
        <f>T114/T66-1</f>
        <v/>
      </c>
      <c r="W114" s="315" t="n">
        <v>217.39</v>
      </c>
      <c r="X114" s="111">
        <f>W114/W102-1</f>
        <v/>
      </c>
      <c r="Y114" s="111">
        <f>W114/W66-1</f>
        <v/>
      </c>
      <c r="Z114" s="315" t="n">
        <v>8226.77</v>
      </c>
      <c r="AA114" s="111">
        <f>Z114/Z102-1</f>
        <v/>
      </c>
      <c r="AB114" s="111">
        <f>Z114/Z66-1</f>
        <v/>
      </c>
      <c r="AC114" s="315" t="n">
        <v>7898.36</v>
      </c>
      <c r="AD114" s="111">
        <f>AC114/AC102-1</f>
        <v/>
      </c>
      <c r="AE114" s="111">
        <f>AC114/AC66-1</f>
        <v/>
      </c>
      <c r="AF114" s="315" t="n">
        <v>179.78</v>
      </c>
      <c r="AG114" s="111">
        <f>AF114/AF102-1</f>
        <v/>
      </c>
      <c r="AH114" s="111">
        <f>AF114/AF66-1</f>
        <v/>
      </c>
      <c r="AI114" s="315" t="n">
        <v>148.63</v>
      </c>
      <c r="AJ114" s="111">
        <f>AI114/AI102-1</f>
        <v/>
      </c>
      <c r="AK114" s="111">
        <f>AI114/AI66-1</f>
        <v/>
      </c>
      <c r="AL114" s="316" t="n">
        <v>70.41</v>
      </c>
      <c r="AM114" s="380">
        <f>AL114-AL102</f>
        <v/>
      </c>
      <c r="AN114" s="380">
        <f>AL114-AL66</f>
        <v/>
      </c>
      <c r="AO114" s="316" t="n">
        <v>71.17</v>
      </c>
      <c r="AP114" s="380">
        <f>AO114-AO102</f>
        <v/>
      </c>
      <c r="AQ114" s="380">
        <f>AO114-AO66</f>
        <v/>
      </c>
      <c r="AR114" s="316" t="n">
        <v>61.6</v>
      </c>
      <c r="AS114" s="380">
        <f>AR114-AR102</f>
        <v/>
      </c>
      <c r="AT114" s="380">
        <f>AR114-AR66</f>
        <v/>
      </c>
      <c r="AU114" s="316" t="n">
        <v>73.22</v>
      </c>
      <c r="AV114" s="380">
        <f>AU114-AU102</f>
        <v/>
      </c>
      <c r="AW114" s="380">
        <f>AU114-AU66</f>
        <v/>
      </c>
      <c r="AX114" s="315" t="n">
        <v>779</v>
      </c>
      <c r="AY114" s="111">
        <f>AX114/AX102-1</f>
        <v/>
      </c>
      <c r="AZ114" s="111">
        <f>AX114/AX66-1</f>
        <v/>
      </c>
      <c r="BA114" s="317" t="n"/>
      <c r="BB114" s="317" t="n"/>
      <c r="BC114" s="317" t="n"/>
      <c r="BD114" s="317" t="n"/>
      <c r="BE114" s="317" t="n"/>
      <c r="BF114" s="317" t="n"/>
      <c r="BG114" s="317" t="n"/>
      <c r="BH114" s="317" t="n"/>
      <c r="BI114" s="317" t="n"/>
      <c r="BJ114" s="317" t="n"/>
      <c r="BK114" s="318" t="n"/>
      <c r="BL114" s="317" t="n"/>
      <c r="BM114" s="317" t="n"/>
      <c r="BN114" s="317" t="n"/>
      <c r="BO114" s="317" t="n"/>
      <c r="BP114" s="317" t="n"/>
      <c r="BQ114" s="317" t="n"/>
      <c r="BR114" s="317" t="n"/>
      <c r="BS114" s="317" t="n"/>
      <c r="BT114" s="317" t="n"/>
      <c r="BU114" s="317" t="n"/>
      <c r="BV114" s="317" t="n"/>
      <c r="BW114" s="317" t="n"/>
      <c r="BX114" s="317" t="n"/>
      <c r="BY114" s="317" t="n"/>
      <c r="BZ114" s="317" t="n"/>
      <c r="CA114" s="317" t="n"/>
      <c r="CB114" s="317" t="n"/>
      <c r="CC114" s="317" t="n"/>
      <c r="CD114" s="317" t="n"/>
      <c r="CE114" s="317" t="n"/>
      <c r="CF114" s="317" t="n"/>
      <c r="CG114" s="317" t="n"/>
      <c r="CH114" s="317" t="n"/>
      <c r="CI114" s="317" t="n"/>
      <c r="CJ114" s="317" t="n"/>
      <c r="CK114" s="317" t="n"/>
      <c r="CL114" s="317" t="n"/>
      <c r="CM114" s="317" t="n"/>
      <c r="CN114" s="317" t="n"/>
      <c r="CW114" s="317" t="n"/>
      <c r="CX114" s="317" t="n"/>
      <c r="CY114" s="317" t="n"/>
      <c r="CZ114" s="317" t="n"/>
      <c r="DA114" s="317" t="n"/>
      <c r="DB114" s="317" t="n"/>
      <c r="DC114" s="317" t="n"/>
      <c r="DD114" s="317" t="n"/>
      <c r="DE114" s="319" t="n"/>
      <c r="DF114" s="319" t="n"/>
    </row>
    <row r="115" customFormat="1" s="116">
      <c r="A115" s="376" t="n">
        <v>45046</v>
      </c>
      <c r="B115" s="315" t="n">
        <v>19137.6</v>
      </c>
      <c r="C115" s="111">
        <f>B115/B103-1</f>
        <v/>
      </c>
      <c r="D115" s="111">
        <f>B115/B67-1</f>
        <v/>
      </c>
      <c r="E115" s="315" t="n">
        <v>16743.58</v>
      </c>
      <c r="F115" s="111">
        <f>E115/E103-1</f>
        <v/>
      </c>
      <c r="G115" s="111">
        <f>E115/E67-1</f>
        <v/>
      </c>
      <c r="H115" s="315" t="n">
        <v>1994.44</v>
      </c>
      <c r="I115" s="111">
        <f>H115/H103-1</f>
        <v/>
      </c>
      <c r="J115" s="111">
        <f>H115/H67-1</f>
        <v/>
      </c>
      <c r="K115" s="315" t="n">
        <v>399.59</v>
      </c>
      <c r="L115" s="111">
        <f>K115/K103-1</f>
        <v/>
      </c>
      <c r="M115" s="111">
        <f>K115/K67-1</f>
        <v/>
      </c>
      <c r="N115" s="315" t="n">
        <v>13792.27</v>
      </c>
      <c r="O115" s="111">
        <f>N115/N103-1</f>
        <v/>
      </c>
      <c r="P115" s="111">
        <f>N115/N67-1</f>
        <v/>
      </c>
      <c r="Q115" s="315" t="n">
        <v>12307.79</v>
      </c>
      <c r="R115" s="111">
        <f>Q115/Q103-1</f>
        <v/>
      </c>
      <c r="S115" s="111">
        <f>Q115/Q67-1</f>
        <v/>
      </c>
      <c r="T115" s="315" t="n">
        <v>1214.6</v>
      </c>
      <c r="U115" s="111">
        <f>T115/T103-1</f>
        <v/>
      </c>
      <c r="V115" s="111">
        <f>T115/T67-1</f>
        <v/>
      </c>
      <c r="W115" s="315" t="n">
        <v>269.88</v>
      </c>
      <c r="X115" s="111">
        <f>W115/W103-1</f>
        <v/>
      </c>
      <c r="Y115" s="111">
        <f>W115/W67-1</f>
        <v/>
      </c>
      <c r="Z115" s="315" t="n">
        <v>9303.43</v>
      </c>
      <c r="AA115" s="111">
        <f>Z115/Z103-1</f>
        <v/>
      </c>
      <c r="AB115" s="111">
        <f>Z115/Z67-1</f>
        <v/>
      </c>
      <c r="AC115" s="315" t="n">
        <v>8838.030000000001</v>
      </c>
      <c r="AD115" s="111">
        <f>AC115/AC103-1</f>
        <v/>
      </c>
      <c r="AE115" s="111">
        <f>AC115/AC67-1</f>
        <v/>
      </c>
      <c r="AF115" s="315" t="n">
        <v>274.69</v>
      </c>
      <c r="AG115" s="111">
        <f>AF115/AF103-1</f>
        <v/>
      </c>
      <c r="AH115" s="111">
        <f>AF115/AF67-1</f>
        <v/>
      </c>
      <c r="AI115" s="315" t="n">
        <v>190.71</v>
      </c>
      <c r="AJ115" s="111">
        <f>AI115/AI103-1</f>
        <v/>
      </c>
      <c r="AK115" s="111">
        <f>AI115/AI67-1</f>
        <v/>
      </c>
      <c r="AL115" s="316" t="n">
        <v>72.06999999999999</v>
      </c>
      <c r="AM115" s="380">
        <f>AL115-AL103</f>
        <v/>
      </c>
      <c r="AN115" s="380">
        <f>AL115-AL67</f>
        <v/>
      </c>
      <c r="AO115" s="316" t="n">
        <v>73.51000000000001</v>
      </c>
      <c r="AP115" s="380">
        <f>AO115-AO103</f>
        <v/>
      </c>
      <c r="AQ115" s="380">
        <f>AO115-AO67</f>
        <v/>
      </c>
      <c r="AR115" s="316" t="n">
        <v>60.9</v>
      </c>
      <c r="AS115" s="380">
        <f>AR115-AR103</f>
        <v/>
      </c>
      <c r="AT115" s="380">
        <f>AR115-AR67</f>
        <v/>
      </c>
      <c r="AU115" s="316" t="n">
        <v>67.54000000000001</v>
      </c>
      <c r="AV115" s="380">
        <f>AU115-AU103</f>
        <v/>
      </c>
      <c r="AW115" s="380">
        <f>AU115-AU67</f>
        <v/>
      </c>
      <c r="AX115" s="315" t="n">
        <v>781</v>
      </c>
      <c r="AY115" s="111">
        <f>AX115/AX103-1</f>
        <v/>
      </c>
      <c r="AZ115" s="111">
        <f>AX115/AX67-1</f>
        <v/>
      </c>
      <c r="BA115" s="317" t="n"/>
      <c r="BB115" s="317" t="n"/>
      <c r="BC115" s="317" t="n"/>
      <c r="BD115" s="317" t="n"/>
      <c r="BE115" s="317" t="n"/>
      <c r="BF115" s="317" t="n"/>
      <c r="BG115" s="317" t="n"/>
      <c r="BH115" s="317" t="n"/>
      <c r="BI115" s="317" t="n"/>
      <c r="BJ115" s="317" t="n"/>
      <c r="BK115" s="318" t="n"/>
      <c r="BL115" s="317" t="n"/>
      <c r="BM115" s="317" t="n"/>
      <c r="BN115" s="317" t="n"/>
      <c r="BO115" s="317" t="n"/>
      <c r="BP115" s="317" t="n"/>
      <c r="BQ115" s="317" t="n"/>
      <c r="BR115" s="317" t="n"/>
      <c r="BS115" s="317" t="n"/>
      <c r="BT115" s="317" t="n"/>
      <c r="BU115" s="317" t="n"/>
      <c r="BV115" s="317" t="n"/>
      <c r="BW115" s="317" t="n"/>
      <c r="BX115" s="317" t="n"/>
      <c r="BY115" s="317" t="n"/>
      <c r="BZ115" s="317" t="n"/>
      <c r="CA115" s="317" t="n"/>
      <c r="CB115" s="317" t="n"/>
      <c r="CC115" s="317" t="n"/>
      <c r="CD115" s="317" t="n"/>
      <c r="CE115" s="317" t="n"/>
      <c r="CF115" s="317" t="n"/>
      <c r="CG115" s="317" t="n"/>
      <c r="CH115" s="317" t="n"/>
      <c r="CI115" s="317" t="n"/>
      <c r="CJ115" s="317" t="n"/>
      <c r="CK115" s="317" t="n"/>
      <c r="CL115" s="317" t="n"/>
      <c r="CM115" s="317" t="n"/>
      <c r="CN115" s="317" t="n"/>
      <c r="CW115" s="317" t="n"/>
      <c r="CX115" s="317" t="n"/>
      <c r="CY115" s="317" t="n"/>
      <c r="CZ115" s="317" t="n"/>
      <c r="DA115" s="317" t="n"/>
      <c r="DB115" s="317" t="n"/>
      <c r="DC115" s="317" t="n"/>
      <c r="DD115" s="317" t="n"/>
      <c r="DE115" s="319" t="n"/>
      <c r="DF115" s="319" t="n"/>
    </row>
    <row r="116" customFormat="1" s="116">
      <c r="A116" s="376" t="n">
        <v>45077</v>
      </c>
      <c r="B116" s="315" t="n">
        <v>20839.83</v>
      </c>
      <c r="C116" s="111">
        <f>B116/B104-1</f>
        <v/>
      </c>
      <c r="D116" s="111">
        <f>B116/B68-1</f>
        <v/>
      </c>
      <c r="E116" s="315" t="n">
        <v>17685.25</v>
      </c>
      <c r="F116" s="111">
        <f>E116/E104-1</f>
        <v/>
      </c>
      <c r="G116" s="111">
        <f>E116/E68-1</f>
        <v/>
      </c>
      <c r="H116" s="315" t="n">
        <v>2718.19</v>
      </c>
      <c r="I116" s="111">
        <f>H116/H104-1</f>
        <v/>
      </c>
      <c r="J116" s="111">
        <f>H116/H68-1</f>
        <v/>
      </c>
      <c r="K116" s="315" t="n">
        <v>436.39</v>
      </c>
      <c r="L116" s="111">
        <f>K116/K104-1</f>
        <v/>
      </c>
      <c r="M116" s="111">
        <f>K116/K68-1</f>
        <v/>
      </c>
      <c r="N116" s="315" t="n">
        <v>14593.24</v>
      </c>
      <c r="O116" s="111">
        <f>N116/N104-1</f>
        <v/>
      </c>
      <c r="P116" s="111">
        <f>N116/N68-1</f>
        <v/>
      </c>
      <c r="Q116" s="315" t="n">
        <v>12623.47</v>
      </c>
      <c r="R116" s="111">
        <f>Q116/Q104-1</f>
        <v/>
      </c>
      <c r="S116" s="111">
        <f>Q116/Q68-1</f>
        <v/>
      </c>
      <c r="T116" s="315" t="n">
        <v>1671.61</v>
      </c>
      <c r="U116" s="111">
        <f>T116/T104-1</f>
        <v/>
      </c>
      <c r="V116" s="111">
        <f>T116/T68-1</f>
        <v/>
      </c>
      <c r="W116" s="315" t="n">
        <v>298.16</v>
      </c>
      <c r="X116" s="111">
        <f>W116/W104-1</f>
        <v/>
      </c>
      <c r="Y116" s="111">
        <f>W116/W68-1</f>
        <v/>
      </c>
      <c r="Z116" s="315" t="n">
        <v>9675.35</v>
      </c>
      <c r="AA116" s="111">
        <f>Z116/Z104-1</f>
        <v/>
      </c>
      <c r="AB116" s="111">
        <f>Z116/Z68-1</f>
        <v/>
      </c>
      <c r="AC116" s="315" t="n">
        <v>9066</v>
      </c>
      <c r="AD116" s="111">
        <f>AC116/AC104-1</f>
        <v/>
      </c>
      <c r="AE116" s="111">
        <f>AC116/AC68-1</f>
        <v/>
      </c>
      <c r="AF116" s="315" t="n">
        <v>396.75</v>
      </c>
      <c r="AG116" s="111">
        <f>AF116/AF104-1</f>
        <v/>
      </c>
      <c r="AH116" s="111">
        <f>AF116/AF68-1</f>
        <v/>
      </c>
      <c r="AI116" s="315" t="n">
        <v>212.6</v>
      </c>
      <c r="AJ116" s="111">
        <f>AI116/AI104-1</f>
        <v/>
      </c>
      <c r="AK116" s="111">
        <f>AI116/AI68-1</f>
        <v/>
      </c>
      <c r="AL116" s="316" t="n">
        <v>70.03</v>
      </c>
      <c r="AM116" s="380">
        <f>AL116-AL104</f>
        <v/>
      </c>
      <c r="AN116" s="380">
        <f>AL116-AL68</f>
        <v/>
      </c>
      <c r="AO116" s="316" t="n">
        <v>71.38</v>
      </c>
      <c r="AP116" s="380">
        <f>AO116-AO104</f>
        <v/>
      </c>
      <c r="AQ116" s="380">
        <f>AO116-AO68</f>
        <v/>
      </c>
      <c r="AR116" s="316" t="n">
        <v>61.5</v>
      </c>
      <c r="AS116" s="380">
        <f>AR116-AR104</f>
        <v/>
      </c>
      <c r="AT116" s="380">
        <f>AR116-AR68</f>
        <v/>
      </c>
      <c r="AU116" s="316" t="n">
        <v>68.31999999999999</v>
      </c>
      <c r="AV116" s="380">
        <f>AU116-AU104</f>
        <v/>
      </c>
      <c r="AW116" s="380">
        <f>AU116-AU68</f>
        <v/>
      </c>
      <c r="AX116" s="315" t="n">
        <v>782</v>
      </c>
      <c r="AY116" s="111">
        <f>AX116/AX104-1</f>
        <v/>
      </c>
      <c r="AZ116" s="111">
        <f>AX116/AX68-1</f>
        <v/>
      </c>
      <c r="BA116" s="317" t="n"/>
      <c r="BB116" s="317" t="n"/>
      <c r="BC116" s="317" t="n"/>
      <c r="BD116" s="317" t="n"/>
      <c r="BE116" s="317" t="n"/>
      <c r="BF116" s="317" t="n"/>
      <c r="BG116" s="317" t="n"/>
      <c r="BH116" s="317" t="n"/>
      <c r="BI116" s="317" t="n"/>
      <c r="BJ116" s="317" t="n"/>
      <c r="BK116" s="318" t="n"/>
      <c r="BL116" s="317" t="n"/>
      <c r="BM116" s="317" t="n"/>
      <c r="BN116" s="317" t="n"/>
      <c r="BO116" s="317" t="n"/>
      <c r="BP116" s="317" t="n"/>
      <c r="BQ116" s="317" t="n"/>
      <c r="BR116" s="317" t="n"/>
      <c r="BS116" s="317" t="n"/>
      <c r="BT116" s="317" t="n"/>
      <c r="BU116" s="317" t="n"/>
      <c r="BV116" s="317" t="n"/>
      <c r="BW116" s="317" t="n"/>
      <c r="BX116" s="317" t="n"/>
      <c r="BY116" s="317" t="n"/>
      <c r="BZ116" s="317" t="n"/>
      <c r="CA116" s="317" t="n"/>
      <c r="CB116" s="317" t="n"/>
      <c r="CC116" s="317" t="n"/>
      <c r="CD116" s="317" t="n"/>
      <c r="CE116" s="317" t="n"/>
      <c r="CF116" s="317" t="n"/>
      <c r="CG116" s="317" t="n"/>
      <c r="CH116" s="317" t="n"/>
      <c r="CI116" s="317" t="n"/>
      <c r="CJ116" s="317" t="n"/>
      <c r="CK116" s="317" t="n"/>
      <c r="CL116" s="317" t="n"/>
      <c r="CM116" s="317" t="n"/>
      <c r="CN116" s="317" t="n"/>
      <c r="CW116" s="317" t="n"/>
      <c r="CX116" s="317" t="n"/>
      <c r="CY116" s="317" t="n"/>
      <c r="CZ116" s="317" t="n"/>
      <c r="DA116" s="317" t="n"/>
      <c r="DB116" s="317" t="n"/>
      <c r="DC116" s="317" t="n"/>
      <c r="DD116" s="317" t="n"/>
      <c r="DE116" s="319" t="n"/>
      <c r="DF116" s="319" t="n"/>
    </row>
    <row r="117" customFormat="1" s="116">
      <c r="A117" s="402" t="n">
        <v>45107</v>
      </c>
      <c r="B117" s="315" t="n">
        <v>20538.2</v>
      </c>
      <c r="C117" s="111">
        <f>B117/B105-1</f>
        <v/>
      </c>
      <c r="D117" s="111">
        <f>B117/B69-1</f>
        <v/>
      </c>
      <c r="E117" s="315" t="n">
        <v>16980.56</v>
      </c>
      <c r="F117" s="111">
        <f>E117/E105-1</f>
        <v/>
      </c>
      <c r="G117" s="111">
        <f>E117/E69-1</f>
        <v/>
      </c>
      <c r="H117" s="315" t="n">
        <v>3137.77</v>
      </c>
      <c r="I117" s="111">
        <f>H117/H105-1</f>
        <v/>
      </c>
      <c r="J117" s="111">
        <f>H117/H69-1</f>
        <v/>
      </c>
      <c r="K117" s="315" t="n">
        <v>419.87</v>
      </c>
      <c r="L117" s="111">
        <f>K117/K105-1</f>
        <v/>
      </c>
      <c r="M117" s="111">
        <f>K117/K69-1</f>
        <v/>
      </c>
      <c r="N117" s="315" t="n">
        <v>15594.97</v>
      </c>
      <c r="O117" s="111">
        <f>N117/N105-1</f>
        <v/>
      </c>
      <c r="P117" s="111">
        <f>N117/N69-1</f>
        <v/>
      </c>
      <c r="Q117" s="315" t="n">
        <v>12958.31</v>
      </c>
      <c r="R117" s="111">
        <f>Q117/Q105-1</f>
        <v/>
      </c>
      <c r="S117" s="111">
        <f>Q117/Q69-1</f>
        <v/>
      </c>
      <c r="T117" s="315" t="n">
        <v>2321.61</v>
      </c>
      <c r="U117" s="111">
        <f>T117/T105-1</f>
        <v/>
      </c>
      <c r="V117" s="111">
        <f>T117/T69-1</f>
        <v/>
      </c>
      <c r="W117" s="315" t="n">
        <v>315.06</v>
      </c>
      <c r="X117" s="111">
        <f>W117/W105-1</f>
        <v/>
      </c>
      <c r="Y117" s="111">
        <f>W117/W69-1</f>
        <v/>
      </c>
      <c r="Z117" s="315" t="n">
        <v>10031.23</v>
      </c>
      <c r="AA117" s="111">
        <f>Z117/Z105-1</f>
        <v/>
      </c>
      <c r="AB117" s="111">
        <f>Z117/Z69-1</f>
        <v/>
      </c>
      <c r="AC117" s="315" t="n">
        <v>9252.110000000001</v>
      </c>
      <c r="AD117" s="111">
        <f>AC117/AC105-1</f>
        <v/>
      </c>
      <c r="AE117" s="111">
        <f>AC117/AC69-1</f>
        <v/>
      </c>
      <c r="AF117" s="315" t="n">
        <v>551.45</v>
      </c>
      <c r="AG117" s="111">
        <f>AF117/AF105-1</f>
        <v/>
      </c>
      <c r="AH117" s="111">
        <f>AF117/AF69-1</f>
        <v/>
      </c>
      <c r="AI117" s="315" t="n">
        <v>227.67</v>
      </c>
      <c r="AJ117" s="111">
        <f>AI117/AI105-1</f>
        <v/>
      </c>
      <c r="AK117" s="111">
        <f>AI117/AI69-1</f>
        <v/>
      </c>
      <c r="AL117" s="316" t="n">
        <v>75.93000000000001</v>
      </c>
      <c r="AM117" s="380">
        <f>AL117-AL105</f>
        <v/>
      </c>
      <c r="AN117" s="380">
        <f>AL117-AL69</f>
        <v/>
      </c>
      <c r="AO117" s="316" t="n">
        <v>76.31</v>
      </c>
      <c r="AP117" s="380">
        <f>AO117-AO105</f>
        <v/>
      </c>
      <c r="AQ117" s="380">
        <f>AO117-AO69</f>
        <v/>
      </c>
      <c r="AR117" s="316" t="n">
        <v>73.98999999999999</v>
      </c>
      <c r="AS117" s="380">
        <f>AR117-AR105</f>
        <v/>
      </c>
      <c r="AT117" s="380">
        <f>AR117-AR69</f>
        <v/>
      </c>
      <c r="AU117" s="316" t="n">
        <v>75.04000000000001</v>
      </c>
      <c r="AV117" s="380">
        <f>AU117-AU105</f>
        <v/>
      </c>
      <c r="AW117" s="380">
        <f>AU117-AU69</f>
        <v/>
      </c>
      <c r="AX117" s="315" t="n">
        <v>782</v>
      </c>
      <c r="AY117" s="111">
        <f>AX117/AX105-1</f>
        <v/>
      </c>
      <c r="AZ117" s="111">
        <f>AX117/AX69-1</f>
        <v/>
      </c>
      <c r="BA117" s="317" t="n"/>
      <c r="BB117" s="317" t="n"/>
      <c r="BC117" s="317" t="n"/>
      <c r="BD117" s="317" t="n"/>
      <c r="BE117" s="317" t="n"/>
      <c r="BF117" s="317" t="n"/>
      <c r="BG117" s="317" t="n"/>
      <c r="BH117" s="317" t="n"/>
      <c r="BI117" s="317" t="n"/>
      <c r="BJ117" s="317" t="n"/>
      <c r="BK117" s="318" t="n"/>
      <c r="BL117" s="317" t="n"/>
      <c r="BM117" s="317" t="n"/>
      <c r="BN117" s="317" t="n"/>
      <c r="BO117" s="317" t="n"/>
      <c r="BP117" s="317" t="n"/>
      <c r="BQ117" s="317" t="n"/>
      <c r="BR117" s="317" t="n"/>
      <c r="BS117" s="317" t="n"/>
      <c r="BT117" s="317" t="n"/>
      <c r="BU117" s="317" t="n"/>
      <c r="BV117" s="317" t="n"/>
      <c r="BW117" s="317" t="n"/>
      <c r="BX117" s="317" t="n"/>
      <c r="BY117" s="317" t="n"/>
      <c r="BZ117" s="317" t="n"/>
      <c r="CA117" s="317" t="n"/>
      <c r="CB117" s="317" t="n"/>
      <c r="CC117" s="317" t="n"/>
      <c r="CD117" s="317" t="n"/>
      <c r="CE117" s="317" t="n"/>
      <c r="CF117" s="317" t="n"/>
      <c r="CG117" s="317" t="n"/>
      <c r="CH117" s="317" t="n"/>
      <c r="CI117" s="317" t="n"/>
      <c r="CJ117" s="317" t="n"/>
      <c r="CK117" s="317" t="n"/>
      <c r="CL117" s="317" t="n"/>
      <c r="CM117" s="317" t="n"/>
      <c r="CN117" s="317" t="n"/>
      <c r="CW117" s="317" t="n"/>
      <c r="CX117" s="317" t="n"/>
      <c r="CY117" s="317" t="n"/>
      <c r="CZ117" s="317" t="n"/>
      <c r="DA117" s="317" t="n"/>
      <c r="DB117" s="317" t="n"/>
      <c r="DC117" s="317" t="n"/>
      <c r="DD117" s="317" t="n"/>
      <c r="DE117" s="319" t="n"/>
      <c r="DF117" s="319" t="n"/>
    </row>
    <row r="118" customFormat="1" s="116">
      <c r="A118" s="402" t="n">
        <v>45138</v>
      </c>
      <c r="B118" s="315" t="n">
        <v>23626.4</v>
      </c>
      <c r="C118" s="111">
        <f>B118/B106-1</f>
        <v/>
      </c>
      <c r="D118" s="111">
        <f>B118/B70-1</f>
        <v/>
      </c>
      <c r="E118" s="315" t="n">
        <v>18983.11</v>
      </c>
      <c r="F118" s="111">
        <f>E118/E106-1</f>
        <v/>
      </c>
      <c r="G118" s="111">
        <f>E118/E70-1</f>
        <v/>
      </c>
      <c r="H118" s="315" t="n">
        <v>4201.48</v>
      </c>
      <c r="I118" s="111">
        <f>H118/H106-1</f>
        <v/>
      </c>
      <c r="J118" s="111">
        <f>H118/H70-1</f>
        <v/>
      </c>
      <c r="K118" s="315" t="n">
        <v>441.81</v>
      </c>
      <c r="L118" s="111">
        <f>K118/K106-1</f>
        <v/>
      </c>
      <c r="M118" s="111">
        <f>K118/K70-1</f>
        <v/>
      </c>
      <c r="N118" s="315" t="n">
        <v>18525.7</v>
      </c>
      <c r="O118" s="111">
        <f>N118/N106-1</f>
        <v/>
      </c>
      <c r="P118" s="111">
        <f>N118/N70-1</f>
        <v/>
      </c>
      <c r="Q118" s="315" t="n">
        <v>14914.06</v>
      </c>
      <c r="R118" s="111">
        <f>Q118/Q106-1</f>
        <v/>
      </c>
      <c r="S118" s="111">
        <f>Q118/Q70-1</f>
        <v/>
      </c>
      <c r="T118" s="315" t="n">
        <v>3245.38</v>
      </c>
      <c r="U118" s="111">
        <f>T118/T106-1</f>
        <v/>
      </c>
      <c r="V118" s="111">
        <f>T118/T70-1</f>
        <v/>
      </c>
      <c r="W118" s="315" t="n">
        <v>366.26</v>
      </c>
      <c r="X118" s="111">
        <f>W118/W106-1</f>
        <v/>
      </c>
      <c r="Y118" s="111">
        <f>W118/W70-1</f>
        <v/>
      </c>
      <c r="Z118" s="315" t="n">
        <v>11505.27</v>
      </c>
      <c r="AA118" s="111">
        <f>Z118/Z106-1</f>
        <v/>
      </c>
      <c r="AB118" s="111">
        <f>Z118/Z70-1</f>
        <v/>
      </c>
      <c r="AC118" s="315" t="n">
        <v>10463.43</v>
      </c>
      <c r="AD118" s="111">
        <f>AC118/AC106-1</f>
        <v/>
      </c>
      <c r="AE118" s="111">
        <f>AC118/AC70-1</f>
        <v/>
      </c>
      <c r="AF118" s="315" t="n">
        <v>778.05</v>
      </c>
      <c r="AG118" s="111">
        <f>AF118/AF106-1</f>
        <v/>
      </c>
      <c r="AH118" s="111">
        <f>AF118/AF70-1</f>
        <v/>
      </c>
      <c r="AI118" s="315" t="n">
        <v>263.79</v>
      </c>
      <c r="AJ118" s="111">
        <f>AI118/AI106-1</f>
        <v/>
      </c>
      <c r="AK118" s="111">
        <f>AI118/AI70-1</f>
        <v/>
      </c>
      <c r="AL118" s="316" t="n">
        <v>78.41</v>
      </c>
      <c r="AM118" s="380">
        <f>AL118-AL106</f>
        <v/>
      </c>
      <c r="AN118" s="380">
        <f>AL118-AL70</f>
        <v/>
      </c>
      <c r="AO118" s="316" t="n">
        <v>78.56</v>
      </c>
      <c r="AP118" s="380">
        <f>AO118-AO106</f>
        <v/>
      </c>
      <c r="AQ118" s="380">
        <f>AO118-AO70</f>
        <v/>
      </c>
      <c r="AR118" s="316" t="n">
        <v>77.23999999999999</v>
      </c>
      <c r="AS118" s="380">
        <f>AR118-AR106</f>
        <v/>
      </c>
      <c r="AT118" s="380">
        <f>AR118-AR70</f>
        <v/>
      </c>
      <c r="AU118" s="316" t="n">
        <v>82.90000000000001</v>
      </c>
      <c r="AV118" s="380">
        <f>AU118-AU106</f>
        <v/>
      </c>
      <c r="AW118" s="380">
        <f>AU118-AU70</f>
        <v/>
      </c>
      <c r="AX118" s="315" t="n">
        <v>782</v>
      </c>
      <c r="AY118" s="111">
        <f>AX118/AX106-1</f>
        <v/>
      </c>
      <c r="AZ118" s="111">
        <f>AX118/AX70-1</f>
        <v/>
      </c>
      <c r="BA118" s="317" t="n"/>
      <c r="BB118" s="317" t="n"/>
      <c r="BC118" s="317" t="n"/>
      <c r="BD118" s="317" t="n"/>
      <c r="BE118" s="317" t="n"/>
      <c r="BF118" s="317" t="n"/>
      <c r="BG118" s="317" t="n"/>
      <c r="BH118" s="317" t="n"/>
      <c r="BI118" s="317" t="n"/>
      <c r="BJ118" s="317" t="n"/>
      <c r="BK118" s="318" t="n"/>
      <c r="BL118" s="317" t="n"/>
      <c r="BM118" s="317" t="n"/>
      <c r="BN118" s="317" t="n"/>
      <c r="BO118" s="317" t="n"/>
      <c r="BP118" s="317" t="n"/>
      <c r="BQ118" s="317" t="n"/>
      <c r="BR118" s="317" t="n"/>
      <c r="BS118" s="317" t="n"/>
      <c r="BT118" s="317" t="n"/>
      <c r="BU118" s="317" t="n"/>
      <c r="BV118" s="317" t="n"/>
      <c r="BW118" s="317" t="n"/>
      <c r="BX118" s="317" t="n"/>
      <c r="BY118" s="317" t="n"/>
      <c r="BZ118" s="317" t="n"/>
      <c r="CA118" s="317" t="n"/>
      <c r="CB118" s="317" t="n"/>
      <c r="CC118" s="317" t="n"/>
      <c r="CD118" s="317" t="n"/>
      <c r="CE118" s="317" t="n"/>
      <c r="CF118" s="317" t="n"/>
      <c r="CG118" s="317" t="n"/>
      <c r="CH118" s="317" t="n"/>
      <c r="CI118" s="317" t="n"/>
      <c r="CJ118" s="317" t="n"/>
      <c r="CK118" s="317" t="n"/>
      <c r="CL118" s="317" t="n"/>
      <c r="CM118" s="317" t="n"/>
      <c r="CN118" s="317" t="n"/>
      <c r="CW118" s="317" t="n"/>
      <c r="CX118" s="317" t="n"/>
      <c r="CY118" s="317" t="n"/>
      <c r="CZ118" s="317" t="n"/>
      <c r="DA118" s="317" t="n"/>
      <c r="DB118" s="317" t="n"/>
      <c r="DC118" s="317" t="n"/>
      <c r="DD118" s="317" t="n"/>
      <c r="DE118" s="319" t="n"/>
      <c r="DF118" s="319" t="n"/>
    </row>
    <row r="119" customFormat="1" s="116">
      <c r="A119" s="402" t="n">
        <v>45169</v>
      </c>
      <c r="B119" s="315" t="n">
        <v>24217.46</v>
      </c>
      <c r="C119" s="111">
        <f>B119/B107-1</f>
        <v/>
      </c>
      <c r="D119" s="111">
        <f>B119/B71-1</f>
        <v/>
      </c>
      <c r="E119" s="315" t="n">
        <v>19224.83</v>
      </c>
      <c r="F119" s="111">
        <f>E119/E107-1</f>
        <v/>
      </c>
      <c r="G119" s="111">
        <f>E119/E71-1</f>
        <v/>
      </c>
      <c r="H119" s="315" t="n">
        <v>4522.57</v>
      </c>
      <c r="I119" s="111">
        <f>H119/H107-1</f>
        <v/>
      </c>
      <c r="J119" s="111">
        <f>H119/H71-1</f>
        <v/>
      </c>
      <c r="K119" s="315" t="n">
        <v>470.06</v>
      </c>
      <c r="L119" s="111">
        <f>K119/K107-1</f>
        <v/>
      </c>
      <c r="M119" s="111">
        <f>K119/K71-1</f>
        <v/>
      </c>
      <c r="N119" s="315" t="n">
        <v>18785.76</v>
      </c>
      <c r="O119" s="111">
        <f>N119/N107-1</f>
        <v/>
      </c>
      <c r="P119" s="111">
        <f>N119/N71-1</f>
        <v/>
      </c>
      <c r="Q119" s="315" t="n">
        <v>14898.12</v>
      </c>
      <c r="R119" s="111">
        <f>Q119/Q107-1</f>
        <v/>
      </c>
      <c r="S119" s="111">
        <f>Q119/Q71-1</f>
        <v/>
      </c>
      <c r="T119" s="315" t="n">
        <v>3500.75</v>
      </c>
      <c r="U119" s="111">
        <f>T119/T107-1</f>
        <v/>
      </c>
      <c r="V119" s="111">
        <f>T119/T71-1</f>
        <v/>
      </c>
      <c r="W119" s="315" t="n">
        <v>386.89</v>
      </c>
      <c r="X119" s="111">
        <f>W119/W107-1</f>
        <v/>
      </c>
      <c r="Y119" s="111">
        <f>W119/W71-1</f>
        <v/>
      </c>
      <c r="Z119" s="315" t="n">
        <v>11691.25</v>
      </c>
      <c r="AA119" s="111">
        <f>Z119/Z107-1</f>
        <v/>
      </c>
      <c r="AB119" s="111">
        <f>Z119/Z71-1</f>
        <v/>
      </c>
      <c r="AC119" s="315" t="n">
        <v>10541.21</v>
      </c>
      <c r="AD119" s="111">
        <f>AC119/AC107-1</f>
        <v/>
      </c>
      <c r="AE119" s="111">
        <f>AC119/AC71-1</f>
        <v/>
      </c>
      <c r="AF119" s="315" t="n">
        <v>872.5700000000001</v>
      </c>
      <c r="AG119" s="111">
        <f>AF119/AF107-1</f>
        <v/>
      </c>
      <c r="AH119" s="111">
        <f>AF119/AF71-1</f>
        <v/>
      </c>
      <c r="AI119" s="315" t="n">
        <v>277.47</v>
      </c>
      <c r="AJ119" s="111">
        <f>AI119/AI107-1</f>
        <v/>
      </c>
      <c r="AK119" s="111">
        <f>AI119/AI71-1</f>
        <v/>
      </c>
      <c r="AL119" s="316" t="n">
        <v>77.56999999999999</v>
      </c>
      <c r="AM119" s="380">
        <f>AL119-AL107</f>
        <v/>
      </c>
      <c r="AN119" s="380">
        <f>AL119-AL71</f>
        <v/>
      </c>
      <c r="AO119" s="316" t="n">
        <v>77.48999999999999</v>
      </c>
      <c r="AP119" s="380">
        <f>AO119-AO107</f>
        <v/>
      </c>
      <c r="AQ119" s="380">
        <f>AO119-AO71</f>
        <v/>
      </c>
      <c r="AR119" s="316" t="n">
        <v>77.41</v>
      </c>
      <c r="AS119" s="380">
        <f>AR119-AR107</f>
        <v/>
      </c>
      <c r="AT119" s="380">
        <f>AR119-AR71</f>
        <v/>
      </c>
      <c r="AU119" s="316" t="n">
        <v>82.31</v>
      </c>
      <c r="AV119" s="380">
        <f>AU119-AU107</f>
        <v/>
      </c>
      <c r="AW119" s="380">
        <f>AU119-AU71</f>
        <v/>
      </c>
      <c r="AX119" s="315" t="n">
        <v>781</v>
      </c>
      <c r="AY119" s="111">
        <f>AX119/AX107-1</f>
        <v/>
      </c>
      <c r="AZ119" s="111">
        <f>AX119/AX71-1</f>
        <v/>
      </c>
      <c r="BA119" s="317" t="n"/>
      <c r="BB119" s="317" t="n"/>
      <c r="BC119" s="317" t="n"/>
      <c r="BD119" s="317" t="n"/>
      <c r="BE119" s="317" t="n"/>
      <c r="BF119" s="317" t="n"/>
      <c r="BG119" s="317" t="n"/>
      <c r="BH119" s="317" t="n"/>
      <c r="BI119" s="317" t="n"/>
      <c r="BJ119" s="317" t="n"/>
      <c r="BK119" s="318" t="n"/>
      <c r="BL119" s="317" t="n"/>
      <c r="BM119" s="317" t="n"/>
      <c r="BN119" s="317" t="n"/>
      <c r="BO119" s="317" t="n"/>
      <c r="BP119" s="317" t="n"/>
      <c r="BQ119" s="317" t="n"/>
      <c r="BR119" s="317" t="n"/>
      <c r="BS119" s="317" t="n"/>
      <c r="BT119" s="317" t="n"/>
      <c r="BU119" s="317" t="n"/>
      <c r="BV119" s="317" t="n"/>
      <c r="BW119" s="317" t="n"/>
      <c r="BX119" s="317" t="n"/>
      <c r="BY119" s="317" t="n"/>
      <c r="BZ119" s="317" t="n"/>
      <c r="CA119" s="317" t="n"/>
      <c r="CB119" s="317" t="n"/>
      <c r="CC119" s="317" t="n"/>
      <c r="CD119" s="317" t="n"/>
      <c r="CE119" s="317" t="n"/>
      <c r="CF119" s="317" t="n"/>
      <c r="CG119" s="317" t="n"/>
      <c r="CH119" s="317" t="n"/>
      <c r="CI119" s="317" t="n"/>
      <c r="CJ119" s="317" t="n"/>
      <c r="CK119" s="317" t="n"/>
      <c r="CL119" s="317" t="n"/>
      <c r="CM119" s="317" t="n"/>
      <c r="CN119" s="317" t="n"/>
      <c r="CW119" s="317" t="n"/>
      <c r="CX119" s="317" t="n"/>
      <c r="CY119" s="317" t="n"/>
      <c r="CZ119" s="317" t="n"/>
      <c r="DA119" s="317" t="n"/>
      <c r="DB119" s="317" t="n"/>
      <c r="DC119" s="317" t="n"/>
      <c r="DD119" s="317" t="n"/>
      <c r="DE119" s="319" t="n"/>
      <c r="DF119" s="319" t="n"/>
    </row>
    <row r="120" customFormat="1" s="116">
      <c r="A120" s="402" t="n">
        <v>45199</v>
      </c>
      <c r="B120" s="315" t="n">
        <v>22018.9</v>
      </c>
      <c r="C120" s="111">
        <f>B120/B108-1</f>
        <v/>
      </c>
      <c r="D120" s="111">
        <f>B120/B72-1</f>
        <v/>
      </c>
      <c r="E120" s="315" t="n">
        <v>16950.51</v>
      </c>
      <c r="F120" s="111">
        <f>E120/E108-1</f>
        <v/>
      </c>
      <c r="G120" s="111">
        <f>E120/E72-1</f>
        <v/>
      </c>
      <c r="H120" s="315" t="n">
        <v>4647.23</v>
      </c>
      <c r="I120" s="111">
        <f>H120/H108-1</f>
        <v/>
      </c>
      <c r="J120" s="111">
        <f>H120/H72-1</f>
        <v/>
      </c>
      <c r="K120" s="315" t="n">
        <v>421.17</v>
      </c>
      <c r="L120" s="111">
        <f>K120/K108-1</f>
        <v/>
      </c>
      <c r="M120" s="111">
        <f>K120/K72-1</f>
        <v/>
      </c>
      <c r="N120" s="315" t="n">
        <v>16208.68</v>
      </c>
      <c r="O120" s="111">
        <f>N120/N108-1</f>
        <v/>
      </c>
      <c r="P120" s="111">
        <f>N120/N72-1</f>
        <v/>
      </c>
      <c r="Q120" s="315" t="n">
        <v>12490.16</v>
      </c>
      <c r="R120" s="111">
        <f>Q120/Q108-1</f>
        <v/>
      </c>
      <c r="S120" s="111">
        <f>Q120/Q72-1</f>
        <v/>
      </c>
      <c r="T120" s="315" t="n">
        <v>3415.2</v>
      </c>
      <c r="U120" s="111">
        <f>T120/T108-1</f>
        <v/>
      </c>
      <c r="V120" s="111">
        <f>T120/T72-1</f>
        <v/>
      </c>
      <c r="W120" s="315" t="n">
        <v>303.32</v>
      </c>
      <c r="X120" s="111">
        <f>W120/W108-1</f>
        <v/>
      </c>
      <c r="Y120" s="111">
        <f>W120/W72-1</f>
        <v/>
      </c>
      <c r="Z120" s="315" t="n">
        <v>9853.27</v>
      </c>
      <c r="AA120" s="111">
        <f>Z120/Z108-1</f>
        <v/>
      </c>
      <c r="AB120" s="111">
        <f>Z120/Z72-1</f>
        <v/>
      </c>
      <c r="AC120" s="315" t="n">
        <v>8837.91</v>
      </c>
      <c r="AD120" s="111">
        <f>AC120/AC108-1</f>
        <v/>
      </c>
      <c r="AE120" s="111">
        <f>AC120/AC72-1</f>
        <v/>
      </c>
      <c r="AF120" s="315" t="n">
        <v>796.42</v>
      </c>
      <c r="AG120" s="111">
        <f>AF120/AF108-1</f>
        <v/>
      </c>
      <c r="AH120" s="111">
        <f>AF120/AF72-1</f>
        <v/>
      </c>
      <c r="AI120" s="315" t="n">
        <v>218.95</v>
      </c>
      <c r="AJ120" s="111">
        <f>AI120/AI108-1</f>
        <v/>
      </c>
      <c r="AK120" s="111">
        <f>AI120/AI72-1</f>
        <v/>
      </c>
      <c r="AL120" s="316" t="n">
        <v>73.61</v>
      </c>
      <c r="AM120" s="380">
        <f>AL120-AL108</f>
        <v/>
      </c>
      <c r="AN120" s="380">
        <f>AL120-AL72</f>
        <v/>
      </c>
      <c r="AO120" s="316" t="n">
        <v>73.69</v>
      </c>
      <c r="AP120" s="380">
        <f>AO120-AO108</f>
        <v/>
      </c>
      <c r="AQ120" s="380">
        <f>AO120-AO72</f>
        <v/>
      </c>
      <c r="AR120" s="316" t="n">
        <v>73.48999999999999</v>
      </c>
      <c r="AS120" s="380">
        <f>AR120-AR108</f>
        <v/>
      </c>
      <c r="AT120" s="380">
        <f>AR120-AR72</f>
        <v/>
      </c>
      <c r="AU120" s="316" t="n">
        <v>72.02</v>
      </c>
      <c r="AV120" s="380">
        <f>AU120-AU108</f>
        <v/>
      </c>
      <c r="AW120" s="380">
        <f>AU120-AU72</f>
        <v/>
      </c>
      <c r="AX120" s="315" t="n">
        <v>781</v>
      </c>
      <c r="AY120" s="111">
        <f>AX120/AX108-1</f>
        <v/>
      </c>
      <c r="AZ120" s="111">
        <f>AX120/AX72-1</f>
        <v/>
      </c>
      <c r="BA120" s="317" t="n"/>
      <c r="BB120" s="317" t="n"/>
      <c r="BC120" s="317" t="n"/>
      <c r="BD120" s="317" t="n"/>
      <c r="BE120" s="317" t="n"/>
      <c r="BF120" s="317" t="n"/>
      <c r="BG120" s="317" t="n"/>
      <c r="BH120" s="317" t="n"/>
      <c r="BI120" s="317" t="n"/>
      <c r="BJ120" s="317" t="n"/>
      <c r="BK120" s="318" t="n"/>
      <c r="BL120" s="317" t="n"/>
      <c r="BM120" s="317" t="n"/>
      <c r="BN120" s="317" t="n"/>
      <c r="BO120" s="317" t="n"/>
      <c r="BP120" s="317" t="n"/>
      <c r="BQ120" s="317" t="n"/>
      <c r="BR120" s="317" t="n"/>
      <c r="BS120" s="317" t="n"/>
      <c r="BT120" s="317" t="n"/>
      <c r="BU120" s="317" t="n"/>
      <c r="BV120" s="317" t="n"/>
      <c r="BW120" s="317" t="n"/>
      <c r="BX120" s="317" t="n"/>
      <c r="BY120" s="317" t="n"/>
      <c r="BZ120" s="317" t="n"/>
      <c r="CA120" s="317" t="n"/>
      <c r="CB120" s="317" t="n"/>
      <c r="CC120" s="317" t="n"/>
      <c r="CD120" s="317" t="n"/>
      <c r="CE120" s="317" t="n"/>
      <c r="CF120" s="317" t="n"/>
      <c r="CG120" s="317" t="n"/>
      <c r="CH120" s="317" t="n"/>
      <c r="CI120" s="317" t="n"/>
      <c r="CJ120" s="317" t="n"/>
      <c r="CK120" s="317" t="n"/>
      <c r="CL120" s="317" t="n"/>
      <c r="CM120" s="317" t="n"/>
      <c r="CN120" s="317" t="n"/>
      <c r="CW120" s="317" t="n"/>
      <c r="CX120" s="317" t="n"/>
      <c r="CY120" s="317" t="n"/>
      <c r="CZ120" s="317" t="n"/>
      <c r="DA120" s="317" t="n"/>
      <c r="DB120" s="317" t="n"/>
      <c r="DC120" s="317" t="n"/>
      <c r="DD120" s="317" t="n"/>
      <c r="DE120" s="319" t="n"/>
      <c r="DF120" s="319" t="n"/>
    </row>
    <row r="121" customFormat="1" s="116">
      <c r="A121" s="402" t="n">
        <v>45230</v>
      </c>
      <c r="B121" s="169" t="n">
        <v>22576.14</v>
      </c>
      <c r="C121" s="111">
        <f>B121/B109-1</f>
        <v/>
      </c>
      <c r="D121" s="111">
        <f>B121/B73-1</f>
        <v/>
      </c>
      <c r="E121" s="169" t="n">
        <v>17134.29</v>
      </c>
      <c r="F121" s="111">
        <f>E121/E109-1</f>
        <v/>
      </c>
      <c r="G121" s="111">
        <f>E121/E73-1</f>
        <v/>
      </c>
      <c r="H121" s="169" t="n">
        <v>4953.28</v>
      </c>
      <c r="I121" s="111">
        <f>H121/H109-1</f>
        <v/>
      </c>
      <c r="J121" s="111">
        <f>H121/H73-1</f>
        <v/>
      </c>
      <c r="K121" s="169" t="n">
        <v>488.57</v>
      </c>
      <c r="L121" s="111">
        <f>K121/K109-1</f>
        <v/>
      </c>
      <c r="M121" s="111">
        <f>K121/K73-1</f>
        <v/>
      </c>
      <c r="N121" s="169" t="n">
        <v>17400.59</v>
      </c>
      <c r="O121" s="111">
        <f>N121/N109-1</f>
        <v/>
      </c>
      <c r="P121" s="111">
        <f>N121/N73-1</f>
        <v/>
      </c>
      <c r="Q121" s="169" t="n">
        <v>13512.46</v>
      </c>
      <c r="R121" s="111">
        <f>Q121/Q109-1</f>
        <v/>
      </c>
      <c r="S121" s="111">
        <f>Q121/Q73-1</f>
        <v/>
      </c>
      <c r="T121" s="169" t="n">
        <v>3536.34</v>
      </c>
      <c r="U121" s="111">
        <f>T121/T109-1</f>
        <v/>
      </c>
      <c r="V121" s="111">
        <f>T121/T73-1</f>
        <v/>
      </c>
      <c r="W121" s="169" t="n">
        <v>351.79</v>
      </c>
      <c r="X121" s="111">
        <f>W121/W109-1</f>
        <v/>
      </c>
      <c r="Y121" s="111">
        <f>W121/W73-1</f>
        <v/>
      </c>
      <c r="Z121" s="169" t="n">
        <v>10675.22</v>
      </c>
      <c r="AA121" s="111">
        <f>Z121/Z109-1</f>
        <v/>
      </c>
      <c r="AB121" s="111">
        <f>Z121/Z73-1</f>
        <v/>
      </c>
      <c r="AC121" s="169" t="n">
        <v>9583.139999999999</v>
      </c>
      <c r="AD121" s="111">
        <f>AC121/AC109-1</f>
        <v/>
      </c>
      <c r="AE121" s="111">
        <f>AC121/AC73-1</f>
        <v/>
      </c>
      <c r="AF121" s="169" t="n">
        <v>836.47</v>
      </c>
      <c r="AG121" s="111">
        <f>AF121/AF109-1</f>
        <v/>
      </c>
      <c r="AH121" s="111">
        <f>AF121/AF73-1</f>
        <v/>
      </c>
      <c r="AI121" s="169" t="n">
        <v>255.62</v>
      </c>
      <c r="AJ121" s="111">
        <f>AI121/AI109-1</f>
        <v/>
      </c>
      <c r="AK121" s="111">
        <f>AI121/AI73-1</f>
        <v/>
      </c>
      <c r="AL121" s="403" t="n">
        <v>77.08</v>
      </c>
      <c r="AM121" s="380">
        <f>AL121-AL109</f>
        <v/>
      </c>
      <c r="AN121" s="380">
        <f>AL121-AL73</f>
        <v/>
      </c>
      <c r="AO121" s="403" t="n">
        <v>78.86</v>
      </c>
      <c r="AP121" s="380">
        <f>AO121-AO109</f>
        <v/>
      </c>
      <c r="AQ121" s="380">
        <f>AO121-AO73</f>
        <v/>
      </c>
      <c r="AR121" s="403" t="n">
        <v>71.39</v>
      </c>
      <c r="AS121" s="380">
        <f>AR121-AR109</f>
        <v/>
      </c>
      <c r="AT121" s="380">
        <f>AR121-AR73</f>
        <v/>
      </c>
      <c r="AU121" s="403" t="n">
        <v>72</v>
      </c>
      <c r="AV121" s="380">
        <f>AU121-AU109</f>
        <v/>
      </c>
      <c r="AW121" s="380">
        <f>AU121-AU73</f>
        <v/>
      </c>
      <c r="AX121" s="169" t="n">
        <v>782</v>
      </c>
      <c r="AY121" s="111">
        <f>AX121/AX109-1</f>
        <v/>
      </c>
      <c r="AZ121" s="111">
        <f>AX121/AX73-1</f>
        <v/>
      </c>
      <c r="BA121" s="317" t="n"/>
      <c r="BB121" s="317" t="n"/>
      <c r="BC121" s="317" t="n"/>
      <c r="BD121" s="317" t="n"/>
      <c r="BE121" s="317" t="n"/>
      <c r="BF121" s="317" t="n"/>
      <c r="BG121" s="317" t="n"/>
      <c r="BH121" s="317" t="n"/>
      <c r="BI121" s="317" t="n"/>
      <c r="BJ121" s="317" t="n"/>
      <c r="BK121" s="318" t="n"/>
      <c r="BL121" s="317" t="n"/>
      <c r="BM121" s="317" t="n"/>
      <c r="BN121" s="317" t="n"/>
      <c r="BO121" s="317" t="n"/>
      <c r="BP121" s="317" t="n"/>
      <c r="BQ121" s="317" t="n"/>
      <c r="BR121" s="317" t="n"/>
      <c r="BS121" s="317" t="n"/>
      <c r="BT121" s="317" t="n"/>
      <c r="BU121" s="317" t="n"/>
      <c r="BV121" s="317" t="n"/>
      <c r="BW121" s="317" t="n"/>
      <c r="BX121" s="317" t="n"/>
      <c r="BY121" s="317" t="n"/>
      <c r="BZ121" s="317" t="n"/>
      <c r="CA121" s="317" t="n"/>
      <c r="CB121" s="317" t="n"/>
      <c r="CC121" s="317" t="n"/>
      <c r="CD121" s="317" t="n"/>
      <c r="CE121" s="317" t="n"/>
      <c r="CF121" s="317" t="n"/>
      <c r="CG121" s="317" t="n"/>
      <c r="CH121" s="317" t="n"/>
      <c r="CI121" s="317" t="n"/>
      <c r="CJ121" s="317" t="n"/>
      <c r="CK121" s="317" t="n"/>
      <c r="CL121" s="317" t="n"/>
      <c r="CM121" s="317" t="n"/>
      <c r="CN121" s="317" t="n"/>
      <c r="CW121" s="317" t="n"/>
      <c r="CX121" s="317" t="n"/>
      <c r="CY121" s="317" t="n"/>
      <c r="CZ121" s="317" t="n"/>
      <c r="DA121" s="317" t="n"/>
      <c r="DB121" s="317" t="n"/>
      <c r="DC121" s="317" t="n"/>
      <c r="DD121" s="317" t="n"/>
      <c r="DE121" s="319" t="n"/>
      <c r="DF121" s="319" t="n"/>
    </row>
    <row r="122" customFormat="1" s="116">
      <c r="A122" s="402" t="n">
        <v>45260</v>
      </c>
      <c r="B122" s="315" t="n">
        <v>21363.89</v>
      </c>
      <c r="C122" s="111">
        <f>B122/B110-1</f>
        <v/>
      </c>
      <c r="D122" s="111">
        <f>B122/B74-1</f>
        <v/>
      </c>
      <c r="E122" s="315" t="n">
        <v>15802.97</v>
      </c>
      <c r="F122" s="111">
        <f>E122/E110-1</f>
        <v/>
      </c>
      <c r="G122" s="111">
        <f>E122/E74-1</f>
        <v/>
      </c>
      <c r="H122" s="315" t="n">
        <v>5029.15</v>
      </c>
      <c r="I122" s="111">
        <f>H122/H110-1</f>
        <v/>
      </c>
      <c r="J122" s="111">
        <f>H122/H74-1</f>
        <v/>
      </c>
      <c r="K122" s="315" t="n">
        <v>531.76</v>
      </c>
      <c r="L122" s="111">
        <f>K122/K110-1</f>
        <v/>
      </c>
      <c r="M122" s="111">
        <f>K122/K74-1</f>
        <v/>
      </c>
      <c r="N122" s="315" t="n">
        <v>16275.1</v>
      </c>
      <c r="O122" s="111">
        <f>N122/N110-1</f>
        <v/>
      </c>
      <c r="P122" s="111">
        <f>N122/N74-1</f>
        <v/>
      </c>
      <c r="Q122" s="315" t="n">
        <v>12345.52</v>
      </c>
      <c r="R122" s="111">
        <f>Q122/Q110-1</f>
        <v/>
      </c>
      <c r="S122" s="111">
        <f>Q122/Q74-1</f>
        <v/>
      </c>
      <c r="T122" s="315" t="n">
        <v>3557.87</v>
      </c>
      <c r="U122" s="111">
        <f>T122/T110-1</f>
        <v/>
      </c>
      <c r="V122" s="111">
        <f>T122/T74-1</f>
        <v/>
      </c>
      <c r="W122" s="315" t="n">
        <v>371.71</v>
      </c>
      <c r="X122" s="111">
        <f>W122/W110-1</f>
        <v/>
      </c>
      <c r="Y122" s="111">
        <f>W122/W74-1</f>
        <v/>
      </c>
      <c r="Z122" s="315" t="n">
        <v>9917.41</v>
      </c>
      <c r="AA122" s="111">
        <f>Z122/Z110-1</f>
        <v/>
      </c>
      <c r="AB122" s="111">
        <f>Z122/Z74-1</f>
        <v/>
      </c>
      <c r="AC122" s="315" t="n">
        <v>8783.719999999999</v>
      </c>
      <c r="AD122" s="111">
        <f>AC122/AC110-1</f>
        <v/>
      </c>
      <c r="AE122" s="111">
        <f>AC122/AC74-1</f>
        <v/>
      </c>
      <c r="AF122" s="315" t="n">
        <v>867.29</v>
      </c>
      <c r="AG122" s="111">
        <f>AF122/AF110-1</f>
        <v/>
      </c>
      <c r="AH122" s="111">
        <f>AF122/AF74-1</f>
        <v/>
      </c>
      <c r="AI122" s="315" t="n">
        <v>266.41</v>
      </c>
      <c r="AJ122" s="111">
        <f>AI122/AI110-1</f>
        <v/>
      </c>
      <c r="AK122" s="111">
        <f>AI122/AI74-1</f>
        <v/>
      </c>
      <c r="AL122" s="316" t="n">
        <v>76.18000000000001</v>
      </c>
      <c r="AM122" s="380">
        <f>AL122-AL110</f>
        <v/>
      </c>
      <c r="AN122" s="380">
        <f>AL122-AL74</f>
        <v/>
      </c>
      <c r="AO122" s="316" t="n">
        <v>78.12</v>
      </c>
      <c r="AP122" s="380">
        <f>AO122-AO110</f>
        <v/>
      </c>
      <c r="AQ122" s="380">
        <f>AO122-AO74</f>
        <v/>
      </c>
      <c r="AR122" s="316" t="n">
        <v>70.73999999999999</v>
      </c>
      <c r="AS122" s="380">
        <f>AR122-AR110</f>
        <v/>
      </c>
      <c r="AT122" s="380">
        <f>AR122-AR74</f>
        <v/>
      </c>
      <c r="AU122" s="316" t="n">
        <v>69.90000000000001</v>
      </c>
      <c r="AV122" s="380">
        <f>AU122-AU110</f>
        <v/>
      </c>
      <c r="AW122" s="380">
        <f>AU122-AU74</f>
        <v/>
      </c>
      <c r="AX122" s="315" t="n">
        <v>780</v>
      </c>
      <c r="AY122" s="111">
        <f>AX122/AX110-1</f>
        <v/>
      </c>
      <c r="AZ122" s="111">
        <f>AX122/AX74-1</f>
        <v/>
      </c>
      <c r="BA122" s="317" t="n"/>
      <c r="BB122" s="317" t="n"/>
      <c r="BC122" s="317" t="n"/>
      <c r="BD122" s="317" t="n"/>
      <c r="BE122" s="317" t="n"/>
      <c r="BF122" s="317" t="n"/>
      <c r="BG122" s="317" t="n"/>
      <c r="BH122" s="317" t="n"/>
      <c r="BI122" s="317" t="n"/>
      <c r="BJ122" s="317" t="n"/>
      <c r="BK122" s="318" t="n"/>
      <c r="BL122" s="317" t="n"/>
      <c r="BM122" s="317" t="n"/>
      <c r="BN122" s="317" t="n"/>
      <c r="BO122" s="317" t="n"/>
      <c r="BP122" s="317" t="n"/>
      <c r="BQ122" s="317" t="n"/>
      <c r="BR122" s="317" t="n"/>
      <c r="BS122" s="317" t="n"/>
      <c r="BT122" s="317" t="n"/>
      <c r="BU122" s="317" t="n"/>
      <c r="BV122" s="317" t="n"/>
      <c r="BW122" s="317" t="n"/>
      <c r="BX122" s="317" t="n"/>
      <c r="BY122" s="317" t="n"/>
      <c r="BZ122" s="317" t="n"/>
      <c r="CA122" s="317" t="n"/>
      <c r="CB122" s="317" t="n"/>
      <c r="CC122" s="317" t="n"/>
      <c r="CD122" s="317" t="n"/>
      <c r="CE122" s="317" t="n"/>
      <c r="CF122" s="317" t="n"/>
      <c r="CG122" s="317" t="n"/>
      <c r="CH122" s="317" t="n"/>
      <c r="CI122" s="317" t="n"/>
      <c r="CJ122" s="317" t="n"/>
      <c r="CK122" s="317" t="n"/>
      <c r="CL122" s="317" t="n"/>
      <c r="CM122" s="317" t="n"/>
      <c r="CN122" s="317" t="n"/>
      <c r="CW122" s="317" t="n"/>
      <c r="CX122" s="317" t="n"/>
      <c r="CY122" s="317" t="n"/>
      <c r="CZ122" s="317" t="n"/>
      <c r="DA122" s="317" t="n"/>
      <c r="DB122" s="317" t="n"/>
      <c r="DC122" s="317" t="n"/>
      <c r="DD122" s="317" t="n"/>
      <c r="DE122" s="319" t="n"/>
      <c r="DF122" s="319" t="n"/>
    </row>
    <row r="123" customFormat="1" s="116">
      <c r="A123" s="402" t="n">
        <v>45291</v>
      </c>
      <c r="B123" s="315" t="n">
        <v>22566.66</v>
      </c>
      <c r="C123" s="111">
        <f>B123/B111-1</f>
        <v/>
      </c>
      <c r="D123" s="111">
        <f>B123/B75-1</f>
        <v/>
      </c>
      <c r="E123" s="315" t="n">
        <v>15954.56</v>
      </c>
      <c r="F123" s="111">
        <f>E123/E111-1</f>
        <v/>
      </c>
      <c r="G123" s="111">
        <f>E123/E75-1</f>
        <v/>
      </c>
      <c r="H123" s="315" t="n">
        <v>6046.23</v>
      </c>
      <c r="I123" s="111">
        <f>H123/H111-1</f>
        <v/>
      </c>
      <c r="J123" s="111">
        <f>H123/H75-1</f>
        <v/>
      </c>
      <c r="K123" s="315" t="n">
        <v>565.88</v>
      </c>
      <c r="L123" s="111">
        <f>K123/K111-1</f>
        <v/>
      </c>
      <c r="M123" s="111">
        <f>K123/K75-1</f>
        <v/>
      </c>
      <c r="N123" s="315" t="n">
        <v>17164.3</v>
      </c>
      <c r="O123" s="111">
        <f>N123/N111-1</f>
        <v/>
      </c>
      <c r="P123" s="111">
        <f>N123/N75-1</f>
        <v/>
      </c>
      <c r="Q123" s="315" t="n">
        <v>12332.1</v>
      </c>
      <c r="R123" s="111">
        <f>Q123/Q111-1</f>
        <v/>
      </c>
      <c r="S123" s="111">
        <f>Q123/Q75-1</f>
        <v/>
      </c>
      <c r="T123" s="315" t="n">
        <v>4432.05</v>
      </c>
      <c r="U123" s="111">
        <f>T123/T111-1</f>
        <v/>
      </c>
      <c r="V123" s="111">
        <f>T123/T75-1</f>
        <v/>
      </c>
      <c r="W123" s="315" t="n">
        <v>400.15</v>
      </c>
      <c r="X123" s="111">
        <f>W123/W111-1</f>
        <v/>
      </c>
      <c r="Y123" s="111">
        <f>W123/W75-1</f>
        <v/>
      </c>
      <c r="Z123" s="315" t="n">
        <v>10051.66</v>
      </c>
      <c r="AA123" s="111">
        <f>Z123/Z111-1</f>
        <v/>
      </c>
      <c r="AB123" s="111">
        <f>Z123/Z75-1</f>
        <v/>
      </c>
      <c r="AC123" s="315" t="n">
        <v>8693.709999999999</v>
      </c>
      <c r="AD123" s="111">
        <f>AC123/AC111-1</f>
        <v/>
      </c>
      <c r="AE123" s="111">
        <f>AC123/AC75-1</f>
        <v/>
      </c>
      <c r="AF123" s="315" t="n">
        <v>1073.84</v>
      </c>
      <c r="AG123" s="111">
        <f>AF123/AF111-1</f>
        <v/>
      </c>
      <c r="AH123" s="111">
        <f>AF123/AF75-1</f>
        <v/>
      </c>
      <c r="AI123" s="315" t="n">
        <v>284.12</v>
      </c>
      <c r="AJ123" s="111">
        <f>AI123/AI111-1</f>
        <v/>
      </c>
      <c r="AK123" s="111">
        <f>AI123/AI75-1</f>
        <v/>
      </c>
      <c r="AL123" s="316" t="n">
        <v>76.06</v>
      </c>
      <c r="AM123" s="380">
        <f>AL123-AL111</f>
        <v/>
      </c>
      <c r="AN123" s="380">
        <f>AL123-AL75</f>
        <v/>
      </c>
      <c r="AO123" s="316" t="n">
        <v>77.3</v>
      </c>
      <c r="AP123" s="380">
        <f>AO123-AO111</f>
        <v/>
      </c>
      <c r="AQ123" s="380">
        <f>AO123-AO75</f>
        <v/>
      </c>
      <c r="AR123" s="316" t="n">
        <v>73.3</v>
      </c>
      <c r="AS123" s="380">
        <f>AR123-AR111</f>
        <v/>
      </c>
      <c r="AT123" s="380">
        <f>AR123-AR75</f>
        <v/>
      </c>
      <c r="AU123" s="316" t="n">
        <v>70.70999999999999</v>
      </c>
      <c r="AV123" s="380">
        <f>AU123-AU111</f>
        <v/>
      </c>
      <c r="AW123" s="380">
        <f>AU123-AU75</f>
        <v/>
      </c>
      <c r="AX123" s="315" t="n">
        <v>782</v>
      </c>
      <c r="AY123" s="111">
        <f>AX123/AX111-1</f>
        <v/>
      </c>
      <c r="AZ123" s="111">
        <f>AX123/AX75-1</f>
        <v/>
      </c>
      <c r="BA123" s="317" t="n"/>
      <c r="BB123" s="317" t="n"/>
      <c r="BC123" s="317" t="n"/>
      <c r="BD123" s="317" t="n"/>
      <c r="BE123" s="317" t="n"/>
      <c r="BF123" s="317" t="n"/>
      <c r="BG123" s="317" t="n"/>
      <c r="BH123" s="317" t="n"/>
      <c r="BI123" s="317" t="n"/>
      <c r="BJ123" s="317" t="n"/>
      <c r="BK123" s="318" t="n"/>
      <c r="BL123" s="317" t="n"/>
      <c r="BM123" s="317" t="n"/>
      <c r="BN123" s="317" t="n"/>
      <c r="BO123" s="317" t="n"/>
      <c r="BP123" s="317" t="n"/>
      <c r="BQ123" s="317" t="n"/>
      <c r="BR123" s="317" t="n"/>
      <c r="BS123" s="317" t="n"/>
      <c r="BT123" s="317" t="n"/>
      <c r="BU123" s="317" t="n"/>
      <c r="BV123" s="317" t="n"/>
      <c r="BW123" s="317" t="n"/>
      <c r="BX123" s="317" t="n"/>
      <c r="BY123" s="317" t="n"/>
      <c r="BZ123" s="317" t="n"/>
      <c r="CA123" s="317" t="n"/>
      <c r="CB123" s="317" t="n"/>
      <c r="CC123" s="317" t="n"/>
      <c r="CD123" s="317" t="n"/>
      <c r="CE123" s="317" t="n"/>
      <c r="CF123" s="317" t="n"/>
      <c r="CG123" s="317" t="n"/>
      <c r="CH123" s="317" t="n"/>
      <c r="CI123" s="317" t="n"/>
      <c r="CJ123" s="317" t="n"/>
      <c r="CK123" s="317" t="n"/>
      <c r="CL123" s="317" t="n"/>
      <c r="CM123" s="317" t="n"/>
      <c r="CN123" s="317" t="n"/>
      <c r="CW123" s="317" t="n"/>
      <c r="CX123" s="317" t="n"/>
      <c r="CY123" s="317" t="n"/>
      <c r="CZ123" s="317" t="n"/>
      <c r="DA123" s="317" t="n"/>
      <c r="DB123" s="317" t="n"/>
      <c r="DC123" s="317" t="n"/>
      <c r="DD123" s="317" t="n"/>
      <c r="DE123" s="319" t="n"/>
      <c r="DF123" s="319" t="n"/>
    </row>
    <row r="124" customFormat="1" s="116">
      <c r="A124" s="371" t="n">
        <v>45322</v>
      </c>
      <c r="B124" s="320" t="n">
        <v>24876.73</v>
      </c>
      <c r="C124" s="111">
        <f>B124/B112-1</f>
        <v/>
      </c>
      <c r="D124" s="111">
        <f>B124/B64-1</f>
        <v/>
      </c>
      <c r="E124" s="320" t="n">
        <v>17783.16</v>
      </c>
      <c r="F124" s="111">
        <f>E124/E112-1</f>
        <v/>
      </c>
      <c r="G124" s="111">
        <f>E124/E64-1</f>
        <v/>
      </c>
      <c r="H124" s="320" t="n">
        <v>6509.17</v>
      </c>
      <c r="I124" s="111">
        <f>H124/H112-1</f>
        <v/>
      </c>
      <c r="J124" s="111">
        <f>H124/H64-1</f>
        <v/>
      </c>
      <c r="K124" s="320" t="n">
        <v>584.4</v>
      </c>
      <c r="L124" s="111">
        <f>K124/K112-1</f>
        <v/>
      </c>
      <c r="M124" s="111">
        <f>K124/K64-1</f>
        <v/>
      </c>
      <c r="N124" s="320" t="n">
        <v>19259.27</v>
      </c>
      <c r="O124" s="111">
        <f>N124/N112-1</f>
        <v/>
      </c>
      <c r="P124" s="111">
        <f>N124/N64-1</f>
        <v/>
      </c>
      <c r="Q124" s="320" t="n">
        <v>14043.36</v>
      </c>
      <c r="R124" s="111">
        <f>Q124/Q112-1</f>
        <v/>
      </c>
      <c r="S124" s="111">
        <f>Q124/Q64-1</f>
        <v/>
      </c>
      <c r="T124" s="320" t="n">
        <v>4799.66</v>
      </c>
      <c r="U124" s="111">
        <f>T124/T112-1</f>
        <v/>
      </c>
      <c r="V124" s="111">
        <f>T124/T64-1</f>
        <v/>
      </c>
      <c r="W124" s="320" t="n">
        <v>416.25</v>
      </c>
      <c r="X124" s="111">
        <f>W124/W112-1</f>
        <v/>
      </c>
      <c r="Y124" s="111">
        <f>W124/W64-1</f>
        <v/>
      </c>
      <c r="Z124" s="320" t="n">
        <v>11281.91</v>
      </c>
      <c r="AA124" s="111">
        <f>Z124/Z112-1</f>
        <v/>
      </c>
      <c r="AB124" s="111">
        <f>Z124/Z64-1</f>
        <v/>
      </c>
      <c r="AC124" s="320" t="n">
        <v>9843.16</v>
      </c>
      <c r="AD124" s="111">
        <f>AC124/AC112-1</f>
        <v/>
      </c>
      <c r="AE124" s="111">
        <f>AC124/AC64-1</f>
        <v/>
      </c>
      <c r="AF124" s="320" t="n">
        <v>1145.64</v>
      </c>
      <c r="AG124" s="111">
        <f>AF124/AF112-1</f>
        <v/>
      </c>
      <c r="AH124" s="111">
        <f>AF124/AF64-1</f>
        <v/>
      </c>
      <c r="AI124" s="320" t="n">
        <v>293.11</v>
      </c>
      <c r="AJ124" s="111">
        <f>AI124/AI112-1</f>
        <v/>
      </c>
      <c r="AK124" s="111">
        <f>AI124/AI64-1</f>
        <v/>
      </c>
      <c r="AL124" s="321" t="n">
        <v>77.42</v>
      </c>
      <c r="AM124" s="380">
        <f>AL124-AL112</f>
        <v/>
      </c>
      <c r="AN124" s="380">
        <f>AL124-AL64</f>
        <v/>
      </c>
      <c r="AO124" s="321" t="n">
        <v>78.97</v>
      </c>
      <c r="AP124" s="380">
        <f>AO124-AO112</f>
        <v/>
      </c>
      <c r="AQ124" s="380">
        <f>AO124-AO64</f>
        <v/>
      </c>
      <c r="AR124" s="321" t="n">
        <v>73.73999999999999</v>
      </c>
      <c r="AS124" s="380">
        <f>AR124-AR112</f>
        <v/>
      </c>
      <c r="AT124" s="380">
        <f>AR124-AR64</f>
        <v/>
      </c>
      <c r="AU124" s="321" t="n">
        <v>71.23</v>
      </c>
      <c r="AV124" s="380">
        <f>AU124-AU112</f>
        <v/>
      </c>
      <c r="AW124" s="380">
        <f>AU124-AU64</f>
        <v/>
      </c>
      <c r="AX124" s="320" t="n">
        <v>782</v>
      </c>
      <c r="AY124" s="111">
        <f>AX124/AX112-1</f>
        <v/>
      </c>
      <c r="AZ124" s="111">
        <f>AX124/AX64-1</f>
        <v/>
      </c>
      <c r="BA124" s="317" t="n"/>
      <c r="BB124" s="317" t="n"/>
      <c r="BC124" s="317" t="n"/>
      <c r="BD124" s="317" t="n"/>
      <c r="BE124" s="317" t="n"/>
      <c r="BF124" s="317" t="n"/>
      <c r="BG124" s="317" t="n"/>
      <c r="BH124" s="317" t="n"/>
      <c r="BI124" s="317" t="n"/>
      <c r="BJ124" s="317" t="n"/>
      <c r="BK124" s="318" t="n"/>
      <c r="BL124" s="317" t="n"/>
      <c r="BM124" s="317" t="n"/>
      <c r="BN124" s="317" t="n"/>
      <c r="BO124" s="317" t="n"/>
      <c r="BP124" s="317" t="n"/>
      <c r="BQ124" s="317" t="n"/>
      <c r="BR124" s="317" t="n"/>
      <c r="BS124" s="317" t="n"/>
      <c r="BT124" s="317" t="n"/>
      <c r="BU124" s="317" t="n"/>
      <c r="BV124" s="317" t="n"/>
      <c r="BW124" s="317" t="n"/>
      <c r="BX124" s="317" t="n"/>
      <c r="BY124" s="317" t="n"/>
      <c r="BZ124" s="317" t="n"/>
      <c r="CA124" s="317" t="n"/>
      <c r="CB124" s="317" t="n"/>
      <c r="CC124" s="317" t="n"/>
      <c r="CD124" s="317" t="n"/>
      <c r="CE124" s="317" t="n"/>
      <c r="CF124" s="317" t="n"/>
      <c r="CG124" s="317" t="n"/>
      <c r="CH124" s="317" t="n"/>
      <c r="CI124" s="317" t="n"/>
      <c r="CJ124" s="317" t="n"/>
      <c r="CK124" s="317" t="n"/>
      <c r="CL124" s="317" t="n"/>
      <c r="CM124" s="317" t="n"/>
      <c r="CN124" s="317" t="n"/>
      <c r="CW124" s="317" t="n"/>
      <c r="CX124" s="317" t="n"/>
      <c r="CY124" s="317" t="n"/>
      <c r="CZ124" s="317" t="n"/>
      <c r="DA124" s="317" t="n"/>
      <c r="DB124" s="317" t="n"/>
      <c r="DC124" s="317" t="n"/>
      <c r="DD124" s="317" t="n"/>
      <c r="DE124" s="319" t="n"/>
      <c r="DF124" s="319" t="n"/>
    </row>
    <row r="125" customFormat="1" s="116">
      <c r="A125" s="402" t="n">
        <v>45351</v>
      </c>
      <c r="B125" s="169" t="n">
        <v>25009.19</v>
      </c>
      <c r="C125" s="111">
        <f>B125/B113-1</f>
        <v/>
      </c>
      <c r="D125" s="111">
        <f>B125/B65-1</f>
        <v/>
      </c>
      <c r="E125" s="169" t="n">
        <v>17798.26</v>
      </c>
      <c r="F125" s="111">
        <f>E125/E113-1</f>
        <v/>
      </c>
      <c r="G125" s="111">
        <f>E125/E65-1</f>
        <v/>
      </c>
      <c r="H125" s="169" t="n">
        <v>6668.11</v>
      </c>
      <c r="I125" s="111">
        <f>H125/H113-1</f>
        <v/>
      </c>
      <c r="J125" s="111">
        <f>H125/H65-1</f>
        <v/>
      </c>
      <c r="K125" s="169" t="n">
        <v>542.8200000000001</v>
      </c>
      <c r="L125" s="111">
        <f>K125/K113-1</f>
        <v/>
      </c>
      <c r="M125" s="111">
        <f>K125/K65-1</f>
        <v/>
      </c>
      <c r="N125" s="169" t="n">
        <v>20852.42</v>
      </c>
      <c r="O125" s="111">
        <f>N125/N113-1</f>
        <v/>
      </c>
      <c r="P125" s="111">
        <f>N125/N65-1</f>
        <v/>
      </c>
      <c r="Q125" s="169" t="n">
        <v>15008.9</v>
      </c>
      <c r="R125" s="111">
        <f>Q125/Q113-1</f>
        <v/>
      </c>
      <c r="S125" s="111">
        <f>Q125/Q65-1</f>
        <v/>
      </c>
      <c r="T125" s="169" t="n">
        <v>5421.04</v>
      </c>
      <c r="U125" s="111">
        <f>T125/T113-1</f>
        <v/>
      </c>
      <c r="V125" s="111">
        <f>T125/T65-1</f>
        <v/>
      </c>
      <c r="W125" s="169" t="n">
        <v>422.48</v>
      </c>
      <c r="X125" s="111">
        <f>W125/W113-1</f>
        <v/>
      </c>
      <c r="Y125" s="111">
        <f>W125/W65-1</f>
        <v/>
      </c>
      <c r="Z125" s="169" t="n">
        <v>11942.61</v>
      </c>
      <c r="AA125" s="111">
        <f>Z125/Z113-1</f>
        <v/>
      </c>
      <c r="AB125" s="111">
        <f>Z125/Z65-1</f>
        <v/>
      </c>
      <c r="AC125" s="169" t="n">
        <v>10335.03</v>
      </c>
      <c r="AD125" s="111">
        <f>AC125/AC113-1</f>
        <v/>
      </c>
      <c r="AE125" s="111">
        <f>AC125/AC65-1</f>
        <v/>
      </c>
      <c r="AF125" s="169" t="n">
        <v>1307.32</v>
      </c>
      <c r="AG125" s="111">
        <f>AF125/AF113-1</f>
        <v/>
      </c>
      <c r="AH125" s="111">
        <f>AF125/AF65-1</f>
        <v/>
      </c>
      <c r="AI125" s="169" t="n">
        <v>300.26</v>
      </c>
      <c r="AJ125" s="111">
        <f>AI125/AI113-1</f>
        <v/>
      </c>
      <c r="AK125" s="111">
        <f>AI125/AI65-1</f>
        <v/>
      </c>
      <c r="AL125" s="403" t="n">
        <v>83.38</v>
      </c>
      <c r="AM125" s="380">
        <f>AL125-AL113</f>
        <v/>
      </c>
      <c r="AN125" s="380">
        <f>AL125-AL65</f>
        <v/>
      </c>
      <c r="AO125" s="403" t="n">
        <v>84.33</v>
      </c>
      <c r="AP125" s="380">
        <f>AO125-AO113</f>
        <v/>
      </c>
      <c r="AQ125" s="380">
        <f>AO125-AO65</f>
        <v/>
      </c>
      <c r="AR125" s="403" t="n">
        <v>81.3</v>
      </c>
      <c r="AS125" s="380">
        <f>AR125-AR113</f>
        <v/>
      </c>
      <c r="AT125" s="380">
        <f>AR125-AR65</f>
        <v/>
      </c>
      <c r="AU125" s="403" t="n">
        <v>77.83</v>
      </c>
      <c r="AV125" s="380">
        <f>AU125-AU113</f>
        <v/>
      </c>
      <c r="AW125" s="380">
        <f>AU125-AU65</f>
        <v/>
      </c>
      <c r="AX125" s="169" t="n">
        <v>782</v>
      </c>
      <c r="AY125" s="111">
        <f>AX125/AX113-1</f>
        <v/>
      </c>
      <c r="AZ125" s="111">
        <f>AX125/AX65-1</f>
        <v/>
      </c>
      <c r="BA125" s="317" t="n"/>
      <c r="BB125" s="317" t="n"/>
      <c r="BC125" s="317" t="n"/>
      <c r="BD125" s="317" t="n"/>
      <c r="BE125" s="317" t="n"/>
      <c r="BF125" s="317" t="n"/>
      <c r="BG125" s="317" t="n"/>
      <c r="BH125" s="317" t="n"/>
      <c r="BI125" s="317" t="n"/>
      <c r="BJ125" s="317" t="n"/>
      <c r="BK125" s="318" t="n"/>
      <c r="BL125" s="317" t="n"/>
      <c r="BM125" s="317" t="n"/>
      <c r="BN125" s="317" t="n"/>
      <c r="BO125" s="317" t="n"/>
      <c r="BP125" s="317" t="n"/>
      <c r="BQ125" s="317" t="n"/>
      <c r="BR125" s="317" t="n"/>
      <c r="BS125" s="317" t="n"/>
      <c r="BT125" s="317" t="n"/>
      <c r="BU125" s="317" t="n"/>
      <c r="BV125" s="317" t="n"/>
      <c r="BW125" s="317" t="n"/>
      <c r="BX125" s="317" t="n"/>
      <c r="BY125" s="317" t="n"/>
      <c r="BZ125" s="317" t="n"/>
      <c r="CA125" s="317" t="n"/>
      <c r="CB125" s="317" t="n"/>
      <c r="CC125" s="317" t="n"/>
      <c r="CD125" s="317" t="n"/>
      <c r="CE125" s="317" t="n"/>
      <c r="CF125" s="317" t="n"/>
      <c r="CG125" s="317" t="n"/>
      <c r="CH125" s="317" t="n"/>
      <c r="CI125" s="317" t="n"/>
      <c r="CJ125" s="317" t="n"/>
      <c r="CK125" s="317" t="n"/>
      <c r="CL125" s="317" t="n"/>
      <c r="CM125" s="317" t="n"/>
      <c r="CN125" s="317" t="n"/>
      <c r="CW125" s="317" t="n"/>
      <c r="CX125" s="317" t="n"/>
      <c r="CY125" s="317" t="n"/>
      <c r="CZ125" s="317" t="n"/>
      <c r="DA125" s="317" t="n"/>
      <c r="DB125" s="317" t="n"/>
      <c r="DC125" s="317" t="n"/>
      <c r="DD125" s="317" t="n"/>
      <c r="DE125" s="319" t="n"/>
      <c r="DF125" s="319" t="n"/>
    </row>
    <row r="126" customFormat="1" s="116">
      <c r="A126" s="402" t="n">
        <v>45382</v>
      </c>
      <c r="B126" s="169" t="n">
        <v>23304.75</v>
      </c>
      <c r="C126" s="111">
        <f>B126/B114-1</f>
        <v/>
      </c>
      <c r="D126" s="111">
        <f>B126/B66-1</f>
        <v/>
      </c>
      <c r="E126" s="169" t="n">
        <v>16376.37</v>
      </c>
      <c r="F126" s="111">
        <f>E126/E114-1</f>
        <v/>
      </c>
      <c r="G126" s="111">
        <f>E126/E66-1</f>
        <v/>
      </c>
      <c r="H126" s="169" t="n">
        <v>6377.24</v>
      </c>
      <c r="I126" s="111">
        <f>H126/H114-1</f>
        <v/>
      </c>
      <c r="J126" s="111">
        <f>H126/H66-1</f>
        <v/>
      </c>
      <c r="K126" s="169" t="n">
        <v>551.13</v>
      </c>
      <c r="L126" s="111">
        <f>K126/K114-1</f>
        <v/>
      </c>
      <c r="M126" s="111">
        <f>K126/K66-1</f>
        <v/>
      </c>
      <c r="N126" s="169" t="n">
        <v>18930.83</v>
      </c>
      <c r="O126" s="111">
        <f>N126/N114-1</f>
        <v/>
      </c>
      <c r="P126" s="111">
        <f>N126/N66-1</f>
        <v/>
      </c>
      <c r="Q126" s="169" t="n">
        <v>13384.64</v>
      </c>
      <c r="R126" s="111">
        <f>Q126/Q114-1</f>
        <v/>
      </c>
      <c r="S126" s="111">
        <f>Q126/Q66-1</f>
        <v/>
      </c>
      <c r="T126" s="169" t="n">
        <v>5144.95</v>
      </c>
      <c r="U126" s="111">
        <f>T126/T114-1</f>
        <v/>
      </c>
      <c r="V126" s="111">
        <f>T126/T66-1</f>
        <v/>
      </c>
      <c r="W126" s="169" t="n">
        <v>401.24</v>
      </c>
      <c r="X126" s="111">
        <f>W126/W114-1</f>
        <v/>
      </c>
      <c r="Y126" s="111">
        <f>W126/W66-1</f>
        <v/>
      </c>
      <c r="Z126" s="169" t="n">
        <v>10992.73</v>
      </c>
      <c r="AA126" s="111">
        <f>Z126/Z114-1</f>
        <v/>
      </c>
      <c r="AB126" s="111">
        <f>Z126/Z66-1</f>
        <v/>
      </c>
      <c r="AC126" s="169" t="n">
        <v>9444.690000000001</v>
      </c>
      <c r="AD126" s="111">
        <f>AC126/AC114-1</f>
        <v/>
      </c>
      <c r="AE126" s="111">
        <f>AC126/AC66-1</f>
        <v/>
      </c>
      <c r="AF126" s="169" t="n">
        <v>1261.23</v>
      </c>
      <c r="AG126" s="111">
        <f>AF126/AF114-1</f>
        <v/>
      </c>
      <c r="AH126" s="111">
        <f>AF126/AF66-1</f>
        <v/>
      </c>
      <c r="AI126" s="169" t="n">
        <v>286.81</v>
      </c>
      <c r="AJ126" s="111">
        <f>AI126/AI114-1</f>
        <v/>
      </c>
      <c r="AK126" s="111">
        <f>AI126/AI66-1</f>
        <v/>
      </c>
      <c r="AL126" s="403" t="n">
        <v>81.23</v>
      </c>
      <c r="AM126" s="380">
        <f>AL126-AL114</f>
        <v/>
      </c>
      <c r="AN126" s="380">
        <f>AL126-AL66</f>
        <v/>
      </c>
      <c r="AO126" s="403" t="n">
        <v>81.73</v>
      </c>
      <c r="AP126" s="380">
        <f>AO126-AO114</f>
        <v/>
      </c>
      <c r="AQ126" s="380">
        <f>AO126-AO66</f>
        <v/>
      </c>
      <c r="AR126" s="403" t="n">
        <v>80.68000000000001</v>
      </c>
      <c r="AS126" s="380">
        <f>AR126-AR114</f>
        <v/>
      </c>
      <c r="AT126" s="380">
        <f>AR126-AR66</f>
        <v/>
      </c>
      <c r="AU126" s="403" t="n">
        <v>72.8</v>
      </c>
      <c r="AV126" s="380">
        <f>AU126-AU114</f>
        <v/>
      </c>
      <c r="AW126" s="380">
        <f>AU126-AU66</f>
        <v/>
      </c>
      <c r="AX126" s="169" t="n">
        <v>786</v>
      </c>
      <c r="AY126" s="111">
        <f>AX126/AX114-1</f>
        <v/>
      </c>
      <c r="AZ126" s="111">
        <f>AX126/AX66-1</f>
        <v/>
      </c>
      <c r="BA126" s="317" t="n"/>
      <c r="BB126" s="317" t="n"/>
      <c r="BC126" s="317" t="n"/>
      <c r="BD126" s="317" t="n"/>
      <c r="BE126" s="317" t="n"/>
      <c r="BF126" s="317" t="n"/>
      <c r="BG126" s="317" t="n"/>
      <c r="BH126" s="317" t="n"/>
      <c r="BI126" s="317" t="n"/>
      <c r="BJ126" s="317" t="n"/>
      <c r="BK126" s="318" t="n"/>
      <c r="BL126" s="317" t="n"/>
      <c r="BM126" s="317" t="n"/>
      <c r="BN126" s="317" t="n"/>
      <c r="BO126" s="317" t="n"/>
      <c r="BP126" s="317" t="n"/>
      <c r="BQ126" s="317" t="n"/>
      <c r="BR126" s="317" t="n"/>
      <c r="BS126" s="317" t="n"/>
      <c r="BT126" s="317" t="n"/>
      <c r="BU126" s="317" t="n"/>
      <c r="BV126" s="317" t="n"/>
      <c r="BW126" s="317" t="n"/>
      <c r="BX126" s="317" t="n"/>
      <c r="BY126" s="317" t="n"/>
      <c r="BZ126" s="317" t="n"/>
      <c r="CA126" s="317" t="n"/>
      <c r="CB126" s="317" t="n"/>
      <c r="CC126" s="317" t="n"/>
      <c r="CD126" s="317" t="n"/>
      <c r="CE126" s="317" t="n"/>
      <c r="CF126" s="317" t="n"/>
      <c r="CG126" s="317" t="n"/>
      <c r="CH126" s="317" t="n"/>
      <c r="CI126" s="317" t="n"/>
      <c r="CJ126" s="317" t="n"/>
      <c r="CK126" s="317" t="n"/>
      <c r="CL126" s="317" t="n"/>
      <c r="CM126" s="317" t="n"/>
      <c r="CN126" s="317" t="n"/>
      <c r="CW126" s="317" t="n"/>
      <c r="CX126" s="317" t="n"/>
      <c r="CY126" s="317" t="n"/>
      <c r="CZ126" s="317" t="n"/>
      <c r="DA126" s="317" t="n"/>
      <c r="DB126" s="317" t="n"/>
      <c r="DC126" s="317" t="n"/>
      <c r="DD126" s="317" t="n"/>
      <c r="DE126" s="319" t="n"/>
      <c r="DF126" s="319" t="n"/>
    </row>
    <row r="127" customFormat="1" s="116">
      <c r="A127" s="402" t="n">
        <v>45412</v>
      </c>
      <c r="B127" s="169" t="n">
        <v>22974.96</v>
      </c>
      <c r="C127" s="111">
        <f>B127/B115-1</f>
        <v/>
      </c>
      <c r="D127" s="111">
        <f>B127/B67-1</f>
        <v/>
      </c>
      <c r="E127" s="169" t="n">
        <v>15799.45</v>
      </c>
      <c r="F127" s="111">
        <f>E127/E115-1</f>
        <v/>
      </c>
      <c r="G127" s="111">
        <f>E127/E67-1</f>
        <v/>
      </c>
      <c r="H127" s="169" t="n">
        <v>6633.33</v>
      </c>
      <c r="I127" s="111">
        <f>H127/H115-1</f>
        <v/>
      </c>
      <c r="J127" s="111">
        <f>H127/H67-1</f>
        <v/>
      </c>
      <c r="K127" s="169" t="n">
        <v>542.1799999999999</v>
      </c>
      <c r="L127" s="111">
        <f>K127/K115-1</f>
        <v/>
      </c>
      <c r="M127" s="111">
        <f>K127/K67-1</f>
        <v/>
      </c>
      <c r="N127" s="169" t="n">
        <v>18610.28</v>
      </c>
      <c r="O127" s="111">
        <f>N127/N115-1</f>
        <v/>
      </c>
      <c r="P127" s="111">
        <f>N127/N67-1</f>
        <v/>
      </c>
      <c r="Q127" s="169" t="n">
        <v>12863.53</v>
      </c>
      <c r="R127" s="111">
        <f>Q127/Q115-1</f>
        <v/>
      </c>
      <c r="S127" s="111">
        <f>Q127/Q67-1</f>
        <v/>
      </c>
      <c r="T127" s="169" t="n">
        <v>5326.72</v>
      </c>
      <c r="U127" s="111">
        <f>T127/T115-1</f>
        <v/>
      </c>
      <c r="V127" s="111">
        <f>T127/T67-1</f>
        <v/>
      </c>
      <c r="W127" s="169" t="n">
        <v>420.03</v>
      </c>
      <c r="X127" s="111">
        <f>W127/W115-1</f>
        <v/>
      </c>
      <c r="Y127" s="111">
        <f>W127/W67-1</f>
        <v/>
      </c>
      <c r="Z127" s="169" t="n">
        <v>10748.9</v>
      </c>
      <c r="AA127" s="111">
        <f>Z127/Z115-1</f>
        <v/>
      </c>
      <c r="AB127" s="111">
        <f>Z127/Z67-1</f>
        <v/>
      </c>
      <c r="AC127" s="169" t="n">
        <v>9119.879999999999</v>
      </c>
      <c r="AD127" s="111">
        <f>AC127/AC115-1</f>
        <v/>
      </c>
      <c r="AE127" s="111">
        <f>AC127/AC67-1</f>
        <v/>
      </c>
      <c r="AF127" s="169" t="n">
        <v>1328.88</v>
      </c>
      <c r="AG127" s="111">
        <f>AF127/AF115-1</f>
        <v/>
      </c>
      <c r="AH127" s="111">
        <f>AF127/AF67-1</f>
        <v/>
      </c>
      <c r="AI127" s="169" t="n">
        <v>300.14</v>
      </c>
      <c r="AJ127" s="111">
        <f>AI127/AI115-1</f>
        <v/>
      </c>
      <c r="AK127" s="111">
        <f>AI127/AI67-1</f>
        <v/>
      </c>
      <c r="AL127" s="403" t="n">
        <v>81</v>
      </c>
      <c r="AM127" s="380">
        <f>AL127-AL115</f>
        <v/>
      </c>
      <c r="AN127" s="380">
        <f>AL127-AL67</f>
        <v/>
      </c>
      <c r="AO127" s="403" t="n">
        <v>81.42</v>
      </c>
      <c r="AP127" s="380">
        <f>AO127-AO115</f>
        <v/>
      </c>
      <c r="AQ127" s="380">
        <f>AO127-AO67</f>
        <v/>
      </c>
      <c r="AR127" s="403" t="n">
        <v>80.3</v>
      </c>
      <c r="AS127" s="380">
        <f>AR127-AR115</f>
        <v/>
      </c>
      <c r="AT127" s="380">
        <f>AR127-AR67</f>
        <v/>
      </c>
      <c r="AU127" s="403" t="n">
        <v>77.47</v>
      </c>
      <c r="AV127" s="380">
        <f>AU127-AU115</f>
        <v/>
      </c>
      <c r="AW127" s="380">
        <f>AU127-AU67</f>
        <v/>
      </c>
      <c r="AX127" s="169" t="n">
        <v>789</v>
      </c>
      <c r="AY127" s="111">
        <f>AX127/AX115-1</f>
        <v/>
      </c>
      <c r="AZ127" s="111">
        <f>AX127/AX67-1</f>
        <v/>
      </c>
      <c r="BA127" s="317" t="n"/>
      <c r="BB127" s="317" t="n"/>
      <c r="BC127" s="317" t="n"/>
      <c r="BD127" s="317" t="n"/>
      <c r="BE127" s="317" t="n"/>
      <c r="BF127" s="317" t="n"/>
      <c r="BG127" s="317" t="n"/>
      <c r="BH127" s="317" t="n"/>
      <c r="BI127" s="317" t="n"/>
      <c r="BJ127" s="317" t="n"/>
      <c r="BK127" s="318" t="n"/>
      <c r="BL127" s="317" t="n"/>
      <c r="BM127" s="317" t="n"/>
      <c r="BN127" s="317" t="n"/>
      <c r="BO127" s="317" t="n"/>
      <c r="BP127" s="317" t="n"/>
      <c r="BQ127" s="317" t="n"/>
      <c r="BR127" s="317" t="n"/>
      <c r="BS127" s="317" t="n"/>
      <c r="BT127" s="317" t="n"/>
      <c r="BU127" s="317" t="n"/>
      <c r="BV127" s="317" t="n"/>
      <c r="BW127" s="317" t="n"/>
      <c r="BX127" s="317" t="n"/>
      <c r="BY127" s="317" t="n"/>
      <c r="BZ127" s="317" t="n"/>
      <c r="CA127" s="317" t="n"/>
      <c r="CB127" s="317" t="n"/>
      <c r="CC127" s="317" t="n"/>
      <c r="CD127" s="317" t="n"/>
      <c r="CE127" s="317" t="n"/>
      <c r="CF127" s="317" t="n"/>
      <c r="CG127" s="317" t="n"/>
      <c r="CH127" s="317" t="n"/>
      <c r="CI127" s="317" t="n"/>
      <c r="CJ127" s="317" t="n"/>
      <c r="CK127" s="317" t="n"/>
      <c r="CL127" s="317" t="n"/>
      <c r="CM127" s="317" t="n"/>
      <c r="CN127" s="317" t="n"/>
      <c r="CW127" s="317" t="n"/>
      <c r="CX127" s="317" t="n"/>
      <c r="CY127" s="317" t="n"/>
      <c r="CZ127" s="317" t="n"/>
      <c r="DA127" s="317" t="n"/>
      <c r="DB127" s="317" t="n"/>
      <c r="DC127" s="317" t="n"/>
      <c r="DD127" s="317" t="n"/>
      <c r="DE127" s="319" t="n"/>
      <c r="DF127" s="319" t="n"/>
    </row>
    <row r="128" customFormat="1" s="116">
      <c r="A128" s="402" t="n">
        <v>45443</v>
      </c>
      <c r="B128" s="169" t="n">
        <v>24208.66</v>
      </c>
      <c r="C128" s="111">
        <f>B128/B116-1</f>
        <v/>
      </c>
      <c r="D128" s="111">
        <f>B128/B68-1</f>
        <v/>
      </c>
      <c r="E128" s="169" t="n">
        <v>16541.46</v>
      </c>
      <c r="F128" s="111">
        <f>E128/E116-1</f>
        <v/>
      </c>
      <c r="G128" s="111">
        <f>E128/E68-1</f>
        <v/>
      </c>
      <c r="H128" s="169" t="n">
        <v>7099.19</v>
      </c>
      <c r="I128" s="111">
        <f>H128/H116-1</f>
        <v/>
      </c>
      <c r="J128" s="111">
        <f>H128/H68-1</f>
        <v/>
      </c>
      <c r="K128" s="169" t="n">
        <v>568.02</v>
      </c>
      <c r="L128" s="111">
        <f>K128/K116-1</f>
        <v/>
      </c>
      <c r="M128" s="111">
        <f>K128/K68-1</f>
        <v/>
      </c>
      <c r="N128" s="169" t="n">
        <v>19567.66</v>
      </c>
      <c r="O128" s="111">
        <f>N128/N116-1</f>
        <v/>
      </c>
      <c r="P128" s="111">
        <f>N128/N68-1</f>
        <v/>
      </c>
      <c r="Q128" s="169" t="n">
        <v>13689.49</v>
      </c>
      <c r="R128" s="111">
        <f>Q128/Q116-1</f>
        <v/>
      </c>
      <c r="S128" s="111">
        <f>Q128/Q68-1</f>
        <v/>
      </c>
      <c r="T128" s="169" t="n">
        <v>5454.15</v>
      </c>
      <c r="U128" s="111">
        <f>T128/T116-1</f>
        <v/>
      </c>
      <c r="V128" s="111">
        <f>T128/T68-1</f>
        <v/>
      </c>
      <c r="W128" s="169" t="n">
        <v>424.03</v>
      </c>
      <c r="X128" s="111">
        <f>W128/W116-1</f>
        <v/>
      </c>
      <c r="Y128" s="111">
        <f>W128/W68-1</f>
        <v/>
      </c>
      <c r="Z128" s="169" t="n">
        <v>11406.46</v>
      </c>
      <c r="AA128" s="111">
        <f>Z128/Z116-1</f>
        <v/>
      </c>
      <c r="AB128" s="111">
        <f>Z128/Z68-1</f>
        <v/>
      </c>
      <c r="AC128" s="169" t="n">
        <v>9766.43</v>
      </c>
      <c r="AD128" s="111">
        <f>AC128/AC116-1</f>
        <v/>
      </c>
      <c r="AE128" s="111">
        <f>AC128/AC68-1</f>
        <v/>
      </c>
      <c r="AF128" s="169" t="n">
        <v>1336.4</v>
      </c>
      <c r="AG128" s="111">
        <f>AF128/AF116-1</f>
        <v/>
      </c>
      <c r="AH128" s="111">
        <f>AF128/AF68-1</f>
        <v/>
      </c>
      <c r="AI128" s="169" t="n">
        <v>303.63</v>
      </c>
      <c r="AJ128" s="111">
        <f>AI128/AI116-1</f>
        <v/>
      </c>
      <c r="AK128" s="111">
        <f>AI128/AI68-1</f>
        <v/>
      </c>
      <c r="AL128" s="403" t="n">
        <v>80.83</v>
      </c>
      <c r="AM128" s="380">
        <f>AL128-AL116</f>
        <v/>
      </c>
      <c r="AN128" s="380">
        <f>AL128-AL68</f>
        <v/>
      </c>
      <c r="AO128" s="403" t="n">
        <v>82.76000000000001</v>
      </c>
      <c r="AP128" s="380">
        <f>AO128-AO116</f>
        <v/>
      </c>
      <c r="AQ128" s="380">
        <f>AO128-AO68</f>
        <v/>
      </c>
      <c r="AR128" s="403" t="n">
        <v>76.83</v>
      </c>
      <c r="AS128" s="380">
        <f>AR128-AR116</f>
        <v/>
      </c>
      <c r="AT128" s="380">
        <f>AR128-AR68</f>
        <v/>
      </c>
      <c r="AU128" s="403" t="n">
        <v>74.65000000000001</v>
      </c>
      <c r="AV128" s="380">
        <f>AU128-AU116</f>
        <v/>
      </c>
      <c r="AW128" s="380">
        <f>AU128-AU68</f>
        <v/>
      </c>
      <c r="AX128" s="169" t="n">
        <v>792</v>
      </c>
      <c r="AY128" s="111">
        <f>AX128/AX116-1</f>
        <v/>
      </c>
      <c r="AZ128" s="111">
        <f>AX128/AX68-1</f>
        <v/>
      </c>
      <c r="BA128" s="317" t="n"/>
      <c r="BB128" s="317" t="n"/>
      <c r="BC128" s="317" t="n"/>
      <c r="BD128" s="317" t="n"/>
      <c r="BE128" s="317" t="n"/>
      <c r="BF128" s="317" t="n"/>
      <c r="BG128" s="317" t="n"/>
      <c r="BH128" s="317" t="n"/>
      <c r="BI128" s="317" t="n"/>
      <c r="BJ128" s="317" t="n"/>
      <c r="BK128" s="318" t="n"/>
      <c r="BL128" s="317" t="n"/>
      <c r="BM128" s="317" t="n"/>
      <c r="BN128" s="317" t="n"/>
      <c r="BO128" s="317" t="n"/>
      <c r="BP128" s="317" t="n"/>
      <c r="BQ128" s="317" t="n"/>
      <c r="BR128" s="317" t="n"/>
      <c r="BS128" s="317" t="n"/>
      <c r="BT128" s="317" t="n"/>
      <c r="BU128" s="317" t="n"/>
      <c r="BV128" s="317" t="n"/>
      <c r="BW128" s="317" t="n"/>
      <c r="BX128" s="317" t="n"/>
      <c r="BY128" s="317" t="n"/>
      <c r="BZ128" s="317" t="n"/>
      <c r="CA128" s="317" t="n"/>
      <c r="CB128" s="317" t="n"/>
      <c r="CC128" s="317" t="n"/>
      <c r="CD128" s="317" t="n"/>
      <c r="CE128" s="317" t="n"/>
      <c r="CF128" s="317" t="n"/>
      <c r="CG128" s="317" t="n"/>
      <c r="CH128" s="317" t="n"/>
      <c r="CI128" s="317" t="n"/>
      <c r="CJ128" s="317" t="n"/>
      <c r="CK128" s="317" t="n"/>
      <c r="CL128" s="317" t="n"/>
      <c r="CM128" s="317" t="n"/>
      <c r="CN128" s="317" t="n"/>
      <c r="CW128" s="317" t="n"/>
      <c r="CX128" s="317" t="n"/>
      <c r="CY128" s="317" t="n"/>
      <c r="CZ128" s="317" t="n"/>
      <c r="DA128" s="317" t="n"/>
      <c r="DB128" s="317" t="n"/>
      <c r="DC128" s="317" t="n"/>
      <c r="DD128" s="317" t="n"/>
      <c r="DE128" s="319" t="n"/>
      <c r="DF128" s="319" t="n"/>
    </row>
    <row r="129" customFormat="1" s="116">
      <c r="A129" s="402" t="n">
        <v>45473</v>
      </c>
      <c r="B129" s="169" t="n">
        <v>23877.23</v>
      </c>
      <c r="C129" s="111">
        <f>B129/B117-1</f>
        <v/>
      </c>
      <c r="D129" s="111">
        <f>B129/B69-1</f>
        <v/>
      </c>
      <c r="E129" s="169" t="n">
        <v>16162.71</v>
      </c>
      <c r="F129" s="111">
        <f>E129/E117-1</f>
        <v/>
      </c>
      <c r="G129" s="111">
        <f>E129/E69-1</f>
        <v/>
      </c>
      <c r="H129" s="169" t="n">
        <v>7159.72</v>
      </c>
      <c r="I129" s="111">
        <f>H129/H117-1</f>
        <v/>
      </c>
      <c r="J129" s="111">
        <f>H129/H69-1</f>
        <v/>
      </c>
      <c r="K129" s="169" t="n">
        <v>554.8</v>
      </c>
      <c r="L129" s="111">
        <f>K129/K117-1</f>
        <v/>
      </c>
      <c r="M129" s="111">
        <f>K129/K69-1</f>
        <v/>
      </c>
      <c r="N129" s="169" t="n">
        <v>19922.19</v>
      </c>
      <c r="O129" s="111">
        <f>N129/N117-1</f>
        <v/>
      </c>
      <c r="P129" s="111">
        <f>N129/N69-1</f>
        <v/>
      </c>
      <c r="Q129" s="169" t="n">
        <v>13679.86</v>
      </c>
      <c r="R129" s="111">
        <f>Q129/Q117-1</f>
        <v/>
      </c>
      <c r="S129" s="111">
        <f>Q129/Q69-1</f>
        <v/>
      </c>
      <c r="T129" s="169" t="n">
        <v>5813.14</v>
      </c>
      <c r="U129" s="111">
        <f>T129/T117-1</f>
        <v/>
      </c>
      <c r="V129" s="111">
        <f>T129/T69-1</f>
        <v/>
      </c>
      <c r="W129" s="169" t="n">
        <v>429.19</v>
      </c>
      <c r="X129" s="111">
        <f>W129/W117-1</f>
        <v/>
      </c>
      <c r="Y129" s="111">
        <f>W129/W69-1</f>
        <v/>
      </c>
      <c r="Z129" s="169" t="n">
        <v>11364.59</v>
      </c>
      <c r="AA129" s="111">
        <f>Z129/Z117-1</f>
        <v/>
      </c>
      <c r="AB129" s="111">
        <f>Z129/Z69-1</f>
        <v/>
      </c>
      <c r="AC129" s="169" t="n">
        <v>9612.860000000001</v>
      </c>
      <c r="AD129" s="111">
        <f>AC129/AC117-1</f>
        <v/>
      </c>
      <c r="AE129" s="111">
        <f>AC129/AC69-1</f>
        <v/>
      </c>
      <c r="AF129" s="169" t="n">
        <v>1443.11</v>
      </c>
      <c r="AG129" s="111">
        <f>AF129/AF117-1</f>
        <v/>
      </c>
      <c r="AH129" s="111">
        <f>AF129/AF69-1</f>
        <v/>
      </c>
      <c r="AI129" s="169" t="n">
        <v>308.63</v>
      </c>
      <c r="AJ129" s="111">
        <f>AI129/AI117-1</f>
        <v/>
      </c>
      <c r="AK129" s="111">
        <f>AI129/AI69-1</f>
        <v/>
      </c>
      <c r="AL129" s="403" t="n">
        <v>83.44</v>
      </c>
      <c r="AM129" s="380">
        <f>AL129-AL117</f>
        <v/>
      </c>
      <c r="AN129" s="380">
        <f>AL129-AL69</f>
        <v/>
      </c>
      <c r="AO129" s="403" t="n">
        <v>84.64</v>
      </c>
      <c r="AP129" s="380">
        <f>AO129-AO117</f>
        <v/>
      </c>
      <c r="AQ129" s="380">
        <f>AO129-AO69</f>
        <v/>
      </c>
      <c r="AR129" s="403" t="n">
        <v>81.19</v>
      </c>
      <c r="AS129" s="380">
        <f>AR129-AR117</f>
        <v/>
      </c>
      <c r="AT129" s="380">
        <f>AR129-AR69</f>
        <v/>
      </c>
      <c r="AU129" s="403" t="n">
        <v>77.36</v>
      </c>
      <c r="AV129" s="380">
        <f>AU129-AU117</f>
        <v/>
      </c>
      <c r="AW129" s="380">
        <f>AU129-AU69</f>
        <v/>
      </c>
      <c r="AX129" s="169" t="n">
        <v>792</v>
      </c>
      <c r="AY129" s="111">
        <f>AX129/AX117-1</f>
        <v/>
      </c>
      <c r="AZ129" s="111">
        <f>AX129/AX69-1</f>
        <v/>
      </c>
      <c r="BA129" s="317" t="n"/>
      <c r="BB129" s="317" t="n"/>
      <c r="BC129" s="317" t="n"/>
      <c r="BD129" s="317" t="n"/>
      <c r="BE129" s="317" t="n"/>
      <c r="BF129" s="317" t="n"/>
      <c r="BG129" s="317" t="n"/>
      <c r="BH129" s="317" t="n"/>
      <c r="BI129" s="317" t="n"/>
      <c r="BJ129" s="317" t="n"/>
      <c r="BK129" s="318" t="n"/>
      <c r="BL129" s="317" t="n"/>
      <c r="BM129" s="317" t="n"/>
      <c r="BN129" s="317" t="n"/>
      <c r="BO129" s="317" t="n"/>
      <c r="BP129" s="317" t="n"/>
      <c r="BQ129" s="317" t="n"/>
      <c r="BR129" s="317" t="n"/>
      <c r="BS129" s="317" t="n"/>
      <c r="BT129" s="317" t="n"/>
      <c r="BU129" s="317" t="n"/>
      <c r="BV129" s="317" t="n"/>
      <c r="BW129" s="317" t="n"/>
      <c r="BX129" s="317" t="n"/>
      <c r="BY129" s="317" t="n"/>
      <c r="BZ129" s="317" t="n"/>
      <c r="CA129" s="317" t="n"/>
      <c r="CB129" s="317" t="n"/>
      <c r="CC129" s="317" t="n"/>
      <c r="CD129" s="317" t="n"/>
      <c r="CE129" s="317" t="n"/>
      <c r="CF129" s="317" t="n"/>
      <c r="CG129" s="317" t="n"/>
      <c r="CH129" s="317" t="n"/>
      <c r="CI129" s="317" t="n"/>
      <c r="CJ129" s="317" t="n"/>
      <c r="CK129" s="317" t="n"/>
      <c r="CL129" s="317" t="n"/>
      <c r="CM129" s="317" t="n"/>
      <c r="CN129" s="317" t="n"/>
      <c r="CW129" s="317" t="n"/>
      <c r="CX129" s="317" t="n"/>
      <c r="CY129" s="317" t="n"/>
      <c r="CZ129" s="317" t="n"/>
      <c r="DA129" s="317" t="n"/>
      <c r="DB129" s="317" t="n"/>
      <c r="DC129" s="317" t="n"/>
      <c r="DD129" s="317" t="n"/>
      <c r="DE129" s="319" t="n"/>
      <c r="DF129" s="319" t="n"/>
    </row>
    <row r="130" customFormat="1" s="203">
      <c r="A130" s="406" t="n">
        <v>45504</v>
      </c>
      <c r="B130" s="169" t="n">
        <v>27675.12</v>
      </c>
      <c r="C130" s="165">
        <f>B130/B118-1</f>
        <v/>
      </c>
      <c r="D130" s="111">
        <f>B130/B70-1</f>
        <v/>
      </c>
      <c r="E130" s="169" t="n">
        <v>18769.6</v>
      </c>
      <c r="F130" s="165">
        <f>E130/E118-1</f>
        <v/>
      </c>
      <c r="G130" s="111">
        <f>E130/E70-1</f>
        <v/>
      </c>
      <c r="H130" s="169" t="n">
        <v>8326.67</v>
      </c>
      <c r="I130" s="165">
        <f>H130/H118-1</f>
        <v/>
      </c>
      <c r="J130" s="111">
        <f>H130/H70-1</f>
        <v/>
      </c>
      <c r="K130" s="169" t="n">
        <v>578.84</v>
      </c>
      <c r="L130" s="165">
        <f>K130/K118-1</f>
        <v/>
      </c>
      <c r="M130" s="111">
        <f>K130/K70-1</f>
        <v/>
      </c>
      <c r="N130" s="169" t="n">
        <v>23019.38</v>
      </c>
      <c r="O130" s="165">
        <f>N130/N118-1</f>
        <v/>
      </c>
      <c r="P130" s="111">
        <f>N130/N70-1</f>
        <v/>
      </c>
      <c r="Q130" s="169" t="n">
        <v>15922.24</v>
      </c>
      <c r="R130" s="165">
        <f>Q130/Q118-1</f>
        <v/>
      </c>
      <c r="S130" s="111">
        <f>Q130/Q70-1</f>
        <v/>
      </c>
      <c r="T130" s="169" t="n">
        <v>6645.38</v>
      </c>
      <c r="U130" s="165">
        <f>T130/T118-1</f>
        <v/>
      </c>
      <c r="V130" s="111">
        <f>T130/T70-1</f>
        <v/>
      </c>
      <c r="W130" s="169" t="n">
        <v>451.76</v>
      </c>
      <c r="X130" s="165">
        <f>W130/W118-1</f>
        <v/>
      </c>
      <c r="Y130" s="111">
        <f>W130/W70-1</f>
        <v/>
      </c>
      <c r="Z130" s="169" t="n">
        <v>12951.38</v>
      </c>
      <c r="AA130" s="165">
        <f>Z130/Z118-1</f>
        <v/>
      </c>
      <c r="AB130" s="111">
        <f>Z130/Z70-1</f>
        <v/>
      </c>
      <c r="AC130" s="169" t="n">
        <v>11042.79</v>
      </c>
      <c r="AD130" s="165">
        <f>AC130/AC118-1</f>
        <v/>
      </c>
      <c r="AE130" s="111">
        <f>AC130/AC70-1</f>
        <v/>
      </c>
      <c r="AF130" s="169" t="n">
        <v>1586.66</v>
      </c>
      <c r="AG130" s="165">
        <f>AF130/AF118-1</f>
        <v/>
      </c>
      <c r="AH130" s="111">
        <f>AF130/AF70-1</f>
        <v/>
      </c>
      <c r="AI130" s="169" t="n">
        <v>321.93</v>
      </c>
      <c r="AJ130" s="165">
        <f>AI130/AI118-1</f>
        <v/>
      </c>
      <c r="AK130" s="111">
        <f>AI130/AI70-1</f>
        <v/>
      </c>
      <c r="AL130" s="403" t="n">
        <v>83.18000000000001</v>
      </c>
      <c r="AM130" s="380">
        <f>AL130-AL118</f>
        <v/>
      </c>
      <c r="AN130" s="380">
        <f>AL130-AL70</f>
        <v/>
      </c>
      <c r="AO130" s="403" t="n">
        <v>84.83</v>
      </c>
      <c r="AP130" s="380">
        <f>AO130-AO118</f>
        <v/>
      </c>
      <c r="AQ130" s="380">
        <f>AO130-AO70</f>
        <v/>
      </c>
      <c r="AR130" s="403" t="n">
        <v>79.81</v>
      </c>
      <c r="AS130" s="380">
        <f>AR130-AR118</f>
        <v/>
      </c>
      <c r="AT130" s="380">
        <f>AR130-AR70</f>
        <v/>
      </c>
      <c r="AU130" s="403" t="n">
        <v>78.05</v>
      </c>
      <c r="AV130" s="380">
        <f>AU130-AU118</f>
        <v/>
      </c>
      <c r="AW130" s="380">
        <f>AU130-AU70</f>
        <v/>
      </c>
      <c r="AX130" s="169" t="n">
        <v>788</v>
      </c>
      <c r="AY130" s="111">
        <f>AX130/AX118-1</f>
        <v/>
      </c>
      <c r="AZ130" s="111">
        <f>AX130/AX70-1</f>
        <v/>
      </c>
      <c r="BA130" s="407" t="n"/>
      <c r="BB130" s="407" t="n"/>
      <c r="BC130" s="407" t="n"/>
      <c r="BD130" s="407" t="n"/>
      <c r="BE130" s="407" t="n"/>
      <c r="BF130" s="407" t="n"/>
      <c r="BG130" s="407" t="n"/>
      <c r="BH130" s="407" t="n"/>
      <c r="BI130" s="407" t="n"/>
      <c r="BJ130" s="407" t="n"/>
      <c r="BK130" s="318" t="n"/>
      <c r="BL130" s="407" t="n"/>
      <c r="BM130" s="407" t="n"/>
      <c r="BN130" s="407" t="n"/>
      <c r="BO130" s="407" t="n"/>
      <c r="BP130" s="407" t="n"/>
      <c r="BQ130" s="407" t="n"/>
      <c r="BR130" s="407" t="n"/>
      <c r="BS130" s="407" t="n"/>
      <c r="BT130" s="407" t="n"/>
      <c r="BU130" s="407" t="n"/>
      <c r="BV130" s="407" t="n"/>
      <c r="BW130" s="407" t="n"/>
      <c r="BX130" s="407" t="n"/>
      <c r="BY130" s="407" t="n"/>
      <c r="BZ130" s="407" t="n"/>
      <c r="CA130" s="407" t="n"/>
      <c r="CB130" s="407" t="n"/>
      <c r="CC130" s="407" t="n"/>
      <c r="CD130" s="407" t="n"/>
      <c r="CE130" s="407" t="n"/>
      <c r="CF130" s="407" t="n"/>
      <c r="CG130" s="407" t="n"/>
      <c r="CH130" s="407" t="n"/>
      <c r="CI130" s="407" t="n"/>
      <c r="CJ130" s="407" t="n"/>
      <c r="CK130" s="407" t="n"/>
      <c r="CL130" s="407" t="n"/>
      <c r="CM130" s="407" t="n"/>
      <c r="CN130" s="407" t="n"/>
      <c r="CW130" s="407" t="n"/>
      <c r="CX130" s="407" t="n"/>
      <c r="CY130" s="407" t="n"/>
      <c r="CZ130" s="407" t="n"/>
      <c r="DA130" s="407" t="n"/>
      <c r="DB130" s="407" t="n"/>
      <c r="DC130" s="407" t="n"/>
      <c r="DD130" s="407" t="n"/>
      <c r="DE130" s="408" t="n"/>
      <c r="DF130" s="408" t="n"/>
    </row>
    <row r="131" customFormat="1" s="203">
      <c r="A131" s="402" t="n">
        <v>45535</v>
      </c>
      <c r="B131" s="169" t="n">
        <v>27886.79</v>
      </c>
      <c r="C131" s="165">
        <f>B131/B119-1</f>
        <v/>
      </c>
      <c r="D131" s="111">
        <f>B131/B71-1</f>
        <v/>
      </c>
      <c r="E131" s="169" t="n">
        <v>19191.87</v>
      </c>
      <c r="F131" s="165">
        <f>E131/E119-1</f>
        <v/>
      </c>
      <c r="G131" s="111">
        <f>E131/E71-1</f>
        <v/>
      </c>
      <c r="H131" s="169" t="n">
        <v>8102.22</v>
      </c>
      <c r="I131" s="165">
        <f>H131/H119-1</f>
        <v/>
      </c>
      <c r="J131" s="111">
        <f>H131/H71-1</f>
        <v/>
      </c>
      <c r="K131" s="169" t="n">
        <v>592.7</v>
      </c>
      <c r="L131" s="165">
        <f>K131/K119-1</f>
        <v/>
      </c>
      <c r="M131" s="111">
        <f>K131/K71-1</f>
        <v/>
      </c>
      <c r="N131" s="169" t="n">
        <v>24190.16</v>
      </c>
      <c r="O131" s="165">
        <f>N131/N119-1</f>
        <v/>
      </c>
      <c r="P131" s="111">
        <f>N131/N71-1</f>
        <v/>
      </c>
      <c r="Q131" s="169" t="n">
        <v>16833.77</v>
      </c>
      <c r="R131" s="165">
        <f>Q131/Q119-1</f>
        <v/>
      </c>
      <c r="S131" s="111">
        <f>Q131/Q71-1</f>
        <v/>
      </c>
      <c r="T131" s="169" t="n">
        <v>6850.57</v>
      </c>
      <c r="U131" s="165">
        <f>T131/T119-1</f>
        <v/>
      </c>
      <c r="V131" s="111">
        <f>T131/T71-1</f>
        <v/>
      </c>
      <c r="W131" s="169" t="n">
        <v>505.82</v>
      </c>
      <c r="X131" s="165">
        <f>W131/W119-1</f>
        <v/>
      </c>
      <c r="Y131" s="111">
        <f>W131/W71-1</f>
        <v/>
      </c>
      <c r="Z131" s="169" t="n">
        <v>13844.52</v>
      </c>
      <c r="AA131" s="165">
        <f>Z131/Z119-1</f>
        <v/>
      </c>
      <c r="AB131" s="111">
        <f>Z131/Z71-1</f>
        <v/>
      </c>
      <c r="AC131" s="169" t="n">
        <v>11796.83</v>
      </c>
      <c r="AD131" s="165">
        <f>AC131/AC119-1</f>
        <v/>
      </c>
      <c r="AE131" s="111">
        <f>AC131/AC71-1</f>
        <v/>
      </c>
      <c r="AF131" s="169" t="n">
        <v>1689.11</v>
      </c>
      <c r="AG131" s="165">
        <f>AF131/AF119-1</f>
        <v/>
      </c>
      <c r="AH131" s="111">
        <f>AF131/AF71-1</f>
        <v/>
      </c>
      <c r="AI131" s="169" t="n">
        <v>358.59</v>
      </c>
      <c r="AJ131" s="165">
        <f>AI131/AI119-1</f>
        <v/>
      </c>
      <c r="AK131" s="111">
        <f>AI131/AI71-1</f>
        <v/>
      </c>
      <c r="AL131" s="403" t="n">
        <v>86.73999999999999</v>
      </c>
      <c r="AM131" s="380">
        <f>AL131-AL119</f>
        <v/>
      </c>
      <c r="AN131" s="380">
        <f>AL131-AL71</f>
        <v/>
      </c>
      <c r="AO131" s="403" t="n">
        <v>87.70999999999999</v>
      </c>
      <c r="AP131" s="380">
        <f>AO131-AO119</f>
        <v/>
      </c>
      <c r="AQ131" s="380">
        <f>AO131-AO71</f>
        <v/>
      </c>
      <c r="AR131" s="403" t="n">
        <v>84.55</v>
      </c>
      <c r="AS131" s="380">
        <f>AR131-AR119</f>
        <v/>
      </c>
      <c r="AT131" s="380">
        <f>AR131-AR71</f>
        <v/>
      </c>
      <c r="AU131" s="403" t="n">
        <v>85.34</v>
      </c>
      <c r="AV131" s="380">
        <f>AU131-AU119</f>
        <v/>
      </c>
      <c r="AW131" s="380">
        <f>AU131-AU71</f>
        <v/>
      </c>
      <c r="AX131" s="169" t="n">
        <v>789</v>
      </c>
      <c r="AY131" s="111">
        <f>AX131/AX119-1</f>
        <v/>
      </c>
      <c r="AZ131" s="111">
        <f>AX131/AX71-1</f>
        <v/>
      </c>
      <c r="BA131" s="407" t="n"/>
      <c r="BB131" s="407" t="n"/>
      <c r="BC131" s="407" t="n"/>
      <c r="BD131" s="407" t="n"/>
      <c r="BE131" s="407" t="n"/>
      <c r="BF131" s="407" t="n"/>
      <c r="BG131" s="407" t="n"/>
      <c r="BH131" s="407" t="n"/>
      <c r="BI131" s="407" t="n"/>
      <c r="BJ131" s="407" t="n"/>
      <c r="BK131" s="318" t="n"/>
      <c r="BL131" s="407" t="n"/>
      <c r="BM131" s="407" t="n"/>
      <c r="BN131" s="407" t="n"/>
      <c r="BO131" s="407" t="n"/>
      <c r="BP131" s="407" t="n"/>
      <c r="BQ131" s="407" t="n"/>
      <c r="BR131" s="407" t="n"/>
      <c r="BS131" s="407" t="n"/>
      <c r="BT131" s="407" t="n"/>
      <c r="BU131" s="407" t="n"/>
      <c r="BV131" s="407" t="n"/>
      <c r="BW131" s="407" t="n"/>
      <c r="BX131" s="407" t="n"/>
      <c r="BY131" s="407" t="n"/>
      <c r="BZ131" s="407" t="n"/>
      <c r="CA131" s="407" t="n"/>
      <c r="CB131" s="407" t="n"/>
      <c r="CC131" s="407" t="n"/>
      <c r="CD131" s="407" t="n"/>
      <c r="CE131" s="407" t="n"/>
      <c r="CF131" s="407" t="n"/>
      <c r="CG131" s="407" t="n"/>
      <c r="CH131" s="407" t="n"/>
      <c r="CI131" s="407" t="n"/>
      <c r="CJ131" s="407" t="n"/>
      <c r="CK131" s="407" t="n"/>
      <c r="CL131" s="407" t="n"/>
      <c r="CM131" s="407" t="n"/>
      <c r="CN131" s="407" t="n"/>
      <c r="CW131" s="407" t="n"/>
      <c r="CX131" s="407" t="n"/>
      <c r="CY131" s="407" t="n"/>
      <c r="CZ131" s="407" t="n"/>
      <c r="DA131" s="407" t="n"/>
      <c r="DB131" s="407" t="n"/>
      <c r="DC131" s="407" t="n"/>
      <c r="DD131" s="407" t="n"/>
      <c r="DE131" s="408" t="n"/>
      <c r="DF131" s="408" t="n"/>
    </row>
    <row r="132" customFormat="1" s="203">
      <c r="A132" s="402" t="n">
        <v>45565</v>
      </c>
      <c r="B132" s="169" t="n">
        <v>24294.19</v>
      </c>
      <c r="C132" s="165">
        <f>B132/B120-1</f>
        <v/>
      </c>
      <c r="D132" s="111">
        <f>B132/B72-1</f>
        <v/>
      </c>
      <c r="E132" s="169" t="n">
        <v>16163.92</v>
      </c>
      <c r="F132" s="165">
        <f>E132/E120-1</f>
        <v/>
      </c>
      <c r="G132" s="111">
        <f>E132/E72-1</f>
        <v/>
      </c>
      <c r="H132" s="169" t="n">
        <v>7618.94</v>
      </c>
      <c r="I132" s="165">
        <f>H132/H120-1</f>
        <v/>
      </c>
      <c r="J132" s="111">
        <f>H132/H72-1</f>
        <v/>
      </c>
      <c r="K132" s="169" t="n">
        <v>511.34</v>
      </c>
      <c r="L132" s="165">
        <f>K132/K120-1</f>
        <v/>
      </c>
      <c r="M132" s="111">
        <f>K132/K72-1</f>
        <v/>
      </c>
      <c r="N132" s="169" t="n">
        <v>20288.71</v>
      </c>
      <c r="O132" s="165">
        <f>N132/N120-1</f>
        <v/>
      </c>
      <c r="P132" s="111">
        <f>N132/N72-1</f>
        <v/>
      </c>
      <c r="Q132" s="169" t="n">
        <v>13762</v>
      </c>
      <c r="R132" s="165">
        <f>Q132/Q120-1</f>
        <v/>
      </c>
      <c r="S132" s="111">
        <f>Q132/Q72-1</f>
        <v/>
      </c>
      <c r="T132" s="169" t="n">
        <v>6114.71</v>
      </c>
      <c r="U132" s="165">
        <f>T132/T120-1</f>
        <v/>
      </c>
      <c r="V132" s="111">
        <f>T132/T72-1</f>
        <v/>
      </c>
      <c r="W132" s="169" t="n">
        <v>412</v>
      </c>
      <c r="X132" s="165">
        <f>W132/W120-1</f>
        <v/>
      </c>
      <c r="Y132" s="111">
        <f>W132/W72-1</f>
        <v/>
      </c>
      <c r="Z132" s="169" t="n">
        <v>11429.02</v>
      </c>
      <c r="AA132" s="165">
        <f>Z132/Z120-1</f>
        <v/>
      </c>
      <c r="AB132" s="111">
        <f>Z132/Z72-1</f>
        <v/>
      </c>
      <c r="AC132" s="169" t="n">
        <v>9695.879999999999</v>
      </c>
      <c r="AD132" s="165">
        <f>AC132/AC120-1</f>
        <v/>
      </c>
      <c r="AE132" s="111">
        <f>AC132/AC72-1</f>
        <v/>
      </c>
      <c r="AF132" s="169" t="n">
        <v>1439.16</v>
      </c>
      <c r="AG132" s="165">
        <f>AF132/AF120-1</f>
        <v/>
      </c>
      <c r="AH132" s="111">
        <f>AF132/AF72-1</f>
        <v/>
      </c>
      <c r="AI132" s="169" t="n">
        <v>293.98</v>
      </c>
      <c r="AJ132" s="165">
        <f>AI132/AI120-1</f>
        <v/>
      </c>
      <c r="AK132" s="111">
        <f>AI132/AI72-1</f>
        <v/>
      </c>
      <c r="AL132" s="403" t="n">
        <v>83.51000000000001</v>
      </c>
      <c r="AM132" s="380">
        <f>AL132-AL120</f>
        <v/>
      </c>
      <c r="AN132" s="380">
        <f>AL132-AL72</f>
        <v/>
      </c>
      <c r="AO132" s="403" t="n">
        <v>85.14</v>
      </c>
      <c r="AP132" s="380">
        <f>AO132-AO120</f>
        <v/>
      </c>
      <c r="AQ132" s="380">
        <f>AO132-AO72</f>
        <v/>
      </c>
      <c r="AR132" s="403" t="n">
        <v>80.26000000000001</v>
      </c>
      <c r="AS132" s="380">
        <f>AR132-AR120</f>
        <v/>
      </c>
      <c r="AT132" s="380">
        <f>AR132-AR72</f>
        <v/>
      </c>
      <c r="AU132" s="403" t="n">
        <v>80.56999999999999</v>
      </c>
      <c r="AV132" s="380">
        <f>AU132-AU120</f>
        <v/>
      </c>
      <c r="AW132" s="380">
        <f>AU132-AU72</f>
        <v/>
      </c>
      <c r="AX132" s="169" t="n">
        <v>790</v>
      </c>
      <c r="AY132" s="111">
        <f>AX132/AX120-1</f>
        <v/>
      </c>
      <c r="AZ132" s="111">
        <f>AX132/AX72-1</f>
        <v/>
      </c>
      <c r="BA132" s="407" t="n"/>
      <c r="BB132" s="407" t="n"/>
      <c r="BC132" s="407" t="n"/>
      <c r="BD132" s="407" t="n"/>
      <c r="BE132" s="407" t="n"/>
      <c r="BF132" s="407" t="n"/>
      <c r="BG132" s="407" t="n"/>
      <c r="BH132" s="407" t="n"/>
      <c r="BI132" s="407" t="n"/>
      <c r="BJ132" s="407" t="n"/>
      <c r="BK132" s="318" t="n"/>
      <c r="BL132" s="407" t="n"/>
      <c r="BM132" s="407" t="n"/>
      <c r="BN132" s="407" t="n"/>
      <c r="BO132" s="407" t="n"/>
      <c r="BP132" s="407" t="n"/>
      <c r="BQ132" s="407" t="n"/>
      <c r="BR132" s="407" t="n"/>
      <c r="BS132" s="407" t="n"/>
      <c r="BT132" s="407" t="n"/>
      <c r="BU132" s="407" t="n"/>
      <c r="BV132" s="407" t="n"/>
      <c r="BW132" s="407" t="n"/>
      <c r="BX132" s="407" t="n"/>
      <c r="BY132" s="407" t="n"/>
      <c r="BZ132" s="407" t="n"/>
      <c r="CA132" s="407" t="n"/>
      <c r="CB132" s="407" t="n"/>
      <c r="CC132" s="407" t="n"/>
      <c r="CD132" s="407" t="n"/>
      <c r="CE132" s="407" t="n"/>
      <c r="CF132" s="407" t="n"/>
      <c r="CG132" s="407" t="n"/>
      <c r="CH132" s="407" t="n"/>
      <c r="CI132" s="407" t="n"/>
      <c r="CJ132" s="407" t="n"/>
      <c r="CK132" s="407" t="n"/>
      <c r="CL132" s="407" t="n"/>
      <c r="CM132" s="407" t="n"/>
      <c r="CN132" s="407" t="n"/>
      <c r="CW132" s="407" t="n"/>
      <c r="CX132" s="407" t="n"/>
      <c r="CY132" s="407" t="n"/>
      <c r="CZ132" s="407" t="n"/>
      <c r="DA132" s="407" t="n"/>
      <c r="DB132" s="407" t="n"/>
      <c r="DC132" s="407" t="n"/>
      <c r="DD132" s="407" t="n"/>
      <c r="DE132" s="408" t="n"/>
      <c r="DF132" s="408" t="n"/>
    </row>
    <row r="133" customFormat="1" s="203">
      <c r="A133" s="402" t="n">
        <v>45596</v>
      </c>
      <c r="B133" s="169" t="n">
        <v>25362.6</v>
      </c>
      <c r="C133" s="165">
        <f>B133/B121-1</f>
        <v/>
      </c>
      <c r="D133" s="111">
        <f>B133/B73-1</f>
        <v/>
      </c>
      <c r="E133" s="169" t="n">
        <v>16978.97</v>
      </c>
      <c r="F133" s="165">
        <f>E133/E121-1</f>
        <v/>
      </c>
      <c r="G133" s="111">
        <f>E133/E73-1</f>
        <v/>
      </c>
      <c r="H133" s="169" t="n">
        <v>7842.51</v>
      </c>
      <c r="I133" s="165">
        <f>H133/H121-1</f>
        <v/>
      </c>
      <c r="J133" s="111">
        <f>H133/H73-1</f>
        <v/>
      </c>
      <c r="K133" s="169" t="n">
        <v>541.11</v>
      </c>
      <c r="L133" s="165">
        <f>K133/K121-1</f>
        <v/>
      </c>
      <c r="M133" s="111">
        <f>K133/K73-1</f>
        <v/>
      </c>
      <c r="N133" s="169" t="n">
        <v>21445.13</v>
      </c>
      <c r="O133" s="165">
        <f>N133/N121-1</f>
        <v/>
      </c>
      <c r="P133" s="111">
        <f>N133/N73-1</f>
        <v/>
      </c>
      <c r="Q133" s="169" t="n">
        <v>14763.86</v>
      </c>
      <c r="R133" s="165">
        <f>Q133/Q121-1</f>
        <v/>
      </c>
      <c r="S133" s="111">
        <f>Q133/Q73-1</f>
        <v/>
      </c>
      <c r="T133" s="169" t="n">
        <v>6233.03</v>
      </c>
      <c r="U133" s="165">
        <f>T133/T121-1</f>
        <v/>
      </c>
      <c r="V133" s="111">
        <f>T133/T73-1</f>
        <v/>
      </c>
      <c r="W133" s="169" t="n">
        <v>448.24</v>
      </c>
      <c r="X133" s="165">
        <f>W133/W121-1</f>
        <v/>
      </c>
      <c r="Y133" s="111">
        <f>W133/W73-1</f>
        <v/>
      </c>
      <c r="Z133" s="169" t="n">
        <v>12266.54</v>
      </c>
      <c r="AA133" s="165">
        <f>Z133/Z121-1</f>
        <v/>
      </c>
      <c r="AB133" s="111">
        <f>Z133/Z73-1</f>
        <v/>
      </c>
      <c r="AC133" s="169" t="n">
        <v>10469.09</v>
      </c>
      <c r="AD133" s="165">
        <f>AC133/AC121-1</f>
        <v/>
      </c>
      <c r="AE133" s="111">
        <f>AC133/AC73-1</f>
        <v/>
      </c>
      <c r="AF133" s="169" t="n">
        <v>1478.95</v>
      </c>
      <c r="AG133" s="165">
        <f>AF133/AF121-1</f>
        <v/>
      </c>
      <c r="AH133" s="111">
        <f>AF133/AF73-1</f>
        <v/>
      </c>
      <c r="AI133" s="169" t="n">
        <v>318.5</v>
      </c>
      <c r="AJ133" s="165">
        <f>AI133/AI121-1</f>
        <v/>
      </c>
      <c r="AK133" s="111">
        <f>AI133/AI73-1</f>
        <v/>
      </c>
      <c r="AL133" s="403" t="n">
        <v>84.55</v>
      </c>
      <c r="AM133" s="380">
        <f>AL133-AL121</f>
        <v/>
      </c>
      <c r="AN133" s="380">
        <f>AL133-AL73</f>
        <v/>
      </c>
      <c r="AO133" s="403" t="n">
        <v>86.95</v>
      </c>
      <c r="AP133" s="380">
        <f>AO133-AO121</f>
        <v/>
      </c>
      <c r="AQ133" s="380">
        <f>AO133-AO73</f>
        <v/>
      </c>
      <c r="AR133" s="403" t="n">
        <v>79.48</v>
      </c>
      <c r="AS133" s="380">
        <f>AR133-AR121</f>
        <v/>
      </c>
      <c r="AT133" s="380">
        <f>AR133-AR73</f>
        <v/>
      </c>
      <c r="AU133" s="403" t="n">
        <v>82.84</v>
      </c>
      <c r="AV133" s="380">
        <f>AU133-AU121</f>
        <v/>
      </c>
      <c r="AW133" s="380">
        <f>AU133-AU73</f>
        <v/>
      </c>
      <c r="AX133" s="169" t="n">
        <v>794</v>
      </c>
      <c r="AY133" s="111">
        <f>AX133/AX121-1</f>
        <v/>
      </c>
      <c r="AZ133" s="111">
        <f>AX133/AX73-1</f>
        <v/>
      </c>
      <c r="BA133" s="407" t="n"/>
      <c r="BB133" s="407" t="n"/>
      <c r="BC133" s="407" t="n"/>
      <c r="BD133" s="407" t="n"/>
      <c r="BE133" s="407" t="n"/>
      <c r="BF133" s="407" t="n"/>
      <c r="BG133" s="407" t="n"/>
      <c r="BH133" s="407" t="n"/>
      <c r="BI133" s="407" t="n"/>
      <c r="BJ133" s="407" t="n"/>
      <c r="BK133" s="318" t="n"/>
      <c r="BL133" s="407" t="n"/>
      <c r="BM133" s="407" t="n"/>
      <c r="BN133" s="407" t="n"/>
      <c r="BO133" s="407" t="n"/>
      <c r="BP133" s="407" t="n"/>
      <c r="BQ133" s="407" t="n"/>
      <c r="BR133" s="407" t="n"/>
      <c r="BS133" s="407" t="n"/>
      <c r="BT133" s="407" t="n"/>
      <c r="BU133" s="407" t="n"/>
      <c r="BV133" s="407" t="n"/>
      <c r="BW133" s="407" t="n"/>
      <c r="BX133" s="407" t="n"/>
      <c r="BY133" s="407" t="n"/>
      <c r="BZ133" s="407" t="n"/>
      <c r="CA133" s="407" t="n"/>
      <c r="CB133" s="407" t="n"/>
      <c r="CC133" s="407" t="n"/>
      <c r="CD133" s="407" t="n"/>
      <c r="CE133" s="407" t="n"/>
      <c r="CF133" s="407" t="n"/>
      <c r="CG133" s="407" t="n"/>
      <c r="CH133" s="407" t="n"/>
      <c r="CI133" s="407" t="n"/>
      <c r="CJ133" s="407" t="n"/>
      <c r="CK133" s="407" t="n"/>
      <c r="CL133" s="407" t="n"/>
      <c r="CM133" s="407" t="n"/>
      <c r="CN133" s="407" t="n"/>
      <c r="CW133" s="407" t="n"/>
      <c r="CX133" s="407" t="n"/>
      <c r="CY133" s="407" t="n"/>
      <c r="CZ133" s="407" t="n"/>
      <c r="DA133" s="407" t="n"/>
      <c r="DB133" s="407" t="n"/>
      <c r="DC133" s="407" t="n"/>
      <c r="DD133" s="407" t="n"/>
      <c r="DE133" s="408" t="n"/>
      <c r="DF133" s="408" t="n"/>
    </row>
    <row r="134" customFormat="1" s="203">
      <c r="A134" s="402" t="n">
        <v>45626</v>
      </c>
      <c r="B134" s="169" t="n">
        <v>23323.46</v>
      </c>
      <c r="C134" s="165">
        <f>B134/B122-1</f>
        <v/>
      </c>
      <c r="D134" s="111">
        <f>B134/B74-1</f>
        <v/>
      </c>
      <c r="E134" s="169" t="n">
        <v>15523.22</v>
      </c>
      <c r="F134" s="165">
        <f>E134/E122-1</f>
        <v/>
      </c>
      <c r="G134" s="111">
        <f>E134/E74-1</f>
        <v/>
      </c>
      <c r="H134" s="169" t="n">
        <v>7260.14</v>
      </c>
      <c r="I134" s="165">
        <f>H134/H122-1</f>
        <v/>
      </c>
      <c r="J134" s="111">
        <f>H134/H74-1</f>
        <v/>
      </c>
      <c r="K134" s="169" t="n">
        <v>540.1</v>
      </c>
      <c r="L134" s="165">
        <f>K134/K122-1</f>
        <v/>
      </c>
      <c r="M134" s="111">
        <f>K134/K74-1</f>
        <v/>
      </c>
      <c r="N134" s="169" t="n">
        <v>19668.83</v>
      </c>
      <c r="O134" s="165">
        <f>N134/N122-1</f>
        <v/>
      </c>
      <c r="P134" s="111">
        <f>N134/N74-1</f>
        <v/>
      </c>
      <c r="Q134" s="169" t="n">
        <v>13234.43</v>
      </c>
      <c r="R134" s="165">
        <f>Q134/Q122-1</f>
        <v/>
      </c>
      <c r="S134" s="111">
        <f>Q134/Q74-1</f>
        <v/>
      </c>
      <c r="T134" s="169" t="n">
        <v>5985.03</v>
      </c>
      <c r="U134" s="165">
        <f>T134/T122-1</f>
        <v/>
      </c>
      <c r="V134" s="111">
        <f>T134/T74-1</f>
        <v/>
      </c>
      <c r="W134" s="169" t="n">
        <v>449.36</v>
      </c>
      <c r="X134" s="165">
        <f>W134/W122-1</f>
        <v/>
      </c>
      <c r="Y134" s="111">
        <f>W134/W74-1</f>
        <v/>
      </c>
      <c r="Z134" s="169" t="n">
        <v>11215.06</v>
      </c>
      <c r="AA134" s="165">
        <f>Z134/Z122-1</f>
        <v/>
      </c>
      <c r="AB134" s="111">
        <f>Z134/Z74-1</f>
        <v/>
      </c>
      <c r="AC134" s="169" t="n">
        <v>9424.690000000001</v>
      </c>
      <c r="AD134" s="165">
        <f>AC134/AC122-1</f>
        <v/>
      </c>
      <c r="AE134" s="111">
        <f>AC134/AC74-1</f>
        <v/>
      </c>
      <c r="AF134" s="169" t="n">
        <v>1468.71</v>
      </c>
      <c r="AG134" s="165">
        <f>AF134/AF122-1</f>
        <v/>
      </c>
      <c r="AH134" s="111">
        <f>AF134/AF74-1</f>
        <v/>
      </c>
      <c r="AI134" s="169" t="n">
        <v>321.66</v>
      </c>
      <c r="AJ134" s="165">
        <f>AI134/AI122-1</f>
        <v/>
      </c>
      <c r="AK134" s="111">
        <f>AI134/AI74-1</f>
        <v/>
      </c>
      <c r="AL134" s="403" t="n">
        <v>84.33</v>
      </c>
      <c r="AM134" s="380">
        <f>AL134-AL122</f>
        <v/>
      </c>
      <c r="AN134" s="380">
        <f>AL134-AL74</f>
        <v/>
      </c>
      <c r="AO134" s="403" t="n">
        <v>85.26000000000001</v>
      </c>
      <c r="AP134" s="380">
        <f>AO134-AO122</f>
        <v/>
      </c>
      <c r="AQ134" s="380">
        <f>AO134-AO74</f>
        <v/>
      </c>
      <c r="AR134" s="403" t="n">
        <v>82.44</v>
      </c>
      <c r="AS134" s="380">
        <f>AR134-AR122</f>
        <v/>
      </c>
      <c r="AT134" s="380">
        <f>AR134-AR74</f>
        <v/>
      </c>
      <c r="AU134" s="403" t="n">
        <v>83.2</v>
      </c>
      <c r="AV134" s="380">
        <f>AU134-AU122</f>
        <v/>
      </c>
      <c r="AW134" s="380">
        <f>AU134-AU74</f>
        <v/>
      </c>
      <c r="AX134" s="169" t="n">
        <v>796</v>
      </c>
      <c r="AY134" s="111">
        <f>AX134/AX122-1</f>
        <v/>
      </c>
      <c r="AZ134" s="111">
        <f>AX134/AX74-1</f>
        <v/>
      </c>
      <c r="BA134" s="407" t="n"/>
      <c r="BB134" s="407" t="n"/>
      <c r="BC134" s="407" t="n"/>
      <c r="BD134" s="407" t="n"/>
      <c r="BE134" s="407" t="n"/>
      <c r="BF134" s="407" t="n"/>
      <c r="BG134" s="407" t="n"/>
      <c r="BH134" s="407" t="n"/>
      <c r="BI134" s="407" t="n"/>
      <c r="BJ134" s="407" t="n"/>
      <c r="BK134" s="318" t="n"/>
      <c r="BL134" s="407" t="n"/>
      <c r="BM134" s="407" t="n"/>
      <c r="BN134" s="407" t="n"/>
      <c r="BO134" s="407" t="n"/>
      <c r="BP134" s="407" t="n"/>
      <c r="BQ134" s="407" t="n"/>
      <c r="BR134" s="407" t="n"/>
      <c r="BS134" s="407" t="n"/>
      <c r="BT134" s="407" t="n"/>
      <c r="BU134" s="407" t="n"/>
      <c r="BV134" s="407" t="n"/>
      <c r="BW134" s="407" t="n"/>
      <c r="BX134" s="407" t="n"/>
      <c r="BY134" s="407" t="n"/>
      <c r="BZ134" s="407" t="n"/>
      <c r="CA134" s="407" t="n"/>
      <c r="CB134" s="407" t="n"/>
      <c r="CC134" s="407" t="n"/>
      <c r="CD134" s="407" t="n"/>
      <c r="CE134" s="407" t="n"/>
      <c r="CF134" s="407" t="n"/>
      <c r="CG134" s="407" t="n"/>
      <c r="CH134" s="407" t="n"/>
      <c r="CI134" s="407" t="n"/>
      <c r="CJ134" s="407" t="n"/>
      <c r="CK134" s="407" t="n"/>
      <c r="CL134" s="407" t="n"/>
      <c r="CM134" s="407" t="n"/>
      <c r="CN134" s="407" t="n"/>
      <c r="CW134" s="407" t="n"/>
      <c r="CX134" s="407" t="n"/>
      <c r="CY134" s="407" t="n"/>
      <c r="CZ134" s="407" t="n"/>
      <c r="DA134" s="407" t="n"/>
      <c r="DB134" s="407" t="n"/>
      <c r="DC134" s="407" t="n"/>
      <c r="DD134" s="407" t="n"/>
      <c r="DE134" s="408" t="n"/>
      <c r="DF134" s="408" t="n"/>
    </row>
    <row r="135" customFormat="1" s="203">
      <c r="A135" s="402" t="n">
        <v>45657</v>
      </c>
      <c r="B135" s="169" t="n">
        <v>24115.52</v>
      </c>
      <c r="C135" s="165">
        <f>B135/B123-1</f>
        <v/>
      </c>
      <c r="D135" s="111">
        <f>B135/B75-1</f>
        <v/>
      </c>
      <c r="E135" s="169" t="n">
        <v>15356.09</v>
      </c>
      <c r="F135" s="165">
        <f>E135/E123-1</f>
        <v/>
      </c>
      <c r="G135" s="111">
        <f>E135/E75-1</f>
        <v/>
      </c>
      <c r="H135" s="169" t="n">
        <v>8205.75</v>
      </c>
      <c r="I135" s="165">
        <f>H135/H123-1</f>
        <v/>
      </c>
      <c r="J135" s="111">
        <f>H135/H75-1</f>
        <v/>
      </c>
      <c r="K135" s="169" t="n">
        <v>553.6799999999999</v>
      </c>
      <c r="L135" s="165">
        <f>K135/K123-1</f>
        <v/>
      </c>
      <c r="M135" s="111">
        <f>K135/K75-1</f>
        <v/>
      </c>
      <c r="N135" s="169" t="n">
        <v>20139.61</v>
      </c>
      <c r="O135" s="165">
        <f>N135/N123-1</f>
        <v/>
      </c>
      <c r="P135" s="111">
        <f>N135/N75-1</f>
        <v/>
      </c>
      <c r="Q135" s="169" t="n">
        <v>12935.68</v>
      </c>
      <c r="R135" s="165">
        <f>Q135/Q123-1</f>
        <v/>
      </c>
      <c r="S135" s="111">
        <f>Q135/Q75-1</f>
        <v/>
      </c>
      <c r="T135" s="169" t="n">
        <v>6754.66</v>
      </c>
      <c r="U135" s="165">
        <f>T135/T123-1</f>
        <v/>
      </c>
      <c r="V135" s="111">
        <f>T135/T75-1</f>
        <v/>
      </c>
      <c r="W135" s="169" t="n">
        <v>449.27</v>
      </c>
      <c r="X135" s="165">
        <f>W135/W123-1</f>
        <v/>
      </c>
      <c r="Y135" s="111">
        <f>W135/W75-1</f>
        <v/>
      </c>
      <c r="Z135" s="169" t="n">
        <v>11139.48</v>
      </c>
      <c r="AA135" s="165">
        <f>Z135/Z123-1</f>
        <v/>
      </c>
      <c r="AB135" s="111">
        <f>Z135/Z75-1</f>
        <v/>
      </c>
      <c r="AC135" s="169" t="n">
        <v>9137.809999999999</v>
      </c>
      <c r="AD135" s="165">
        <f>AC135/AC123-1</f>
        <v/>
      </c>
      <c r="AE135" s="111">
        <f>AC135/AC75-1</f>
        <v/>
      </c>
      <c r="AF135" s="169" t="n">
        <v>1681.67</v>
      </c>
      <c r="AG135" s="165">
        <f>AF135/AF123-1</f>
        <v/>
      </c>
      <c r="AH135" s="111">
        <f>AF135/AF75-1</f>
        <v/>
      </c>
      <c r="AI135" s="169" t="n">
        <v>320</v>
      </c>
      <c r="AJ135" s="165">
        <f>AI135/AI123-1</f>
        <v/>
      </c>
      <c r="AK135" s="111">
        <f>AI135/AI75-1</f>
        <v/>
      </c>
      <c r="AL135" s="403" t="n">
        <v>83.51000000000001</v>
      </c>
      <c r="AM135" s="380">
        <f>AL135-AL123</f>
        <v/>
      </c>
      <c r="AN135" s="380">
        <f>AL135-AL75</f>
        <v/>
      </c>
      <c r="AO135" s="403" t="n">
        <v>84.23999999999999</v>
      </c>
      <c r="AP135" s="380">
        <f>AO135-AO123</f>
        <v/>
      </c>
      <c r="AQ135" s="380">
        <f>AO135-AO75</f>
        <v/>
      </c>
      <c r="AR135" s="403" t="n">
        <v>82.31999999999999</v>
      </c>
      <c r="AS135" s="380">
        <f>AR135-AR123</f>
        <v/>
      </c>
      <c r="AT135" s="380">
        <f>AR135-AR75</f>
        <v/>
      </c>
      <c r="AU135" s="403" t="n">
        <v>81.14</v>
      </c>
      <c r="AV135" s="380">
        <f>AU135-AU123</f>
        <v/>
      </c>
      <c r="AW135" s="380">
        <f>AU135-AU75</f>
        <v/>
      </c>
      <c r="AX135" s="169" t="n">
        <v>804</v>
      </c>
      <c r="AY135" s="111">
        <f>AX135/AX123-1</f>
        <v/>
      </c>
      <c r="AZ135" s="111">
        <f>AX135/AX75-1</f>
        <v/>
      </c>
      <c r="BA135" s="407" t="n"/>
      <c r="BB135" s="407" t="n"/>
      <c r="BC135" s="407" t="n"/>
      <c r="BD135" s="407" t="n"/>
      <c r="BE135" s="407" t="n"/>
      <c r="BF135" s="407" t="n"/>
      <c r="BG135" s="407" t="n"/>
      <c r="BH135" s="407" t="n"/>
      <c r="BI135" s="407" t="n"/>
      <c r="BJ135" s="407" t="n"/>
      <c r="BK135" s="318" t="n"/>
      <c r="BL135" s="407" t="n"/>
      <c r="BM135" s="407" t="n"/>
      <c r="BN135" s="407" t="n"/>
      <c r="BO135" s="407" t="n"/>
      <c r="BP135" s="407" t="n"/>
      <c r="BQ135" s="407" t="n"/>
      <c r="BR135" s="407" t="n"/>
      <c r="BS135" s="407" t="n"/>
      <c r="BT135" s="407" t="n"/>
      <c r="BU135" s="407" t="n"/>
      <c r="BV135" s="407" t="n"/>
      <c r="BW135" s="407" t="n"/>
      <c r="BX135" s="407" t="n"/>
      <c r="BY135" s="407" t="n"/>
      <c r="BZ135" s="407" t="n"/>
      <c r="CA135" s="407" t="n"/>
      <c r="CB135" s="407" t="n"/>
      <c r="CC135" s="407" t="n"/>
      <c r="CD135" s="407" t="n"/>
      <c r="CE135" s="407" t="n"/>
      <c r="CF135" s="407" t="n"/>
      <c r="CG135" s="407" t="n"/>
      <c r="CH135" s="407" t="n"/>
      <c r="CI135" s="407" t="n"/>
      <c r="CJ135" s="407" t="n"/>
      <c r="CK135" s="407" t="n"/>
      <c r="CL135" s="407" t="n"/>
      <c r="CM135" s="407" t="n"/>
      <c r="CN135" s="407" t="n"/>
      <c r="CW135" s="407" t="n"/>
      <c r="CX135" s="407" t="n"/>
      <c r="CY135" s="407" t="n"/>
      <c r="CZ135" s="407" t="n"/>
      <c r="DA135" s="407" t="n"/>
      <c r="DB135" s="407" t="n"/>
      <c r="DC135" s="407" t="n"/>
      <c r="DD135" s="407" t="n"/>
      <c r="DE135" s="408" t="n"/>
      <c r="DF135" s="408" t="n"/>
    </row>
    <row r="136" customFormat="1" s="116">
      <c r="A136" s="371" t="n">
        <v>45688</v>
      </c>
      <c r="B136" s="320" t="n">
        <v>27829.87</v>
      </c>
      <c r="C136" s="111">
        <f>B136/B124-1</f>
        <v/>
      </c>
      <c r="D136" s="111">
        <f>B136/B64-1</f>
        <v/>
      </c>
      <c r="E136" s="320" t="n">
        <v>18196.27</v>
      </c>
      <c r="F136" s="111">
        <f>E136/E124-1</f>
        <v/>
      </c>
      <c r="G136" s="111">
        <f>E136/E64-1</f>
        <v/>
      </c>
      <c r="H136" s="320" t="n">
        <v>9061.440000000001</v>
      </c>
      <c r="I136" s="111">
        <f>H136/H124-1</f>
        <v/>
      </c>
      <c r="J136" s="111">
        <f>H136/H64-1</f>
        <v/>
      </c>
      <c r="K136" s="320" t="n">
        <v>572.16</v>
      </c>
      <c r="L136" s="111">
        <f>K136/K124-1</f>
        <v/>
      </c>
      <c r="M136" s="111">
        <f>K136/K64-1</f>
        <v/>
      </c>
      <c r="N136" s="320" t="n">
        <v>23055.71</v>
      </c>
      <c r="O136" s="111">
        <f>N136/N124-1</f>
        <v/>
      </c>
      <c r="P136" s="111">
        <f>N136/N64-1</f>
        <v/>
      </c>
      <c r="Q136" s="320" t="n">
        <v>15248.97</v>
      </c>
      <c r="R136" s="111">
        <f>Q136/Q124-1</f>
        <v/>
      </c>
      <c r="S136" s="111">
        <f>Q136/Q64-1</f>
        <v/>
      </c>
      <c r="T136" s="320" t="n">
        <v>7344.11</v>
      </c>
      <c r="U136" s="111">
        <f>T136/T124-1</f>
        <v/>
      </c>
      <c r="V136" s="111">
        <f>T136/T64-1</f>
        <v/>
      </c>
      <c r="W136" s="320" t="n">
        <v>462.63</v>
      </c>
      <c r="X136" s="111">
        <f>W136/W124-1</f>
        <v/>
      </c>
      <c r="Y136" s="111">
        <f>W136/W64-1</f>
        <v/>
      </c>
      <c r="Z136" s="320" t="n">
        <v>12684.67</v>
      </c>
      <c r="AA136" s="111">
        <f>Z136/Z124-1</f>
        <v/>
      </c>
      <c r="AB136" s="111">
        <f>Z136/Z64-1</f>
        <v/>
      </c>
      <c r="AC136" s="320" t="n">
        <v>10563.53</v>
      </c>
      <c r="AD136" s="111">
        <f>AC136/AC124-1</f>
        <v/>
      </c>
      <c r="AE136" s="111">
        <f>AC136/AC64-1</f>
        <v/>
      </c>
      <c r="AF136" s="320" t="n">
        <v>1793.53</v>
      </c>
      <c r="AG136" s="111">
        <f>AF136/AF124-1</f>
        <v/>
      </c>
      <c r="AH136" s="111">
        <f>AF136/AF64-1</f>
        <v/>
      </c>
      <c r="AI136" s="320" t="n">
        <v>327.61</v>
      </c>
      <c r="AJ136" s="111">
        <f>AI136/AI124-1</f>
        <v/>
      </c>
      <c r="AK136" s="111">
        <f>AI136/AI64-1</f>
        <v/>
      </c>
      <c r="AL136" s="321" t="n">
        <v>82.84999999999999</v>
      </c>
      <c r="AM136" s="380">
        <f>AL136-AL124</f>
        <v/>
      </c>
      <c r="AN136" s="380">
        <f>AL136-AL64</f>
        <v/>
      </c>
      <c r="AO136" s="321" t="n">
        <v>83.8</v>
      </c>
      <c r="AP136" s="380">
        <f>AO136-AO124</f>
        <v/>
      </c>
      <c r="AQ136" s="380">
        <f>AO136-AO64</f>
        <v/>
      </c>
      <c r="AR136" s="321" t="n">
        <v>81.05</v>
      </c>
      <c r="AS136" s="380">
        <f>AR136-AR124</f>
        <v/>
      </c>
      <c r="AT136" s="380">
        <f>AR136-AR64</f>
        <v/>
      </c>
      <c r="AU136" s="321" t="n">
        <v>80.86</v>
      </c>
      <c r="AV136" s="380">
        <f>AU136-AU124</f>
        <v/>
      </c>
      <c r="AW136" s="380">
        <f>AU136-AU64</f>
        <v/>
      </c>
      <c r="AX136" s="320" t="n">
        <v>808</v>
      </c>
      <c r="AY136" s="111">
        <f>AX136/AX124-1</f>
        <v/>
      </c>
      <c r="AZ136" s="111">
        <f>AX136/AX64-1</f>
        <v/>
      </c>
      <c r="BA136" s="317" t="n"/>
      <c r="BB136" s="317" t="n"/>
      <c r="BC136" s="317" t="n"/>
      <c r="BD136" s="317" t="n"/>
      <c r="BE136" s="317" t="n"/>
      <c r="BF136" s="317" t="n"/>
      <c r="BG136" s="317" t="n"/>
      <c r="BH136" s="317" t="n"/>
      <c r="BI136" s="317" t="n"/>
      <c r="BJ136" s="317" t="n"/>
      <c r="BK136" s="318" t="n"/>
      <c r="BL136" s="317" t="n"/>
      <c r="BM136" s="317" t="n"/>
      <c r="BN136" s="317" t="n"/>
      <c r="BO136" s="317" t="n"/>
      <c r="BP136" s="317" t="n"/>
      <c r="BQ136" s="317" t="n"/>
      <c r="BR136" s="317" t="n"/>
      <c r="BS136" s="317" t="n"/>
      <c r="BT136" s="317" t="n"/>
      <c r="BU136" s="317" t="n"/>
      <c r="BV136" s="317" t="n"/>
      <c r="BW136" s="317" t="n"/>
      <c r="BX136" s="317" t="n"/>
      <c r="BY136" s="317" t="n"/>
      <c r="BZ136" s="317" t="n"/>
      <c r="CA136" s="317" t="n"/>
      <c r="CB136" s="317" t="n"/>
      <c r="CC136" s="317" t="n"/>
      <c r="CD136" s="317" t="n"/>
      <c r="CE136" s="317" t="n"/>
      <c r="CF136" s="317" t="n"/>
      <c r="CG136" s="317" t="n"/>
      <c r="CH136" s="317" t="n"/>
      <c r="CI136" s="317" t="n"/>
      <c r="CJ136" s="317" t="n"/>
      <c r="CK136" s="317" t="n"/>
      <c r="CL136" s="317" t="n"/>
      <c r="CM136" s="317" t="n"/>
      <c r="CN136" s="317" t="n"/>
      <c r="CW136" s="317" t="n"/>
      <c r="CX136" s="317" t="n"/>
      <c r="CY136" s="317" t="n"/>
      <c r="CZ136" s="317" t="n"/>
      <c r="DA136" s="317" t="n"/>
      <c r="DB136" s="317" t="n"/>
      <c r="DC136" s="317" t="n"/>
      <c r="DD136" s="317" t="n"/>
      <c r="DE136" s="319" t="n"/>
      <c r="DF136" s="319" t="n"/>
    </row>
    <row r="137" customFormat="1" s="203">
      <c r="A137" s="402" t="n">
        <v>45716</v>
      </c>
      <c r="B137" s="169" t="n">
        <v>25252.74</v>
      </c>
      <c r="C137" s="165">
        <f>B137/B125-1</f>
        <v/>
      </c>
      <c r="D137" s="111">
        <f>B137/B65-1</f>
        <v/>
      </c>
      <c r="E137" s="169" t="n">
        <v>16853.23</v>
      </c>
      <c r="F137" s="165">
        <f>E137/E125-1</f>
        <v/>
      </c>
      <c r="G137" s="111">
        <f>E137/E65-1</f>
        <v/>
      </c>
      <c r="H137" s="169" t="n">
        <v>7921.11</v>
      </c>
      <c r="I137" s="165">
        <f>H137/H125-1</f>
        <v/>
      </c>
      <c r="J137" s="111">
        <f>H137/H65-1</f>
        <v/>
      </c>
      <c r="K137" s="169" t="n">
        <v>478.4</v>
      </c>
      <c r="L137" s="165">
        <f>K137/K125-1</f>
        <v/>
      </c>
      <c r="M137" s="111">
        <f>K137/K65-1</f>
        <v/>
      </c>
      <c r="N137" s="169" t="n">
        <v>21495.16</v>
      </c>
      <c r="O137" s="165">
        <f>N137/N125-1</f>
        <v/>
      </c>
      <c r="P137" s="111">
        <f>N137/N65-1</f>
        <v/>
      </c>
      <c r="Q137" s="169" t="n">
        <v>14810.2</v>
      </c>
      <c r="R137" s="165">
        <f>Q137/Q125-1</f>
        <v/>
      </c>
      <c r="S137" s="111">
        <f>Q137/Q65-1</f>
        <v/>
      </c>
      <c r="T137" s="169" t="n">
        <v>6298.35</v>
      </c>
      <c r="U137" s="165">
        <f>T137/T125-1</f>
        <v/>
      </c>
      <c r="V137" s="111">
        <f>T137/T65-1</f>
        <v/>
      </c>
      <c r="W137" s="169" t="n">
        <v>386.61</v>
      </c>
      <c r="X137" s="165">
        <f>W137/W125-1</f>
        <v/>
      </c>
      <c r="Y137" s="111">
        <f>W137/W65-1</f>
        <v/>
      </c>
      <c r="Z137" s="169" t="n">
        <v>12049.85</v>
      </c>
      <c r="AA137" s="165">
        <f>Z137/Z125-1</f>
        <v/>
      </c>
      <c r="AB137" s="111">
        <f>Z137/Z65-1</f>
        <v/>
      </c>
      <c r="AC137" s="169" t="n">
        <v>10228.27</v>
      </c>
      <c r="AD137" s="165">
        <f>AC137/AC125-1</f>
        <v/>
      </c>
      <c r="AE137" s="111">
        <f>AC137/AC65-1</f>
        <v/>
      </c>
      <c r="AF137" s="169" t="n">
        <v>1547.1</v>
      </c>
      <c r="AG137" s="165">
        <f>AF137/AF125-1</f>
        <v/>
      </c>
      <c r="AH137" s="111">
        <f>AF137/AF65-1</f>
        <v/>
      </c>
      <c r="AI137" s="169" t="n">
        <v>274.47</v>
      </c>
      <c r="AJ137" s="165">
        <f>AI137/AI125-1</f>
        <v/>
      </c>
      <c r="AK137" s="111">
        <f>AI137/AI65-1</f>
        <v/>
      </c>
      <c r="AL137" s="403" t="n">
        <v>85.12</v>
      </c>
      <c r="AM137" s="380">
        <f>AL137-AL125</f>
        <v/>
      </c>
      <c r="AN137" s="380">
        <f>AL137-AL65</f>
        <v/>
      </c>
      <c r="AO137" s="403" t="n">
        <v>87.88</v>
      </c>
      <c r="AP137" s="380">
        <f>AO137-AO125</f>
        <v/>
      </c>
      <c r="AQ137" s="380">
        <f>AO137-AO65</f>
        <v/>
      </c>
      <c r="AR137" s="403" t="n">
        <v>79.51000000000001</v>
      </c>
      <c r="AS137" s="380">
        <f>AR137-AR125</f>
        <v/>
      </c>
      <c r="AT137" s="380">
        <f>AR137-AR65</f>
        <v/>
      </c>
      <c r="AU137" s="403" t="n">
        <v>80.81</v>
      </c>
      <c r="AV137" s="380">
        <f>AU137-AU125</f>
        <v/>
      </c>
      <c r="AW137" s="380">
        <f>AU137-AU65</f>
        <v/>
      </c>
      <c r="AX137" s="169" t="n">
        <v>812</v>
      </c>
      <c r="AY137" s="111">
        <f>AX137/AX125-1</f>
        <v/>
      </c>
      <c r="AZ137" s="111">
        <f>AX137/AX65-1</f>
        <v/>
      </c>
      <c r="BA137" s="407" t="n"/>
      <c r="BB137" s="407" t="n"/>
      <c r="BC137" s="407" t="n"/>
      <c r="BD137" s="407" t="n"/>
      <c r="BE137" s="407" t="n"/>
      <c r="BF137" s="407" t="n"/>
      <c r="BG137" s="407" t="n"/>
      <c r="BH137" s="407" t="n"/>
      <c r="BI137" s="407" t="n"/>
      <c r="BJ137" s="407" t="n"/>
      <c r="BK137" s="318" t="n"/>
      <c r="BL137" s="407" t="n"/>
      <c r="BM137" s="407" t="n"/>
      <c r="BN137" s="407" t="n"/>
      <c r="BO137" s="407" t="n"/>
      <c r="BP137" s="407" t="n"/>
      <c r="BQ137" s="407" t="n"/>
      <c r="BR137" s="407" t="n"/>
      <c r="BS137" s="407" t="n"/>
      <c r="BT137" s="407" t="n"/>
      <c r="BU137" s="407" t="n"/>
      <c r="BV137" s="407" t="n"/>
      <c r="BW137" s="407" t="n"/>
      <c r="BX137" s="407" t="n"/>
      <c r="BY137" s="407" t="n"/>
      <c r="BZ137" s="407" t="n"/>
      <c r="CA137" s="407" t="n"/>
      <c r="CB137" s="407" t="n"/>
      <c r="CC137" s="407" t="n"/>
      <c r="CD137" s="407" t="n"/>
      <c r="CE137" s="407" t="n"/>
      <c r="CF137" s="407" t="n"/>
      <c r="CG137" s="407" t="n"/>
      <c r="CH137" s="407" t="n"/>
      <c r="CI137" s="407" t="n"/>
      <c r="CJ137" s="407" t="n"/>
      <c r="CK137" s="407" t="n"/>
      <c r="CL137" s="407" t="n"/>
      <c r="CM137" s="407" t="n"/>
      <c r="CN137" s="407" t="n"/>
      <c r="CW137" s="407" t="n"/>
      <c r="CX137" s="407" t="n"/>
      <c r="CY137" s="407" t="n"/>
      <c r="CZ137" s="407" t="n"/>
      <c r="DA137" s="407" t="n"/>
      <c r="DB137" s="407" t="n"/>
      <c r="DC137" s="407" t="n"/>
      <c r="DD137" s="407" t="n"/>
      <c r="DE137" s="408" t="n"/>
      <c r="DF137" s="408" t="n"/>
    </row>
    <row r="138" customFormat="1" s="203">
      <c r="A138" s="402" t="n">
        <v>45747</v>
      </c>
      <c r="B138" s="169" t="n">
        <v>24858.72</v>
      </c>
      <c r="C138" s="165">
        <f>B138/B126-1</f>
        <v/>
      </c>
      <c r="D138" s="111">
        <f>B138/B66-1</f>
        <v/>
      </c>
      <c r="E138" s="169" t="n">
        <v>16153.43</v>
      </c>
      <c r="F138" s="165">
        <f>E138/E126-1</f>
        <v/>
      </c>
      <c r="G138" s="111">
        <f>E138/E66-1</f>
        <v/>
      </c>
      <c r="H138" s="169" t="n">
        <v>8187.67</v>
      </c>
      <c r="I138" s="165">
        <f>H138/H126-1</f>
        <v/>
      </c>
      <c r="J138" s="111">
        <f>H138/H66-1</f>
        <v/>
      </c>
      <c r="K138" s="169" t="n">
        <v>517.62</v>
      </c>
      <c r="L138" s="165">
        <f>K138/K126-1</f>
        <v/>
      </c>
      <c r="M138" s="111">
        <f>K138/K66-1</f>
        <v/>
      </c>
      <c r="N138" s="169" t="n">
        <v>20921.39</v>
      </c>
      <c r="O138" s="165">
        <f>N138/N126-1</f>
        <v/>
      </c>
      <c r="P138" s="111">
        <f>N138/N66-1</f>
        <v/>
      </c>
      <c r="Q138" s="169" t="n">
        <v>13846.23</v>
      </c>
      <c r="R138" s="165">
        <f>Q138/Q126-1</f>
        <v/>
      </c>
      <c r="S138" s="111">
        <f>Q138/Q66-1</f>
        <v/>
      </c>
      <c r="T138" s="169" t="n">
        <v>6657.3</v>
      </c>
      <c r="U138" s="165">
        <f>T138/T126-1</f>
        <v/>
      </c>
      <c r="V138" s="111">
        <f>T138/T66-1</f>
        <v/>
      </c>
      <c r="W138" s="169" t="n">
        <v>417.86</v>
      </c>
      <c r="X138" s="165">
        <f>W138/W126-1</f>
        <v/>
      </c>
      <c r="Y138" s="111">
        <f>W138/W66-1</f>
        <v/>
      </c>
      <c r="Z138" s="169" t="n">
        <v>11715.5</v>
      </c>
      <c r="AA138" s="165">
        <f>Z138/Z126-1</f>
        <v/>
      </c>
      <c r="AB138" s="111">
        <f>Z138/Z66-1</f>
        <v/>
      </c>
      <c r="AC138" s="169" t="n">
        <v>9786.32</v>
      </c>
      <c r="AD138" s="165">
        <f>AC138/AC126-1</f>
        <v/>
      </c>
      <c r="AE138" s="111">
        <f>AC138/AC66-1</f>
        <v/>
      </c>
      <c r="AF138" s="169" t="n">
        <v>1626.45</v>
      </c>
      <c r="AG138" s="165">
        <f>AF138/AF126-1</f>
        <v/>
      </c>
      <c r="AH138" s="111">
        <f>AF138/AF66-1</f>
        <v/>
      </c>
      <c r="AI138" s="169" t="n">
        <v>302.73</v>
      </c>
      <c r="AJ138" s="165">
        <f>AI138/AI126-1</f>
        <v/>
      </c>
      <c r="AK138" s="111">
        <f>AI138/AI66-1</f>
        <v/>
      </c>
      <c r="AL138" s="403" t="n">
        <v>84.16</v>
      </c>
      <c r="AM138" s="380">
        <f>AL138-AL126</f>
        <v/>
      </c>
      <c r="AN138" s="380">
        <f>AL138-AL66</f>
        <v/>
      </c>
      <c r="AO138" s="403" t="n">
        <v>85.72</v>
      </c>
      <c r="AP138" s="380">
        <f>AO138-AO126</f>
        <v/>
      </c>
      <c r="AQ138" s="380">
        <f>AO138-AO66</f>
        <v/>
      </c>
      <c r="AR138" s="403" t="n">
        <v>81.31</v>
      </c>
      <c r="AS138" s="380">
        <f>AR138-AR126</f>
        <v/>
      </c>
      <c r="AT138" s="380">
        <f>AR138-AR66</f>
        <v/>
      </c>
      <c r="AU138" s="403" t="n">
        <v>80.73</v>
      </c>
      <c r="AV138" s="380">
        <f>AU138-AU126</f>
        <v/>
      </c>
      <c r="AW138" s="380">
        <f>AU138-AU66</f>
        <v/>
      </c>
      <c r="AX138" s="169" t="n">
        <v>816</v>
      </c>
      <c r="AY138" s="111">
        <f>AX138/AX126-1</f>
        <v/>
      </c>
      <c r="AZ138" s="111">
        <f>AX138/AX66-1</f>
        <v/>
      </c>
      <c r="BA138" s="407" t="n"/>
      <c r="BB138" s="407" t="n"/>
      <c r="BC138" s="407" t="n"/>
      <c r="BD138" s="407" t="n"/>
      <c r="BE138" s="407" t="n"/>
      <c r="BF138" s="407" t="n"/>
      <c r="BG138" s="407" t="n"/>
      <c r="BH138" s="407" t="n"/>
      <c r="BI138" s="407" t="n"/>
      <c r="BJ138" s="407" t="n"/>
      <c r="BK138" s="318" t="n"/>
      <c r="BL138" s="407" t="n"/>
      <c r="BM138" s="407" t="n"/>
      <c r="BN138" s="407" t="n"/>
      <c r="BO138" s="407" t="n"/>
      <c r="BP138" s="407" t="n"/>
      <c r="BQ138" s="407" t="n"/>
      <c r="BR138" s="407" t="n"/>
      <c r="BS138" s="407" t="n"/>
      <c r="BT138" s="407" t="n"/>
      <c r="BU138" s="407" t="n"/>
      <c r="BV138" s="407" t="n"/>
      <c r="BW138" s="407" t="n"/>
      <c r="BX138" s="407" t="n"/>
      <c r="BY138" s="407" t="n"/>
      <c r="BZ138" s="407" t="n"/>
      <c r="CA138" s="407" t="n"/>
      <c r="CB138" s="407" t="n"/>
      <c r="CC138" s="407" t="n"/>
      <c r="CD138" s="407" t="n"/>
      <c r="CE138" s="407" t="n"/>
      <c r="CF138" s="407" t="n"/>
      <c r="CG138" s="407" t="n"/>
      <c r="CH138" s="407" t="n"/>
      <c r="CI138" s="407" t="n"/>
      <c r="CJ138" s="407" t="n"/>
      <c r="CK138" s="407" t="n"/>
      <c r="CL138" s="407" t="n"/>
      <c r="CM138" s="407" t="n"/>
      <c r="CN138" s="407" t="n"/>
      <c r="CW138" s="407" t="n"/>
      <c r="CX138" s="407" t="n"/>
      <c r="CY138" s="407" t="n"/>
      <c r="CZ138" s="407" t="n"/>
      <c r="DA138" s="407" t="n"/>
      <c r="DB138" s="407" t="n"/>
      <c r="DC138" s="407" t="n"/>
      <c r="DD138" s="407" t="n"/>
      <c r="DE138" s="408" t="n"/>
      <c r="DF138" s="408" t="n"/>
    </row>
    <row r="139" customFormat="1" s="203">
      <c r="A139" s="402" t="n">
        <v>45777</v>
      </c>
      <c r="B139" s="169" t="n">
        <v>25191.56</v>
      </c>
      <c r="C139" s="170">
        <f>B139/B127-1</f>
        <v/>
      </c>
      <c r="D139" s="170">
        <f>B139/B67-1</f>
        <v/>
      </c>
      <c r="E139" s="169" t="n">
        <v>16506.58</v>
      </c>
      <c r="F139" s="170">
        <f>E139/E127-1</f>
        <v/>
      </c>
      <c r="G139" s="170">
        <f>E139/E67-1</f>
        <v/>
      </c>
      <c r="H139" s="169" t="n">
        <v>8149.59</v>
      </c>
      <c r="I139" s="170">
        <f>H139/H127-1</f>
        <v/>
      </c>
      <c r="J139" s="170">
        <f>H139/H67-1</f>
        <v/>
      </c>
      <c r="K139" s="169" t="n">
        <v>535.39</v>
      </c>
      <c r="L139" s="170">
        <f>K139/K127-1</f>
        <v/>
      </c>
      <c r="M139" s="170">
        <f>K139/K67-1</f>
        <v/>
      </c>
      <c r="N139" s="169" t="n">
        <v>21505.83</v>
      </c>
      <c r="O139" s="170">
        <f>N139/N127-1</f>
        <v/>
      </c>
      <c r="P139" s="170">
        <f>N139/N67-1</f>
        <v/>
      </c>
      <c r="Q139" s="169" t="n">
        <v>14238.83</v>
      </c>
      <c r="R139" s="170">
        <f>Q139/Q127-1</f>
        <v/>
      </c>
      <c r="S139" s="170">
        <f>Q139/Q67-1</f>
        <v/>
      </c>
      <c r="T139" s="169" t="n">
        <v>6819.96</v>
      </c>
      <c r="U139" s="170">
        <f>T139/T127-1</f>
        <v/>
      </c>
      <c r="V139" s="170">
        <f>T139/T67-1</f>
        <v/>
      </c>
      <c r="W139" s="169" t="n">
        <v>447.03</v>
      </c>
      <c r="X139" s="170">
        <f>W139/W127-1</f>
        <v/>
      </c>
      <c r="Y139" s="170">
        <f>W139/W67-1</f>
        <v/>
      </c>
      <c r="Z139" s="169" t="n">
        <v>12020.68</v>
      </c>
      <c r="AA139" s="170">
        <f>Z139/Z127-1</f>
        <v/>
      </c>
      <c r="AB139" s="170">
        <f>Z139/Z67-1</f>
        <v/>
      </c>
      <c r="AC139" s="169" t="n">
        <v>10038.63</v>
      </c>
      <c r="AD139" s="170">
        <f>AC139/AC127-1</f>
        <v/>
      </c>
      <c r="AE139" s="170">
        <f>AC139/AC67-1</f>
        <v/>
      </c>
      <c r="AF139" s="169" t="n">
        <v>1661.94</v>
      </c>
      <c r="AG139" s="170">
        <f>AF139/AF127-1</f>
        <v/>
      </c>
      <c r="AH139" s="170">
        <f>AF139/AF67-1</f>
        <v/>
      </c>
      <c r="AI139" s="169" t="n">
        <v>320.12</v>
      </c>
      <c r="AJ139" s="170">
        <f>AI139/AI127-1</f>
        <v/>
      </c>
      <c r="AK139" s="170">
        <f>AI139/AI67-1</f>
        <v/>
      </c>
      <c r="AL139" s="403" t="n">
        <v>85.37</v>
      </c>
      <c r="AM139" s="409">
        <f>AL139-AL127</f>
        <v/>
      </c>
      <c r="AN139" s="409">
        <f>AL139-AL67</f>
        <v/>
      </c>
      <c r="AO139" s="403" t="n">
        <v>86.26000000000001</v>
      </c>
      <c r="AP139" s="409">
        <f>AO139-AO127</f>
        <v/>
      </c>
      <c r="AQ139" s="409">
        <f>AO139-AO67</f>
        <v/>
      </c>
      <c r="AR139" s="403" t="n">
        <v>83.68000000000001</v>
      </c>
      <c r="AS139" s="409">
        <f>AR139-AR127</f>
        <v/>
      </c>
      <c r="AT139" s="409">
        <f>AR139-AR67</f>
        <v/>
      </c>
      <c r="AU139" s="403" t="n">
        <v>83.5</v>
      </c>
      <c r="AV139" s="409">
        <f>AU139-AU127</f>
        <v/>
      </c>
      <c r="AW139" s="409">
        <f>AU139-AU67</f>
        <v/>
      </c>
      <c r="AX139" s="169" t="n">
        <v>814</v>
      </c>
      <c r="AY139" s="170">
        <f>AX139/AX127-1</f>
        <v/>
      </c>
      <c r="AZ139" s="170">
        <f>AX139/AX67-1</f>
        <v/>
      </c>
      <c r="BA139" s="407" t="n"/>
      <c r="BB139" s="407" t="n"/>
      <c r="BC139" s="407" t="n"/>
      <c r="BD139" s="407" t="n"/>
      <c r="BE139" s="407" t="n"/>
      <c r="BF139" s="407" t="n"/>
      <c r="BG139" s="407" t="n"/>
      <c r="BH139" s="407" t="n"/>
      <c r="BI139" s="407" t="n"/>
      <c r="BJ139" s="407" t="n"/>
      <c r="BK139" s="318" t="n"/>
      <c r="BL139" s="407" t="n"/>
      <c r="BM139" s="407" t="n"/>
      <c r="BN139" s="407" t="n"/>
      <c r="BO139" s="407" t="n"/>
      <c r="BP139" s="407" t="n"/>
      <c r="BQ139" s="407" t="n"/>
      <c r="BR139" s="407" t="n"/>
      <c r="BS139" s="407" t="n"/>
      <c r="BT139" s="407" t="n"/>
      <c r="BU139" s="407" t="n"/>
      <c r="BV139" s="407" t="n"/>
      <c r="BW139" s="407" t="n"/>
      <c r="BX139" s="407" t="n"/>
      <c r="BY139" s="407" t="n"/>
      <c r="BZ139" s="407" t="n"/>
      <c r="CA139" s="407" t="n"/>
      <c r="CB139" s="407" t="n"/>
      <c r="CC139" s="407" t="n"/>
      <c r="CD139" s="407" t="n"/>
      <c r="CE139" s="407" t="n"/>
      <c r="CF139" s="407" t="n"/>
      <c r="CG139" s="407" t="n"/>
      <c r="CH139" s="407" t="n"/>
      <c r="CI139" s="407" t="n"/>
      <c r="CJ139" s="407" t="n"/>
      <c r="CK139" s="407" t="n"/>
      <c r="CL139" s="407" t="n"/>
      <c r="CM139" s="407" t="n"/>
      <c r="CN139" s="407" t="n"/>
      <c r="CW139" s="407" t="n"/>
      <c r="CX139" s="407" t="n"/>
      <c r="CY139" s="407" t="n"/>
      <c r="CZ139" s="407" t="n"/>
      <c r="DA139" s="407" t="n"/>
      <c r="DB139" s="407" t="n"/>
      <c r="DC139" s="407" t="n"/>
      <c r="DD139" s="407" t="n"/>
      <c r="DE139" s="408" t="n"/>
      <c r="DF139" s="408" t="n"/>
    </row>
    <row r="140" customFormat="1" s="116">
      <c r="A140" s="410" t="n">
        <v>45808</v>
      </c>
      <c r="B140" s="317" t="n">
        <v>26451.82</v>
      </c>
      <c r="C140" s="142">
        <f>B140/B128-1</f>
        <v/>
      </c>
      <c r="D140" s="142">
        <f>B140/B68-1</f>
        <v/>
      </c>
      <c r="E140" s="317" t="n">
        <v>17354.33</v>
      </c>
      <c r="F140" s="142">
        <f>E140/E128-1</f>
        <v/>
      </c>
      <c r="G140" s="142">
        <f>E140/E68-1</f>
        <v/>
      </c>
      <c r="H140" s="317" t="n">
        <v>8533.620000000001</v>
      </c>
      <c r="I140" s="142">
        <f>H140/H128-1</f>
        <v/>
      </c>
      <c r="J140" s="142">
        <f>H140/H68-1</f>
        <v/>
      </c>
      <c r="K140" s="317" t="n">
        <v>563.87</v>
      </c>
      <c r="L140" s="142">
        <f>K140/K128-1</f>
        <v/>
      </c>
      <c r="M140" s="142">
        <f>K140/K68-1</f>
        <v/>
      </c>
      <c r="N140" s="317" t="n">
        <v>22587.79</v>
      </c>
      <c r="O140" s="142">
        <f>N140/N128-1</f>
        <v/>
      </c>
      <c r="P140" s="142">
        <f>N140/N68-1</f>
        <v/>
      </c>
      <c r="Q140" s="317" t="n">
        <v>15126.28</v>
      </c>
      <c r="R140" s="142">
        <f>Q140/Q128-1</f>
        <v/>
      </c>
      <c r="S140" s="142">
        <f>Q140/Q68-1</f>
        <v/>
      </c>
      <c r="T140" s="317" t="n">
        <v>7004.96</v>
      </c>
      <c r="U140" s="142">
        <f>T140/T128-1</f>
        <v/>
      </c>
      <c r="V140" s="142">
        <f>T140/T68-1</f>
        <v/>
      </c>
      <c r="W140" s="317" t="n">
        <v>456.56</v>
      </c>
      <c r="X140" s="142">
        <f>W140/W128-1</f>
        <v/>
      </c>
      <c r="Y140" s="142">
        <f>W140/W68-1</f>
        <v/>
      </c>
      <c r="Z140" s="317" t="n">
        <v>12637.56</v>
      </c>
      <c r="AA140" s="39">
        <f>Z140/Z128-1</f>
        <v/>
      </c>
      <c r="AB140" s="39">
        <f>Z140/Z68-1</f>
        <v/>
      </c>
      <c r="AC140" s="317" t="n">
        <v>10618.46</v>
      </c>
      <c r="AD140" s="39">
        <f>AC140/AC128-1</f>
        <v/>
      </c>
      <c r="AE140" s="39">
        <f>AC140/AC68-1</f>
        <v/>
      </c>
      <c r="AF140" s="317" t="n">
        <v>1692.33</v>
      </c>
      <c r="AG140" s="39">
        <f>AF140/AF128-1</f>
        <v/>
      </c>
      <c r="AH140" s="39">
        <f>AF140/AF68-1</f>
        <v/>
      </c>
      <c r="AI140" s="317" t="n">
        <v>326.77</v>
      </c>
      <c r="AJ140" s="39">
        <f>AI140/AI128-1</f>
        <v/>
      </c>
      <c r="AK140" s="39">
        <f>AI140/AI68-1</f>
        <v/>
      </c>
      <c r="AL140" s="182" t="n">
        <v>85.39</v>
      </c>
      <c r="AM140" s="182">
        <f>AL140-AL128</f>
        <v/>
      </c>
      <c r="AN140" s="182">
        <f>AL140-AL68</f>
        <v/>
      </c>
      <c r="AO140" s="182" t="n">
        <v>87.16</v>
      </c>
      <c r="AP140" s="182">
        <f>AO140-AO128</f>
        <v/>
      </c>
      <c r="AQ140" s="182">
        <f>AO140-AO68</f>
        <v/>
      </c>
      <c r="AR140" s="182" t="n">
        <v>82.09</v>
      </c>
      <c r="AS140" s="182">
        <f>AR140-AR128</f>
        <v/>
      </c>
      <c r="AT140" s="182">
        <f>AR140-AR68</f>
        <v/>
      </c>
      <c r="AU140" s="182" t="n">
        <v>80.97</v>
      </c>
      <c r="AV140" s="182">
        <f>AU140-AU128</f>
        <v/>
      </c>
      <c r="AW140" s="182">
        <f>AU140-AU68</f>
        <v/>
      </c>
      <c r="AX140" s="317" t="n">
        <v>814</v>
      </c>
      <c r="AY140" s="142">
        <f>AX140/AX128-1</f>
        <v/>
      </c>
      <c r="AZ140" s="142">
        <f>AX140/AX68-1</f>
        <v/>
      </c>
      <c r="BA140" s="317" t="n"/>
      <c r="BB140" s="317" t="n"/>
      <c r="BC140" s="317" t="n"/>
      <c r="BD140" s="317" t="n"/>
      <c r="BE140" s="317" t="n"/>
      <c r="BF140" s="317" t="n"/>
      <c r="BG140" s="317" t="n"/>
      <c r="BH140" s="317" t="n"/>
      <c r="BI140" s="317" t="n"/>
      <c r="BJ140" s="317" t="n"/>
      <c r="BK140" s="318" t="n"/>
      <c r="BL140" s="317" t="n"/>
      <c r="BM140" s="317" t="n"/>
      <c r="BN140" s="317" t="n"/>
      <c r="BO140" s="317" t="n"/>
      <c r="BP140" s="317" t="n"/>
      <c r="BQ140" s="317" t="n"/>
      <c r="BR140" s="317" t="n"/>
      <c r="BS140" s="317" t="n"/>
      <c r="BT140" s="317" t="n"/>
      <c r="BU140" s="317" t="n"/>
      <c r="BV140" s="317" t="n"/>
      <c r="BW140" s="317" t="n"/>
      <c r="BX140" s="317" t="n"/>
      <c r="BY140" s="317" t="n"/>
      <c r="BZ140" s="317" t="n"/>
      <c r="CA140" s="317" t="n"/>
      <c r="CB140" s="317" t="n"/>
      <c r="CC140" s="317" t="n"/>
      <c r="CD140" s="317" t="n"/>
      <c r="CE140" s="317" t="n"/>
      <c r="CF140" s="317" t="n"/>
      <c r="CG140" s="317" t="n"/>
      <c r="CH140" s="317" t="n"/>
      <c r="CI140" s="317" t="n"/>
      <c r="CJ140" s="317" t="n"/>
      <c r="CK140" s="317" t="n"/>
      <c r="CL140" s="317" t="n"/>
      <c r="CM140" s="317" t="n"/>
      <c r="CN140" s="317" t="n"/>
      <c r="CW140" s="317" t="n"/>
      <c r="CX140" s="317" t="n"/>
      <c r="CY140" s="317" t="n"/>
      <c r="CZ140" s="317" t="n"/>
      <c r="DA140" s="317" t="n"/>
      <c r="DB140" s="317" t="n"/>
      <c r="DC140" s="317" t="n"/>
      <c r="DD140" s="317" t="n"/>
      <c r="DE140" s="319" t="n"/>
      <c r="DF140" s="319" t="n"/>
    </row>
    <row r="141" ht="13" customFormat="1" customHeight="1" s="116">
      <c r="A141" s="342" t="n"/>
      <c r="B141" s="317" t="n"/>
      <c r="C141" s="39" t="n"/>
      <c r="D141" s="39" t="n"/>
      <c r="E141" s="317" t="n"/>
      <c r="F141" s="39" t="n"/>
      <c r="G141" s="39" t="n"/>
      <c r="H141" s="317" t="n"/>
      <c r="I141" s="39" t="n"/>
      <c r="J141" s="39" t="n"/>
      <c r="K141" s="317" t="n"/>
      <c r="L141" s="39" t="n"/>
      <c r="M141" s="39" t="n"/>
      <c r="N141" s="317" t="n"/>
      <c r="O141" s="39" t="n"/>
      <c r="P141" s="39" t="n"/>
      <c r="Q141" s="317" t="n"/>
      <c r="R141" s="39" t="n"/>
      <c r="S141" s="39" t="n"/>
      <c r="T141" s="317" t="n"/>
      <c r="U141" s="39" t="n"/>
      <c r="V141" s="39" t="n"/>
      <c r="W141" s="317" t="n"/>
      <c r="X141" s="39" t="n"/>
      <c r="Y141" s="39" t="n"/>
      <c r="Z141" s="317" t="n"/>
      <c r="AA141" s="39" t="n"/>
      <c r="AB141" s="39" t="n"/>
      <c r="AC141" s="317" t="n"/>
      <c r="AD141" s="39" t="n"/>
      <c r="AE141" s="39" t="n"/>
      <c r="AF141" s="317" t="n"/>
      <c r="AG141" s="39" t="n"/>
      <c r="AH141" s="39" t="n"/>
      <c r="AI141" s="317" t="n"/>
      <c r="AJ141" s="39" t="n"/>
      <c r="AK141" s="39" t="n"/>
      <c r="AL141" s="317" t="n"/>
      <c r="AM141" s="317" t="n"/>
      <c r="AN141" s="317" t="n"/>
      <c r="AO141" s="317" t="n"/>
      <c r="AP141" s="317" t="n"/>
      <c r="AQ141" s="317" t="n"/>
      <c r="AR141" s="317" t="n"/>
      <c r="AS141" s="317" t="n"/>
      <c r="AT141" s="317" t="n"/>
      <c r="AU141" s="317" t="n"/>
      <c r="AV141" s="317" t="n"/>
      <c r="AW141" s="317" t="n"/>
      <c r="AX141" s="317" t="n"/>
      <c r="AY141" s="317" t="n"/>
      <c r="AZ141" s="39" t="n"/>
      <c r="BA141" s="317" t="n"/>
      <c r="BB141" s="39" t="n"/>
      <c r="BC141" s="317" t="n"/>
      <c r="BD141" s="39" t="n"/>
      <c r="BE141" s="317" t="n"/>
      <c r="BF141" s="39" t="n"/>
      <c r="BG141" s="317" t="n"/>
      <c r="BH141" s="39" t="n"/>
      <c r="BI141" s="317" t="n"/>
      <c r="BJ141" s="39" t="n"/>
      <c r="BK141" s="317" t="n"/>
      <c r="BL141" s="39" t="n"/>
      <c r="BM141" s="317" t="n"/>
      <c r="BN141" s="39" t="n"/>
      <c r="BO141" s="317" t="n"/>
      <c r="BP141" s="317" t="n"/>
      <c r="BQ141" s="39" t="n"/>
      <c r="BR141" s="317" t="n"/>
      <c r="BS141" s="39" t="n"/>
      <c r="BT141" s="317" t="n"/>
      <c r="BU141" s="39" t="n"/>
      <c r="BV141" s="317" t="n"/>
      <c r="BW141" s="39" t="n"/>
      <c r="BX141" s="317" t="n"/>
      <c r="BY141" s="39" t="n"/>
      <c r="BZ141" s="317" t="n"/>
      <c r="CA141" s="39" t="n"/>
      <c r="CB141" s="317" t="n"/>
      <c r="CC141" s="39" t="n"/>
      <c r="CD141" s="317" t="n"/>
      <c r="CE141" s="39" t="n"/>
      <c r="CF141" s="317" t="n"/>
      <c r="CG141" s="268" t="n"/>
      <c r="CH141" s="317" t="n"/>
      <c r="CI141" s="268" t="n"/>
      <c r="CJ141" s="317" t="n"/>
      <c r="CK141" s="268" t="n"/>
      <c r="CL141" s="317" t="n"/>
      <c r="CM141" s="268" t="n"/>
      <c r="CN141" s="317" t="n"/>
      <c r="CW141" s="317" t="n"/>
      <c r="CX141" s="39" t="n"/>
      <c r="CY141" s="317" t="n"/>
      <c r="CZ141" s="39" t="n"/>
      <c r="DA141" s="317" t="n"/>
      <c r="DB141" s="39" t="n"/>
      <c r="DC141" s="317" t="n"/>
      <c r="DD141" s="39" t="n"/>
      <c r="DE141" s="319" t="n"/>
      <c r="DF141" s="319" t="n"/>
    </row>
    <row r="142" ht="13" customFormat="1" customHeight="1" s="116">
      <c r="A142" s="411" t="inlineStr">
        <is>
          <t>季度</t>
        </is>
      </c>
      <c r="B142" s="317" t="n"/>
      <c r="C142" s="39" t="n"/>
      <c r="D142" s="39" t="n"/>
      <c r="E142" s="317" t="n"/>
      <c r="F142" s="39" t="n"/>
      <c r="G142" s="39" t="n"/>
      <c r="H142" s="317" t="n"/>
      <c r="I142" s="39" t="n"/>
      <c r="J142" s="39" t="n"/>
      <c r="K142" s="317" t="n"/>
      <c r="L142" s="39" t="n"/>
      <c r="M142" s="39" t="n"/>
      <c r="N142" s="317" t="n"/>
      <c r="O142" s="39" t="n"/>
      <c r="P142" s="39" t="n"/>
      <c r="Q142" s="317" t="n"/>
      <c r="R142" s="39" t="n"/>
      <c r="S142" s="39" t="n"/>
      <c r="T142" s="317" t="n"/>
      <c r="U142" s="39" t="n"/>
      <c r="V142" s="39" t="n"/>
      <c r="W142" s="317" t="n"/>
      <c r="X142" s="39" t="n"/>
      <c r="Y142" s="39" t="n"/>
      <c r="Z142" s="317" t="n"/>
      <c r="AA142" s="39" t="n"/>
      <c r="AB142" s="39" t="n"/>
      <c r="AC142" s="317" t="n"/>
      <c r="AD142" s="39" t="n"/>
      <c r="AE142" s="39" t="n"/>
      <c r="AF142" s="317" t="n"/>
      <c r="AG142" s="39" t="n"/>
      <c r="AH142" s="39" t="n"/>
      <c r="AI142" s="317" t="n"/>
      <c r="AJ142" s="39" t="n"/>
      <c r="AK142" s="39" t="n"/>
      <c r="AL142" s="317" t="n"/>
      <c r="AM142" s="182">
        <f>AL142-AL130</f>
        <v/>
      </c>
      <c r="AN142" s="317" t="n"/>
      <c r="AO142" s="317" t="n"/>
      <c r="AP142" s="182">
        <f>AO142-AO130</f>
        <v/>
      </c>
      <c r="AQ142" s="317" t="n"/>
      <c r="AR142" s="317" t="n"/>
      <c r="AS142" s="182">
        <f>AR142-AR130</f>
        <v/>
      </c>
      <c r="AT142" s="317" t="n"/>
      <c r="AU142" s="317" t="n"/>
      <c r="AV142" s="182">
        <f>AU142-AU130</f>
        <v/>
      </c>
      <c r="AW142" s="317" t="n"/>
      <c r="AX142" s="317" t="n"/>
      <c r="AY142" s="317" t="n"/>
      <c r="AZ142" s="39" t="n"/>
      <c r="BA142" s="317" t="n"/>
      <c r="BB142" s="39" t="n"/>
      <c r="BC142" s="317" t="n"/>
      <c r="BD142" s="39" t="n"/>
      <c r="BE142" s="317" t="n"/>
      <c r="BF142" s="39" t="n"/>
      <c r="BG142" s="317" t="n"/>
      <c r="BH142" s="39" t="n"/>
      <c r="BI142" s="317" t="n"/>
      <c r="BJ142" s="39" t="n"/>
      <c r="BK142" s="317" t="n"/>
      <c r="BL142" s="39" t="n"/>
      <c r="BM142" s="317" t="n"/>
      <c r="BN142" s="39" t="n"/>
      <c r="BO142" s="317" t="n"/>
      <c r="BP142" s="317" t="n"/>
      <c r="BQ142" s="39" t="n"/>
      <c r="BR142" s="317" t="n"/>
      <c r="BS142" s="39" t="n"/>
      <c r="BT142" s="317" t="n"/>
      <c r="BU142" s="39" t="n"/>
      <c r="BV142" s="317" t="n"/>
      <c r="BW142" s="39" t="n"/>
      <c r="BX142" s="317" t="n"/>
      <c r="BY142" s="39" t="n"/>
      <c r="BZ142" s="317" t="n"/>
      <c r="CA142" s="39" t="n"/>
      <c r="CB142" s="317" t="n"/>
      <c r="CC142" s="39" t="n"/>
      <c r="CD142" s="317" t="n"/>
      <c r="CE142" s="39" t="n"/>
      <c r="CF142" s="317" t="n"/>
      <c r="CG142" s="317" t="n"/>
      <c r="CH142" s="317" t="n"/>
      <c r="CI142" s="317" t="n"/>
      <c r="CJ142" s="317" t="n"/>
      <c r="CK142" s="317" t="n"/>
      <c r="CL142" s="317" t="n"/>
      <c r="CM142" s="317" t="n"/>
      <c r="CN142" s="317" t="n"/>
      <c r="CW142" s="317" t="n"/>
      <c r="CX142" s="39" t="n"/>
      <c r="CY142" s="317" t="n"/>
      <c r="CZ142" s="39" t="n"/>
      <c r="DA142" s="317" t="n"/>
      <c r="DB142" s="39" t="n"/>
      <c r="DC142" s="317" t="n"/>
      <c r="DD142" s="39" t="n"/>
      <c r="DE142" s="319" t="n"/>
      <c r="DF142" s="319" t="n"/>
    </row>
    <row r="143" ht="13" customFormat="1" customHeight="1" s="116">
      <c r="A143" s="342" t="inlineStr">
        <is>
          <t>18Q1</t>
        </is>
      </c>
      <c r="B143" s="317" t="n">
        <v>59171.99000000001</v>
      </c>
      <c r="C143" s="39">
        <f>B143/(SUM(B40:B42))-1</f>
        <v/>
      </c>
      <c r="D143" s="39" t="n"/>
      <c r="E143" s="317" t="n">
        <v>36898.24000000001</v>
      </c>
      <c r="F143" s="39">
        <f>E143/(SUM(E40:E42))-1</f>
        <v/>
      </c>
      <c r="G143" s="39" t="n"/>
      <c r="H143" s="317" t="n">
        <v>20755.68</v>
      </c>
      <c r="I143" s="39">
        <f>H143/(SUM(H40:H42))-1</f>
        <v/>
      </c>
      <c r="J143" s="39" t="n"/>
      <c r="K143" s="317" t="n">
        <v>1518.07</v>
      </c>
      <c r="L143" s="39">
        <f>K143/(SUM(K40:K42))-1</f>
        <v/>
      </c>
      <c r="M143" s="39" t="n"/>
      <c r="N143" s="317" t="n">
        <v>48336.32</v>
      </c>
      <c r="O143" s="39">
        <f>N143/(SUM(N40:N42))-1</f>
        <v/>
      </c>
      <c r="P143" s="39" t="n"/>
      <c r="Q143" s="317" t="n">
        <v>30493.06</v>
      </c>
      <c r="R143" s="39">
        <f>Q143/(SUM(Q40:Q42))-1</f>
        <v/>
      </c>
      <c r="S143" s="39" t="n"/>
      <c r="T143" s="317" t="n">
        <v>16608.69</v>
      </c>
      <c r="U143" s="39">
        <f>T143/(SUM(T40:T42))-1</f>
        <v/>
      </c>
      <c r="V143" s="39" t="n"/>
      <c r="W143" s="317" t="n">
        <v>1234.58</v>
      </c>
      <c r="X143" s="39">
        <f>W143/(SUM(W40:W42))-1</f>
        <v/>
      </c>
      <c r="Y143" s="39" t="n"/>
      <c r="Z143" s="317" t="n">
        <v>28716.06</v>
      </c>
      <c r="AA143" s="39">
        <f>Z143/(SUM(Z40:Z42))-1</f>
        <v/>
      </c>
      <c r="AB143" s="39" t="n"/>
      <c r="AC143" s="317" t="n">
        <v>23758.93</v>
      </c>
      <c r="AD143" s="39">
        <f>AC143/(SUM(AC40:AC42))-1</f>
        <v/>
      </c>
      <c r="AE143" s="39" t="n"/>
      <c r="AF143" s="317" t="n">
        <v>4051.21</v>
      </c>
      <c r="AG143" s="39">
        <f>AF143/(SUM(AF40:AF42))-1</f>
        <v/>
      </c>
      <c r="AH143" s="39" t="n"/>
      <c r="AI143" s="317" t="n">
        <v>905.9300000000001</v>
      </c>
      <c r="AJ143" s="39">
        <f>AI143/(SUM(AI40:AI42))-1</f>
        <v/>
      </c>
      <c r="AK143" s="39" t="n"/>
      <c r="AL143" s="182" t="n">
        <v>81.66666666666667</v>
      </c>
      <c r="AM143" s="182">
        <f>AL143-AL131</f>
        <v/>
      </c>
      <c r="AN143" s="317" t="n"/>
      <c r="AO143" s="182" t="n">
        <v>82.60333333333334</v>
      </c>
      <c r="AP143" s="182">
        <f>AO143-AO131</f>
        <v/>
      </c>
      <c r="AQ143" s="317" t="n"/>
      <c r="AR143" s="182" t="n">
        <v>80.02333333333333</v>
      </c>
      <c r="AS143" s="182">
        <f>AR143-AR131</f>
        <v/>
      </c>
      <c r="AT143" s="317" t="n"/>
      <c r="AU143" s="182" t="n">
        <v>81.30666666666667</v>
      </c>
      <c r="AV143" s="182">
        <f>AU143-AU131</f>
        <v/>
      </c>
      <c r="AW143" s="317" t="n"/>
      <c r="AX143" s="317" t="n"/>
      <c r="AY143" s="142" t="n"/>
      <c r="AZ143" s="39" t="n"/>
      <c r="BA143" s="317" t="n"/>
      <c r="BB143" s="39" t="n"/>
      <c r="BC143" s="317" t="n"/>
      <c r="BD143" s="39" t="n"/>
      <c r="BE143" s="317" t="n"/>
      <c r="BF143" s="39" t="n"/>
      <c r="BG143" s="317" t="n"/>
      <c r="BH143" s="39" t="n"/>
      <c r="BI143" s="317" t="n"/>
      <c r="BJ143" s="39" t="n"/>
      <c r="BK143" s="317" t="n"/>
      <c r="BL143" s="39" t="n"/>
      <c r="BM143" s="317" t="n"/>
      <c r="BN143" s="39" t="n"/>
      <c r="BO143" s="317" t="n"/>
      <c r="BP143" s="317" t="n"/>
      <c r="BQ143" s="39" t="n"/>
      <c r="BR143" s="317" t="n"/>
      <c r="BS143" s="39" t="n"/>
      <c r="BT143" s="317" t="n"/>
      <c r="BU143" s="39" t="n"/>
      <c r="BV143" s="317" t="n"/>
      <c r="BW143" s="39" t="n"/>
      <c r="BX143" s="317" t="n"/>
      <c r="BY143" s="39" t="n"/>
      <c r="BZ143" s="317" t="n"/>
      <c r="CA143" s="39" t="n"/>
      <c r="CB143" s="317" t="n"/>
      <c r="CC143" s="39" t="n"/>
      <c r="CD143" s="317" t="n"/>
      <c r="CE143" s="39" t="n"/>
      <c r="CF143" s="317" t="n"/>
      <c r="CG143" s="317" t="n"/>
      <c r="CH143" s="317" t="n"/>
      <c r="CI143" s="317" t="n"/>
      <c r="CJ143" s="317" t="n"/>
      <c r="CK143" s="317" t="n"/>
      <c r="CL143" s="317" t="n"/>
      <c r="CM143" s="317" t="n"/>
      <c r="CN143" s="317" t="n"/>
      <c r="CW143" s="317" t="n"/>
      <c r="CX143" s="39" t="n"/>
      <c r="CY143" s="317" t="n"/>
      <c r="CZ143" s="39" t="n"/>
      <c r="DA143" s="317" t="n"/>
      <c r="DB143" s="39" t="n"/>
      <c r="DC143" s="317" t="n"/>
      <c r="DD143" s="39" t="n"/>
      <c r="DE143" s="319" t="n"/>
      <c r="DF143" s="319" t="n"/>
    </row>
    <row r="144" ht="13" customFormat="1" customHeight="1" s="116">
      <c r="A144" s="342" t="inlineStr">
        <is>
          <t>18Q2</t>
        </is>
      </c>
      <c r="B144" s="317" t="n">
        <v>59658.72</v>
      </c>
      <c r="C144" s="39">
        <f>B144/(SUM(B43:B45))-1</f>
        <v/>
      </c>
      <c r="D144" s="39" t="n"/>
      <c r="E144" s="317" t="n">
        <v>37390.54</v>
      </c>
      <c r="F144" s="39">
        <f>E144/(SUM(E43:E45))-1</f>
        <v/>
      </c>
      <c r="G144" s="39" t="n"/>
      <c r="H144" s="317" t="n">
        <v>20654.32</v>
      </c>
      <c r="I144" s="39">
        <f>H144/(SUM(H43:H45))-1</f>
        <v/>
      </c>
      <c r="J144" s="39" t="n"/>
      <c r="K144" s="317" t="n">
        <v>1613.86</v>
      </c>
      <c r="L144" s="39">
        <f>K144/(SUM(K43:K45))-1</f>
        <v/>
      </c>
      <c r="M144" s="39" t="n"/>
      <c r="N144" s="317" t="n">
        <v>49621.00999999999</v>
      </c>
      <c r="O144" s="39">
        <f>N144/(SUM(N43:N45))-1</f>
        <v/>
      </c>
      <c r="P144" s="39" t="n"/>
      <c r="Q144" s="317" t="n">
        <v>31730.64</v>
      </c>
      <c r="R144" s="39">
        <f>Q144/(SUM(Q43:Q45))-1</f>
        <v/>
      </c>
      <c r="S144" s="39" t="n"/>
      <c r="T144" s="317" t="n">
        <v>16560.76</v>
      </c>
      <c r="U144" s="39">
        <f>T144/(SUM(T43:T45))-1</f>
        <v/>
      </c>
      <c r="V144" s="39" t="n"/>
      <c r="W144" s="317" t="n">
        <v>1329.62</v>
      </c>
      <c r="X144" s="39">
        <f>W144/(SUM(W43:W45))-1</f>
        <v/>
      </c>
      <c r="Y144" s="39" t="n"/>
      <c r="Z144" s="317" t="n">
        <v>30183.92</v>
      </c>
      <c r="AA144" s="39">
        <f>Z144/(SUM(Z43:Z45))-1</f>
        <v/>
      </c>
      <c r="AB144" s="39" t="n"/>
      <c r="AC144" s="317" t="n">
        <v>25245.58</v>
      </c>
      <c r="AD144" s="39">
        <f>AC144/(SUM(AC43:AC45))-1</f>
        <v/>
      </c>
      <c r="AE144" s="39" t="n"/>
      <c r="AF144" s="317" t="n">
        <v>3973.86</v>
      </c>
      <c r="AG144" s="39">
        <f>AF144/(SUM(AF43:AF45))-1</f>
        <v/>
      </c>
      <c r="AH144" s="39" t="n"/>
      <c r="AI144" s="317" t="n">
        <v>964.49</v>
      </c>
      <c r="AJ144" s="39">
        <f>AI144/(SUM(AI43:AI45))-1</f>
        <v/>
      </c>
      <c r="AK144" s="39" t="n"/>
      <c r="AL144" s="182" t="n">
        <v>83.18666666666667</v>
      </c>
      <c r="AM144" s="182">
        <f>AL144-AL132</f>
        <v/>
      </c>
      <c r="AN144" s="317" t="n"/>
      <c r="AO144" s="182" t="n">
        <v>84.87333333333333</v>
      </c>
      <c r="AP144" s="182">
        <f>AO144-AO132</f>
        <v/>
      </c>
      <c r="AQ144" s="317" t="n"/>
      <c r="AR144" s="182" t="n">
        <v>80.19</v>
      </c>
      <c r="AS144" s="182">
        <f>AR144-AR132</f>
        <v/>
      </c>
      <c r="AT144" s="317" t="n"/>
      <c r="AU144" s="182" t="n">
        <v>82.40666666666668</v>
      </c>
      <c r="AV144" s="182">
        <f>AU144-AU132</f>
        <v/>
      </c>
      <c r="AW144" s="317" t="n"/>
      <c r="AX144" s="317" t="n"/>
      <c r="AY144" s="142" t="n"/>
      <c r="AZ144" s="39" t="n"/>
      <c r="BA144" s="317" t="n"/>
      <c r="BB144" s="39" t="n"/>
      <c r="BC144" s="317" t="n"/>
      <c r="BD144" s="39" t="n"/>
      <c r="BE144" s="317" t="n"/>
      <c r="BF144" s="39" t="n"/>
      <c r="BG144" s="317" t="n"/>
      <c r="BH144" s="39" t="n"/>
      <c r="BI144" s="317" t="n"/>
      <c r="BJ144" s="39" t="n"/>
      <c r="BK144" s="317" t="n"/>
      <c r="BL144" s="39" t="n"/>
      <c r="BM144" s="317" t="n"/>
      <c r="BN144" s="39" t="n"/>
      <c r="BO144" s="317" t="n"/>
      <c r="BP144" s="317" t="n"/>
      <c r="BQ144" s="39" t="n"/>
      <c r="BR144" s="317" t="n"/>
      <c r="BS144" s="39" t="n"/>
      <c r="BT144" s="317" t="n"/>
      <c r="BU144" s="39" t="n"/>
      <c r="BV144" s="317" t="n"/>
      <c r="BW144" s="39" t="n"/>
      <c r="BX144" s="317" t="n"/>
      <c r="BY144" s="39" t="n"/>
      <c r="BZ144" s="317" t="n"/>
      <c r="CA144" s="39" t="n"/>
      <c r="CB144" s="317" t="n"/>
      <c r="CC144" s="39" t="n"/>
      <c r="CD144" s="317" t="n"/>
      <c r="CE144" s="39" t="n"/>
      <c r="CF144" s="317" t="n"/>
      <c r="CG144" s="317" t="n"/>
      <c r="CH144" s="317" t="n"/>
      <c r="CI144" s="317" t="n"/>
      <c r="CJ144" s="317" t="n"/>
      <c r="CK144" s="317" t="n"/>
      <c r="CL144" s="317" t="n"/>
      <c r="CM144" s="317" t="n"/>
      <c r="CN144" s="317" t="n"/>
      <c r="CW144" s="317" t="n"/>
      <c r="CX144" s="39" t="n"/>
      <c r="CY144" s="317" t="n"/>
      <c r="CZ144" s="39" t="n"/>
      <c r="DA144" s="317" t="n"/>
      <c r="DB144" s="39" t="n"/>
      <c r="DC144" s="317" t="n"/>
      <c r="DD144" s="39" t="n"/>
      <c r="DE144" s="319" t="n"/>
      <c r="DF144" s="319" t="n"/>
    </row>
    <row r="145" ht="13" customFormat="1" customHeight="1" s="116">
      <c r="A145" s="342" t="inlineStr">
        <is>
          <t>18Q3</t>
        </is>
      </c>
      <c r="B145" s="317" t="n">
        <v>62670.69</v>
      </c>
      <c r="C145" s="142">
        <f>B145/(SUM(B46:B48))-1</f>
        <v/>
      </c>
      <c r="D145" s="142" t="n"/>
      <c r="E145" s="317" t="n">
        <v>39254.97</v>
      </c>
      <c r="F145" s="142">
        <f>E145/(SUM(E46:E48))-1</f>
        <v/>
      </c>
      <c r="G145" s="142" t="n"/>
      <c r="H145" s="317" t="n">
        <v>21777.38</v>
      </c>
      <c r="I145" s="142">
        <f>H145/(SUM(H46:H48))-1</f>
        <v/>
      </c>
      <c r="J145" s="142" t="n"/>
      <c r="K145" s="317" t="n">
        <v>1638.34</v>
      </c>
      <c r="L145" s="142">
        <f>K145/(SUM(K46:K48))-1</f>
        <v/>
      </c>
      <c r="M145" s="142" t="n"/>
      <c r="N145" s="317" t="n">
        <v>52445.32</v>
      </c>
      <c r="O145" s="142">
        <f>N145/(SUM(N46:N48))-1</f>
        <v/>
      </c>
      <c r="P145" s="142" t="n"/>
      <c r="Q145" s="317" t="n">
        <v>33479.16</v>
      </c>
      <c r="R145" s="142">
        <f>Q145/(SUM(Q46:Q48))-1</f>
        <v/>
      </c>
      <c r="S145" s="142" t="n"/>
      <c r="T145" s="317" t="n">
        <v>17568.23</v>
      </c>
      <c r="U145" s="142">
        <f>T145/(SUM(T46:T48))-1</f>
        <v/>
      </c>
      <c r="V145" s="142" t="n"/>
      <c r="W145" s="317" t="n">
        <v>1397.93</v>
      </c>
      <c r="X145" s="142">
        <f>W145/(SUM(W46:W48))-1</f>
        <v/>
      </c>
      <c r="Y145" s="142" t="n"/>
      <c r="Z145" s="317" t="n">
        <v>31664.16</v>
      </c>
      <c r="AA145" s="39">
        <f>Z145/(SUM(Z46:Z48))-1</f>
        <v/>
      </c>
      <c r="AB145" s="39" t="n"/>
      <c r="AC145" s="317" t="n">
        <v>26515.58</v>
      </c>
      <c r="AD145" s="39">
        <f>AC145/(SUM(AC46:AC48))-1</f>
        <v/>
      </c>
      <c r="AE145" s="39" t="n"/>
      <c r="AF145" s="317" t="n">
        <v>4132.780000000001</v>
      </c>
      <c r="AG145" s="39">
        <f>AF145/(SUM(AF46:AF48))-1</f>
        <v/>
      </c>
      <c r="AH145" s="39" t="n"/>
      <c r="AI145" s="317" t="n">
        <v>1015.79</v>
      </c>
      <c r="AJ145" s="39">
        <f>AI145/(SUM(AI46:AI48))-1</f>
        <v/>
      </c>
      <c r="AK145" s="39" t="n"/>
      <c r="AL145" s="182" t="n">
        <v>83.63333333333333</v>
      </c>
      <c r="AM145" s="182">
        <f>AL145-AL133</f>
        <v/>
      </c>
      <c r="AN145" s="317" t="n"/>
      <c r="AO145" s="182" t="n">
        <v>85.23</v>
      </c>
      <c r="AP145" s="182">
        <f>AO145-AO133</f>
        <v/>
      </c>
      <c r="AQ145" s="317" t="n"/>
      <c r="AR145" s="182" t="n">
        <v>80.63333333333334</v>
      </c>
      <c r="AS145" s="182">
        <f>AR145-AR133</f>
        <v/>
      </c>
      <c r="AT145" s="317" t="n"/>
      <c r="AU145" s="182" t="n">
        <v>85.25999999999999</v>
      </c>
      <c r="AV145" s="182">
        <f>AU145-AU133</f>
        <v/>
      </c>
      <c r="AW145" s="317" t="n"/>
      <c r="AX145" s="317" t="n"/>
      <c r="AY145" s="142" t="n"/>
      <c r="AZ145" s="317" t="n"/>
      <c r="BA145" s="317" t="n"/>
      <c r="BB145" s="317" t="n"/>
      <c r="BC145" s="317" t="n"/>
      <c r="BD145" s="317" t="n"/>
      <c r="BE145" s="317" t="n"/>
      <c r="BF145" s="317" t="n"/>
      <c r="BG145" s="317" t="n"/>
      <c r="BH145" s="317" t="n"/>
      <c r="BI145" s="317" t="n"/>
      <c r="BJ145" s="317" t="n"/>
      <c r="BK145" s="317" t="n"/>
      <c r="BL145" s="317" t="n"/>
      <c r="BM145" s="317" t="n"/>
      <c r="BN145" s="317" t="n"/>
      <c r="BO145" s="317" t="n"/>
      <c r="BP145" s="317" t="n"/>
      <c r="BQ145" s="317" t="n"/>
      <c r="BR145" s="317" t="n"/>
      <c r="BS145" s="317" t="n"/>
      <c r="BT145" s="317" t="n"/>
      <c r="BU145" s="317" t="n"/>
      <c r="BV145" s="317" t="n"/>
      <c r="BW145" s="317" t="n"/>
      <c r="BX145" s="317" t="n"/>
      <c r="BY145" s="317" t="n"/>
      <c r="BZ145" s="317" t="n"/>
      <c r="CA145" s="317" t="n"/>
      <c r="CB145" s="317" t="n"/>
      <c r="CC145" s="317" t="n"/>
      <c r="CD145" s="317" t="n"/>
      <c r="CE145" s="317" t="n"/>
      <c r="CF145" s="317" t="n"/>
      <c r="CG145" s="317" t="n"/>
      <c r="CH145" s="317" t="n"/>
      <c r="CI145" s="317" t="n"/>
      <c r="CJ145" s="317" t="n"/>
      <c r="CK145" s="317" t="n"/>
      <c r="CL145" s="317" t="n"/>
      <c r="CM145" s="317" t="n"/>
      <c r="CN145" s="317" t="n"/>
      <c r="CW145" s="317" t="n"/>
      <c r="CX145" s="317" t="n"/>
      <c r="CY145" s="317" t="n"/>
      <c r="CZ145" s="317" t="n"/>
      <c r="DA145" s="317" t="n"/>
      <c r="DB145" s="317" t="n"/>
      <c r="DC145" s="317" t="n"/>
      <c r="DD145" s="317" t="n"/>
      <c r="DE145" s="319" t="n"/>
      <c r="DF145" s="319" t="n"/>
    </row>
    <row r="146" ht="13" customFormat="1" customHeight="1" s="116">
      <c r="A146" s="342" t="inlineStr">
        <is>
          <t>18Q4</t>
        </is>
      </c>
      <c r="B146" s="317" t="n">
        <v>62766.94</v>
      </c>
      <c r="C146" s="39">
        <f>B146/(SUM(B49:B51))-1</f>
        <v/>
      </c>
      <c r="D146" s="39" t="n"/>
      <c r="E146" s="317" t="n">
        <v>40005.83</v>
      </c>
      <c r="F146" s="39">
        <f>E146/(SUM(E49:E51))-1</f>
        <v/>
      </c>
      <c r="G146" s="39" t="n"/>
      <c r="H146" s="317" t="n">
        <v>21147.95</v>
      </c>
      <c r="I146" s="39">
        <f>H146/(SUM(H49:H51))-1</f>
        <v/>
      </c>
      <c r="J146" s="39" t="n"/>
      <c r="K146" s="317" t="n">
        <v>1613.17</v>
      </c>
      <c r="L146" s="39">
        <f>K146/(SUM(K49:K51))-1</f>
        <v/>
      </c>
      <c r="M146" s="39" t="n"/>
      <c r="N146" s="317" t="n">
        <v>50527.17</v>
      </c>
      <c r="O146" s="39">
        <f>N146/(SUM(N49:N51))-1</f>
        <v/>
      </c>
      <c r="P146" s="39" t="n"/>
      <c r="Q146" s="317" t="n">
        <v>32716.9</v>
      </c>
      <c r="R146" s="39">
        <f>Q146/(SUM(Q49:Q51))-1</f>
        <v/>
      </c>
      <c r="S146" s="39" t="n"/>
      <c r="T146" s="317" t="n">
        <v>16478.61</v>
      </c>
      <c r="U146" s="39">
        <f>T146/(SUM(T49:T51))-1</f>
        <v/>
      </c>
      <c r="V146" s="39" t="n"/>
      <c r="W146" s="317" t="n">
        <v>1331.64</v>
      </c>
      <c r="X146" s="39">
        <f>W146/(SUM(W49:W51))-1</f>
        <v/>
      </c>
      <c r="Y146" s="39" t="n"/>
      <c r="Z146" s="317" t="n">
        <v>30561.48</v>
      </c>
      <c r="AA146" s="39">
        <f>Z146/(SUM(Z49:Z51))-1</f>
        <v/>
      </c>
      <c r="AB146" s="39" t="n"/>
      <c r="AC146" s="317" t="n">
        <v>25641.75</v>
      </c>
      <c r="AD146" s="39">
        <f>AC146/(SUM(AC49:AC51))-1</f>
        <v/>
      </c>
      <c r="AE146" s="39" t="n"/>
      <c r="AF146" s="317" t="n">
        <v>3937.82</v>
      </c>
      <c r="AG146" s="39">
        <f>AF146/(SUM(AF49:AF51))-1</f>
        <v/>
      </c>
      <c r="AH146" s="39" t="n"/>
      <c r="AI146" s="317" t="n">
        <v>981.9199999999998</v>
      </c>
      <c r="AJ146" s="39">
        <f>AI146/(SUM(AI49:AI51))-1</f>
        <v/>
      </c>
      <c r="AK146" s="39" t="n"/>
      <c r="AL146" s="182" t="n">
        <v>80.49666666666667</v>
      </c>
      <c r="AM146" s="182">
        <f>AL146-AL134</f>
        <v/>
      </c>
      <c r="AN146" s="317" t="n"/>
      <c r="AO146" s="182" t="n">
        <v>81.78333333333333</v>
      </c>
      <c r="AP146" s="182">
        <f>AO146-AO134</f>
        <v/>
      </c>
      <c r="AQ146" s="317" t="n"/>
      <c r="AR146" s="182" t="n">
        <v>77.89999999999999</v>
      </c>
      <c r="AS146" s="182">
        <f>AR146-AR134</f>
        <v/>
      </c>
      <c r="AT146" s="317" t="n"/>
      <c r="AU146" s="182" t="n">
        <v>82.59333333333333</v>
      </c>
      <c r="AV146" s="182">
        <f>AU146-AU134</f>
        <v/>
      </c>
      <c r="AW146" s="317" t="n"/>
      <c r="AX146" s="317" t="n"/>
      <c r="AY146" s="142" t="n"/>
      <c r="AZ146" s="39" t="n"/>
      <c r="BA146" s="317" t="n"/>
      <c r="BB146" s="39" t="n"/>
      <c r="BC146" s="317" t="n"/>
      <c r="BD146" s="39" t="n"/>
      <c r="BE146" s="317" t="n"/>
      <c r="BF146" s="39" t="n"/>
      <c r="BG146" s="317" t="n"/>
      <c r="BH146" s="39" t="n"/>
      <c r="BI146" s="317" t="n"/>
      <c r="BJ146" s="39" t="n"/>
      <c r="BK146" s="317" t="n"/>
      <c r="BL146" s="39" t="n"/>
      <c r="BM146" s="317" t="n"/>
      <c r="BN146" s="39" t="n"/>
      <c r="BO146" s="317" t="n"/>
      <c r="BP146" s="317" t="n"/>
      <c r="BQ146" s="39" t="n"/>
      <c r="BR146" s="317" t="n"/>
      <c r="BS146" s="39" t="n"/>
      <c r="BT146" s="317" t="n"/>
      <c r="BU146" s="39" t="n"/>
      <c r="BV146" s="317" t="n"/>
      <c r="BW146" s="39" t="n"/>
      <c r="BX146" s="317" t="n"/>
      <c r="BY146" s="39" t="n"/>
      <c r="BZ146" s="317" t="n"/>
      <c r="CA146" s="39" t="n"/>
      <c r="CB146" s="317" t="n"/>
      <c r="CC146" s="39" t="n"/>
      <c r="CD146" s="317" t="n"/>
      <c r="CE146" s="39" t="n"/>
      <c r="CF146" s="317" t="n"/>
      <c r="CG146" s="317" t="n"/>
      <c r="CH146" s="317" t="n"/>
      <c r="CI146" s="317" t="n"/>
      <c r="CJ146" s="317" t="n"/>
      <c r="CK146" s="317" t="n"/>
      <c r="CL146" s="317" t="n"/>
      <c r="CM146" s="317" t="n"/>
      <c r="CN146" s="317" t="n"/>
      <c r="CW146" s="317" t="n"/>
      <c r="CX146" s="39" t="n"/>
      <c r="CY146" s="317" t="n"/>
      <c r="CZ146" s="39" t="n"/>
      <c r="DA146" s="317" t="n"/>
      <c r="DB146" s="39" t="n"/>
      <c r="DC146" s="317" t="n"/>
      <c r="DD146" s="39" t="n"/>
      <c r="DE146" s="319" t="n"/>
      <c r="DF146" s="319" t="n"/>
    </row>
    <row r="147" ht="13" customFormat="1" customHeight="1" s="116">
      <c r="A147" s="342" t="n"/>
      <c r="B147" s="317" t="n"/>
      <c r="C147" s="39" t="n"/>
      <c r="D147" s="39" t="n"/>
      <c r="E147" s="317" t="n"/>
      <c r="F147" s="39" t="n"/>
      <c r="G147" s="39" t="n"/>
      <c r="H147" s="317" t="n"/>
      <c r="I147" s="39" t="n"/>
      <c r="J147" s="39" t="n"/>
      <c r="K147" s="317" t="n"/>
      <c r="L147" s="39" t="n"/>
      <c r="M147" s="39" t="n"/>
      <c r="N147" s="317" t="n"/>
      <c r="O147" s="39" t="n"/>
      <c r="P147" s="39" t="n"/>
      <c r="Q147" s="317" t="n"/>
      <c r="R147" s="39" t="n"/>
      <c r="S147" s="39" t="n"/>
      <c r="T147" s="317" t="n"/>
      <c r="U147" s="39" t="n"/>
      <c r="V147" s="39" t="n"/>
      <c r="W147" s="317" t="n"/>
      <c r="X147" s="39" t="n"/>
      <c r="Y147" s="39" t="n"/>
      <c r="Z147" s="317" t="n"/>
      <c r="AA147" s="39" t="n"/>
      <c r="AB147" s="39" t="n"/>
      <c r="AC147" s="317" t="n"/>
      <c r="AD147" s="39" t="n"/>
      <c r="AE147" s="39" t="n"/>
      <c r="AF147" s="317" t="n"/>
      <c r="AG147" s="39" t="n"/>
      <c r="AH147" s="39" t="n"/>
      <c r="AI147" s="317" t="n"/>
      <c r="AJ147" s="39" t="n"/>
      <c r="AK147" s="39" t="n"/>
      <c r="AL147" s="317" t="n"/>
      <c r="AM147" s="317" t="n"/>
      <c r="AN147" s="317" t="n"/>
      <c r="AO147" s="317" t="n"/>
      <c r="AP147" s="317" t="n"/>
      <c r="AQ147" s="317" t="n"/>
      <c r="AR147" s="317" t="n"/>
      <c r="AS147" s="317" t="n"/>
      <c r="AT147" s="317" t="n"/>
      <c r="AU147" s="317" t="n"/>
      <c r="AV147" s="317" t="n"/>
      <c r="AW147" s="317" t="n"/>
      <c r="AX147" s="317" t="n"/>
      <c r="AY147" s="317" t="n"/>
      <c r="AZ147" s="39" t="n"/>
      <c r="BA147" s="317" t="n"/>
      <c r="BB147" s="39" t="n"/>
      <c r="BC147" s="317" t="n"/>
      <c r="BD147" s="39" t="n"/>
      <c r="BE147" s="317" t="n"/>
      <c r="BF147" s="39" t="n"/>
      <c r="BG147" s="317" t="n"/>
      <c r="BH147" s="39" t="n"/>
      <c r="BI147" s="317" t="n"/>
      <c r="BJ147" s="39" t="n"/>
      <c r="BK147" s="317" t="n"/>
      <c r="BL147" s="39" t="n"/>
      <c r="BM147" s="317" t="n"/>
      <c r="BN147" s="39" t="n"/>
      <c r="BO147" s="317" t="n"/>
      <c r="BP147" s="317" t="n"/>
      <c r="BQ147" s="39" t="n"/>
      <c r="BR147" s="317" t="n"/>
      <c r="BS147" s="39" t="n"/>
      <c r="BT147" s="317" t="n"/>
      <c r="BU147" s="39" t="n"/>
      <c r="BV147" s="317" t="n"/>
      <c r="BW147" s="39" t="n"/>
      <c r="BX147" s="317" t="n"/>
      <c r="BY147" s="39" t="n"/>
      <c r="BZ147" s="317" t="n"/>
      <c r="CA147" s="39" t="n"/>
      <c r="CB147" s="317" t="n"/>
      <c r="CC147" s="39" t="n"/>
      <c r="CD147" s="317" t="n"/>
      <c r="CE147" s="39" t="n"/>
      <c r="CF147" s="317" t="n"/>
      <c r="CG147" s="317" t="n"/>
      <c r="CH147" s="317" t="n"/>
      <c r="CI147" s="317" t="n"/>
      <c r="CJ147" s="317" t="n"/>
      <c r="CK147" s="317" t="n"/>
      <c r="CL147" s="317" t="n"/>
      <c r="CM147" s="317" t="n"/>
      <c r="CN147" s="317" t="n"/>
      <c r="CW147" s="317" t="n"/>
      <c r="CX147" s="39" t="n"/>
      <c r="CY147" s="317" t="n"/>
      <c r="CZ147" s="39" t="n"/>
      <c r="DA147" s="317" t="n"/>
      <c r="DB147" s="39" t="n"/>
      <c r="DC147" s="317" t="n"/>
      <c r="DD147" s="39" t="n"/>
      <c r="DE147" s="319" t="n"/>
      <c r="DF147" s="319" t="n"/>
    </row>
    <row r="148" ht="13" customFormat="1" customHeight="1" s="116">
      <c r="A148" s="342" t="inlineStr">
        <is>
          <t>19Q1</t>
        </is>
      </c>
      <c r="B148" s="317" t="n">
        <v>65809.12</v>
      </c>
      <c r="C148" s="39">
        <f>B148/B143-1</f>
        <v/>
      </c>
      <c r="D148" s="39" t="n"/>
      <c r="E148" s="317" t="n">
        <v>42142.24</v>
      </c>
      <c r="F148" s="39">
        <f>E148/E143-1</f>
        <v/>
      </c>
      <c r="G148" s="39" t="n"/>
      <c r="H148" s="317" t="n">
        <v>22014.52</v>
      </c>
      <c r="I148" s="39">
        <f>H148/H143-1</f>
        <v/>
      </c>
      <c r="J148" s="39" t="n"/>
      <c r="K148" s="317" t="n">
        <v>1652.35</v>
      </c>
      <c r="L148" s="39">
        <f>K148/K143-1</f>
        <v/>
      </c>
      <c r="M148" s="39" t="n"/>
      <c r="N148" s="317" t="n">
        <v>54343.09</v>
      </c>
      <c r="O148" s="39">
        <f>N148/N143-1</f>
        <v/>
      </c>
      <c r="P148" s="39" t="n"/>
      <c r="Q148" s="317" t="n">
        <v>35056.05</v>
      </c>
      <c r="R148" s="39">
        <f>Q148/Q143-1</f>
        <v/>
      </c>
      <c r="S148" s="39" t="n"/>
      <c r="T148" s="317" t="n">
        <v>17930.96</v>
      </c>
      <c r="U148" s="39">
        <f>T148/T143-1</f>
        <v/>
      </c>
      <c r="V148" s="39" t="n"/>
      <c r="W148" s="317" t="n">
        <v>1356.08</v>
      </c>
      <c r="X148" s="39">
        <f>W148/W143-1</f>
        <v/>
      </c>
      <c r="Y148" s="39" t="n"/>
      <c r="Z148" s="317" t="n">
        <v>31877.72</v>
      </c>
      <c r="AA148" s="39">
        <f>Z148/Z143-1</f>
        <v/>
      </c>
      <c r="AB148" s="39" t="n"/>
      <c r="AC148" s="317" t="n">
        <v>26477.8</v>
      </c>
      <c r="AD148" s="39">
        <f>AC148/AC143-1</f>
        <v/>
      </c>
      <c r="AE148" s="39" t="n"/>
      <c r="AF148" s="317" t="n">
        <v>4393.56</v>
      </c>
      <c r="AG148" s="39">
        <f>AF148/AF143-1</f>
        <v/>
      </c>
      <c r="AH148" s="39" t="n"/>
      <c r="AI148" s="317" t="n">
        <v>1006.38</v>
      </c>
      <c r="AJ148" s="39">
        <f>AI148/AI143-1</f>
        <v/>
      </c>
      <c r="AK148" s="39" t="n"/>
      <c r="AL148" s="182" t="n">
        <v>82.61</v>
      </c>
      <c r="AM148" s="182">
        <f>AL148-AL136</f>
        <v/>
      </c>
      <c r="AN148" s="317" t="n"/>
      <c r="AO148" s="182" t="n">
        <v>83.24666666666667</v>
      </c>
      <c r="AP148" s="182">
        <f>AO148-AO136</f>
        <v/>
      </c>
      <c r="AQ148" s="317" t="n"/>
      <c r="AR148" s="182" t="n">
        <v>81.44333333333334</v>
      </c>
      <c r="AS148" s="182">
        <f>AR148-AR136</f>
        <v/>
      </c>
      <c r="AT148" s="317" t="n"/>
      <c r="AU148" s="182" t="n">
        <v>82.06333333333333</v>
      </c>
      <c r="AV148" s="182">
        <f>AU148-AU136</f>
        <v/>
      </c>
      <c r="AW148" s="317" t="n"/>
      <c r="AX148" s="317" t="n"/>
      <c r="AY148" s="142" t="n"/>
      <c r="AZ148" s="39" t="n"/>
      <c r="BA148" s="317" t="n"/>
      <c r="BB148" s="39" t="n"/>
      <c r="BC148" s="317" t="n"/>
      <c r="BD148" s="39" t="n"/>
      <c r="BE148" s="317" t="n"/>
      <c r="BF148" s="39" t="n"/>
      <c r="BG148" s="317" t="n"/>
      <c r="BH148" s="39" t="n"/>
      <c r="BI148" s="317" t="n"/>
      <c r="BJ148" s="39" t="n"/>
      <c r="BK148" s="317" t="n"/>
      <c r="BL148" s="39" t="n"/>
      <c r="BM148" s="317" t="n"/>
      <c r="BN148" s="39" t="n"/>
      <c r="BO148" s="317" t="n"/>
      <c r="BP148" s="317" t="n"/>
      <c r="BQ148" s="39" t="n"/>
      <c r="BR148" s="317" t="n"/>
      <c r="BS148" s="39" t="n"/>
      <c r="BT148" s="317" t="n"/>
      <c r="BU148" s="39" t="n"/>
      <c r="BV148" s="317" t="n"/>
      <c r="BW148" s="39" t="n"/>
      <c r="BX148" s="317" t="n"/>
      <c r="BY148" s="39" t="n"/>
      <c r="BZ148" s="317" t="n"/>
      <c r="CA148" s="39" t="n"/>
      <c r="CB148" s="317" t="n"/>
      <c r="CC148" s="39" t="n"/>
      <c r="CD148" s="317" t="n"/>
      <c r="CE148" s="39" t="n"/>
      <c r="CF148" s="317" t="n"/>
      <c r="CG148" s="317" t="n"/>
      <c r="CH148" s="317" t="n"/>
      <c r="CI148" s="317" t="n"/>
      <c r="CJ148" s="317" t="n"/>
      <c r="CK148" s="317" t="n"/>
      <c r="CL148" s="317" t="n"/>
      <c r="CM148" s="317" t="n"/>
      <c r="CN148" s="317" t="n"/>
      <c r="CW148" s="317" t="n"/>
      <c r="CX148" s="39" t="n"/>
      <c r="CY148" s="317" t="n"/>
      <c r="CZ148" s="39" t="n"/>
      <c r="DA148" s="317" t="n"/>
      <c r="DB148" s="39" t="n"/>
      <c r="DC148" s="317" t="n"/>
      <c r="DD148" s="39" t="n"/>
      <c r="DE148" s="319" t="n"/>
      <c r="DF148" s="319" t="n"/>
    </row>
    <row r="149" ht="13" customFormat="1" customHeight="1" s="116">
      <c r="A149" s="342" t="inlineStr">
        <is>
          <t>19Q2</t>
        </is>
      </c>
      <c r="B149" s="317" t="n">
        <v>65667.35000000001</v>
      </c>
      <c r="C149" s="39">
        <f>B149/B144-1</f>
        <v/>
      </c>
      <c r="D149" s="39" t="n"/>
      <c r="E149" s="317" t="n">
        <v>41536.32999999999</v>
      </c>
      <c r="F149" s="39">
        <f>E149/E144-1</f>
        <v/>
      </c>
      <c r="G149" s="39" t="n"/>
      <c r="H149" s="317" t="n">
        <v>22371.13</v>
      </c>
      <c r="I149" s="39">
        <f>H149/H144-1</f>
        <v/>
      </c>
      <c r="J149" s="39" t="n"/>
      <c r="K149" s="317" t="n">
        <v>1759.89</v>
      </c>
      <c r="L149" s="39">
        <f>K149/K144-1</f>
        <v/>
      </c>
      <c r="M149" s="39" t="n"/>
      <c r="N149" s="317" t="n">
        <v>54338.57999999999</v>
      </c>
      <c r="O149" s="39">
        <f>N149/N144-1</f>
        <v/>
      </c>
      <c r="P149" s="39" t="n"/>
      <c r="Q149" s="317" t="n">
        <v>34748.13</v>
      </c>
      <c r="R149" s="39">
        <f>Q149/Q144-1</f>
        <v/>
      </c>
      <c r="S149" s="39" t="n"/>
      <c r="T149" s="317" t="n">
        <v>18136.36</v>
      </c>
      <c r="U149" s="39">
        <f>T149/T144-1</f>
        <v/>
      </c>
      <c r="V149" s="39" t="n"/>
      <c r="W149" s="317" t="n">
        <v>1454.09</v>
      </c>
      <c r="X149" s="39">
        <f>W149/W144-1</f>
        <v/>
      </c>
      <c r="Y149" s="39" t="n"/>
      <c r="Z149" s="317" t="n">
        <v>32130.02</v>
      </c>
      <c r="AA149" s="39">
        <f>Z149/Z144-1</f>
        <v/>
      </c>
      <c r="AB149" s="39" t="n"/>
      <c r="AC149" s="317" t="n">
        <v>26736.2</v>
      </c>
      <c r="AD149" s="39">
        <f>AC149/AC144-1</f>
        <v/>
      </c>
      <c r="AE149" s="39" t="n"/>
      <c r="AF149" s="317" t="n">
        <v>4331.440000000001</v>
      </c>
      <c r="AG149" s="39">
        <f>AF149/AF144-1</f>
        <v/>
      </c>
      <c r="AH149" s="39" t="n"/>
      <c r="AI149" s="317" t="n">
        <v>1062.38</v>
      </c>
      <c r="AJ149" s="39">
        <f>AI149/AI144-1</f>
        <v/>
      </c>
      <c r="AK149" s="39" t="n"/>
      <c r="AL149" s="182" t="n">
        <v>82.76333333333334</v>
      </c>
      <c r="AM149" s="182">
        <f>AL149-AL137</f>
        <v/>
      </c>
      <c r="AN149" s="317" t="n"/>
      <c r="AO149" s="182" t="n">
        <v>83.67666666666666</v>
      </c>
      <c r="AP149" s="182">
        <f>AO149-AO137</f>
        <v/>
      </c>
      <c r="AQ149" s="317" t="n"/>
      <c r="AR149" s="182" t="n">
        <v>81.07333333333334</v>
      </c>
      <c r="AS149" s="182">
        <f>AR149-AR137</f>
        <v/>
      </c>
      <c r="AT149" s="317" t="n"/>
      <c r="AU149" s="182" t="n">
        <v>82.62333333333333</v>
      </c>
      <c r="AV149" s="182">
        <f>AU149-AU137</f>
        <v/>
      </c>
      <c r="AW149" s="317" t="n"/>
      <c r="AX149" s="317" t="n"/>
      <c r="AY149" s="142" t="n"/>
      <c r="AZ149" s="39" t="n"/>
      <c r="BA149" s="317" t="n"/>
      <c r="BB149" s="39" t="n"/>
      <c r="BC149" s="317" t="n"/>
      <c r="BD149" s="39" t="n"/>
      <c r="BE149" s="317" t="n"/>
      <c r="BF149" s="39" t="n"/>
      <c r="BG149" s="317" t="n"/>
      <c r="BH149" s="39" t="n"/>
      <c r="BI149" s="317" t="n"/>
      <c r="BJ149" s="39" t="n"/>
      <c r="BK149" s="317" t="n"/>
      <c r="BL149" s="39" t="n"/>
      <c r="BM149" s="317" t="n"/>
      <c r="BN149" s="39" t="n"/>
      <c r="BO149" s="317" t="n"/>
      <c r="BP149" s="317" t="n"/>
      <c r="BQ149" s="39" t="n"/>
      <c r="BR149" s="317" t="n"/>
      <c r="BS149" s="39" t="n"/>
      <c r="BT149" s="317" t="n"/>
      <c r="BU149" s="39" t="n"/>
      <c r="BV149" s="317" t="n"/>
      <c r="BW149" s="39" t="n"/>
      <c r="BX149" s="317" t="n"/>
      <c r="BY149" s="39" t="n"/>
      <c r="BZ149" s="317" t="n"/>
      <c r="CA149" s="39" t="n"/>
      <c r="CB149" s="317" t="n"/>
      <c r="CC149" s="39" t="n"/>
      <c r="CD149" s="317" t="n"/>
      <c r="CE149" s="39" t="n"/>
      <c r="CF149" s="317" t="n"/>
      <c r="CG149" s="317" t="n"/>
      <c r="CH149" s="317" t="n"/>
      <c r="CI149" s="317" t="n"/>
      <c r="CJ149" s="317" t="n"/>
      <c r="CK149" s="317" t="n"/>
      <c r="CL149" s="317" t="n"/>
      <c r="CM149" s="317" t="n"/>
      <c r="CN149" s="317" t="n"/>
      <c r="CW149" s="317" t="n"/>
      <c r="CX149" s="39" t="n"/>
      <c r="CY149" s="317" t="n"/>
      <c r="CZ149" s="39" t="n"/>
      <c r="DA149" s="317" t="n"/>
      <c r="DB149" s="39" t="n"/>
      <c r="DC149" s="317" t="n"/>
      <c r="DD149" s="39" t="n"/>
      <c r="DE149" s="319" t="n"/>
      <c r="DF149" s="319" t="n"/>
    </row>
    <row r="150" ht="13" customFormat="1" customHeight="1" s="116">
      <c r="A150" s="342" t="inlineStr">
        <is>
          <t>19Q3</t>
        </is>
      </c>
      <c r="B150" s="317" t="n">
        <v>70238.69</v>
      </c>
      <c r="C150" s="142">
        <f>B150/B145-1</f>
        <v/>
      </c>
      <c r="D150" s="142" t="n"/>
      <c r="E150" s="317" t="n">
        <v>44704.98</v>
      </c>
      <c r="F150" s="142">
        <f>E150/E145-1</f>
        <v/>
      </c>
      <c r="G150" s="142" t="n"/>
      <c r="H150" s="317" t="n">
        <v>23882.73</v>
      </c>
      <c r="I150" s="142">
        <f>H150/H145-1</f>
        <v/>
      </c>
      <c r="J150" s="142" t="n"/>
      <c r="K150" s="317" t="n">
        <v>1650.99</v>
      </c>
      <c r="L150" s="142">
        <f>K150/K145-1</f>
        <v/>
      </c>
      <c r="M150" s="142" t="n"/>
      <c r="N150" s="317" t="n">
        <v>57881.17</v>
      </c>
      <c r="O150" s="142">
        <f>N150/N145-1</f>
        <v/>
      </c>
      <c r="P150" s="142" t="n"/>
      <c r="Q150" s="317" t="n">
        <v>37378.05</v>
      </c>
      <c r="R150" s="142">
        <f>Q150/Q145-1</f>
        <v/>
      </c>
      <c r="S150" s="142" t="n"/>
      <c r="T150" s="317" t="n">
        <v>19256.38</v>
      </c>
      <c r="U150" s="142">
        <f>T150/T145-1</f>
        <v/>
      </c>
      <c r="V150" s="142" t="n"/>
      <c r="W150" s="317" t="n">
        <v>1246.72</v>
      </c>
      <c r="X150" s="142">
        <f>W150/W145-1</f>
        <v/>
      </c>
      <c r="Y150" s="142" t="n"/>
      <c r="Z150" s="317" t="n">
        <v>33912.36</v>
      </c>
      <c r="AA150" s="39">
        <f>Z150/Z145-1</f>
        <v/>
      </c>
      <c r="AB150" s="39" t="n"/>
      <c r="AC150" s="317" t="n">
        <v>28474.34</v>
      </c>
      <c r="AD150" s="39">
        <f>AC150/AC145-1</f>
        <v/>
      </c>
      <c r="AE150" s="39" t="n"/>
      <c r="AF150" s="317" t="n">
        <v>4527.55</v>
      </c>
      <c r="AG150" s="39">
        <f>AF150/AF145-1</f>
        <v/>
      </c>
      <c r="AH150" s="39" t="n"/>
      <c r="AI150" s="317" t="n">
        <v>910.49</v>
      </c>
      <c r="AJ150" s="39">
        <f>AI150/AI145-1</f>
        <v/>
      </c>
      <c r="AK150" s="39" t="n"/>
      <c r="AL150" s="182" t="n">
        <v>82.36333333333333</v>
      </c>
      <c r="AM150" s="182">
        <f>AL150-AL138</f>
        <v/>
      </c>
      <c r="AN150" s="317" t="n"/>
      <c r="AO150" s="182" t="n">
        <v>83.56666666666666</v>
      </c>
      <c r="AP150" s="182">
        <f>AO150-AO138</f>
        <v/>
      </c>
      <c r="AQ150" s="317" t="n"/>
      <c r="AR150" s="182" t="n">
        <v>80.60666666666667</v>
      </c>
      <c r="AS150" s="182">
        <f>AR150-AR138</f>
        <v/>
      </c>
      <c r="AT150" s="317" t="n"/>
      <c r="AU150" s="182" t="n">
        <v>74.97333333333334</v>
      </c>
      <c r="AV150" s="182">
        <f>AU150-AU138</f>
        <v/>
      </c>
      <c r="AW150" s="317" t="n"/>
      <c r="AX150" s="317" t="n"/>
      <c r="AY150" s="142" t="n"/>
      <c r="AZ150" s="317" t="n"/>
      <c r="BA150" s="317" t="n"/>
      <c r="BB150" s="317" t="n"/>
      <c r="BC150" s="317" t="n"/>
      <c r="BD150" s="317" t="n"/>
      <c r="BE150" s="317" t="n"/>
      <c r="BF150" s="317" t="n"/>
      <c r="BG150" s="317" t="n"/>
      <c r="BH150" s="317" t="n"/>
      <c r="BI150" s="317" t="n"/>
      <c r="BJ150" s="317" t="n"/>
      <c r="BK150" s="317" t="n"/>
      <c r="BL150" s="317" t="n"/>
      <c r="BM150" s="317" t="n"/>
      <c r="BN150" s="317" t="n"/>
      <c r="BO150" s="317" t="n"/>
      <c r="BP150" s="317" t="n"/>
      <c r="BQ150" s="317" t="n"/>
      <c r="BR150" s="317" t="n"/>
      <c r="BS150" s="317" t="n"/>
      <c r="BT150" s="317" t="n"/>
      <c r="BU150" s="317" t="n"/>
      <c r="BV150" s="317" t="n"/>
      <c r="BW150" s="317" t="n"/>
      <c r="BX150" s="317" t="n"/>
      <c r="BY150" s="317" t="n"/>
      <c r="BZ150" s="317" t="n"/>
      <c r="CA150" s="317" t="n"/>
      <c r="CB150" s="317" t="n"/>
      <c r="CC150" s="317" t="n"/>
      <c r="CD150" s="317" t="n"/>
      <c r="CE150" s="317" t="n"/>
      <c r="CF150" s="317" t="n"/>
      <c r="CG150" s="317" t="n"/>
      <c r="CH150" s="317" t="n"/>
      <c r="CI150" s="317" t="n"/>
      <c r="CJ150" s="317" t="n"/>
      <c r="CK150" s="317" t="n"/>
      <c r="CL150" s="317" t="n"/>
      <c r="CM150" s="317" t="n"/>
      <c r="CN150" s="317" t="n"/>
      <c r="CW150" s="317" t="n"/>
      <c r="CX150" s="317" t="n"/>
      <c r="CY150" s="317" t="n"/>
      <c r="CZ150" s="317" t="n"/>
      <c r="DA150" s="317" t="n"/>
      <c r="DB150" s="317" t="n"/>
      <c r="DC150" s="317" t="n"/>
      <c r="DD150" s="317" t="n"/>
      <c r="DE150" s="319" t="n"/>
      <c r="DF150" s="319" t="n"/>
    </row>
    <row r="151" ht="13" customFormat="1" customHeight="1" s="116">
      <c r="A151" s="342" t="inlineStr">
        <is>
          <t>19Q4</t>
        </is>
      </c>
      <c r="B151" s="317" t="n">
        <v>68446.04000000001</v>
      </c>
      <c r="C151" s="39">
        <f>B151/B146-1</f>
        <v/>
      </c>
      <c r="D151" s="39" t="n"/>
      <c r="E151" s="317" t="n">
        <v>43278.75</v>
      </c>
      <c r="F151" s="39">
        <f>E151/E146-1</f>
        <v/>
      </c>
      <c r="G151" s="39" t="n"/>
      <c r="H151" s="317" t="n">
        <v>23823.42</v>
      </c>
      <c r="I151" s="39">
        <f>H151/H146-1</f>
        <v/>
      </c>
      <c r="J151" s="39" t="n"/>
      <c r="K151" s="317" t="n">
        <v>1343.87</v>
      </c>
      <c r="L151" s="39">
        <f>K151/K146-1</f>
        <v/>
      </c>
      <c r="M151" s="39" t="n"/>
      <c r="N151" s="317" t="n">
        <v>54994.57</v>
      </c>
      <c r="O151" s="39">
        <f>N151/N146-1</f>
        <v/>
      </c>
      <c r="P151" s="39" t="n"/>
      <c r="Q151" s="317" t="n">
        <v>35652.72</v>
      </c>
      <c r="R151" s="39">
        <f>Q151/Q146-1</f>
        <v/>
      </c>
      <c r="S151" s="39" t="n"/>
      <c r="T151" s="317" t="n">
        <v>18352.91</v>
      </c>
      <c r="U151" s="39">
        <f>T151/T146-1</f>
        <v/>
      </c>
      <c r="V151" s="39" t="n"/>
      <c r="W151" s="317" t="n">
        <v>988.9300000000001</v>
      </c>
      <c r="X151" s="39">
        <f>W151/W146-1</f>
        <v/>
      </c>
      <c r="Y151" s="39" t="n"/>
      <c r="Z151" s="317" t="n">
        <v>32291.82</v>
      </c>
      <c r="AA151" s="39">
        <f>Z151/Z146-1</f>
        <v/>
      </c>
      <c r="AB151" s="39" t="n"/>
      <c r="AC151" s="317" t="n">
        <v>27262.44</v>
      </c>
      <c r="AD151" s="39">
        <f>AC151/AC146-1</f>
        <v/>
      </c>
      <c r="AE151" s="39" t="n"/>
      <c r="AF151" s="317" t="n">
        <v>4298.790000000001</v>
      </c>
      <c r="AG151" s="39">
        <f>AF151/AF146-1</f>
        <v/>
      </c>
      <c r="AH151" s="39" t="n"/>
      <c r="AI151" s="317" t="n">
        <v>730.61</v>
      </c>
      <c r="AJ151" s="39">
        <f>AI151/AI146-1</f>
        <v/>
      </c>
      <c r="AK151" s="39" t="n"/>
      <c r="AL151" s="182" t="n">
        <v>80.34666666666666</v>
      </c>
      <c r="AM151" s="182">
        <f>AL151-AL139</f>
        <v/>
      </c>
      <c r="AN151" s="317" t="n"/>
      <c r="AO151" s="182" t="n">
        <v>82.37</v>
      </c>
      <c r="AP151" s="182">
        <f>AO151-AO139</f>
        <v/>
      </c>
      <c r="AQ151" s="317" t="n"/>
      <c r="AR151" s="182" t="n">
        <v>77.03333333333333</v>
      </c>
      <c r="AS151" s="182">
        <f>AR151-AR139</f>
        <v/>
      </c>
      <c r="AT151" s="317" t="n"/>
      <c r="AU151" s="182" t="n">
        <v>73.74333333333334</v>
      </c>
      <c r="AV151" s="182">
        <f>AU151-AU139</f>
        <v/>
      </c>
      <c r="AW151" s="317" t="n"/>
      <c r="AX151" s="317" t="n"/>
      <c r="AY151" s="142" t="n"/>
      <c r="AZ151" s="39" t="n"/>
      <c r="BA151" s="317" t="n"/>
      <c r="BB151" s="39" t="n"/>
      <c r="BC151" s="317" t="n"/>
      <c r="BD151" s="39" t="n"/>
      <c r="BE151" s="317" t="n"/>
      <c r="BF151" s="39" t="n"/>
      <c r="BG151" s="317" t="n"/>
      <c r="BH151" s="39" t="n"/>
      <c r="BI151" s="317" t="n"/>
      <c r="BJ151" s="39" t="n"/>
      <c r="BK151" s="317" t="n"/>
      <c r="BL151" s="39" t="n"/>
      <c r="BM151" s="317" t="n"/>
      <c r="BN151" s="39" t="n"/>
      <c r="BO151" s="317" t="n"/>
      <c r="BP151" s="317" t="n"/>
      <c r="BQ151" s="39" t="n"/>
      <c r="BR151" s="317" t="n"/>
      <c r="BS151" s="39" t="n"/>
      <c r="BT151" s="317" t="n"/>
      <c r="BU151" s="39" t="n"/>
      <c r="BV151" s="317" t="n"/>
      <c r="BW151" s="39" t="n"/>
      <c r="BX151" s="317" t="n"/>
      <c r="BY151" s="39" t="n"/>
      <c r="BZ151" s="317" t="n"/>
      <c r="CA151" s="39" t="n"/>
      <c r="CB151" s="317" t="n"/>
      <c r="CC151" s="39" t="n"/>
      <c r="CD151" s="317" t="n"/>
      <c r="CE151" s="39" t="n"/>
      <c r="CF151" s="317" t="n"/>
      <c r="CG151" s="317" t="n"/>
      <c r="CH151" s="317" t="n"/>
      <c r="CI151" s="317" t="n"/>
      <c r="CJ151" s="317" t="n"/>
      <c r="CK151" s="317" t="n"/>
      <c r="CL151" s="317" t="n"/>
      <c r="CM151" s="317" t="n"/>
      <c r="CN151" s="317" t="n"/>
      <c r="CW151" s="317" t="n"/>
      <c r="CX151" s="39" t="n"/>
      <c r="CY151" s="317" t="n"/>
      <c r="CZ151" s="39" t="n"/>
      <c r="DA151" s="317" t="n"/>
      <c r="DB151" s="39" t="n"/>
      <c r="DC151" s="317" t="n"/>
      <c r="DD151" s="39" t="n"/>
      <c r="DE151" s="319" t="n"/>
      <c r="DF151" s="319" t="n"/>
    </row>
    <row r="152" ht="13" customFormat="1" customHeight="1" s="116">
      <c r="A152" s="342" t="n"/>
      <c r="B152" s="317" t="n"/>
      <c r="C152" s="39" t="n"/>
      <c r="D152" s="39" t="n"/>
      <c r="E152" s="317" t="n"/>
      <c r="F152" s="39" t="n"/>
      <c r="G152" s="39" t="n"/>
      <c r="H152" s="317" t="n"/>
      <c r="I152" s="39" t="n"/>
      <c r="J152" s="39" t="n"/>
      <c r="K152" s="317" t="n"/>
      <c r="L152" s="39" t="n"/>
      <c r="M152" s="39" t="n"/>
      <c r="N152" s="317" t="n"/>
      <c r="O152" s="39" t="n"/>
      <c r="P152" s="39" t="n"/>
      <c r="Q152" s="317" t="n"/>
      <c r="R152" s="39" t="n"/>
      <c r="S152" s="39" t="n"/>
      <c r="T152" s="317" t="n"/>
      <c r="U152" s="39" t="n"/>
      <c r="V152" s="39" t="n"/>
      <c r="W152" s="317" t="n"/>
      <c r="X152" s="39" t="n"/>
      <c r="Y152" s="39" t="n"/>
      <c r="Z152" s="317" t="n"/>
      <c r="AA152" s="39" t="n"/>
      <c r="AB152" s="39" t="n"/>
      <c r="AC152" s="317" t="n"/>
      <c r="AD152" s="39" t="n"/>
      <c r="AE152" s="39" t="n"/>
      <c r="AF152" s="317" t="n"/>
      <c r="AG152" s="39" t="n"/>
      <c r="AH152" s="39" t="n"/>
      <c r="AI152" s="317" t="n"/>
      <c r="AJ152" s="39" t="n"/>
      <c r="AK152" s="39" t="n"/>
      <c r="AL152" s="317" t="n"/>
      <c r="AM152" s="317" t="n"/>
      <c r="AN152" s="317" t="n"/>
      <c r="AO152" s="317" t="n"/>
      <c r="AP152" s="317" t="n"/>
      <c r="AQ152" s="317" t="n"/>
      <c r="AR152" s="317" t="n"/>
      <c r="AS152" s="317" t="n"/>
      <c r="AT152" s="317" t="n"/>
      <c r="AU152" s="317" t="n"/>
      <c r="AV152" s="317" t="n"/>
      <c r="AW152" s="317" t="n"/>
      <c r="AX152" s="317" t="n"/>
      <c r="AY152" s="317" t="n"/>
      <c r="AZ152" s="39" t="n"/>
      <c r="BA152" s="317" t="n"/>
      <c r="BB152" s="39" t="n"/>
      <c r="BC152" s="317" t="n"/>
      <c r="BD152" s="39" t="n"/>
      <c r="BE152" s="317" t="n"/>
      <c r="BF152" s="39" t="n"/>
      <c r="BG152" s="317" t="n"/>
      <c r="BH152" s="39" t="n"/>
      <c r="BI152" s="317" t="n"/>
      <c r="BJ152" s="39" t="n"/>
      <c r="BK152" s="317" t="n"/>
      <c r="BL152" s="39" t="n"/>
      <c r="BM152" s="317" t="n"/>
      <c r="BN152" s="39" t="n"/>
      <c r="BO152" s="317" t="n"/>
      <c r="BP152" s="317" t="n"/>
      <c r="BQ152" s="39" t="n"/>
      <c r="BR152" s="317" t="n"/>
      <c r="BS152" s="39" t="n"/>
      <c r="BT152" s="317" t="n"/>
      <c r="BU152" s="39" t="n"/>
      <c r="BV152" s="317" t="n"/>
      <c r="BW152" s="39" t="n"/>
      <c r="BX152" s="317" t="n"/>
      <c r="BY152" s="39" t="n"/>
      <c r="BZ152" s="317" t="n"/>
      <c r="CA152" s="39" t="n"/>
      <c r="CB152" s="317" t="n"/>
      <c r="CC152" s="39" t="n"/>
      <c r="CD152" s="317" t="n"/>
      <c r="CE152" s="39" t="n"/>
      <c r="CF152" s="317" t="n"/>
      <c r="CG152" s="317" t="n"/>
      <c r="CH152" s="317" t="n"/>
      <c r="CI152" s="317" t="n"/>
      <c r="CJ152" s="317" t="n"/>
      <c r="CK152" s="317" t="n"/>
      <c r="CL152" s="317" t="n"/>
      <c r="CM152" s="317" t="n"/>
      <c r="CN152" s="317" t="n"/>
      <c r="CW152" s="317" t="n"/>
      <c r="CX152" s="39" t="n"/>
      <c r="CY152" s="317" t="n"/>
      <c r="CZ152" s="39" t="n"/>
      <c r="DA152" s="317" t="n"/>
      <c r="DB152" s="39" t="n"/>
      <c r="DC152" s="317" t="n"/>
      <c r="DD152" s="39" t="n"/>
      <c r="DE152" s="319" t="n"/>
      <c r="DF152" s="319" t="n"/>
    </row>
    <row r="153" ht="13" customFormat="1" customHeight="1" s="116">
      <c r="A153" s="342" t="inlineStr">
        <is>
          <t>20Q1</t>
        </is>
      </c>
      <c r="B153" s="317" t="n">
        <v>36647.31</v>
      </c>
      <c r="C153" s="39">
        <f>B153/B148-1</f>
        <v/>
      </c>
      <c r="D153" s="39" t="n"/>
      <c r="E153" s="317" t="n">
        <v>22902.67</v>
      </c>
      <c r="F153" s="39">
        <f>E153/E148-1</f>
        <v/>
      </c>
      <c r="G153" s="39" t="n"/>
      <c r="H153" s="317" t="n">
        <v>13152.91</v>
      </c>
      <c r="I153" s="39">
        <f>H153/H148-1</f>
        <v/>
      </c>
      <c r="J153" s="39" t="n"/>
      <c r="K153" s="317" t="n">
        <v>591.73</v>
      </c>
      <c r="L153" s="39">
        <f>K153/K148-1</f>
        <v/>
      </c>
      <c r="M153" s="39" t="n"/>
      <c r="N153" s="317" t="n">
        <v>24837.09</v>
      </c>
      <c r="O153" s="39">
        <f>N153/N148-1</f>
        <v/>
      </c>
      <c r="P153" s="39" t="n"/>
      <c r="Q153" s="317" t="n">
        <v>15416.92</v>
      </c>
      <c r="R153" s="39">
        <f>Q153/Q148-1</f>
        <v/>
      </c>
      <c r="S153" s="39" t="n"/>
      <c r="T153" s="317" t="n">
        <v>9058.35</v>
      </c>
      <c r="U153" s="39">
        <f>T153/T148-1</f>
        <v/>
      </c>
      <c r="V153" s="39" t="n"/>
      <c r="W153" s="317" t="n">
        <v>361.81</v>
      </c>
      <c r="X153" s="39">
        <f>W153/W148-1</f>
        <v/>
      </c>
      <c r="Y153" s="39" t="n"/>
      <c r="Z153" s="317" t="n">
        <v>13702.78</v>
      </c>
      <c r="AA153" s="39">
        <f>Z153/Z148-1</f>
        <v/>
      </c>
      <c r="AB153" s="39" t="n"/>
      <c r="AC153" s="317" t="n">
        <v>11421.05</v>
      </c>
      <c r="AD153" s="39">
        <f>AC153/AC148-1</f>
        <v/>
      </c>
      <c r="AE153" s="39" t="n"/>
      <c r="AF153" s="317" t="n">
        <v>2006.66</v>
      </c>
      <c r="AG153" s="39">
        <f>AF153/AF148-1</f>
        <v/>
      </c>
      <c r="AH153" s="39" t="n"/>
      <c r="AI153" s="317" t="n">
        <v>275.06</v>
      </c>
      <c r="AJ153" s="39">
        <f>AI153/AI148-1</f>
        <v/>
      </c>
      <c r="AK153" s="39" t="n"/>
      <c r="AL153" s="182" t="n">
        <v>60.48</v>
      </c>
      <c r="AM153" s="182">
        <f>AL153-AL141</f>
        <v/>
      </c>
      <c r="AN153" s="317" t="n"/>
      <c r="AO153" s="182" t="n">
        <v>59.41666666666666</v>
      </c>
      <c r="AP153" s="182">
        <f>AO153-AO141</f>
        <v/>
      </c>
      <c r="AQ153" s="317" t="n"/>
      <c r="AR153" s="182" t="n">
        <v>60.35666666666666</v>
      </c>
      <c r="AS153" s="182">
        <f>AR153-AR141</f>
        <v/>
      </c>
      <c r="AT153" s="317" t="n"/>
      <c r="AU153" s="182" t="n">
        <v>43.94</v>
      </c>
      <c r="AV153" s="182">
        <f>AU153-AU141</f>
        <v/>
      </c>
      <c r="AW153" s="317" t="n"/>
      <c r="AX153" s="317" t="n"/>
      <c r="AY153" s="142" t="n"/>
      <c r="AZ153" s="39" t="n"/>
      <c r="BA153" s="317" t="n"/>
      <c r="BB153" s="39" t="n"/>
      <c r="BC153" s="317" t="n"/>
      <c r="BD153" s="39" t="n"/>
      <c r="BE153" s="317" t="n"/>
      <c r="BF153" s="39" t="n"/>
      <c r="BG153" s="317" t="n"/>
      <c r="BH153" s="39" t="n"/>
      <c r="BI153" s="317" t="n"/>
      <c r="BJ153" s="39" t="n"/>
      <c r="BK153" s="317" t="n"/>
      <c r="BL153" s="39" t="n"/>
      <c r="BM153" s="317" t="n"/>
      <c r="BN153" s="39" t="n"/>
      <c r="BO153" s="317" t="n"/>
      <c r="BP153" s="317" t="n"/>
      <c r="BQ153" s="39" t="n"/>
      <c r="BR153" s="317" t="n"/>
      <c r="BS153" s="39" t="n"/>
      <c r="BT153" s="317" t="n"/>
      <c r="BU153" s="39" t="n"/>
      <c r="BV153" s="317" t="n"/>
      <c r="BW153" s="39" t="n"/>
      <c r="BX153" s="317" t="n"/>
      <c r="BY153" s="39" t="n"/>
      <c r="BZ153" s="317" t="n"/>
      <c r="CA153" s="39" t="n"/>
      <c r="CB153" s="317" t="n"/>
      <c r="CC153" s="39" t="n"/>
      <c r="CD153" s="317" t="n"/>
      <c r="CE153" s="39" t="n"/>
      <c r="CF153" s="317" t="n"/>
      <c r="CG153" s="317" t="n"/>
      <c r="CH153" s="317" t="n"/>
      <c r="CI153" s="317" t="n"/>
      <c r="CJ153" s="317" t="n"/>
      <c r="CK153" s="317" t="n"/>
      <c r="CL153" s="317" t="n"/>
      <c r="CM153" s="317" t="n"/>
      <c r="CN153" s="317" t="n"/>
      <c r="CW153" s="317" t="n"/>
      <c r="CX153" s="39" t="n"/>
      <c r="CY153" s="317" t="n"/>
      <c r="CZ153" s="39" t="n"/>
      <c r="DA153" s="317" t="n"/>
      <c r="DB153" s="39" t="n"/>
      <c r="DC153" s="317" t="n"/>
      <c r="DD153" s="39" t="n"/>
      <c r="DE153" s="319" t="n"/>
      <c r="DF153" s="319" t="n"/>
    </row>
    <row r="154" ht="13" customFormat="1" customHeight="1" s="116">
      <c r="A154" s="342" t="inlineStr">
        <is>
          <t>20Q2</t>
        </is>
      </c>
      <c r="B154" s="317" t="n">
        <v>25071.91</v>
      </c>
      <c r="C154" s="39">
        <f>B154/B149-1</f>
        <v/>
      </c>
      <c r="D154" s="39" t="n"/>
      <c r="E154" s="317" t="n">
        <v>24024.83</v>
      </c>
      <c r="F154" s="39">
        <f>E154/E149-1</f>
        <v/>
      </c>
      <c r="G154" s="39" t="n"/>
      <c r="H154" s="317" t="n">
        <v>972.73</v>
      </c>
      <c r="I154" s="39">
        <f>H154/H149-1</f>
        <v/>
      </c>
      <c r="J154" s="39" t="n"/>
      <c r="K154" s="317" t="n">
        <v>74.34</v>
      </c>
      <c r="L154" s="39">
        <f>K154/K149-1</f>
        <v/>
      </c>
      <c r="M154" s="39" t="n"/>
      <c r="N154" s="317" t="n">
        <v>16368.84</v>
      </c>
      <c r="O154" s="39">
        <f>N154/N149-1</f>
        <v/>
      </c>
      <c r="P154" s="39" t="n"/>
      <c r="Q154" s="317" t="n">
        <v>15880.32</v>
      </c>
      <c r="R154" s="39">
        <f>Q154/Q149-1</f>
        <v/>
      </c>
      <c r="S154" s="39" t="n"/>
      <c r="T154" s="317" t="n">
        <v>477.17</v>
      </c>
      <c r="U154" s="39">
        <f>T154/T149-1</f>
        <v/>
      </c>
      <c r="V154" s="39" t="n"/>
      <c r="W154" s="317" t="n">
        <v>11.34</v>
      </c>
      <c r="X154" s="39">
        <f>W154/W149-1</f>
        <v/>
      </c>
      <c r="Y154" s="39" t="n"/>
      <c r="Z154" s="317" t="n">
        <v>12034.09</v>
      </c>
      <c r="AA154" s="39">
        <f>Z154/Z149-1</f>
        <v/>
      </c>
      <c r="AB154" s="39" t="n"/>
      <c r="AC154" s="317" t="n">
        <v>11955.44</v>
      </c>
      <c r="AD154" s="39">
        <f>AC154/AC149-1</f>
        <v/>
      </c>
      <c r="AE154" s="39" t="n"/>
      <c r="AF154" s="317" t="n">
        <v>68.11</v>
      </c>
      <c r="AG154" s="39">
        <f>AF154/AF149-1</f>
        <v/>
      </c>
      <c r="AH154" s="39" t="n"/>
      <c r="AI154" s="317" t="n">
        <v>10.54</v>
      </c>
      <c r="AJ154" s="39">
        <f>AI154/AI149-1</f>
        <v/>
      </c>
      <c r="AK154" s="39" t="n"/>
      <c r="AL154" s="182" t="n">
        <v>65.08666666666666</v>
      </c>
      <c r="AM154" s="182">
        <f>AL154-AL142</f>
        <v/>
      </c>
      <c r="AN154" s="317" t="n"/>
      <c r="AO154" s="182" t="n">
        <v>65.99666666666667</v>
      </c>
      <c r="AP154" s="182">
        <f>AO154-AO142</f>
        <v/>
      </c>
      <c r="AQ154" s="317" t="n"/>
      <c r="AR154" s="182" t="n">
        <v>49.09666666666666</v>
      </c>
      <c r="AS154" s="182">
        <f>AR154-AR142</f>
        <v/>
      </c>
      <c r="AT154" s="317" t="n"/>
      <c r="AU154" s="182" t="n">
        <v>15.25333333333333</v>
      </c>
      <c r="AV154" s="182">
        <f>AU154-AU142</f>
        <v/>
      </c>
      <c r="AW154" s="317" t="n"/>
      <c r="AX154" s="317" t="n"/>
      <c r="AY154" s="142" t="n"/>
      <c r="AZ154" s="39" t="n"/>
      <c r="BA154" s="317" t="n"/>
      <c r="BB154" s="39" t="n"/>
      <c r="BC154" s="317" t="n"/>
      <c r="BD154" s="39" t="n"/>
      <c r="BE154" s="317" t="n"/>
      <c r="BF154" s="39" t="n"/>
      <c r="BG154" s="317" t="n"/>
      <c r="BH154" s="39" t="n"/>
      <c r="BI154" s="317" t="n"/>
      <c r="BJ154" s="39" t="n"/>
      <c r="BK154" s="317" t="n"/>
      <c r="BL154" s="39" t="n"/>
      <c r="BM154" s="317" t="n"/>
      <c r="BN154" s="39" t="n"/>
      <c r="BO154" s="317" t="n"/>
      <c r="BP154" s="317" t="n"/>
      <c r="BQ154" s="39" t="n"/>
      <c r="BR154" s="317" t="n"/>
      <c r="BS154" s="39" t="n"/>
      <c r="BT154" s="317" t="n"/>
      <c r="BU154" s="39" t="n"/>
      <c r="BV154" s="317" t="n"/>
      <c r="BW154" s="39" t="n"/>
      <c r="BX154" s="317" t="n"/>
      <c r="BY154" s="39" t="n"/>
      <c r="BZ154" s="317" t="n"/>
      <c r="CA154" s="39" t="n"/>
      <c r="CB154" s="317" t="n"/>
      <c r="CC154" s="39" t="n"/>
      <c r="CD154" s="317" t="n"/>
      <c r="CE154" s="39" t="n"/>
      <c r="CF154" s="317" t="n"/>
      <c r="CG154" s="317" t="n"/>
      <c r="CH154" s="317" t="n"/>
      <c r="CI154" s="317" t="n"/>
      <c r="CJ154" s="317" t="n"/>
      <c r="CK154" s="317" t="n"/>
      <c r="CL154" s="317" t="n"/>
      <c r="CM154" s="317" t="n"/>
      <c r="CN154" s="317" t="n"/>
      <c r="CW154" s="317" t="n"/>
      <c r="CX154" s="39" t="n"/>
      <c r="CY154" s="317" t="n"/>
      <c r="CZ154" s="39" t="n"/>
      <c r="DA154" s="317" t="n"/>
      <c r="DB154" s="39" t="n"/>
      <c r="DC154" s="317" t="n"/>
      <c r="DD154" s="39" t="n"/>
      <c r="DE154" s="319" t="n"/>
      <c r="DF154" s="319" t="n"/>
    </row>
    <row r="155" ht="13" customFormat="1" customHeight="1" s="116">
      <c r="A155" s="342" t="inlineStr">
        <is>
          <t>20Q3</t>
        </is>
      </c>
      <c r="B155" s="317" t="n">
        <v>44815.7</v>
      </c>
      <c r="C155" s="142">
        <f>B155/B150-1</f>
        <v/>
      </c>
      <c r="D155" s="142" t="n"/>
      <c r="E155" s="317" t="n">
        <v>43590.08</v>
      </c>
      <c r="F155" s="142">
        <f>E155/E150-1</f>
        <v/>
      </c>
      <c r="G155" s="142" t="n"/>
      <c r="H155" s="317" t="n">
        <v>1136.23</v>
      </c>
      <c r="I155" s="142">
        <f>H155/H150-1</f>
        <v/>
      </c>
      <c r="J155" s="142" t="n"/>
      <c r="K155" s="317" t="n">
        <v>89.38</v>
      </c>
      <c r="L155" s="142">
        <f>K155/K150-1</f>
        <v/>
      </c>
      <c r="M155" s="142" t="n"/>
      <c r="N155" s="317" t="n">
        <v>33356.36</v>
      </c>
      <c r="O155" s="142">
        <f>N155/N150-1</f>
        <v/>
      </c>
      <c r="P155" s="142" t="n"/>
      <c r="Q155" s="317" t="n">
        <v>32741.15</v>
      </c>
      <c r="R155" s="142">
        <f>Q155/Q150-1</f>
        <v/>
      </c>
      <c r="S155" s="142" t="n"/>
      <c r="T155" s="317" t="n">
        <v>590.27</v>
      </c>
      <c r="U155" s="142">
        <f>T155/T150-1</f>
        <v/>
      </c>
      <c r="V155" s="142" t="n"/>
      <c r="W155" s="317" t="n">
        <v>24.94</v>
      </c>
      <c r="X155" s="142">
        <f>W155/W150-1</f>
        <v/>
      </c>
      <c r="Y155" s="142" t="n"/>
      <c r="Z155" s="317" t="n">
        <v>24769.66</v>
      </c>
      <c r="AA155" s="39">
        <f>Z155/Z150-1</f>
        <v/>
      </c>
      <c r="AB155" s="39" t="n"/>
      <c r="AC155" s="317" t="n">
        <v>24655.23</v>
      </c>
      <c r="AD155" s="39">
        <f>AC155/AC150-1</f>
        <v/>
      </c>
      <c r="AE155" s="39" t="n"/>
      <c r="AF155" s="317" t="n">
        <v>92.25</v>
      </c>
      <c r="AG155" s="39">
        <f>AF155/AF150-1</f>
        <v/>
      </c>
      <c r="AH155" s="39" t="n"/>
      <c r="AI155" s="317" t="n">
        <v>22.2</v>
      </c>
      <c r="AJ155" s="39">
        <f>AI155/AI150-1</f>
        <v/>
      </c>
      <c r="AK155" s="39" t="n"/>
      <c r="AL155" s="182" t="n">
        <v>74.33999999999999</v>
      </c>
      <c r="AM155" s="182">
        <f>AL155-AL143</f>
        <v/>
      </c>
      <c r="AN155" s="317" t="n"/>
      <c r="AO155" s="182" t="n">
        <v>75.01000000000001</v>
      </c>
      <c r="AP155" s="182">
        <f>AO155-AO143</f>
        <v/>
      </c>
      <c r="AQ155" s="317" t="n"/>
      <c r="AR155" s="182" t="n">
        <v>52.26666666666667</v>
      </c>
      <c r="AS155" s="182">
        <f>AR155-AR143</f>
        <v/>
      </c>
      <c r="AT155" s="317" t="n"/>
      <c r="AU155" s="182" t="n">
        <v>27.81</v>
      </c>
      <c r="AV155" s="182">
        <f>AU155-AU143</f>
        <v/>
      </c>
      <c r="AW155" s="317" t="n"/>
      <c r="AX155" s="317" t="n"/>
      <c r="AY155" s="142" t="n"/>
      <c r="AZ155" s="317" t="n"/>
      <c r="BA155" s="317" t="n"/>
      <c r="BB155" s="317" t="n"/>
      <c r="BC155" s="317" t="n"/>
      <c r="BD155" s="317" t="n"/>
      <c r="BE155" s="317" t="n"/>
      <c r="BF155" s="317" t="n"/>
      <c r="BG155" s="317" t="n"/>
      <c r="BH155" s="317" t="n"/>
      <c r="BI155" s="317" t="n"/>
      <c r="BJ155" s="317" t="n"/>
      <c r="BK155" s="317" t="n"/>
      <c r="BL155" s="317" t="n"/>
      <c r="BM155" s="317" t="n"/>
      <c r="BN155" s="317" t="n"/>
      <c r="BO155" s="317" t="n"/>
      <c r="BP155" s="317" t="n"/>
      <c r="BQ155" s="317" t="n"/>
      <c r="BR155" s="317" t="n"/>
      <c r="BS155" s="317" t="n"/>
      <c r="BT155" s="317" t="n"/>
      <c r="BU155" s="317" t="n"/>
      <c r="BV155" s="317" t="n"/>
      <c r="BW155" s="317" t="n"/>
      <c r="BX155" s="317" t="n"/>
      <c r="BY155" s="317" t="n"/>
      <c r="BZ155" s="317" t="n"/>
      <c r="CA155" s="317" t="n"/>
      <c r="CB155" s="317" t="n"/>
      <c r="CC155" s="317" t="n"/>
      <c r="CD155" s="317" t="n"/>
      <c r="CE155" s="317" t="n"/>
      <c r="CF155" s="317" t="n"/>
      <c r="CG155" s="317" t="n"/>
      <c r="CH155" s="317" t="n"/>
      <c r="CI155" s="317" t="n"/>
      <c r="CJ155" s="317" t="n"/>
      <c r="CK155" s="317" t="n"/>
      <c r="CL155" s="317" t="n"/>
      <c r="CM155" s="317" t="n"/>
      <c r="CN155" s="317" t="n"/>
      <c r="CW155" s="317" t="n"/>
      <c r="CX155" s="317" t="n"/>
      <c r="CY155" s="317" t="n"/>
      <c r="CZ155" s="317" t="n"/>
      <c r="DA155" s="317" t="n"/>
      <c r="DB155" s="317" t="n"/>
      <c r="DC155" s="317" t="n"/>
      <c r="DD155" s="317" t="n"/>
      <c r="DE155" s="319" t="n"/>
      <c r="DF155" s="319" t="n"/>
    </row>
    <row r="156" ht="13" customFormat="1" customHeight="1" s="116">
      <c r="A156" s="342" t="inlineStr">
        <is>
          <t>20Q4</t>
        </is>
      </c>
      <c r="B156" s="317" t="n">
        <v>45536.00999999999</v>
      </c>
      <c r="C156" s="39">
        <f>B156/B151-1</f>
        <v/>
      </c>
      <c r="D156" s="39" t="n"/>
      <c r="E156" s="317" t="n">
        <v>44212.9</v>
      </c>
      <c r="F156" s="39">
        <f>E156/E151-1</f>
        <v/>
      </c>
      <c r="G156" s="39" t="n"/>
      <c r="H156" s="317" t="n">
        <v>1172.76</v>
      </c>
      <c r="I156" s="39">
        <f>H156/H151-1</f>
        <v/>
      </c>
      <c r="J156" s="39" t="n"/>
      <c r="K156" s="317" t="n">
        <v>150.35</v>
      </c>
      <c r="L156" s="39">
        <f>K156/K151-1</f>
        <v/>
      </c>
      <c r="M156" s="39" t="n"/>
      <c r="N156" s="317" t="n">
        <v>32739.26</v>
      </c>
      <c r="O156" s="39">
        <f>N156/N151-1</f>
        <v/>
      </c>
      <c r="P156" s="39" t="n"/>
      <c r="Q156" s="317" t="n">
        <v>32195.5</v>
      </c>
      <c r="R156" s="39">
        <f>Q156/Q151-1</f>
        <v/>
      </c>
      <c r="S156" s="39" t="n"/>
      <c r="T156" s="317" t="n">
        <v>483.91</v>
      </c>
      <c r="U156" s="39">
        <f>T156/T151-1</f>
        <v/>
      </c>
      <c r="V156" s="39" t="n"/>
      <c r="W156" s="317" t="n">
        <v>59.86</v>
      </c>
      <c r="X156" s="39">
        <f>W156/W151-1</f>
        <v/>
      </c>
      <c r="Y156" s="39" t="n"/>
      <c r="Z156" s="317" t="n">
        <v>23981.26</v>
      </c>
      <c r="AA156" s="39">
        <f>Z156/Z151-1</f>
        <v/>
      </c>
      <c r="AB156" s="39" t="n"/>
      <c r="AC156" s="317" t="n">
        <v>23865.54</v>
      </c>
      <c r="AD156" s="39">
        <f>AC156/AC151-1</f>
        <v/>
      </c>
      <c r="AE156" s="39" t="n"/>
      <c r="AF156" s="317" t="n">
        <v>74.23999999999999</v>
      </c>
      <c r="AG156" s="39">
        <f>AF156/AF151-1</f>
        <v/>
      </c>
      <c r="AH156" s="39" t="n"/>
      <c r="AI156" s="317" t="n">
        <v>41.5</v>
      </c>
      <c r="AJ156" s="39">
        <f>AI156/AI151-1</f>
        <v/>
      </c>
      <c r="AK156" s="39" t="n"/>
      <c r="AL156" s="182" t="n">
        <v>71.7</v>
      </c>
      <c r="AM156" s="182">
        <f>AL156-AL144</f>
        <v/>
      </c>
      <c r="AN156" s="317" t="n"/>
      <c r="AO156" s="182" t="n">
        <v>72.62333333333333</v>
      </c>
      <c r="AP156" s="182">
        <f>AO156-AO144</f>
        <v/>
      </c>
      <c r="AQ156" s="317" t="n"/>
      <c r="AR156" s="182" t="n">
        <v>41.28666666666667</v>
      </c>
      <c r="AS156" s="182">
        <f>AR156-AR144</f>
        <v/>
      </c>
      <c r="AT156" s="317" t="n"/>
      <c r="AU156" s="182" t="n">
        <v>39.85666666666666</v>
      </c>
      <c r="AV156" s="182">
        <f>AU156-AU144</f>
        <v/>
      </c>
      <c r="AW156" s="317" t="n"/>
      <c r="AX156" s="317" t="n"/>
      <c r="AY156" s="142" t="n"/>
      <c r="AZ156" s="39" t="n"/>
      <c r="BA156" s="317" t="n"/>
      <c r="BB156" s="39" t="n"/>
      <c r="BC156" s="317" t="n"/>
      <c r="BD156" s="39" t="n"/>
      <c r="BE156" s="317" t="n"/>
      <c r="BF156" s="39" t="n"/>
      <c r="BG156" s="317" t="n"/>
      <c r="BH156" s="39" t="n"/>
      <c r="BI156" s="317" t="n"/>
      <c r="BJ156" s="39" t="n"/>
      <c r="BK156" s="317" t="n"/>
      <c r="BL156" s="39" t="n"/>
      <c r="BM156" s="317" t="n"/>
      <c r="BN156" s="39" t="n"/>
      <c r="BO156" s="317" t="n"/>
      <c r="BP156" s="317" t="n"/>
      <c r="BQ156" s="39" t="n"/>
      <c r="BR156" s="317" t="n"/>
      <c r="BS156" s="39" t="n"/>
      <c r="BT156" s="317" t="n"/>
      <c r="BU156" s="39" t="n"/>
      <c r="BV156" s="317" t="n"/>
      <c r="BW156" s="39" t="n"/>
      <c r="BX156" s="317" t="n"/>
      <c r="BY156" s="39" t="n"/>
      <c r="BZ156" s="317" t="n"/>
      <c r="CA156" s="39" t="n"/>
      <c r="CB156" s="317" t="n"/>
      <c r="CC156" s="39" t="n"/>
      <c r="CD156" s="317" t="n"/>
      <c r="CE156" s="39" t="n"/>
      <c r="CF156" s="317" t="n"/>
      <c r="CG156" s="317" t="n"/>
      <c r="CH156" s="317" t="n"/>
      <c r="CI156" s="317" t="n"/>
      <c r="CJ156" s="317" t="n"/>
      <c r="CK156" s="317" t="n"/>
      <c r="CL156" s="317" t="n"/>
      <c r="CM156" s="317" t="n"/>
      <c r="CN156" s="317" t="n"/>
      <c r="CW156" s="317" t="n"/>
      <c r="CX156" s="39" t="n"/>
      <c r="CY156" s="317" t="n"/>
      <c r="CZ156" s="39" t="n"/>
      <c r="DA156" s="317" t="n"/>
      <c r="DB156" s="39" t="n"/>
      <c r="DC156" s="317" t="n"/>
      <c r="DD156" s="39" t="n"/>
      <c r="DE156" s="319" t="n"/>
      <c r="DF156" s="319" t="n"/>
    </row>
    <row r="157" ht="13" customFormat="1" customHeight="1" s="116">
      <c r="A157" s="342" t="n"/>
      <c r="B157" s="317" t="n"/>
      <c r="C157" s="39" t="n"/>
      <c r="D157" s="39" t="n"/>
      <c r="E157" s="317" t="n"/>
      <c r="F157" s="39" t="n"/>
      <c r="G157" s="39" t="n"/>
      <c r="H157" s="317" t="n"/>
      <c r="I157" s="39" t="n"/>
      <c r="J157" s="39" t="n"/>
      <c r="K157" s="317" t="n"/>
      <c r="L157" s="39" t="n"/>
      <c r="M157" s="39" t="n"/>
      <c r="N157" s="317" t="n"/>
      <c r="O157" s="39" t="n"/>
      <c r="P157" s="39" t="n"/>
      <c r="Q157" s="317" t="n"/>
      <c r="R157" s="39" t="n"/>
      <c r="S157" s="39" t="n"/>
      <c r="T157" s="317" t="n"/>
      <c r="U157" s="39" t="n"/>
      <c r="V157" s="39" t="n"/>
      <c r="W157" s="317" t="n"/>
      <c r="X157" s="39" t="n"/>
      <c r="Y157" s="39" t="n"/>
      <c r="Z157" s="317" t="n"/>
      <c r="AA157" s="39" t="n"/>
      <c r="AB157" s="39" t="n"/>
      <c r="AC157" s="317" t="n"/>
      <c r="AD157" s="39" t="n"/>
      <c r="AE157" s="39" t="n"/>
      <c r="AF157" s="317" t="n"/>
      <c r="AG157" s="39" t="n"/>
      <c r="AH157" s="39" t="n"/>
      <c r="AI157" s="317" t="n"/>
      <c r="AJ157" s="39" t="n"/>
      <c r="AK157" s="39" t="n"/>
      <c r="AL157" s="317" t="n"/>
      <c r="AM157" s="317" t="n"/>
      <c r="AN157" s="317" t="n"/>
      <c r="AO157" s="317" t="n"/>
      <c r="AP157" s="317" t="n"/>
      <c r="AQ157" s="317" t="n"/>
      <c r="AR157" s="317" t="n"/>
      <c r="AS157" s="317" t="n"/>
      <c r="AT157" s="317" t="n"/>
      <c r="AU157" s="317" t="n"/>
      <c r="AV157" s="317" t="n"/>
      <c r="AW157" s="317" t="n"/>
      <c r="AX157" s="317" t="n"/>
      <c r="AY157" s="317" t="n"/>
      <c r="AZ157" s="39" t="n"/>
      <c r="BA157" s="317" t="n"/>
      <c r="BB157" s="39" t="n"/>
      <c r="BC157" s="317" t="n"/>
      <c r="BD157" s="39" t="n"/>
      <c r="BE157" s="317" t="n"/>
      <c r="BF157" s="39" t="n"/>
      <c r="BG157" s="317" t="n"/>
      <c r="BH157" s="39" t="n"/>
      <c r="BI157" s="317" t="n"/>
      <c r="BJ157" s="39" t="n"/>
      <c r="BK157" s="317" t="n"/>
      <c r="BL157" s="39" t="n"/>
      <c r="BM157" s="317" t="n"/>
      <c r="BN157" s="39" t="n"/>
      <c r="BO157" s="317" t="n"/>
      <c r="BP157" s="317" t="n"/>
      <c r="BQ157" s="39" t="n"/>
      <c r="BR157" s="317" t="n"/>
      <c r="BS157" s="39" t="n"/>
      <c r="BT157" s="317" t="n"/>
      <c r="BU157" s="39" t="n"/>
      <c r="BV157" s="317" t="n"/>
      <c r="BW157" s="39" t="n"/>
      <c r="BX157" s="317" t="n"/>
      <c r="BY157" s="39" t="n"/>
      <c r="BZ157" s="317" t="n"/>
      <c r="CA157" s="39" t="n"/>
      <c r="CB157" s="317" t="n"/>
      <c r="CC157" s="39" t="n"/>
      <c r="CD157" s="317" t="n"/>
      <c r="CE157" s="39" t="n"/>
      <c r="CF157" s="317" t="n"/>
      <c r="CG157" s="317" t="n"/>
      <c r="CH157" s="317" t="n"/>
      <c r="CI157" s="317" t="n"/>
      <c r="CJ157" s="317" t="n"/>
      <c r="CK157" s="317" t="n"/>
      <c r="CL157" s="317" t="n"/>
      <c r="CM157" s="317" t="n"/>
      <c r="CN157" s="317" t="n"/>
      <c r="CW157" s="317" t="n"/>
      <c r="CX157" s="39" t="n"/>
      <c r="CY157" s="317" t="n"/>
      <c r="CZ157" s="39" t="n"/>
      <c r="DA157" s="317" t="n"/>
      <c r="DB157" s="39" t="n"/>
      <c r="DC157" s="317" t="n"/>
      <c r="DD157" s="39" t="n"/>
      <c r="DE157" s="319" t="n"/>
      <c r="DF157" s="319" t="n"/>
    </row>
    <row r="158" ht="13" customFormat="1" customHeight="1" s="116">
      <c r="A158" s="342" t="inlineStr">
        <is>
          <t>21Q1</t>
        </is>
      </c>
      <c r="B158" s="317" t="n">
        <v>37225.43</v>
      </c>
      <c r="C158" s="39">
        <f>B158/B153-1</f>
        <v/>
      </c>
      <c r="D158" s="39" t="n"/>
      <c r="E158" s="317" t="n">
        <v>35992.97</v>
      </c>
      <c r="F158" s="39">
        <f>E158/E153-1</f>
        <v/>
      </c>
      <c r="G158" s="39" t="n"/>
      <c r="H158" s="317" t="n">
        <v>1093</v>
      </c>
      <c r="I158" s="39">
        <f>H158/H153-1</f>
        <v/>
      </c>
      <c r="J158" s="39" t="n"/>
      <c r="K158" s="317" t="n">
        <v>139.47</v>
      </c>
      <c r="L158" s="39">
        <f>K158/K153-1</f>
        <v/>
      </c>
      <c r="M158" s="39" t="n"/>
      <c r="N158" s="317" t="n">
        <v>24518.7</v>
      </c>
      <c r="O158" s="39">
        <f>N158/N153-1</f>
        <v/>
      </c>
      <c r="P158" s="39" t="n"/>
      <c r="Q158" s="317" t="n">
        <v>24081.38</v>
      </c>
      <c r="R158" s="39">
        <f>Q158/Q153-1</f>
        <v/>
      </c>
      <c r="S158" s="39" t="n"/>
      <c r="T158" s="317" t="n">
        <v>371.9</v>
      </c>
      <c r="U158" s="39">
        <f>T158/T153-1</f>
        <v/>
      </c>
      <c r="V158" s="39" t="n"/>
      <c r="W158" s="317" t="n">
        <v>65.43000000000001</v>
      </c>
      <c r="X158" s="39">
        <f>W158/W153-1</f>
        <v/>
      </c>
      <c r="Y158" s="39" t="n"/>
      <c r="Z158" s="317" t="n">
        <v>17635.48</v>
      </c>
      <c r="AA158" s="39">
        <f>Z158/Z153-1</f>
        <v/>
      </c>
      <c r="AB158" s="39" t="n"/>
      <c r="AC158" s="317" t="n">
        <v>17529.23</v>
      </c>
      <c r="AD158" s="39">
        <f>AC158/AC153-1</f>
        <v/>
      </c>
      <c r="AE158" s="39" t="n"/>
      <c r="AF158" s="317" t="n">
        <v>61.48</v>
      </c>
      <c r="AG158" s="39">
        <f>AF158/AF153-1</f>
        <v/>
      </c>
      <c r="AH158" s="39" t="n"/>
      <c r="AI158" s="317" t="n">
        <v>44.75</v>
      </c>
      <c r="AJ158" s="39">
        <f>AI158/AI153-1</f>
        <v/>
      </c>
      <c r="AK158" s="39" t="n"/>
      <c r="AL158" s="182" t="n">
        <v>64.63</v>
      </c>
      <c r="AM158" s="182">
        <f>AL158-AL146</f>
        <v/>
      </c>
      <c r="AN158" s="317" t="n"/>
      <c r="AO158" s="182" t="n">
        <v>65.65666666666667</v>
      </c>
      <c r="AP158" s="182">
        <f>AO158-AO146</f>
        <v/>
      </c>
      <c r="AQ158" s="317" t="n"/>
      <c r="AR158" s="182" t="n">
        <v>33.87666666666667</v>
      </c>
      <c r="AS158" s="182">
        <f>AR158-AR146</f>
        <v/>
      </c>
      <c r="AT158" s="317" t="n"/>
      <c r="AU158" s="182" t="n">
        <v>46.39666666666667</v>
      </c>
      <c r="AV158" s="182">
        <f>AU158-AU146</f>
        <v/>
      </c>
      <c r="AW158" s="317" t="n"/>
      <c r="AX158" s="317" t="n"/>
      <c r="AY158" s="142" t="n"/>
      <c r="AZ158" s="39" t="n"/>
      <c r="BA158" s="317" t="n"/>
      <c r="BB158" s="39" t="n"/>
      <c r="BC158" s="317" t="n"/>
      <c r="BD158" s="39" t="n"/>
      <c r="BE158" s="317" t="n"/>
      <c r="BF158" s="39" t="n"/>
      <c r="BG158" s="317" t="n"/>
      <c r="BH158" s="39" t="n"/>
      <c r="BI158" s="317" t="n"/>
      <c r="BJ158" s="39" t="n"/>
      <c r="BK158" s="317" t="n"/>
      <c r="BL158" s="39" t="n"/>
      <c r="BM158" s="317" t="n"/>
      <c r="BN158" s="39" t="n"/>
      <c r="BO158" s="317" t="n"/>
      <c r="BP158" s="317" t="n"/>
      <c r="BQ158" s="39" t="n"/>
      <c r="BR158" s="317" t="n"/>
      <c r="BS158" s="39" t="n"/>
      <c r="BT158" s="317" t="n"/>
      <c r="BU158" s="39" t="n"/>
      <c r="BV158" s="317" t="n"/>
      <c r="BW158" s="39" t="n"/>
      <c r="BX158" s="317" t="n"/>
      <c r="BY158" s="39" t="n"/>
      <c r="BZ158" s="317" t="n"/>
      <c r="CA158" s="39" t="n"/>
      <c r="CB158" s="317" t="n"/>
      <c r="CC158" s="39" t="n"/>
      <c r="CD158" s="317" t="n"/>
      <c r="CE158" s="39" t="n"/>
      <c r="CF158" s="317" t="n"/>
      <c r="CG158" s="317" t="n"/>
      <c r="CH158" s="317" t="n"/>
      <c r="CI158" s="317" t="n"/>
      <c r="CJ158" s="317" t="n"/>
      <c r="CK158" s="317" t="n"/>
      <c r="CL158" s="317" t="n"/>
      <c r="CM158" s="317" t="n"/>
      <c r="CN158" s="317" t="n"/>
      <c r="CW158" s="317" t="n"/>
      <c r="CX158" s="39" t="n"/>
      <c r="CY158" s="317" t="n"/>
      <c r="CZ158" s="39" t="n"/>
      <c r="DA158" s="317" t="n"/>
      <c r="DB158" s="39" t="n"/>
      <c r="DC158" s="317" t="n"/>
      <c r="DD158" s="39" t="n"/>
      <c r="DE158" s="319" t="n"/>
      <c r="DF158" s="319" t="n"/>
    </row>
    <row r="159" ht="13" customFormat="1" customHeight="1" s="116">
      <c r="A159" s="342" t="inlineStr">
        <is>
          <t>21Q2</t>
        </is>
      </c>
      <c r="B159" s="317" t="n">
        <v>48702.36</v>
      </c>
      <c r="C159" s="39">
        <f>B159/B154-1</f>
        <v/>
      </c>
      <c r="D159" s="39" t="n"/>
      <c r="E159" s="317" t="n">
        <v>47465.87</v>
      </c>
      <c r="F159" s="39">
        <f>E159/E154-1</f>
        <v/>
      </c>
      <c r="G159" s="39" t="n"/>
      <c r="H159" s="317" t="n">
        <v>1027.64</v>
      </c>
      <c r="I159" s="39">
        <f>H159/H154-1</f>
        <v/>
      </c>
      <c r="J159" s="39" t="n"/>
      <c r="K159" s="317" t="n">
        <v>208.87</v>
      </c>
      <c r="L159" s="39">
        <f>K159/K154-1</f>
        <v/>
      </c>
      <c r="M159" s="39" t="n"/>
      <c r="N159" s="317" t="n">
        <v>36317.9</v>
      </c>
      <c r="O159" s="39">
        <f>N159/N154-1</f>
        <v/>
      </c>
      <c r="P159" s="39" t="n"/>
      <c r="Q159" s="317" t="n">
        <v>35756.8</v>
      </c>
      <c r="R159" s="39">
        <f>Q159/Q154-1</f>
        <v/>
      </c>
      <c r="S159" s="39" t="n"/>
      <c r="T159" s="317" t="n">
        <v>432.8299999999999</v>
      </c>
      <c r="U159" s="39">
        <f>T159/T154-1</f>
        <v/>
      </c>
      <c r="V159" s="39" t="n"/>
      <c r="W159" s="317" t="n">
        <v>128.27</v>
      </c>
      <c r="X159" s="39">
        <f>W159/W154-1</f>
        <v/>
      </c>
      <c r="Y159" s="39" t="n"/>
      <c r="Z159" s="317" t="n">
        <v>26673.26</v>
      </c>
      <c r="AA159" s="39">
        <f>Z159/Z154-1</f>
        <v/>
      </c>
      <c r="AB159" s="39" t="n"/>
      <c r="AC159" s="317" t="n">
        <v>26520.05</v>
      </c>
      <c r="AD159" s="39">
        <f>AC159/AC154-1</f>
        <v/>
      </c>
      <c r="AE159" s="39" t="n"/>
      <c r="AF159" s="317" t="n">
        <v>69.43000000000001</v>
      </c>
      <c r="AG159" s="39">
        <f>AF159/AF154-1</f>
        <v/>
      </c>
      <c r="AH159" s="39" t="n"/>
      <c r="AI159" s="317" t="n">
        <v>83.78</v>
      </c>
      <c r="AJ159" s="39">
        <f>AI159/AI154-1</f>
        <v/>
      </c>
      <c r="AK159" s="39" t="n"/>
      <c r="AL159" s="182" t="n">
        <v>74.53333333333335</v>
      </c>
      <c r="AM159" s="182">
        <f>AL159-AL147</f>
        <v/>
      </c>
      <c r="AN159" s="317" t="n"/>
      <c r="AO159" s="182" t="n">
        <v>75.29000000000001</v>
      </c>
      <c r="AP159" s="182">
        <f>AO159-AO147</f>
        <v/>
      </c>
      <c r="AQ159" s="317" t="n"/>
      <c r="AR159" s="182" t="n">
        <v>42.25333333333334</v>
      </c>
      <c r="AS159" s="182">
        <f>AR159-AR147</f>
        <v/>
      </c>
      <c r="AT159" s="317" t="n"/>
      <c r="AU159" s="182" t="n">
        <v>60.84</v>
      </c>
      <c r="AV159" s="182">
        <f>AU159-AU147</f>
        <v/>
      </c>
      <c r="AW159" s="317" t="n"/>
      <c r="AX159" s="317" t="n"/>
      <c r="AY159" s="142" t="n"/>
      <c r="AZ159" s="39" t="n"/>
      <c r="BA159" s="317" t="n"/>
      <c r="BB159" s="39" t="n"/>
      <c r="BC159" s="317" t="n"/>
      <c r="BD159" s="39" t="n"/>
      <c r="BE159" s="317" t="n"/>
      <c r="BF159" s="39" t="n"/>
      <c r="BG159" s="317" t="n"/>
      <c r="BH159" s="39" t="n"/>
      <c r="BI159" s="317" t="n"/>
      <c r="BJ159" s="39" t="n"/>
      <c r="BK159" s="317" t="n"/>
      <c r="BL159" s="39" t="n"/>
      <c r="BM159" s="317" t="n"/>
      <c r="BN159" s="39" t="n"/>
      <c r="BO159" s="317" t="n"/>
      <c r="BP159" s="317" t="n"/>
      <c r="BQ159" s="39" t="n"/>
      <c r="BR159" s="317" t="n"/>
      <c r="BS159" s="39" t="n"/>
      <c r="BT159" s="317" t="n"/>
      <c r="BU159" s="39" t="n"/>
      <c r="BV159" s="317" t="n"/>
      <c r="BW159" s="39" t="n"/>
      <c r="BX159" s="317" t="n"/>
      <c r="BY159" s="39" t="n"/>
      <c r="BZ159" s="317" t="n"/>
      <c r="CA159" s="39" t="n"/>
      <c r="CB159" s="317" t="n"/>
      <c r="CC159" s="39" t="n"/>
      <c r="CD159" s="317" t="n"/>
      <c r="CE159" s="39" t="n"/>
      <c r="CF159" s="317" t="n"/>
      <c r="CG159" s="317" t="n"/>
      <c r="CH159" s="317" t="n"/>
      <c r="CI159" s="317" t="n"/>
      <c r="CJ159" s="317" t="n"/>
      <c r="CK159" s="317" t="n"/>
      <c r="CL159" s="317" t="n"/>
      <c r="CM159" s="317" t="n"/>
      <c r="CN159" s="317" t="n"/>
      <c r="CW159" s="317" t="n"/>
      <c r="CX159" s="39" t="n"/>
      <c r="CY159" s="317" t="n"/>
      <c r="CZ159" s="39" t="n"/>
      <c r="DA159" s="317" t="n"/>
      <c r="DB159" s="39" t="n"/>
      <c r="DC159" s="317" t="n"/>
      <c r="DD159" s="39" t="n"/>
      <c r="DE159" s="319" t="n"/>
      <c r="DF159" s="319" t="n"/>
    </row>
    <row r="160" ht="13" customFormat="1" customHeight="1" s="116">
      <c r="A160" t="inlineStr">
        <is>
          <t>21Q3</t>
        </is>
      </c>
      <c r="B160" s="413" t="n">
        <v>38317.08</v>
      </c>
      <c r="C160" s="176">
        <f>B160/B155-1</f>
        <v/>
      </c>
      <c r="D160" s="176" t="n"/>
      <c r="E160" s="413" t="n">
        <v>37189.99000000001</v>
      </c>
      <c r="F160" s="176">
        <f>E160/E155-1</f>
        <v/>
      </c>
      <c r="G160" s="176" t="n"/>
      <c r="H160" s="413" t="n">
        <v>931.0800000000002</v>
      </c>
      <c r="I160" s="176">
        <f>H160/H155-1</f>
        <v/>
      </c>
      <c r="J160" s="176" t="n"/>
      <c r="K160" s="413" t="n">
        <v>196.01</v>
      </c>
      <c r="L160" s="176">
        <f>K160/K155-1</f>
        <v/>
      </c>
      <c r="M160" s="176" t="n"/>
      <c r="N160" s="413" t="n">
        <v>25656.69</v>
      </c>
      <c r="O160" s="176">
        <f>N160/N155-1</f>
        <v/>
      </c>
      <c r="P160" s="176" t="n"/>
      <c r="Q160" s="413" t="n">
        <v>25027.5</v>
      </c>
      <c r="R160" s="176">
        <f>Q160/Q155-1</f>
        <v/>
      </c>
      <c r="S160" s="176" t="n"/>
      <c r="T160" s="413" t="n">
        <v>518.1999999999999</v>
      </c>
      <c r="U160" s="176">
        <f>T160/T155-1</f>
        <v/>
      </c>
      <c r="V160" s="176" t="n"/>
      <c r="W160" s="413" t="n">
        <v>110.97</v>
      </c>
      <c r="X160" s="176">
        <f>W160/W155-1</f>
        <v/>
      </c>
      <c r="Y160" s="176" t="n"/>
      <c r="Z160" s="413" t="n">
        <v>18498.35</v>
      </c>
      <c r="AA160" s="176">
        <f>Z160/Z155-1</f>
        <v/>
      </c>
      <c r="AB160" s="176" t="n"/>
      <c r="AC160" s="413" t="n">
        <v>18353.2</v>
      </c>
      <c r="AD160" s="176">
        <f>AC160/AC155-1</f>
        <v/>
      </c>
      <c r="AE160" s="176" t="n"/>
      <c r="AF160" s="413" t="n">
        <v>70.65000000000001</v>
      </c>
      <c r="AG160" s="176">
        <f>AF160/AF155-1</f>
        <v/>
      </c>
      <c r="AH160" s="176" t="n"/>
      <c r="AI160" s="413" t="n">
        <v>74.48999999999999</v>
      </c>
      <c r="AJ160" s="176">
        <f>AI160/AI155-1</f>
        <v/>
      </c>
      <c r="AK160" s="176" t="n"/>
      <c r="AL160" s="414" t="n">
        <v>65.14666666666666</v>
      </c>
      <c r="AM160" s="414">
        <f>AL160-AL148</f>
        <v/>
      </c>
      <c r="AO160" s="414" t="n">
        <v>65.36333333333333</v>
      </c>
      <c r="AP160" s="414">
        <f>AO160-AO148</f>
        <v/>
      </c>
      <c r="AR160" s="414" t="n">
        <v>55.63333333333333</v>
      </c>
      <c r="AS160" s="414">
        <f>AR160-AR148</f>
        <v/>
      </c>
      <c r="AU160" s="414" t="n">
        <v>53.89666666666667</v>
      </c>
      <c r="AV160" s="414">
        <f>AU160-AU148</f>
        <v/>
      </c>
      <c r="AX160" s="413" t="n"/>
      <c r="AY160" s="142" t="n"/>
      <c r="AZ160" s="317" t="n"/>
      <c r="BA160" s="317" t="n"/>
      <c r="BB160" s="317" t="n"/>
      <c r="BC160" s="317" t="n"/>
      <c r="BD160" s="317" t="n"/>
      <c r="BE160" s="317" t="n"/>
      <c r="BF160" s="317" t="n"/>
      <c r="BG160" s="317" t="n"/>
      <c r="BH160" s="317" t="n"/>
      <c r="BI160" s="317" t="n"/>
      <c r="BJ160" s="317" t="n"/>
      <c r="BK160" s="317" t="n"/>
      <c r="BL160" s="317" t="n"/>
      <c r="BM160" s="317" t="n"/>
      <c r="BN160" s="317" t="n"/>
      <c r="BO160" s="317" t="n"/>
      <c r="BP160" s="317" t="n"/>
      <c r="BQ160" s="317" t="n"/>
      <c r="BR160" s="317" t="n"/>
      <c r="BS160" s="317" t="n"/>
      <c r="BT160" s="317" t="n"/>
      <c r="BU160" s="317" t="n"/>
      <c r="BV160" s="317" t="n"/>
      <c r="BW160" s="317" t="n"/>
      <c r="BX160" s="317" t="n"/>
      <c r="BY160" s="317" t="n"/>
      <c r="BZ160" s="317" t="n"/>
      <c r="CA160" s="317" t="n"/>
      <c r="CB160" s="317" t="n"/>
      <c r="CC160" s="317" t="n"/>
      <c r="CD160" s="317" t="n"/>
      <c r="CE160" s="317" t="n"/>
      <c r="CF160" s="317" t="n"/>
      <c r="CG160" s="317" t="n"/>
      <c r="CH160" s="317" t="n"/>
      <c r="CI160" s="317" t="n"/>
      <c r="CJ160" s="317" t="n"/>
      <c r="CK160" s="317" t="n"/>
      <c r="CL160" s="317" t="n"/>
      <c r="CM160" s="317" t="n"/>
      <c r="CN160" s="317" t="n"/>
      <c r="CW160" s="317" t="n"/>
      <c r="CX160" s="317" t="n"/>
      <c r="CY160" s="317" t="n"/>
      <c r="CZ160" s="317" t="n"/>
      <c r="DA160" s="317" t="n"/>
      <c r="DB160" s="317" t="n"/>
      <c r="DC160" s="317" t="n"/>
      <c r="DD160" s="317" t="n"/>
      <c r="DE160" s="319" t="n"/>
      <c r="DF160" s="319" t="n"/>
    </row>
    <row r="161" ht="13" customFormat="1" customHeight="1" s="116">
      <c r="A161" s="342" t="inlineStr">
        <is>
          <t>21Q4</t>
        </is>
      </c>
      <c r="B161" s="317" t="n">
        <v>36446.94</v>
      </c>
      <c r="C161" s="39">
        <f>B161/B156-1</f>
        <v/>
      </c>
      <c r="D161" s="39" t="n"/>
      <c r="E161" s="317" t="n">
        <v>35347.95</v>
      </c>
      <c r="F161" s="39">
        <f>E161/E156-1</f>
        <v/>
      </c>
      <c r="G161" s="39" t="n"/>
      <c r="H161" s="317" t="n">
        <v>907.97</v>
      </c>
      <c r="I161" s="39">
        <f>H161/H156-1</f>
        <v/>
      </c>
      <c r="J161" s="39" t="n"/>
      <c r="K161" s="317" t="n">
        <v>191.02</v>
      </c>
      <c r="L161" s="39">
        <f>K161/K156-1</f>
        <v/>
      </c>
      <c r="M161" s="39" t="n"/>
      <c r="N161" s="317" t="n">
        <v>22294.11</v>
      </c>
      <c r="O161" s="39">
        <f>N161/N156-1</f>
        <v/>
      </c>
      <c r="P161" s="39" t="n"/>
      <c r="Q161" s="317" t="n">
        <v>21723.01</v>
      </c>
      <c r="R161" s="39">
        <f>Q161/Q156-1</f>
        <v/>
      </c>
      <c r="S161" s="39" t="n"/>
      <c r="T161" s="317" t="n">
        <v>465.84</v>
      </c>
      <c r="U161" s="39">
        <f>T161/T156-1</f>
        <v/>
      </c>
      <c r="V161" s="39" t="n"/>
      <c r="W161" s="317" t="n">
        <v>105.26</v>
      </c>
      <c r="X161" s="39">
        <f>W161/W156-1</f>
        <v/>
      </c>
      <c r="Y161" s="39" t="n"/>
      <c r="Z161" s="317" t="n">
        <v>16247.55</v>
      </c>
      <c r="AA161" s="39">
        <f>Z161/Z156-1</f>
        <v/>
      </c>
      <c r="AB161" s="39" t="n"/>
      <c r="AC161" s="317" t="n">
        <v>16110.26</v>
      </c>
      <c r="AD161" s="39">
        <f>AC161/AC156-1</f>
        <v/>
      </c>
      <c r="AE161" s="39" t="n"/>
      <c r="AF161" s="317" t="n">
        <v>65.81</v>
      </c>
      <c r="AG161" s="39">
        <f>AF161/AF156-1</f>
        <v/>
      </c>
      <c r="AH161" s="39" t="n"/>
      <c r="AI161" s="317" t="n">
        <v>71.48999999999999</v>
      </c>
      <c r="AJ161" s="39">
        <f>AI161/AI156-1</f>
        <v/>
      </c>
      <c r="AK161" s="39" t="n"/>
      <c r="AL161" s="182" t="n">
        <v>60.68333333333334</v>
      </c>
      <c r="AM161" s="182">
        <f>AL161-AL149</f>
        <v/>
      </c>
      <c r="AN161" s="317" t="n"/>
      <c r="AO161" s="182" t="n">
        <v>60.95333333333334</v>
      </c>
      <c r="AP161" s="182">
        <f>AO161-AO149</f>
        <v/>
      </c>
      <c r="AQ161" s="317" t="n"/>
      <c r="AR161" s="182" t="n">
        <v>51.43666666666667</v>
      </c>
      <c r="AS161" s="182">
        <f>AR161-AR149</f>
        <v/>
      </c>
      <c r="AT161" s="317" t="n"/>
      <c r="AU161" s="182" t="n">
        <v>54.26</v>
      </c>
      <c r="AV161" s="182">
        <f>AU161-AU149</f>
        <v/>
      </c>
      <c r="AW161" s="317" t="n"/>
      <c r="AX161" s="317" t="n"/>
      <c r="AY161" s="142" t="n"/>
      <c r="AZ161" s="39" t="n"/>
      <c r="BA161" s="317" t="n"/>
      <c r="BB161" s="39" t="n"/>
      <c r="BC161" s="317" t="n"/>
      <c r="BD161" s="39" t="n"/>
      <c r="BE161" s="317" t="n"/>
      <c r="BF161" s="39" t="n"/>
      <c r="BG161" s="317" t="n"/>
      <c r="BH161" s="39" t="n"/>
      <c r="BI161" s="317" t="n"/>
      <c r="BJ161" s="39" t="n"/>
      <c r="BK161" s="317" t="n"/>
      <c r="BL161" s="39" t="n"/>
      <c r="BM161" s="317" t="n"/>
      <c r="BN161" s="39" t="n"/>
      <c r="BO161" s="317" t="n"/>
      <c r="BP161" s="317" t="n"/>
      <c r="BQ161" s="39" t="n"/>
      <c r="BR161" s="317" t="n"/>
      <c r="BS161" s="39" t="n"/>
      <c r="BT161" s="317" t="n"/>
      <c r="BU161" s="39" t="n"/>
      <c r="BV161" s="317" t="n"/>
      <c r="BW161" s="39" t="n"/>
      <c r="BX161" s="317" t="n"/>
      <c r="BY161" s="39" t="n"/>
      <c r="BZ161" s="317" t="n"/>
      <c r="CA161" s="39" t="n"/>
      <c r="CB161" s="317" t="n"/>
      <c r="CC161" s="39" t="n"/>
      <c r="CD161" s="317" t="n"/>
      <c r="CE161" s="39" t="n"/>
      <c r="CF161" s="317" t="n"/>
      <c r="CG161" s="39" t="n"/>
      <c r="CH161" s="317" t="n"/>
      <c r="CI161" s="39" t="n"/>
      <c r="CJ161" s="317" t="n"/>
      <c r="CK161" s="39" t="n"/>
      <c r="CL161" s="317" t="n"/>
      <c r="CM161" s="39" t="n"/>
      <c r="CN161" s="317" t="n"/>
      <c r="CW161" s="317" t="n"/>
      <c r="CX161" s="39" t="n"/>
      <c r="CY161" s="317" t="n"/>
      <c r="CZ161" s="39" t="n"/>
      <c r="DA161" s="317" t="n"/>
      <c r="DB161" s="39" t="n"/>
      <c r="DC161" s="317" t="n"/>
      <c r="DD161" s="39" t="n"/>
      <c r="DE161" s="317" t="n"/>
      <c r="DF161" s="412" t="n"/>
    </row>
    <row r="162" ht="13" customFormat="1" customHeight="1" s="116">
      <c r="A162" s="342" t="n"/>
      <c r="B162" s="317" t="n"/>
      <c r="C162" s="39" t="n"/>
      <c r="D162" s="39" t="n"/>
      <c r="E162" s="317" t="n"/>
      <c r="F162" s="39" t="n"/>
      <c r="G162" s="39" t="n"/>
      <c r="H162" s="317" t="n"/>
      <c r="I162" s="39" t="n"/>
      <c r="J162" s="39" t="n"/>
      <c r="K162" s="317" t="n"/>
      <c r="L162" s="39" t="n"/>
      <c r="M162" s="39" t="n"/>
      <c r="N162" s="317" t="n"/>
      <c r="O162" s="39" t="n"/>
      <c r="P162" s="39" t="n"/>
      <c r="Q162" s="317" t="n"/>
      <c r="R162" s="39" t="n"/>
      <c r="S162" s="39" t="n"/>
      <c r="T162" s="317" t="n"/>
      <c r="U162" s="39" t="n"/>
      <c r="V162" s="39" t="n"/>
      <c r="W162" s="317" t="n"/>
      <c r="X162" s="39" t="n"/>
      <c r="Y162" s="39" t="n"/>
      <c r="Z162" s="317" t="n"/>
      <c r="AA162" s="39" t="n"/>
      <c r="AB162" s="39" t="n"/>
      <c r="AC162" s="317" t="n"/>
      <c r="AD162" s="39" t="n"/>
      <c r="AE162" s="39" t="n"/>
      <c r="AF162" s="317" t="n"/>
      <c r="AG162" s="39" t="n"/>
      <c r="AH162" s="39" t="n"/>
      <c r="AI162" s="317" t="n"/>
      <c r="AJ162" s="39" t="n"/>
      <c r="AK162" s="39" t="n"/>
      <c r="AL162" s="317" t="n"/>
      <c r="AM162" s="317" t="n"/>
      <c r="AN162" s="317" t="n"/>
      <c r="AO162" s="317" t="n"/>
      <c r="AP162" s="317" t="n"/>
      <c r="AQ162" s="317" t="n"/>
      <c r="AR162" s="317" t="n"/>
      <c r="AS162" s="317" t="n"/>
      <c r="AT162" s="317" t="n"/>
      <c r="AU162" s="317" t="n"/>
      <c r="AV162" s="317" t="n"/>
      <c r="AW162" s="317" t="n"/>
      <c r="AX162" s="317" t="n"/>
      <c r="AY162" s="317" t="n"/>
      <c r="AZ162" s="39" t="n"/>
      <c r="BA162" s="317" t="n"/>
      <c r="BB162" s="39" t="n"/>
      <c r="BC162" s="317" t="n"/>
      <c r="BD162" s="39" t="n"/>
      <c r="BE162" s="317" t="n"/>
      <c r="BF162" s="39" t="n"/>
      <c r="BG162" s="317" t="n"/>
      <c r="BH162" s="39" t="n"/>
      <c r="BI162" s="317" t="n"/>
      <c r="BJ162" s="39" t="n"/>
      <c r="BK162" s="317" t="n"/>
      <c r="BL162" s="39" t="n"/>
      <c r="BM162" s="317" t="n"/>
      <c r="BN162" s="39" t="n"/>
      <c r="BO162" s="317" t="n"/>
      <c r="BP162" s="317" t="n"/>
      <c r="BQ162" s="39" t="n"/>
      <c r="BR162" s="317" t="n"/>
      <c r="BS162" s="39" t="n"/>
      <c r="BT162" s="317" t="n"/>
      <c r="BU162" s="39" t="n"/>
      <c r="BV162" s="317" t="n"/>
      <c r="BW162" s="39" t="n"/>
      <c r="BX162" s="317" t="n"/>
      <c r="BY162" s="39" t="n"/>
      <c r="BZ162" s="317" t="n"/>
      <c r="CA162" s="39" t="n"/>
      <c r="CB162" s="317" t="n"/>
      <c r="CC162" s="39" t="n"/>
      <c r="CD162" s="317" t="n"/>
      <c r="CE162" s="39" t="n"/>
      <c r="CF162" s="317" t="n"/>
      <c r="CG162" s="39" t="n"/>
      <c r="CH162" s="317" t="n"/>
      <c r="CI162" s="39" t="n"/>
      <c r="CJ162" s="317" t="n"/>
      <c r="CK162" s="39" t="n"/>
      <c r="CL162" s="317" t="n"/>
      <c r="CM162" s="39" t="n"/>
      <c r="CN162" s="317" t="n"/>
      <c r="CW162" s="317" t="n"/>
      <c r="CX162" s="39" t="n"/>
      <c r="CY162" s="317" t="n"/>
      <c r="CZ162" s="39" t="n"/>
      <c r="DA162" s="317" t="n"/>
      <c r="DB162" s="39" t="n"/>
      <c r="DC162" s="317" t="n"/>
      <c r="DD162" s="39" t="n"/>
      <c r="DE162" s="317" t="n"/>
      <c r="DF162" s="412" t="n"/>
    </row>
    <row r="163" ht="13" customFormat="1" customHeight="1" s="116">
      <c r="A163" s="342" t="inlineStr">
        <is>
          <t>22Q1</t>
        </is>
      </c>
      <c r="B163" s="317" t="n">
        <v>31522.23</v>
      </c>
      <c r="C163" s="39">
        <f>B163/B158-1</f>
        <v/>
      </c>
      <c r="D163" s="39" t="n"/>
      <c r="E163" s="317" t="n">
        <v>30612.5</v>
      </c>
      <c r="F163" s="39">
        <f>E163/E158-1</f>
        <v/>
      </c>
      <c r="G163" s="39" t="n"/>
      <c r="H163" s="317" t="n">
        <v>681.01</v>
      </c>
      <c r="I163" s="39">
        <f>H163/H158-1</f>
        <v/>
      </c>
      <c r="J163" s="39" t="n"/>
      <c r="K163" s="317" t="n">
        <v>228.72</v>
      </c>
      <c r="L163" s="39">
        <f>K163/K158-1</f>
        <v/>
      </c>
      <c r="M163" s="39" t="n"/>
      <c r="N163" s="317" t="n">
        <v>18902.95</v>
      </c>
      <c r="O163" s="39">
        <f>N163/N158-1</f>
        <v/>
      </c>
      <c r="P163" s="39" t="n"/>
      <c r="Q163" s="317" t="n">
        <v>18448.42</v>
      </c>
      <c r="R163" s="39">
        <f>Q163/Q158-1</f>
        <v/>
      </c>
      <c r="S163" s="39" t="n"/>
      <c r="T163" s="317" t="n">
        <v>325.68</v>
      </c>
      <c r="U163" s="39">
        <f>T163/T158-1</f>
        <v/>
      </c>
      <c r="V163" s="39" t="n"/>
      <c r="W163" s="317" t="n">
        <v>128.87</v>
      </c>
      <c r="X163" s="39">
        <f>W163/W158-1</f>
        <v/>
      </c>
      <c r="Y163" s="39" t="n"/>
      <c r="Z163" s="317" t="n">
        <v>13134.86</v>
      </c>
      <c r="AA163" s="39">
        <f>Z163/Z158-1</f>
        <v/>
      </c>
      <c r="AB163" s="39" t="n"/>
      <c r="AC163" s="317" t="n">
        <v>12997.03</v>
      </c>
      <c r="AD163" s="39">
        <f>AC163/AC158-1</f>
        <v/>
      </c>
      <c r="AE163" s="39" t="n"/>
      <c r="AF163" s="317" t="n">
        <v>50.97</v>
      </c>
      <c r="AG163" s="39">
        <f>AF163/AF158-1</f>
        <v/>
      </c>
      <c r="AH163" s="39" t="n"/>
      <c r="AI163" s="317" t="n">
        <v>86.85999999999999</v>
      </c>
      <c r="AJ163" s="39">
        <f>AI163/AI158-1</f>
        <v/>
      </c>
      <c r="AK163" s="39" t="n"/>
      <c r="AL163" s="182" t="n">
        <v>59.9</v>
      </c>
      <c r="AM163" s="182">
        <f>AL163-AL151</f>
        <v/>
      </c>
      <c r="AN163" s="317" t="n"/>
      <c r="AO163" s="182" t="n">
        <v>60.23666666666667</v>
      </c>
      <c r="AP163" s="182">
        <f>AO163-AO151</f>
        <v/>
      </c>
      <c r="AQ163" s="317" t="n"/>
      <c r="AR163" s="182" t="n">
        <v>47.85666666666666</v>
      </c>
      <c r="AS163" s="182">
        <f>AR163-AR151</f>
        <v/>
      </c>
      <c r="AT163" s="317" t="n"/>
      <c r="AU163" s="182" t="n">
        <v>53.16333333333333</v>
      </c>
      <c r="AV163" s="182">
        <f>AU163-AU151</f>
        <v/>
      </c>
      <c r="AW163" s="317" t="n"/>
      <c r="AX163" s="317" t="n"/>
      <c r="AY163" s="142" t="n"/>
      <c r="AZ163" s="39" t="n"/>
      <c r="BA163" s="317" t="n"/>
      <c r="BB163" s="39" t="n"/>
      <c r="BC163" s="317" t="n"/>
      <c r="BD163" s="39" t="n"/>
      <c r="BE163" s="317" t="n"/>
      <c r="BF163" s="39" t="n"/>
      <c r="BG163" s="317" t="n"/>
      <c r="BH163" s="39" t="n"/>
      <c r="BI163" s="317" t="n"/>
      <c r="BJ163" s="39" t="n"/>
      <c r="BK163" s="317" t="n"/>
      <c r="BL163" s="39" t="n"/>
      <c r="BM163" s="317" t="n"/>
      <c r="BN163" s="39" t="n"/>
      <c r="BO163" s="317" t="n"/>
      <c r="BP163" s="317" t="n"/>
      <c r="BQ163" s="39" t="n"/>
      <c r="BR163" s="317" t="n"/>
      <c r="BS163" s="39" t="n"/>
      <c r="BT163" s="317" t="n"/>
      <c r="BU163" s="39" t="n"/>
      <c r="BV163" s="317" t="n"/>
      <c r="BW163" s="39" t="n"/>
      <c r="BX163" s="317" t="n"/>
      <c r="BY163" s="39" t="n"/>
      <c r="BZ163" s="317" t="n"/>
      <c r="CA163" s="39" t="n"/>
      <c r="CB163" s="317" t="n"/>
      <c r="CC163" s="39" t="n"/>
      <c r="CD163" s="317" t="n"/>
      <c r="CE163" s="39" t="n"/>
      <c r="CF163" s="317" t="n"/>
      <c r="CG163" s="39" t="n"/>
      <c r="CH163" s="317" t="n"/>
      <c r="CI163" s="39" t="n"/>
      <c r="CJ163" s="317" t="n"/>
      <c r="CK163" s="39" t="n"/>
      <c r="CL163" s="317" t="n"/>
      <c r="CM163" s="39" t="n"/>
      <c r="CN163" s="317" t="n"/>
      <c r="CW163" s="317" t="n"/>
      <c r="CX163" s="39" t="n"/>
      <c r="CY163" s="317" t="n"/>
      <c r="CZ163" s="39" t="n"/>
      <c r="DA163" s="317" t="n"/>
      <c r="DB163" s="39" t="n"/>
      <c r="DC163" s="317" t="n"/>
      <c r="DD163" s="39" t="n"/>
      <c r="DE163" s="317" t="n"/>
      <c r="DF163" s="412" t="n"/>
    </row>
    <row r="164" ht="13" customFormat="1" customHeight="1" s="116">
      <c r="A164" s="342" t="inlineStr">
        <is>
          <t>22Q2</t>
        </is>
      </c>
      <c r="B164" s="317" t="n">
        <v>13013.37</v>
      </c>
      <c r="C164" s="39">
        <f>B164/B159-1</f>
        <v/>
      </c>
      <c r="D164" s="39" t="n"/>
      <c r="E164" s="317" t="n">
        <v>12348.44</v>
      </c>
      <c r="F164" s="39">
        <f>E164/E159-1</f>
        <v/>
      </c>
      <c r="G164" s="39" t="n"/>
      <c r="H164" s="317" t="n">
        <v>661.72</v>
      </c>
      <c r="I164" s="39">
        <f>H164/H159-1</f>
        <v/>
      </c>
      <c r="J164" s="39" t="n"/>
      <c r="K164" s="317" t="n">
        <v>3.21</v>
      </c>
      <c r="L164" s="39">
        <f>K164/K159-1</f>
        <v/>
      </c>
      <c r="M164" s="39" t="n"/>
      <c r="N164" s="317" t="n">
        <v>8103</v>
      </c>
      <c r="O164" s="39">
        <f>N164/N159-1</f>
        <v/>
      </c>
      <c r="P164" s="39" t="n"/>
      <c r="Q164" s="317" t="n">
        <v>7782.690000000001</v>
      </c>
      <c r="R164" s="39">
        <f>Q164/Q159-1</f>
        <v/>
      </c>
      <c r="S164" s="39" t="n"/>
      <c r="T164" s="317" t="n">
        <v>319.41</v>
      </c>
      <c r="U164" s="39">
        <f>T164/T159-1</f>
        <v/>
      </c>
      <c r="V164" s="39" t="n"/>
      <c r="W164" s="317" t="n">
        <v>0.88</v>
      </c>
      <c r="X164" s="39">
        <f>W164/W159-1</f>
        <v/>
      </c>
      <c r="Y164" s="39" t="n"/>
      <c r="Z164" s="317" t="n">
        <v>5540.76</v>
      </c>
      <c r="AA164" s="39">
        <f>Z164/Z159-1</f>
        <v/>
      </c>
      <c r="AB164" s="39" t="n"/>
      <c r="AC164" s="317" t="n">
        <v>5493.5</v>
      </c>
      <c r="AD164" s="39">
        <f>AC164/AC159-1</f>
        <v/>
      </c>
      <c r="AE164" s="39" t="n"/>
      <c r="AF164" s="317" t="n">
        <v>46.59999999999999</v>
      </c>
      <c r="AG164" s="39">
        <f>AF164/AF159-1</f>
        <v/>
      </c>
      <c r="AH164" s="39" t="n"/>
      <c r="AI164" s="317" t="n">
        <v>0.67</v>
      </c>
      <c r="AJ164" s="39">
        <f>AI164/AI159-1</f>
        <v/>
      </c>
      <c r="AK164" s="39" t="n"/>
      <c r="AL164" s="182" t="n">
        <v>60.82333333333333</v>
      </c>
      <c r="AM164" s="182">
        <f>AL164-AL152</f>
        <v/>
      </c>
      <c r="AN164" s="317" t="n"/>
      <c r="AO164" s="182" t="n">
        <v>61.68000000000001</v>
      </c>
      <c r="AP164" s="182">
        <f>AO164-AO152</f>
        <v/>
      </c>
      <c r="AQ164" s="317" t="n"/>
      <c r="AR164" s="182" t="n">
        <v>48.23333333333333</v>
      </c>
      <c r="AS164" s="182">
        <f>AR164-AR152</f>
        <v/>
      </c>
      <c r="AT164" s="317" t="n"/>
      <c r="AU164" s="182" t="n">
        <v>28.45666666666667</v>
      </c>
      <c r="AV164" s="182">
        <f>AU164-AU152</f>
        <v/>
      </c>
      <c r="AW164" s="317" t="n"/>
      <c r="AX164" s="317" t="n"/>
      <c r="AY164" s="142" t="n"/>
      <c r="AZ164" s="39" t="n"/>
      <c r="BA164" s="317" t="n"/>
      <c r="BB164" s="39" t="n"/>
      <c r="BC164" s="317" t="n"/>
      <c r="BD164" s="39" t="n"/>
      <c r="BE164" s="317" t="n"/>
      <c r="BF164" s="39" t="n"/>
      <c r="BG164" s="317" t="n"/>
      <c r="BH164" s="39" t="n"/>
      <c r="BI164" s="317" t="n"/>
      <c r="BJ164" s="39" t="n"/>
      <c r="BK164" s="317" t="n"/>
      <c r="BL164" s="39" t="n"/>
      <c r="BM164" s="317" t="n"/>
      <c r="BN164" s="39" t="n"/>
      <c r="BO164" s="317" t="n"/>
      <c r="BP164" s="317" t="n"/>
      <c r="BQ164" s="39" t="n"/>
      <c r="BR164" s="317" t="n"/>
      <c r="BS164" s="39" t="n"/>
      <c r="BT164" s="317" t="n"/>
      <c r="BU164" s="39" t="n"/>
      <c r="BV164" s="317" t="n"/>
      <c r="BW164" s="39" t="n"/>
      <c r="BX164" s="317" t="n"/>
      <c r="BY164" s="39" t="n"/>
      <c r="BZ164" s="317" t="n"/>
      <c r="CA164" s="39" t="n"/>
      <c r="CB164" s="317" t="n"/>
      <c r="CC164" s="39" t="n"/>
      <c r="CD164" s="317" t="n"/>
      <c r="CE164" s="39" t="n"/>
      <c r="CF164" s="317" t="n"/>
      <c r="CG164" s="39" t="n"/>
      <c r="CH164" s="317" t="n"/>
      <c r="CI164" s="39" t="n"/>
      <c r="CJ164" s="317" t="n"/>
      <c r="CK164" s="39" t="n"/>
      <c r="CL164" s="317" t="n"/>
      <c r="CM164" s="39" t="n"/>
      <c r="CN164" s="317" t="n"/>
      <c r="CW164" s="317" t="n"/>
      <c r="CX164" s="39" t="n"/>
      <c r="CY164" s="317" t="n"/>
      <c r="CZ164" s="39" t="n"/>
      <c r="DA164" s="317" t="n"/>
      <c r="DB164" s="39" t="n"/>
      <c r="DC164" s="317" t="n"/>
      <c r="DD164" s="39" t="n"/>
      <c r="DE164" s="317" t="n"/>
      <c r="DF164" s="412" t="n"/>
    </row>
    <row r="165" ht="13" customFormat="1" customHeight="1" s="116">
      <c r="A165" t="inlineStr">
        <is>
          <t>22Q3</t>
        </is>
      </c>
      <c r="B165" s="413" t="n">
        <v>31789.6</v>
      </c>
      <c r="C165" s="176">
        <f>B165/B160-1</f>
        <v/>
      </c>
      <c r="D165" s="176" t="n"/>
      <c r="E165" s="413" t="n">
        <v>30882.21</v>
      </c>
      <c r="F165" s="176">
        <f>E165/E160-1</f>
        <v/>
      </c>
      <c r="G165" s="176" t="n"/>
      <c r="H165" s="413" t="n">
        <v>881.05</v>
      </c>
      <c r="I165" s="176">
        <f>H165/H160-1</f>
        <v/>
      </c>
      <c r="J165" s="176" t="n"/>
      <c r="K165" s="413" t="n">
        <v>26.36</v>
      </c>
      <c r="L165" s="176">
        <f>K165/K160-1</f>
        <v/>
      </c>
      <c r="M165" s="176" t="n"/>
      <c r="N165" s="413" t="n">
        <v>21432.29</v>
      </c>
      <c r="O165" s="176">
        <f>N165/N160-1</f>
        <v/>
      </c>
      <c r="P165" s="176" t="n"/>
      <c r="Q165" s="413" t="n">
        <v>20885.83</v>
      </c>
      <c r="R165" s="176">
        <f>Q165/Q160-1</f>
        <v/>
      </c>
      <c r="S165" s="176" t="n"/>
      <c r="T165" s="413" t="n">
        <v>532.71</v>
      </c>
      <c r="U165" s="176">
        <f>T165/T160-1</f>
        <v/>
      </c>
      <c r="V165" s="176" t="n"/>
      <c r="W165" s="413" t="n">
        <v>13.75</v>
      </c>
      <c r="X165" s="176">
        <f>W165/W160-1</f>
        <v/>
      </c>
      <c r="Y165" s="176" t="n"/>
      <c r="Z165" s="413" t="n">
        <v>15125.74</v>
      </c>
      <c r="AA165" s="176">
        <f>Z165/Z160-1</f>
        <v/>
      </c>
      <c r="AB165" s="176" t="n"/>
      <c r="AC165" s="413" t="n">
        <v>15033.5</v>
      </c>
      <c r="AD165" s="176">
        <f>AC165/AC160-1</f>
        <v/>
      </c>
      <c r="AE165" s="176" t="n"/>
      <c r="AF165" s="413" t="n">
        <v>83.11</v>
      </c>
      <c r="AG165" s="176">
        <f>AF165/AF160-1</f>
        <v/>
      </c>
      <c r="AH165" s="176" t="n"/>
      <c r="AI165" s="413" t="n">
        <v>9.130000000000001</v>
      </c>
      <c r="AJ165" s="176">
        <f>AI165/AI160-1</f>
        <v/>
      </c>
      <c r="AK165" s="176" t="n"/>
      <c r="AL165" s="414" t="n">
        <v>67.51666666666667</v>
      </c>
      <c r="AM165" s="414">
        <f>AL165-AL153</f>
        <v/>
      </c>
      <c r="AO165" s="414" t="n">
        <v>67.72666666666667</v>
      </c>
      <c r="AP165" s="182">
        <f>AO165-AO153</f>
        <v/>
      </c>
      <c r="AQ165" s="317" t="n"/>
      <c r="AR165" s="414" t="n">
        <v>60.08333333333334</v>
      </c>
      <c r="AS165" s="182">
        <f>AR165-AR153</f>
        <v/>
      </c>
      <c r="AT165" s="317" t="n"/>
      <c r="AU165" s="414" t="n">
        <v>53.09333333333333</v>
      </c>
      <c r="AV165" s="182">
        <f>AU165-AU153</f>
        <v/>
      </c>
      <c r="AW165" s="317" t="n"/>
      <c r="AX165" s="413" t="n"/>
      <c r="AY165" s="142" t="n"/>
      <c r="AZ165" s="39" t="n"/>
      <c r="BA165" s="317" t="n"/>
      <c r="BB165" s="39" t="n"/>
      <c r="BC165" s="317" t="n"/>
      <c r="BD165" s="39" t="n"/>
      <c r="BE165" s="317" t="n"/>
      <c r="BF165" s="39" t="n"/>
      <c r="BG165" s="317" t="n"/>
      <c r="BH165" s="39" t="n"/>
      <c r="BI165" s="317" t="n"/>
      <c r="BJ165" s="39" t="n"/>
      <c r="BK165" s="317" t="n"/>
      <c r="BL165" s="39" t="n"/>
      <c r="BM165" s="317" t="n"/>
      <c r="BN165" s="39" t="n"/>
      <c r="BO165" s="317" t="n"/>
      <c r="BP165" s="317" t="n"/>
      <c r="BQ165" s="39" t="n"/>
      <c r="BR165" s="317" t="n"/>
      <c r="BS165" s="39" t="n"/>
      <c r="BT165" s="317" t="n"/>
      <c r="BU165" s="39" t="n"/>
      <c r="BV165" s="317" t="n"/>
      <c r="BW165" s="39" t="n"/>
      <c r="BX165" s="317" t="n"/>
      <c r="BY165" s="39" t="n"/>
      <c r="BZ165" s="317" t="n"/>
      <c r="CA165" s="39" t="n"/>
      <c r="CB165" s="317" t="n"/>
      <c r="CC165" s="39" t="n"/>
      <c r="CD165" s="317" t="n"/>
      <c r="CE165" s="39" t="n"/>
      <c r="CF165" s="317" t="n"/>
      <c r="CG165" s="39" t="n"/>
      <c r="CH165" s="317" t="n"/>
      <c r="CI165" s="39" t="n"/>
      <c r="CJ165" s="317" t="n"/>
      <c r="CK165" s="39" t="n"/>
      <c r="CL165" s="317" t="n"/>
      <c r="CM165" s="39" t="n"/>
      <c r="CN165" s="317" t="n"/>
      <c r="CW165" s="317" t="n"/>
      <c r="CX165" s="39" t="n"/>
      <c r="CY165" s="317" t="n"/>
      <c r="CZ165" s="39" t="n"/>
      <c r="DA165" s="317" t="n"/>
      <c r="DB165" s="39" t="n"/>
      <c r="DC165" s="317" t="n"/>
      <c r="DD165" s="39" t="n"/>
      <c r="DE165" s="317" t="n"/>
      <c r="DF165" s="412" t="n"/>
    </row>
    <row r="166" ht="13" customFormat="1" customHeight="1" s="116">
      <c r="A166" s="342" t="inlineStr">
        <is>
          <t>22Q4</t>
        </is>
      </c>
      <c r="B166" s="317" t="n">
        <v>19854.45</v>
      </c>
      <c r="C166" s="39">
        <f>B166/B161-1</f>
        <v/>
      </c>
      <c r="D166" s="39" t="n"/>
      <c r="E166" s="317" t="n">
        <v>18338.13</v>
      </c>
      <c r="F166" s="39">
        <f>E166/E161-1</f>
        <v/>
      </c>
      <c r="G166" s="39" t="n"/>
      <c r="H166" s="317" t="n">
        <v>1347.35</v>
      </c>
      <c r="I166" s="39">
        <f>H166/H161-1</f>
        <v/>
      </c>
      <c r="J166" s="39" t="n"/>
      <c r="K166" s="317" t="n">
        <v>168.97</v>
      </c>
      <c r="L166" s="39">
        <f>K166/K161-1</f>
        <v/>
      </c>
      <c r="M166" s="39" t="n"/>
      <c r="N166" s="317" t="n">
        <v>12833.36</v>
      </c>
      <c r="O166" s="39">
        <f>N166/N161-1</f>
        <v/>
      </c>
      <c r="P166" s="39" t="n"/>
      <c r="Q166" s="317" t="n">
        <v>11902.07</v>
      </c>
      <c r="R166" s="39">
        <f>Q166/Q161-1</f>
        <v/>
      </c>
      <c r="S166" s="39" t="n"/>
      <c r="T166" s="317" t="n">
        <v>836.3900000000001</v>
      </c>
      <c r="U166" s="39">
        <f>T166/T161-1</f>
        <v/>
      </c>
      <c r="V166" s="39" t="n"/>
      <c r="W166" s="317" t="n">
        <v>94.91</v>
      </c>
      <c r="X166" s="39">
        <f>W166/W161-1</f>
        <v/>
      </c>
      <c r="Y166" s="39" t="n"/>
      <c r="Z166" s="317" t="n">
        <v>8726.25</v>
      </c>
      <c r="AA166" s="39">
        <f>Z166/Z161-1</f>
        <v/>
      </c>
      <c r="AB166" s="39" t="n"/>
      <c r="AC166" s="317" t="n">
        <v>8520.889999999999</v>
      </c>
      <c r="AD166" s="39">
        <f>AC166/AC161-1</f>
        <v/>
      </c>
      <c r="AE166" s="39" t="n"/>
      <c r="AF166" s="317" t="n">
        <v>141.39</v>
      </c>
      <c r="AG166" s="39">
        <f>AF166/AF161-1</f>
        <v/>
      </c>
      <c r="AH166" s="39" t="n"/>
      <c r="AI166" s="317" t="n">
        <v>63.96000000000001</v>
      </c>
      <c r="AJ166" s="39">
        <f>AI166/AI161-1</f>
        <v/>
      </c>
      <c r="AK166" s="39" t="n"/>
      <c r="AL166" s="182" t="n">
        <v>64.71666666666665</v>
      </c>
      <c r="AM166" s="179">
        <f>AL166-AL154</f>
        <v/>
      </c>
      <c r="AN166" s="179" t="n"/>
      <c r="AO166" s="182" t="n">
        <v>64.98</v>
      </c>
      <c r="AP166" s="182">
        <f>AO166-AO154</f>
        <v/>
      </c>
      <c r="AQ166" s="179" t="n"/>
      <c r="AR166" s="182" t="n">
        <v>62.04</v>
      </c>
      <c r="AS166" s="182">
        <f>AR166-AR154</f>
        <v/>
      </c>
      <c r="AT166" s="179" t="n"/>
      <c r="AU166" s="182" t="n">
        <v>55.89333333333334</v>
      </c>
      <c r="AV166" s="182">
        <f>AU166-AU154</f>
        <v/>
      </c>
      <c r="AW166" s="179" t="n"/>
      <c r="AX166" s="317" t="n"/>
      <c r="AY166" s="142" t="n"/>
      <c r="AZ166" s="39" t="n"/>
      <c r="BA166" s="317" t="n"/>
      <c r="BB166" s="39" t="n"/>
      <c r="BC166" s="317" t="n"/>
      <c r="BD166" s="39" t="n"/>
      <c r="BE166" s="317" t="n"/>
      <c r="BF166" s="39" t="n"/>
      <c r="BG166" s="317" t="n"/>
      <c r="BH166" s="39" t="n"/>
      <c r="BI166" s="317" t="n"/>
      <c r="BJ166" s="39" t="n"/>
      <c r="BK166" s="317" t="n"/>
      <c r="BL166" s="39" t="n"/>
      <c r="BM166" s="317" t="n"/>
      <c r="BN166" s="39" t="n"/>
      <c r="BO166" s="317" t="n"/>
      <c r="BP166" s="317" t="n"/>
      <c r="BQ166" s="39" t="n"/>
      <c r="BR166" s="317" t="n"/>
      <c r="BS166" s="39" t="n"/>
      <c r="BT166" s="317" t="n"/>
      <c r="BU166" s="39" t="n"/>
      <c r="BV166" s="317" t="n"/>
      <c r="BW166" s="39" t="n"/>
      <c r="BX166" s="317" t="n"/>
      <c r="BY166" s="39" t="n"/>
      <c r="BZ166" s="317" t="n"/>
      <c r="CA166" s="39" t="n"/>
      <c r="CB166" s="317" t="n"/>
      <c r="CC166" s="39" t="n"/>
      <c r="CD166" s="317" t="n"/>
      <c r="CE166" s="39" t="n"/>
      <c r="CF166" s="317" t="n"/>
      <c r="CG166" s="39" t="n"/>
      <c r="CH166" s="317" t="n"/>
      <c r="CI166" s="39" t="n"/>
      <c r="CJ166" s="317" t="n"/>
      <c r="CK166" s="39" t="n"/>
      <c r="CL166" s="317" t="n"/>
      <c r="CM166" s="39" t="n"/>
      <c r="CN166" s="317" t="n"/>
      <c r="CW166" s="317" t="n"/>
      <c r="CX166" s="39" t="n"/>
      <c r="CY166" s="317" t="n"/>
      <c r="CZ166" s="39" t="n"/>
      <c r="DA166" s="317" t="n"/>
      <c r="DB166" s="39" t="n"/>
      <c r="DC166" s="317" t="n"/>
      <c r="DD166" s="39" t="n"/>
      <c r="DE166" s="317" t="n"/>
      <c r="DF166" s="412" t="n"/>
    </row>
    <row r="167" ht="13" customFormat="1" customHeight="1" s="116">
      <c r="A167" s="342" t="n"/>
      <c r="B167" s="317" t="n"/>
      <c r="C167" s="39" t="n"/>
      <c r="D167" s="39" t="n"/>
      <c r="E167" s="317" t="n"/>
      <c r="F167" s="39" t="n"/>
      <c r="G167" s="39" t="n"/>
      <c r="H167" s="317" t="n"/>
      <c r="I167" s="39" t="n"/>
      <c r="J167" s="39" t="n"/>
      <c r="K167" s="317" t="n"/>
      <c r="L167" s="39" t="n"/>
      <c r="M167" s="39" t="n"/>
      <c r="N167" s="317" t="n"/>
      <c r="O167" s="39" t="n"/>
      <c r="P167" s="39" t="n"/>
      <c r="Q167" s="317" t="n"/>
      <c r="R167" s="39" t="n"/>
      <c r="S167" s="39" t="n"/>
      <c r="T167" s="317" t="n"/>
      <c r="U167" s="39" t="n"/>
      <c r="V167" s="39" t="n"/>
      <c r="W167" s="317" t="n"/>
      <c r="X167" s="39" t="n"/>
      <c r="Y167" s="39" t="n"/>
      <c r="Z167" s="317" t="n"/>
      <c r="AA167" s="39" t="n"/>
      <c r="AB167" s="39" t="n"/>
      <c r="AC167" s="317" t="n"/>
      <c r="AD167" s="39" t="n"/>
      <c r="AE167" s="39" t="n"/>
      <c r="AF167" s="317" t="n"/>
      <c r="AG167" s="39" t="n"/>
      <c r="AH167" s="39" t="n"/>
      <c r="AI167" s="317" t="n"/>
      <c r="AJ167" s="39" t="n"/>
      <c r="AK167" s="39" t="n"/>
      <c r="AL167" s="317" t="n"/>
      <c r="AM167" s="338" t="n"/>
      <c r="AN167" s="179" t="n"/>
      <c r="AO167" s="317" t="n"/>
      <c r="AP167" s="317" t="n"/>
      <c r="AQ167" s="179" t="n"/>
      <c r="AR167" s="317" t="n"/>
      <c r="AS167" s="317" t="n"/>
      <c r="AT167" s="179" t="n"/>
      <c r="AU167" s="317" t="n"/>
      <c r="AV167" s="317" t="n"/>
      <c r="AW167" s="179" t="n"/>
      <c r="AX167" s="317" t="n"/>
      <c r="BN167" s="39" t="n"/>
      <c r="BO167" s="317" t="n"/>
      <c r="BP167" s="317" t="n"/>
      <c r="BQ167" s="39" t="n"/>
      <c r="BR167" s="317" t="n"/>
      <c r="BS167" s="39" t="n"/>
      <c r="BT167" s="317" t="n"/>
      <c r="BU167" s="39" t="n"/>
      <c r="BV167" s="317" t="n"/>
      <c r="BW167" s="39" t="n"/>
      <c r="BX167" s="317" t="n"/>
      <c r="BY167" s="39" t="n"/>
      <c r="BZ167" s="317" t="n"/>
      <c r="CA167" s="39" t="n"/>
      <c r="CB167" s="317" t="n"/>
      <c r="CC167" s="39" t="n"/>
      <c r="CD167" s="317" t="n"/>
      <c r="CE167" s="39" t="n"/>
      <c r="CF167" s="317" t="n"/>
      <c r="CG167" s="39" t="n"/>
      <c r="CH167" s="317" t="n"/>
      <c r="CI167" s="39" t="n"/>
      <c r="CJ167" s="317" t="n"/>
      <c r="CK167" s="39" t="n"/>
      <c r="CL167" s="317" t="n"/>
      <c r="CM167" s="39" t="n"/>
      <c r="CN167" s="317" t="n"/>
      <c r="CW167" s="317" t="n"/>
      <c r="CX167" s="39" t="n"/>
      <c r="CY167" s="317" t="n"/>
      <c r="CZ167" s="39" t="n"/>
      <c r="DA167" s="317" t="n"/>
      <c r="DB167" s="39" t="n"/>
      <c r="DC167" s="317" t="n"/>
      <c r="DD167" s="39" t="n"/>
      <c r="DE167" s="317" t="n"/>
      <c r="DF167" s="412" t="n"/>
    </row>
    <row r="168" ht="13" customFormat="1" customHeight="1" s="116">
      <c r="A168" s="342" t="inlineStr">
        <is>
          <t>23Q1</t>
        </is>
      </c>
      <c r="B168" s="317" t="n">
        <v>48089.66</v>
      </c>
      <c r="C168" s="39">
        <f>B168/B163-1</f>
        <v/>
      </c>
      <c r="D168" s="39" t="n"/>
      <c r="E168" s="317" t="n">
        <v>44369.79</v>
      </c>
      <c r="F168" s="39">
        <f>E168/E163-1</f>
        <v/>
      </c>
      <c r="G168" s="39" t="n"/>
      <c r="H168" s="317" t="n">
        <v>3091.36</v>
      </c>
      <c r="I168" s="39">
        <f>H168/H163-1</f>
        <v/>
      </c>
      <c r="J168" s="39" t="n"/>
      <c r="K168" s="317" t="n">
        <v>628.52</v>
      </c>
      <c r="L168" s="39">
        <f>K168/K163-1</f>
        <v/>
      </c>
      <c r="M168" s="39" t="n"/>
      <c r="N168" s="317" t="n">
        <v>33954.11</v>
      </c>
      <c r="O168" s="39">
        <f>N168/N163-1</f>
        <v/>
      </c>
      <c r="P168" s="39" t="n"/>
      <c r="Q168" s="317" t="n">
        <v>31546.59</v>
      </c>
      <c r="R168" s="39">
        <f>Q168/Q163-1</f>
        <v/>
      </c>
      <c r="S168" s="39" t="n"/>
      <c r="T168" s="317" t="n">
        <v>1948.51</v>
      </c>
      <c r="U168" s="39">
        <f>T168/T163-1</f>
        <v/>
      </c>
      <c r="V168" s="39" t="n"/>
      <c r="W168" s="317" t="n">
        <v>459.02</v>
      </c>
      <c r="X168" s="39">
        <f>W168/W163-1</f>
        <v/>
      </c>
      <c r="Y168" s="39" t="n"/>
      <c r="Z168" s="317" t="n">
        <v>22935.79</v>
      </c>
      <c r="AA168" s="39">
        <f>Z168/Z163-1</f>
        <v/>
      </c>
      <c r="AB168" s="39" t="n"/>
      <c r="AC168" s="317" t="n">
        <v>22249.2</v>
      </c>
      <c r="AD168" s="39">
        <f>AC168/AC163-1</f>
        <v/>
      </c>
      <c r="AE168" s="39" t="n"/>
      <c r="AF168" s="317" t="n">
        <v>373.0700000000001</v>
      </c>
      <c r="AG168" s="39">
        <f>AF168/AF163-1</f>
        <v/>
      </c>
      <c r="AH168" s="39" t="n"/>
      <c r="AI168" s="317" t="n">
        <v>313.52</v>
      </c>
      <c r="AJ168" s="39">
        <f>AI168/AI163-1</f>
        <v/>
      </c>
      <c r="AK168" s="39" t="n"/>
      <c r="AL168" s="182" t="n">
        <v>70.56999999999999</v>
      </c>
      <c r="AM168" s="179">
        <f>AL168-AL156</f>
        <v/>
      </c>
      <c r="AN168" s="179" t="n"/>
      <c r="AO168" s="182" t="n">
        <v>71.06666666666666</v>
      </c>
      <c r="AP168" s="182">
        <f>AO168-AO156</f>
        <v/>
      </c>
      <c r="AQ168" s="179" t="n"/>
      <c r="AR168" s="182" t="n">
        <v>63.64666666666667</v>
      </c>
      <c r="AS168" s="182">
        <f>AR168-AR156</f>
        <v/>
      </c>
      <c r="AT168" s="179" t="n"/>
      <c r="AU168" s="182" t="n">
        <v>72.95666666666666</v>
      </c>
      <c r="AV168" s="182">
        <f>AU168-AU156</f>
        <v/>
      </c>
      <c r="AW168" s="179" t="n"/>
      <c r="AX168" s="317" t="n"/>
      <c r="AY168" s="142" t="n"/>
      <c r="AZ168" s="39" t="n"/>
      <c r="BA168" s="317" t="n"/>
      <c r="BB168" s="39" t="n"/>
      <c r="BC168" s="317" t="n"/>
      <c r="BD168" s="39" t="n"/>
      <c r="BE168" s="317" t="n"/>
      <c r="BF168" s="39" t="n"/>
      <c r="BG168" s="317" t="n"/>
      <c r="BH168" s="39" t="n"/>
      <c r="BI168" s="317" t="n"/>
      <c r="BJ168" s="39" t="n"/>
      <c r="BK168" s="317" t="n"/>
      <c r="BL168" s="39" t="n"/>
      <c r="BM168" s="317" t="n"/>
      <c r="BN168" s="39" t="n"/>
      <c r="BO168" s="317" t="n"/>
      <c r="BP168" s="317" t="n"/>
      <c r="BQ168" s="39" t="n"/>
      <c r="BR168" s="317" t="n"/>
      <c r="BS168" s="39" t="n"/>
      <c r="BT168" s="317" t="n"/>
      <c r="BU168" s="39" t="n"/>
      <c r="BV168" s="317" t="n"/>
      <c r="BW168" s="39" t="n"/>
      <c r="BX168" s="317" t="n"/>
      <c r="BY168" s="39" t="n"/>
      <c r="BZ168" s="317" t="n"/>
      <c r="CA168" s="39" t="n"/>
      <c r="CB168" s="317" t="n"/>
      <c r="CC168" s="39" t="n"/>
      <c r="CD168" s="317" t="n"/>
      <c r="CE168" s="39" t="n"/>
      <c r="CF168" s="317" t="n"/>
      <c r="CG168" s="39" t="n"/>
      <c r="CH168" s="317" t="n"/>
      <c r="CI168" s="39" t="n"/>
      <c r="CJ168" s="317" t="n"/>
      <c r="CK168" s="39" t="n"/>
      <c r="CL168" s="317" t="n"/>
      <c r="CM168" s="39" t="n"/>
      <c r="CN168" s="317" t="n"/>
      <c r="CW168" s="317" t="n"/>
      <c r="CX168" s="39" t="n"/>
      <c r="CY168" s="317" t="n"/>
      <c r="CZ168" s="39" t="n"/>
      <c r="DA168" s="317" t="n"/>
      <c r="DB168" s="39" t="n"/>
      <c r="DC168" s="317" t="n"/>
      <c r="DD168" s="39" t="n"/>
      <c r="DE168" s="317" t="n"/>
      <c r="DF168" s="412" t="n"/>
    </row>
    <row r="169" ht="13" customFormat="1" customHeight="1" s="119">
      <c r="A169" s="342" t="inlineStr">
        <is>
          <t>23Q2</t>
        </is>
      </c>
      <c r="B169" s="317" t="n">
        <v>60515.63</v>
      </c>
      <c r="C169" s="39">
        <f>B169/B164-1</f>
        <v/>
      </c>
      <c r="D169" s="39" t="n"/>
      <c r="E169" s="317" t="n">
        <v>51409.39</v>
      </c>
      <c r="F169" s="39">
        <f>E169/E164-1</f>
        <v/>
      </c>
      <c r="G169" s="39" t="n"/>
      <c r="H169" s="317" t="n">
        <v>7850.4</v>
      </c>
      <c r="I169" s="39">
        <f>H169/H164-1</f>
        <v/>
      </c>
      <c r="J169" s="39" t="n"/>
      <c r="K169" s="317" t="n">
        <v>1255.85</v>
      </c>
      <c r="L169" s="39">
        <f>K169/K164-1</f>
        <v/>
      </c>
      <c r="M169" s="39" t="n"/>
      <c r="N169" s="317" t="n">
        <v>43980.48</v>
      </c>
      <c r="O169" s="39">
        <f>N169/N164-1</f>
        <v/>
      </c>
      <c r="P169" s="39" t="n"/>
      <c r="Q169" s="317" t="n">
        <v>37889.57</v>
      </c>
      <c r="R169" s="39">
        <f>Q169/Q164-1</f>
        <v/>
      </c>
      <c r="S169" s="39" t="n"/>
      <c r="T169" s="317" t="n">
        <v>5207.82</v>
      </c>
      <c r="U169" s="39">
        <f>T169/T164-1</f>
        <v/>
      </c>
      <c r="V169" s="39" t="n"/>
      <c r="W169" s="317" t="n">
        <v>883.0999999999999</v>
      </c>
      <c r="X169" s="39">
        <f>W169/W164-1</f>
        <v/>
      </c>
      <c r="Y169" s="39" t="n"/>
      <c r="Z169" s="317" t="n">
        <v>29010.01</v>
      </c>
      <c r="AA169" s="39">
        <f>Z169/Z164-1</f>
        <v/>
      </c>
      <c r="AB169" s="39" t="n"/>
      <c r="AC169" s="317" t="n">
        <v>27156.14</v>
      </c>
      <c r="AD169" s="39">
        <f>AC169/AC164-1</f>
        <v/>
      </c>
      <c r="AE169" s="39" t="n"/>
      <c r="AF169" s="317" t="n">
        <v>1222.89</v>
      </c>
      <c r="AG169" s="39">
        <f>AF169/AF164-1</f>
        <v/>
      </c>
      <c r="AH169" s="39" t="n"/>
      <c r="AI169" s="317" t="n">
        <v>630.98</v>
      </c>
      <c r="AJ169" s="39">
        <f>AI169/AI164-1</f>
        <v/>
      </c>
      <c r="AK169" s="39" t="n"/>
      <c r="AL169" s="182" t="n">
        <v>72.67666666666666</v>
      </c>
      <c r="AM169" s="179">
        <f>AL169-AL157</f>
        <v/>
      </c>
      <c r="AN169" s="179" t="n"/>
      <c r="AO169" s="182" t="n">
        <v>73.73333333333333</v>
      </c>
      <c r="AP169" s="182">
        <f>AO169-AO157</f>
        <v/>
      </c>
      <c r="AQ169" s="179" t="n"/>
      <c r="AR169" s="182" t="n">
        <v>65.46333333333332</v>
      </c>
      <c r="AS169" s="182">
        <f>AR169-AR157</f>
        <v/>
      </c>
      <c r="AT169" s="179" t="n"/>
      <c r="AU169" s="182" t="n">
        <v>70.3</v>
      </c>
      <c r="AV169" s="182">
        <f>AU169-AU157</f>
        <v/>
      </c>
      <c r="AW169" s="179" t="n"/>
      <c r="AX169" s="317" t="n"/>
      <c r="AY169" s="196" t="n"/>
      <c r="AZ169" s="93" t="n"/>
      <c r="BA169" s="340" t="n"/>
      <c r="BB169" s="93" t="n"/>
      <c r="BC169" s="340" t="n"/>
      <c r="BD169" s="93" t="n"/>
      <c r="BE169" s="340" t="n"/>
      <c r="BF169" s="93" t="n"/>
      <c r="BG169" s="340" t="n"/>
      <c r="BH169" s="93" t="n"/>
      <c r="BI169" s="340" t="n"/>
      <c r="BJ169" s="93" t="n"/>
      <c r="BK169" s="340" t="n"/>
      <c r="BL169" s="93" t="n"/>
      <c r="BM169" s="340" t="n"/>
      <c r="BN169" s="340" t="n"/>
      <c r="BO169" s="340" t="n"/>
      <c r="BP169" s="340" t="n"/>
      <c r="BQ169" s="340" t="n"/>
      <c r="BR169" s="340" t="n"/>
      <c r="BS169" s="340" t="n"/>
      <c r="BT169" s="340" t="n"/>
      <c r="BU169" s="340" t="n"/>
      <c r="BV169" s="340" t="n"/>
      <c r="BW169" s="340" t="n"/>
      <c r="BX169" s="340" t="n"/>
      <c r="BY169" s="340" t="n"/>
      <c r="BZ169" s="340" t="n"/>
      <c r="CA169" s="340" t="n"/>
      <c r="CB169" s="340" t="n"/>
      <c r="CC169" s="340" t="n"/>
      <c r="CD169" s="340" t="n"/>
      <c r="CE169" s="340" t="n"/>
      <c r="CF169" s="340" t="n"/>
      <c r="CG169" s="340" t="n"/>
      <c r="CH169" s="340" t="n"/>
      <c r="CI169" s="340" t="n"/>
      <c r="CJ169" s="340" t="n"/>
      <c r="CK169" s="340" t="n"/>
      <c r="CL169" s="340" t="n"/>
      <c r="CM169" s="340" t="n"/>
      <c r="CN169" s="340" t="n"/>
      <c r="CO169" s="340" t="n"/>
      <c r="CP169" s="340" t="n"/>
      <c r="CQ169" s="340" t="n"/>
      <c r="CR169" s="340" t="n"/>
      <c r="CS169" s="340" t="n"/>
      <c r="CT169" s="340" t="n"/>
      <c r="CU169" s="340" t="n"/>
      <c r="CV169" s="340" t="n"/>
      <c r="CW169" s="340" t="n"/>
      <c r="CX169" s="340" t="n"/>
      <c r="CY169" s="340" t="n"/>
      <c r="CZ169" s="340" t="n"/>
      <c r="DA169" s="340" t="n"/>
      <c r="DB169" s="340" t="n"/>
      <c r="DC169" s="340" t="n"/>
      <c r="DD169" s="340" t="n"/>
      <c r="DE169" s="341" t="n"/>
      <c r="DF169" s="341" t="n"/>
    </row>
    <row r="170" ht="13" customFormat="1" customHeight="1" s="119">
      <c r="A170" s="342" t="inlineStr">
        <is>
          <t>23Q3</t>
        </is>
      </c>
      <c r="B170" s="317" t="n">
        <v>69862.76000000001</v>
      </c>
      <c r="C170" s="39">
        <f>B170/B165-1</f>
        <v/>
      </c>
      <c r="D170" s="39" t="n"/>
      <c r="E170" s="317" t="n">
        <v>55158.45</v>
      </c>
      <c r="F170" s="39">
        <f>E170/E165-1</f>
        <v/>
      </c>
      <c r="G170" s="39" t="n"/>
      <c r="H170" s="317" t="n">
        <v>13371.28</v>
      </c>
      <c r="I170" s="39">
        <f>H170/H165-1</f>
        <v/>
      </c>
      <c r="J170" s="39" t="n"/>
      <c r="K170" s="317" t="n">
        <v>1333.04</v>
      </c>
      <c r="L170" s="39">
        <f>K170/K165-1</f>
        <v/>
      </c>
      <c r="M170" s="39" t="n"/>
      <c r="N170" s="317" t="n">
        <v>53520.14</v>
      </c>
      <c r="O170" s="39">
        <f>N170/N165-1</f>
        <v/>
      </c>
      <c r="P170" s="39" t="n"/>
      <c r="Q170" s="317" t="n">
        <v>42302.34</v>
      </c>
      <c r="R170" s="39">
        <f>Q170/Q165-1</f>
        <v/>
      </c>
      <c r="S170" s="39" t="n"/>
      <c r="T170" s="317" t="n">
        <v>10161.33</v>
      </c>
      <c r="U170" s="39">
        <f>T170/T165-1</f>
        <v/>
      </c>
      <c r="V170" s="39" t="n"/>
      <c r="W170" s="317" t="n">
        <v>1056.47</v>
      </c>
      <c r="X170" s="39">
        <f>W170/W165-1</f>
        <v/>
      </c>
      <c r="Y170" s="39" t="n"/>
      <c r="Z170" s="317" t="n">
        <v>33049.79</v>
      </c>
      <c r="AA170" s="39">
        <f>Z170/Z165-1</f>
        <v/>
      </c>
      <c r="AB170" s="39" t="n"/>
      <c r="AC170" s="317" t="n">
        <v>29842.55</v>
      </c>
      <c r="AD170" s="39">
        <f>AC170/AC165-1</f>
        <v/>
      </c>
      <c r="AE170" s="39" t="n"/>
      <c r="AF170" s="317" t="n">
        <v>2447.04</v>
      </c>
      <c r="AG170" s="39">
        <f>AF170/AF165-1</f>
        <v/>
      </c>
      <c r="AH170" s="39" t="n"/>
      <c r="AI170" s="317" t="n">
        <v>760.21</v>
      </c>
      <c r="AJ170" s="39">
        <f>AI170/AI165-1</f>
        <v/>
      </c>
      <c r="AK170" s="39" t="n"/>
      <c r="AL170" s="182" t="n">
        <v>76.52999999999999</v>
      </c>
      <c r="AM170" s="179">
        <f>AL170-AL158</f>
        <v/>
      </c>
      <c r="AN170" s="39" t="n"/>
      <c r="AO170" s="182" t="n">
        <v>76.58</v>
      </c>
      <c r="AP170" s="182">
        <f>AO170-AO158</f>
        <v/>
      </c>
      <c r="AQ170" s="39" t="n"/>
      <c r="AR170" s="182" t="n">
        <v>76.04666666666667</v>
      </c>
      <c r="AS170" s="182">
        <f>AR170-AR158</f>
        <v/>
      </c>
      <c r="AT170" s="39" t="n"/>
      <c r="AU170" s="182" t="n">
        <v>79.07666666666667</v>
      </c>
      <c r="AV170" s="182">
        <f>AU170-AU158</f>
        <v/>
      </c>
      <c r="AW170" s="39" t="n"/>
      <c r="AX170" s="317" t="n"/>
      <c r="AY170" s="196" t="n"/>
      <c r="AZ170" s="93" t="n"/>
      <c r="BA170" s="340" t="n"/>
      <c r="BB170" s="93" t="n"/>
      <c r="BC170" s="340" t="n"/>
      <c r="BD170" s="93" t="n"/>
      <c r="BE170" s="340" t="n"/>
      <c r="BF170" s="93" t="n"/>
      <c r="BG170" s="340" t="n"/>
      <c r="BH170" s="93" t="n"/>
      <c r="BI170" s="340" t="n"/>
      <c r="BJ170" s="93" t="n"/>
      <c r="BK170" s="340" t="n"/>
      <c r="BL170" s="93" t="n"/>
      <c r="BM170" s="340" t="n"/>
      <c r="BN170" s="340" t="n"/>
      <c r="BO170" s="340" t="n"/>
      <c r="BP170" s="340" t="n"/>
      <c r="BQ170" s="340" t="n"/>
      <c r="BR170" s="340" t="n"/>
      <c r="BS170" s="340" t="n"/>
      <c r="BT170" s="340" t="n"/>
      <c r="BU170" s="340" t="n"/>
      <c r="BV170" s="340" t="n"/>
      <c r="BW170" s="340" t="n"/>
      <c r="BX170" s="340" t="n"/>
      <c r="BY170" s="340" t="n"/>
      <c r="BZ170" s="340" t="n"/>
      <c r="CA170" s="340" t="n"/>
      <c r="CB170" s="340" t="n"/>
      <c r="CC170" s="340" t="n"/>
      <c r="CD170" s="340" t="n"/>
      <c r="CE170" s="340" t="n"/>
      <c r="CF170" s="340" t="n"/>
      <c r="CG170" s="340" t="n"/>
      <c r="CH170" s="340" t="n"/>
      <c r="CI170" s="340" t="n"/>
      <c r="CJ170" s="340" t="n"/>
      <c r="CK170" s="340" t="n"/>
      <c r="CL170" s="340" t="n"/>
      <c r="CM170" s="340" t="n"/>
      <c r="CN170" s="340" t="n"/>
      <c r="CO170" s="340" t="n"/>
      <c r="CP170" s="340" t="n"/>
      <c r="CQ170" s="340" t="n"/>
      <c r="CR170" s="340" t="n"/>
      <c r="CS170" s="340" t="n"/>
      <c r="CT170" s="340" t="n"/>
      <c r="CU170" s="340" t="n"/>
      <c r="CV170" s="340" t="n"/>
      <c r="CW170" s="340" t="n"/>
      <c r="CX170" s="340" t="n"/>
      <c r="CY170" s="340" t="n"/>
      <c r="CZ170" s="340" t="n"/>
      <c r="DA170" s="340" t="n"/>
      <c r="DB170" s="340" t="n"/>
      <c r="DC170" s="340" t="n"/>
      <c r="DD170" s="340" t="n"/>
      <c r="DE170" s="341" t="n"/>
      <c r="DF170" s="341" t="n"/>
    </row>
    <row r="171" ht="13" customFormat="1" customHeight="1" s="119">
      <c r="A171" s="342" t="inlineStr">
        <is>
          <t>23Q4</t>
        </is>
      </c>
      <c r="B171" s="317" t="n">
        <v>66506.69</v>
      </c>
      <c r="C171" s="142">
        <f>B171/B166-1</f>
        <v/>
      </c>
      <c r="D171" s="142" t="n"/>
      <c r="E171" s="317" t="n">
        <v>48891.82</v>
      </c>
      <c r="F171" s="142">
        <f>E171/E166-1</f>
        <v/>
      </c>
      <c r="G171" s="142" t="n"/>
      <c r="H171" s="317" t="n">
        <v>16028.66</v>
      </c>
      <c r="I171" s="142">
        <f>H171/H166-1</f>
        <v/>
      </c>
      <c r="J171" s="142" t="n"/>
      <c r="K171" s="317" t="n">
        <v>1586.21</v>
      </c>
      <c r="L171" s="142">
        <f>K171/K166-1</f>
        <v/>
      </c>
      <c r="M171" s="142" t="n"/>
      <c r="N171" s="317" t="n">
        <v>50839.99000000001</v>
      </c>
      <c r="O171" s="142">
        <f>N171/N166-1</f>
        <v/>
      </c>
      <c r="P171" s="142" t="n"/>
      <c r="Q171" s="317" t="n">
        <v>38190.08</v>
      </c>
      <c r="R171" s="142">
        <f>Q171/Q166-1</f>
        <v/>
      </c>
      <c r="S171" s="142" t="n"/>
      <c r="T171" s="317" t="n">
        <v>11526.26</v>
      </c>
      <c r="U171" s="142">
        <f>T171/T166-1</f>
        <v/>
      </c>
      <c r="V171" s="142" t="n"/>
      <c r="W171" s="317" t="n">
        <v>1123.65</v>
      </c>
      <c r="X171" s="142">
        <f>W171/W166-1</f>
        <v/>
      </c>
      <c r="Y171" s="142" t="n"/>
      <c r="Z171" s="317" t="n">
        <v>30644.29</v>
      </c>
      <c r="AA171" s="142">
        <f>Z171/Z166-1</f>
        <v/>
      </c>
      <c r="AB171" s="142" t="n"/>
      <c r="AC171" s="317" t="n">
        <v>27060.57</v>
      </c>
      <c r="AD171" s="142">
        <f>AC171/AC166-1</f>
        <v/>
      </c>
      <c r="AE171" s="142" t="n"/>
      <c r="AF171" s="317" t="n">
        <v>2777.6</v>
      </c>
      <c r="AG171" s="142">
        <f>AF171/AF166-1</f>
        <v/>
      </c>
      <c r="AH171" s="142" t="n"/>
      <c r="AI171" s="317" t="n">
        <v>806.15</v>
      </c>
      <c r="AJ171" s="142">
        <f>AI171/AI166-1</f>
        <v/>
      </c>
      <c r="AK171" s="142" t="n"/>
      <c r="AL171" s="182" t="n">
        <v>76.44</v>
      </c>
      <c r="AM171" s="182">
        <f>AL171-AL159</f>
        <v/>
      </c>
      <c r="AN171" s="182" t="n"/>
      <c r="AO171" s="182" t="n">
        <v>78.09333333333333</v>
      </c>
      <c r="AP171" s="182">
        <f>AO171-AO159</f>
        <v/>
      </c>
      <c r="AQ171" s="182" t="n"/>
      <c r="AR171" s="182" t="n">
        <v>71.81</v>
      </c>
      <c r="AS171" s="182">
        <f>AR171-AR159</f>
        <v/>
      </c>
      <c r="AT171" s="182" t="n"/>
      <c r="AU171" s="182" t="n">
        <v>70.87</v>
      </c>
      <c r="AV171" s="182">
        <f>AU171-AU159</f>
        <v/>
      </c>
      <c r="AW171" s="182" t="n"/>
      <c r="AX171" s="317" t="n"/>
      <c r="AY171" s="196" t="n"/>
      <c r="AZ171" s="93" t="n"/>
      <c r="BA171" s="340" t="n"/>
      <c r="BB171" s="93" t="n"/>
      <c r="BC171" s="340" t="n"/>
      <c r="BD171" s="93" t="n"/>
      <c r="BE171" s="340" t="n"/>
      <c r="BF171" s="93" t="n"/>
      <c r="BG171" s="340" t="n"/>
      <c r="BH171" s="93" t="n"/>
      <c r="BI171" s="340" t="n"/>
      <c r="BJ171" s="93" t="n"/>
      <c r="BK171" s="340" t="n"/>
      <c r="BL171" s="93" t="n"/>
      <c r="BM171" s="340" t="n"/>
      <c r="BN171" s="340" t="n"/>
      <c r="BO171" s="340" t="n"/>
      <c r="BP171" s="340" t="n"/>
      <c r="BQ171" s="340" t="n"/>
      <c r="BR171" s="340" t="n"/>
      <c r="BS171" s="340" t="n"/>
      <c r="BT171" s="340" t="n"/>
      <c r="BU171" s="340" t="n"/>
      <c r="BV171" s="340" t="n"/>
      <c r="BW171" s="340" t="n"/>
      <c r="BX171" s="340" t="n"/>
      <c r="BY171" s="340" t="n"/>
      <c r="BZ171" s="340" t="n"/>
      <c r="CA171" s="340" t="n"/>
      <c r="CB171" s="340" t="n"/>
      <c r="CC171" s="340" t="n"/>
      <c r="CD171" s="340" t="n"/>
      <c r="CE171" s="340" t="n"/>
      <c r="CF171" s="340" t="n"/>
      <c r="CG171" s="340" t="n"/>
      <c r="CH171" s="340" t="n"/>
      <c r="CI171" s="340" t="n"/>
      <c r="CJ171" s="340" t="n"/>
      <c r="CK171" s="340" t="n"/>
      <c r="CL171" s="340" t="n"/>
      <c r="CM171" s="340" t="n"/>
      <c r="CN171" s="340" t="n"/>
      <c r="CO171" s="340" t="n"/>
      <c r="CP171" s="340" t="n"/>
      <c r="CQ171" s="340" t="n"/>
      <c r="CR171" s="340" t="n"/>
      <c r="CS171" s="340" t="n"/>
      <c r="CT171" s="340" t="n"/>
      <c r="CU171" s="340" t="n"/>
      <c r="CV171" s="340" t="n"/>
      <c r="CW171" s="340" t="n"/>
      <c r="CX171" s="340" t="n"/>
      <c r="CY171" s="340" t="n"/>
      <c r="CZ171" s="340" t="n"/>
      <c r="DA171" s="340" t="n"/>
      <c r="DB171" s="340" t="n"/>
      <c r="DC171" s="340" t="n"/>
      <c r="DD171" s="340" t="n"/>
      <c r="DE171" s="341" t="n"/>
      <c r="DF171" s="341" t="n"/>
    </row>
    <row r="172" ht="13" customFormat="1" customHeight="1" s="119">
      <c r="A172" s="342" t="n"/>
      <c r="B172" s="317" t="n"/>
      <c r="C172" s="142" t="n"/>
      <c r="D172" s="142" t="n"/>
      <c r="E172" s="317" t="n"/>
      <c r="F172" s="142" t="n"/>
      <c r="G172" s="142" t="n"/>
      <c r="H172" s="317" t="n"/>
      <c r="I172" s="142" t="n"/>
      <c r="J172" s="142" t="n"/>
      <c r="K172" s="317" t="n"/>
      <c r="L172" s="142" t="n"/>
      <c r="M172" s="142" t="n"/>
      <c r="N172" s="317" t="n"/>
      <c r="O172" s="142" t="n"/>
      <c r="P172" s="142" t="n"/>
      <c r="Q172" s="317" t="n"/>
      <c r="R172" s="142" t="n"/>
      <c r="S172" s="142" t="n"/>
      <c r="T172" s="317" t="n"/>
      <c r="U172" s="142" t="n"/>
      <c r="V172" s="142" t="n"/>
      <c r="W172" s="317" t="n"/>
      <c r="X172" s="142" t="n"/>
      <c r="Y172" s="142" t="n"/>
      <c r="Z172" s="317" t="n"/>
      <c r="AA172" s="142" t="n"/>
      <c r="AB172" s="142" t="n"/>
      <c r="AC172" s="317" t="n"/>
      <c r="AD172" s="142" t="n"/>
      <c r="AE172" s="142" t="n"/>
      <c r="AF172" s="317" t="n"/>
      <c r="AG172" s="142" t="n"/>
      <c r="AH172" s="142" t="n"/>
      <c r="AI172" s="317" t="n"/>
      <c r="AJ172" s="142" t="n"/>
      <c r="AK172" s="142" t="n"/>
      <c r="AL172" s="317" t="n"/>
      <c r="AM172" s="317" t="n"/>
      <c r="AN172" s="182" t="n"/>
      <c r="AO172" s="317" t="n"/>
      <c r="AP172" s="317" t="n"/>
      <c r="AQ172" s="182" t="n"/>
      <c r="AR172" s="317" t="n"/>
      <c r="AS172" s="317" t="n"/>
      <c r="AT172" s="182" t="n"/>
      <c r="AU172" s="317" t="n"/>
      <c r="AV172" s="317" t="n"/>
      <c r="AW172" s="182" t="n"/>
      <c r="AX172" s="317" t="n"/>
      <c r="AY172" s="340" t="n"/>
      <c r="AZ172" s="93" t="n"/>
      <c r="BA172" s="340" t="n"/>
      <c r="BB172" s="93" t="n"/>
      <c r="BC172" s="340" t="n"/>
      <c r="BD172" s="93" t="n"/>
      <c r="BE172" s="340" t="n"/>
      <c r="BF172" s="93" t="n"/>
      <c r="BG172" s="340" t="n"/>
      <c r="BH172" s="93" t="n"/>
      <c r="BI172" s="340" t="n"/>
      <c r="BJ172" s="93" t="n"/>
      <c r="BK172" s="340" t="n"/>
      <c r="BL172" s="93" t="n"/>
      <c r="BM172" s="340" t="n"/>
      <c r="BN172" s="340" t="n"/>
      <c r="BO172" s="340" t="n"/>
      <c r="BP172" s="340" t="n"/>
      <c r="BQ172" s="340" t="n"/>
      <c r="BR172" s="340" t="n"/>
      <c r="BS172" s="340" t="n"/>
      <c r="BT172" s="340" t="n"/>
      <c r="BU172" s="340" t="n"/>
      <c r="BV172" s="340" t="n"/>
      <c r="BW172" s="340" t="n"/>
      <c r="BX172" s="340" t="n"/>
      <c r="BY172" s="340" t="n"/>
      <c r="BZ172" s="340" t="n"/>
      <c r="CA172" s="340" t="n"/>
      <c r="CB172" s="340" t="n"/>
      <c r="CC172" s="340" t="n"/>
      <c r="CD172" s="340" t="n"/>
      <c r="CE172" s="340" t="n"/>
      <c r="CF172" s="340" t="n"/>
      <c r="CG172" s="340" t="n"/>
      <c r="CH172" s="340" t="n"/>
      <c r="CI172" s="340" t="n"/>
      <c r="CJ172" s="340" t="n"/>
      <c r="CK172" s="340" t="n"/>
      <c r="CL172" s="340" t="n"/>
      <c r="CM172" s="340" t="n"/>
      <c r="CN172" s="340" t="n"/>
      <c r="CO172" s="340" t="n"/>
      <c r="CP172" s="340" t="n"/>
      <c r="CQ172" s="340" t="n"/>
      <c r="CR172" s="340" t="n"/>
      <c r="CS172" s="340" t="n"/>
      <c r="CT172" s="340" t="n"/>
      <c r="CU172" s="340" t="n"/>
      <c r="CV172" s="340" t="n"/>
      <c r="CW172" s="340" t="n"/>
      <c r="CX172" s="340" t="n"/>
      <c r="CY172" s="340" t="n"/>
      <c r="CZ172" s="340" t="n"/>
      <c r="DA172" s="340" t="n"/>
      <c r="DB172" s="340" t="n"/>
      <c r="DC172" s="340" t="n"/>
      <c r="DD172" s="340" t="n"/>
      <c r="DE172" s="341" t="n"/>
      <c r="DF172" s="341" t="n"/>
    </row>
    <row r="173" ht="13" customFormat="1" customHeight="1" s="119">
      <c r="A173" s="342" t="inlineStr">
        <is>
          <t>24Q1</t>
        </is>
      </c>
      <c r="B173" s="317" t="n">
        <v>73190.67</v>
      </c>
      <c r="C173" s="142">
        <f>B173/B168-1</f>
        <v/>
      </c>
      <c r="D173" s="142" t="n"/>
      <c r="E173" s="317" t="n">
        <v>51957.79</v>
      </c>
      <c r="F173" s="142">
        <f>E173/E168-1</f>
        <v/>
      </c>
      <c r="G173" s="142" t="n"/>
      <c r="H173" s="317" t="n">
        <v>19554.52</v>
      </c>
      <c r="I173" s="142">
        <f>H173/H168-1</f>
        <v/>
      </c>
      <c r="J173" s="142" t="n"/>
      <c r="K173" s="317" t="n">
        <v>1678.35</v>
      </c>
      <c r="L173" s="142">
        <f>K173/K168-1</f>
        <v/>
      </c>
      <c r="M173" s="142" t="n"/>
      <c r="N173" s="317" t="n">
        <v>59042.52</v>
      </c>
      <c r="O173" s="142">
        <f>N173/N168-1</f>
        <v/>
      </c>
      <c r="P173" s="142" t="n"/>
      <c r="Q173" s="317" t="n">
        <v>42436.9</v>
      </c>
      <c r="R173" s="142">
        <f>Q173/Q168-1</f>
        <v/>
      </c>
      <c r="S173" s="142" t="n"/>
      <c r="T173" s="317" t="n">
        <v>15365.65</v>
      </c>
      <c r="U173" s="142">
        <f>T173/T168-1</f>
        <v/>
      </c>
      <c r="V173" s="142" t="n"/>
      <c r="W173" s="317" t="n">
        <v>1239.97</v>
      </c>
      <c r="X173" s="142">
        <f>W173/W168-1</f>
        <v/>
      </c>
      <c r="Y173" s="142" t="n"/>
      <c r="Z173" s="317" t="n">
        <v>34217.25</v>
      </c>
      <c r="AA173" s="142">
        <f>Z173/Z168-1</f>
        <v/>
      </c>
      <c r="AB173" s="142" t="n"/>
      <c r="AC173" s="317" t="n">
        <v>29622.88</v>
      </c>
      <c r="AD173" s="142">
        <f>AC173/AC168-1</f>
        <v/>
      </c>
      <c r="AE173" s="142" t="n"/>
      <c r="AF173" s="317" t="n">
        <v>3714.19</v>
      </c>
      <c r="AG173" s="142">
        <f>AF173/AF168-1</f>
        <v/>
      </c>
      <c r="AH173" s="142" t="n"/>
      <c r="AI173" s="317" t="n">
        <v>880.1800000000001</v>
      </c>
      <c r="AJ173" s="142">
        <f>AI173/AI168-1</f>
        <v/>
      </c>
      <c r="AK173" s="142" t="n"/>
      <c r="AL173" s="182" t="n">
        <v>80.67666666666666</v>
      </c>
      <c r="AM173" s="182">
        <f>AL173-AL161</f>
        <v/>
      </c>
      <c r="AN173" s="182" t="n"/>
      <c r="AO173" s="182" t="n">
        <v>81.67666666666666</v>
      </c>
      <c r="AP173" s="182">
        <f>AO173-AO161</f>
        <v/>
      </c>
      <c r="AQ173" s="182" t="n"/>
      <c r="AR173" s="182" t="n">
        <v>78.57333333333334</v>
      </c>
      <c r="AS173" s="182">
        <f>AR173-AR161</f>
        <v/>
      </c>
      <c r="AT173" s="182" t="n"/>
      <c r="AU173" s="182" t="n">
        <v>73.95333333333333</v>
      </c>
      <c r="AV173" s="182">
        <f>AU173-AU161</f>
        <v/>
      </c>
      <c r="AW173" s="182" t="n"/>
      <c r="AX173" s="340" t="n"/>
      <c r="AY173" s="196" t="n"/>
      <c r="AZ173" s="93" t="n"/>
      <c r="BA173" s="340" t="n"/>
      <c r="BB173" s="93" t="n"/>
      <c r="BC173" s="340" t="n"/>
      <c r="BD173" s="93" t="n"/>
      <c r="BE173" s="340" t="n"/>
      <c r="BF173" s="93" t="n"/>
      <c r="BG173" s="340" t="n"/>
      <c r="BH173" s="93" t="n"/>
      <c r="BI173" s="340" t="n"/>
      <c r="BJ173" s="93" t="n"/>
      <c r="BK173" s="340" t="n"/>
      <c r="BL173" s="93" t="n"/>
      <c r="BM173" s="340" t="n"/>
      <c r="BN173" s="340" t="n"/>
      <c r="BO173" s="340" t="n"/>
      <c r="BP173" s="340" t="n"/>
      <c r="BQ173" s="340" t="n"/>
      <c r="BR173" s="340" t="n"/>
      <c r="BS173" s="340" t="n"/>
      <c r="BT173" s="340" t="n"/>
      <c r="BU173" s="340" t="n"/>
      <c r="BV173" s="340" t="n"/>
      <c r="BW173" s="340" t="n"/>
      <c r="BX173" s="340" t="n"/>
      <c r="BY173" s="340" t="n"/>
      <c r="BZ173" s="340" t="n"/>
      <c r="CA173" s="340" t="n"/>
      <c r="CB173" s="340" t="n"/>
      <c r="CC173" s="340" t="n"/>
      <c r="CD173" s="340" t="n"/>
      <c r="CE173" s="340" t="n"/>
      <c r="CF173" s="340" t="n"/>
      <c r="CG173" s="340" t="n"/>
      <c r="CH173" s="340" t="n"/>
      <c r="CI173" s="340" t="n"/>
      <c r="CJ173" s="340" t="n"/>
      <c r="CK173" s="340" t="n"/>
      <c r="CL173" s="340" t="n"/>
      <c r="CM173" s="340" t="n"/>
      <c r="CN173" s="340" t="n"/>
      <c r="CO173" s="340" t="n"/>
      <c r="CP173" s="340" t="n"/>
      <c r="CQ173" s="340" t="n"/>
      <c r="CR173" s="340" t="n"/>
      <c r="CS173" s="340" t="n"/>
      <c r="CT173" s="340" t="n"/>
      <c r="CU173" s="340" t="n"/>
      <c r="CV173" s="340" t="n"/>
      <c r="CW173" s="340" t="n"/>
      <c r="CX173" s="340" t="n"/>
      <c r="CY173" s="340" t="n"/>
      <c r="CZ173" s="340" t="n"/>
      <c r="DA173" s="340" t="n"/>
      <c r="DB173" s="340" t="n"/>
      <c r="DC173" s="340" t="n"/>
      <c r="DD173" s="340" t="n"/>
      <c r="DE173" s="341" t="n"/>
      <c r="DF173" s="341" t="n"/>
    </row>
    <row r="174" ht="13" customFormat="1" customHeight="1" s="119">
      <c r="A174" s="342" t="inlineStr">
        <is>
          <t>24Q2</t>
        </is>
      </c>
      <c r="B174" s="317" t="n">
        <v>71060.84999999999</v>
      </c>
      <c r="C174" s="142">
        <f>B174/B169-1</f>
        <v/>
      </c>
      <c r="D174" s="142" t="n"/>
      <c r="E174" s="317" t="n">
        <v>48503.62</v>
      </c>
      <c r="F174" s="142">
        <f>E174/E169-1</f>
        <v/>
      </c>
      <c r="G174" s="142" t="n"/>
      <c r="H174" s="317" t="n">
        <v>20892.24</v>
      </c>
      <c r="I174" s="142">
        <f>H174/H169-1</f>
        <v/>
      </c>
      <c r="J174" s="142" t="n"/>
      <c r="K174" s="317" t="n">
        <v>1665</v>
      </c>
      <c r="L174" s="142">
        <f>K174/K169-1</f>
        <v/>
      </c>
      <c r="M174" s="142" t="n"/>
      <c r="N174" s="317" t="n">
        <v>58100.13</v>
      </c>
      <c r="O174" s="142">
        <f>N174/N169-1</f>
        <v/>
      </c>
      <c r="P174" s="142" t="n"/>
      <c r="Q174" s="317" t="n">
        <v>40232.88</v>
      </c>
      <c r="R174" s="142">
        <f>Q174/Q169-1</f>
        <v/>
      </c>
      <c r="S174" s="142" t="n"/>
      <c r="T174" s="317" t="n">
        <v>16594.01</v>
      </c>
      <c r="U174" s="142">
        <f>T174/T169-1</f>
        <v/>
      </c>
      <c r="V174" s="142" t="n"/>
      <c r="W174" s="317" t="n">
        <v>1273.25</v>
      </c>
      <c r="X174" s="142">
        <f>W174/W169-1</f>
        <v/>
      </c>
      <c r="Y174" s="142" t="n"/>
      <c r="Z174" s="317" t="n">
        <v>33519.95</v>
      </c>
      <c r="AA174" s="142">
        <f>Z174/Z169-1</f>
        <v/>
      </c>
      <c r="AB174" s="142" t="n"/>
      <c r="AC174" s="317" t="n">
        <v>28499.17</v>
      </c>
      <c r="AD174" s="142">
        <f>AC174/AC169-1</f>
        <v/>
      </c>
      <c r="AE174" s="142" t="n"/>
      <c r="AF174" s="317" t="n">
        <v>4108.39</v>
      </c>
      <c r="AG174" s="142">
        <f>AF174/AF169-1</f>
        <v/>
      </c>
      <c r="AH174" s="142" t="n"/>
      <c r="AI174" s="317" t="n">
        <v>912.4</v>
      </c>
      <c r="AJ174" s="142">
        <f>AI174/AI169-1</f>
        <v/>
      </c>
      <c r="AK174" s="142" t="n"/>
      <c r="AL174" s="182" t="n">
        <v>81.75666666666666</v>
      </c>
      <c r="AM174" s="182">
        <f>AL174-AL162</f>
        <v/>
      </c>
      <c r="AN174" s="182" t="n"/>
      <c r="AO174" s="182" t="n">
        <v>82.94</v>
      </c>
      <c r="AP174" s="182">
        <f>AO174-AO162</f>
        <v/>
      </c>
      <c r="AQ174" s="182" t="n"/>
      <c r="AR174" s="182" t="n">
        <v>79.44</v>
      </c>
      <c r="AS174" s="182">
        <f>AR174-AR162</f>
        <v/>
      </c>
      <c r="AT174" s="182" t="n"/>
      <c r="AU174" s="182" t="n">
        <v>76.49333333333334</v>
      </c>
      <c r="AV174" s="182">
        <f>AU174-AU162</f>
        <v/>
      </c>
      <c r="AW174" s="182" t="n"/>
      <c r="AX174" s="340" t="n"/>
      <c r="AY174" s="196" t="n"/>
      <c r="AZ174" s="93" t="n"/>
      <c r="BA174" s="340" t="n"/>
      <c r="BB174" s="93" t="n"/>
      <c r="BC174" s="340" t="n"/>
      <c r="BD174" s="93" t="n"/>
      <c r="BE174" s="340" t="n"/>
      <c r="BF174" s="93" t="n"/>
      <c r="BG174" s="340" t="n"/>
      <c r="BH174" s="93" t="n"/>
      <c r="BI174" s="340" t="n"/>
      <c r="BJ174" s="93" t="n"/>
      <c r="BK174" s="340" t="n"/>
      <c r="BL174" s="93" t="n"/>
      <c r="BM174" s="340" t="n"/>
      <c r="BN174" s="340" t="n"/>
      <c r="BO174" s="340" t="n"/>
      <c r="BP174" s="340" t="n"/>
      <c r="BQ174" s="340" t="n"/>
      <c r="BR174" s="340" t="n"/>
      <c r="BS174" s="340" t="n"/>
      <c r="BT174" s="340" t="n"/>
      <c r="BU174" s="340" t="n"/>
      <c r="BV174" s="340" t="n"/>
      <c r="BW174" s="340" t="n"/>
      <c r="BX174" s="340" t="n"/>
      <c r="BY174" s="340" t="n"/>
      <c r="BZ174" s="340" t="n"/>
      <c r="CA174" s="340" t="n"/>
      <c r="CB174" s="340" t="n"/>
      <c r="CC174" s="340" t="n"/>
      <c r="CD174" s="340" t="n"/>
      <c r="CE174" s="340" t="n"/>
      <c r="CF174" s="340" t="n"/>
      <c r="CG174" s="340" t="n"/>
      <c r="CH174" s="340" t="n"/>
      <c r="CI174" s="340" t="n"/>
      <c r="CJ174" s="340" t="n"/>
      <c r="CK174" s="340" t="n"/>
      <c r="CL174" s="340" t="n"/>
      <c r="CM174" s="340" t="n"/>
      <c r="CN174" s="340" t="n"/>
      <c r="CO174" s="340" t="n"/>
      <c r="CP174" s="340" t="n"/>
      <c r="CQ174" s="340" t="n"/>
      <c r="CR174" s="340" t="n"/>
      <c r="CS174" s="340" t="n"/>
      <c r="CT174" s="340" t="n"/>
      <c r="CU174" s="340" t="n"/>
      <c r="CV174" s="340" t="n"/>
      <c r="CW174" s="340" t="n"/>
      <c r="CX174" s="340" t="n"/>
      <c r="CY174" s="340" t="n"/>
      <c r="CZ174" s="340" t="n"/>
      <c r="DA174" s="340" t="n"/>
      <c r="DB174" s="340" t="n"/>
      <c r="DC174" s="340" t="n"/>
      <c r="DD174" s="340" t="n"/>
      <c r="DE174" s="341" t="n"/>
      <c r="DF174" s="341" t="n"/>
    </row>
    <row r="175" ht="13" customFormat="1" customHeight="1" s="119">
      <c r="A175" s="342" t="inlineStr">
        <is>
          <t>24Q3</t>
        </is>
      </c>
      <c r="B175" s="317" t="n">
        <v>79856.10000000001</v>
      </c>
      <c r="C175" s="142">
        <f>B175/B170-1</f>
        <v/>
      </c>
      <c r="D175" s="142" t="n"/>
      <c r="E175" s="317" t="n">
        <v>54125.39</v>
      </c>
      <c r="F175" s="142">
        <f>E175/E170-1</f>
        <v/>
      </c>
      <c r="G175" s="142" t="n"/>
      <c r="H175" s="317" t="n">
        <v>24047.83</v>
      </c>
      <c r="I175" s="142">
        <f>H175/H170-1</f>
        <v/>
      </c>
      <c r="J175" s="142" t="n"/>
      <c r="K175" s="317" t="n">
        <v>1682.88</v>
      </c>
      <c r="L175" s="142">
        <f>K175/K170-1</f>
        <v/>
      </c>
      <c r="M175" s="142" t="n"/>
      <c r="N175" s="317" t="n">
        <v>67498.25</v>
      </c>
      <c r="O175" s="142">
        <f>N175/N170-1</f>
        <v/>
      </c>
      <c r="P175" s="142" t="n"/>
      <c r="Q175" s="317" t="n">
        <v>46518.01</v>
      </c>
      <c r="R175" s="142">
        <f>Q175/Q170-1</f>
        <v/>
      </c>
      <c r="S175" s="142" t="n"/>
      <c r="T175" s="317" t="n">
        <v>19610.66</v>
      </c>
      <c r="U175" s="142">
        <f>T175/T170-1</f>
        <v/>
      </c>
      <c r="V175" s="142" t="n"/>
      <c r="W175" s="317" t="n">
        <v>1369.58</v>
      </c>
      <c r="X175" s="142">
        <f>W175/W170-1</f>
        <v/>
      </c>
      <c r="Y175" s="142" t="n"/>
      <c r="Z175" s="317" t="n">
        <v>38224.92</v>
      </c>
      <c r="AA175" s="142">
        <f>Z175/Z170-1</f>
        <v/>
      </c>
      <c r="AB175" s="142" t="n"/>
      <c r="AC175" s="317" t="n">
        <v>32535.5</v>
      </c>
      <c r="AD175" s="142">
        <f>AC175/AC170-1</f>
        <v/>
      </c>
      <c r="AE175" s="142" t="n"/>
      <c r="AF175" s="317" t="n">
        <v>4714.93</v>
      </c>
      <c r="AG175" s="142">
        <f>AF175/AF170-1</f>
        <v/>
      </c>
      <c r="AH175" s="142" t="n"/>
      <c r="AI175" s="317" t="n">
        <v>974.5</v>
      </c>
      <c r="AJ175" s="142">
        <f>AI175/AI170-1</f>
        <v/>
      </c>
      <c r="AK175" s="142" t="n"/>
      <c r="AL175" s="182" t="n">
        <v>84.47666666666667</v>
      </c>
      <c r="AM175" s="182">
        <f>AL175-AL163</f>
        <v/>
      </c>
      <c r="AN175" s="317" t="n"/>
      <c r="AO175" s="182" t="n">
        <v>85.89333333333333</v>
      </c>
      <c r="AP175" s="182">
        <f>AO175-AO163</f>
        <v/>
      </c>
      <c r="AQ175" s="317" t="n"/>
      <c r="AR175" s="182" t="n">
        <v>81.54000000000001</v>
      </c>
      <c r="AS175" s="182">
        <f>AR175-AR163</f>
        <v/>
      </c>
      <c r="AT175" s="317" t="n"/>
      <c r="AU175" s="182" t="n">
        <v>81.31999999999999</v>
      </c>
      <c r="AV175" s="182">
        <f>AU175-AU163</f>
        <v/>
      </c>
      <c r="AW175" s="317" t="n"/>
      <c r="AX175" s="317" t="n"/>
      <c r="AY175" s="196" t="n"/>
      <c r="AZ175" s="93" t="n"/>
      <c r="BA175" s="340" t="n"/>
      <c r="BB175" s="93" t="n"/>
      <c r="BC175" s="340" t="n"/>
      <c r="BD175" s="93" t="n"/>
      <c r="BE175" s="340" t="n"/>
      <c r="BF175" s="93" t="n"/>
      <c r="BG175" s="340" t="n"/>
      <c r="BH175" s="93" t="n"/>
      <c r="BI175" s="340" t="n"/>
      <c r="BJ175" s="93" t="n"/>
      <c r="BK175" s="340" t="n"/>
      <c r="BL175" s="93" t="n"/>
      <c r="BM175" s="340" t="n"/>
      <c r="BN175" s="340" t="n"/>
      <c r="BO175" s="340" t="n"/>
      <c r="BP175" s="340" t="n"/>
      <c r="BQ175" s="340" t="n"/>
      <c r="BR175" s="340" t="n"/>
      <c r="BS175" s="340" t="n"/>
      <c r="BT175" s="340" t="n"/>
      <c r="BU175" s="340" t="n"/>
      <c r="BV175" s="340" t="n"/>
      <c r="BW175" s="340" t="n"/>
      <c r="BX175" s="340" t="n"/>
      <c r="BY175" s="340" t="n"/>
      <c r="BZ175" s="340" t="n"/>
      <c r="CA175" s="340" t="n"/>
      <c r="CB175" s="340" t="n"/>
      <c r="CC175" s="340" t="n"/>
      <c r="CD175" s="340" t="n"/>
      <c r="CE175" s="340" t="n"/>
      <c r="CF175" s="340" t="n"/>
      <c r="CG175" s="340" t="n"/>
      <c r="CH175" s="340" t="n"/>
      <c r="CI175" s="340" t="n"/>
      <c r="CJ175" s="340" t="n"/>
      <c r="CK175" s="340" t="n"/>
      <c r="CL175" s="340" t="n"/>
      <c r="CM175" s="340" t="n"/>
      <c r="CN175" s="340" t="n"/>
      <c r="CO175" s="340" t="n"/>
      <c r="CP175" s="340" t="n"/>
      <c r="CQ175" s="340" t="n"/>
      <c r="CR175" s="340" t="n"/>
      <c r="CS175" s="340" t="n"/>
      <c r="CT175" s="340" t="n"/>
      <c r="CU175" s="340" t="n"/>
      <c r="CV175" s="340" t="n"/>
      <c r="CW175" s="340" t="n"/>
      <c r="CX175" s="340" t="n"/>
      <c r="CY175" s="340" t="n"/>
      <c r="CZ175" s="340" t="n"/>
      <c r="DA175" s="340" t="n"/>
      <c r="DB175" s="340" t="n"/>
      <c r="DC175" s="340" t="n"/>
      <c r="DD175" s="340" t="n"/>
      <c r="DE175" s="341" t="n"/>
      <c r="DF175" s="341" t="n"/>
    </row>
    <row r="176" ht="13" customFormat="1" customHeight="1" s="119">
      <c r="A176" s="342" t="inlineStr">
        <is>
          <t>24Q4</t>
        </is>
      </c>
      <c r="B176" s="317" t="n">
        <v>72801.58</v>
      </c>
      <c r="C176" s="142">
        <f>B176/B171-1</f>
        <v/>
      </c>
      <c r="D176" s="142" t="n"/>
      <c r="E176" s="317" t="n">
        <v>47858.28</v>
      </c>
      <c r="F176" s="142">
        <f>E176/E171-1</f>
        <v/>
      </c>
      <c r="G176" s="142" t="n"/>
      <c r="H176" s="317" t="n">
        <v>23308.4</v>
      </c>
      <c r="I176" s="142">
        <f>H176/H171-1</f>
        <v/>
      </c>
      <c r="J176" s="142" t="n"/>
      <c r="K176" s="317" t="n">
        <v>1634.89</v>
      </c>
      <c r="L176" s="142">
        <f>K176/K171-1</f>
        <v/>
      </c>
      <c r="M176" s="142" t="n"/>
      <c r="N176" s="317" t="n">
        <v>61253.57000000001</v>
      </c>
      <c r="O176" s="142">
        <f>N176/N171-1</f>
        <v/>
      </c>
      <c r="P176" s="142" t="n"/>
      <c r="Q176" s="317" t="n">
        <v>40933.97</v>
      </c>
      <c r="R176" s="142">
        <f>Q176/Q171-1</f>
        <v/>
      </c>
      <c r="S176" s="142" t="n"/>
      <c r="T176" s="317" t="n">
        <v>18972.72</v>
      </c>
      <c r="U176" s="142">
        <f>T176/T171-1</f>
        <v/>
      </c>
      <c r="V176" s="142" t="n"/>
      <c r="W176" s="317" t="n">
        <v>1346.87</v>
      </c>
      <c r="X176" s="142">
        <f>W176/W171-1</f>
        <v/>
      </c>
      <c r="Y176" s="142" t="n"/>
      <c r="Z176" s="317" t="n">
        <v>34621.08</v>
      </c>
      <c r="AA176" s="142">
        <f>Z176/Z171-1</f>
        <v/>
      </c>
      <c r="AB176" s="142" t="n"/>
      <c r="AC176" s="317" t="n">
        <v>29031.59</v>
      </c>
      <c r="AD176" s="142">
        <f>AC176/AC171-1</f>
        <v/>
      </c>
      <c r="AE176" s="142" t="n"/>
      <c r="AF176" s="317" t="n">
        <v>4629.33</v>
      </c>
      <c r="AG176" s="142">
        <f>AF176/AF171-1</f>
        <v/>
      </c>
      <c r="AH176" s="142" t="n"/>
      <c r="AI176" s="317" t="n">
        <v>960.1600000000001</v>
      </c>
      <c r="AJ176" s="142">
        <f>AI176/AI171-1</f>
        <v/>
      </c>
      <c r="AK176" s="142" t="n"/>
      <c r="AL176" s="182" t="n">
        <v>84.13</v>
      </c>
      <c r="AM176" s="182">
        <f>AL176-AL164</f>
        <v/>
      </c>
      <c r="AN176" s="182" t="n"/>
      <c r="AO176" s="182" t="n">
        <v>85.48333333333333</v>
      </c>
      <c r="AP176" s="182">
        <f>AO176-AO164</f>
        <v/>
      </c>
      <c r="AQ176" s="182" t="n"/>
      <c r="AR176" s="182" t="n">
        <v>81.41333333333334</v>
      </c>
      <c r="AS176" s="182">
        <f>AR176-AR164</f>
        <v/>
      </c>
      <c r="AT176" s="182" t="n"/>
      <c r="AU176" s="182" t="n">
        <v>82.39333333333333</v>
      </c>
      <c r="AV176" s="182">
        <f>AU176-AU164</f>
        <v/>
      </c>
      <c r="AW176" s="182" t="n"/>
      <c r="AX176" s="340" t="n"/>
      <c r="AY176" s="196" t="n"/>
      <c r="AZ176" s="93" t="n"/>
      <c r="BA176" s="340" t="n"/>
      <c r="BB176" s="93" t="n"/>
      <c r="BC176" s="340" t="n"/>
      <c r="BD176" s="93" t="n"/>
      <c r="BE176" s="340" t="n"/>
      <c r="BF176" s="93" t="n"/>
      <c r="BG176" s="340" t="n"/>
      <c r="BH176" s="93" t="n"/>
      <c r="BI176" s="340" t="n"/>
      <c r="BJ176" s="93" t="n"/>
      <c r="BK176" s="340" t="n"/>
      <c r="BL176" s="93" t="n"/>
      <c r="BM176" s="340" t="n"/>
      <c r="BN176" s="340" t="n"/>
      <c r="BO176" s="340" t="n"/>
      <c r="BP176" s="340" t="n"/>
      <c r="BQ176" s="340" t="n"/>
      <c r="BR176" s="340" t="n"/>
      <c r="BS176" s="340" t="n"/>
      <c r="BT176" s="340" t="n"/>
      <c r="BU176" s="340" t="n"/>
      <c r="BV176" s="340" t="n"/>
      <c r="BW176" s="340" t="n"/>
      <c r="BX176" s="340" t="n"/>
      <c r="BY176" s="340" t="n"/>
      <c r="BZ176" s="340" t="n"/>
      <c r="CA176" s="340" t="n"/>
      <c r="CB176" s="340" t="n"/>
      <c r="CC176" s="340" t="n"/>
      <c r="CD176" s="340" t="n"/>
      <c r="CE176" s="340" t="n"/>
      <c r="CF176" s="340" t="n"/>
      <c r="CG176" s="340" t="n"/>
      <c r="CH176" s="340" t="n"/>
      <c r="CI176" s="340" t="n"/>
      <c r="CJ176" s="340" t="n"/>
      <c r="CK176" s="340" t="n"/>
      <c r="CL176" s="340" t="n"/>
      <c r="CM176" s="340" t="n"/>
      <c r="CN176" s="340" t="n"/>
      <c r="CO176" s="340" t="n"/>
      <c r="CP176" s="340" t="n"/>
      <c r="CQ176" s="340" t="n"/>
      <c r="CR176" s="340" t="n"/>
      <c r="CS176" s="340" t="n"/>
      <c r="CT176" s="340" t="n"/>
      <c r="CU176" s="340" t="n"/>
      <c r="CV176" s="340" t="n"/>
      <c r="CW176" s="340" t="n"/>
      <c r="CX176" s="340" t="n"/>
      <c r="CY176" s="340" t="n"/>
      <c r="CZ176" s="340" t="n"/>
      <c r="DA176" s="340" t="n"/>
      <c r="DB176" s="340" t="n"/>
      <c r="DC176" s="340" t="n"/>
      <c r="DD176" s="340" t="n"/>
      <c r="DE176" s="341" t="n"/>
      <c r="DF176" s="341" t="n"/>
    </row>
    <row r="177" ht="13" customFormat="1" customHeight="1" s="119">
      <c r="A177" s="342" t="n"/>
      <c r="B177" s="317" t="n"/>
      <c r="C177" s="142" t="n"/>
      <c r="D177" s="142" t="n"/>
      <c r="E177" s="317" t="n"/>
      <c r="F177" s="142" t="n"/>
      <c r="G177" s="142" t="n"/>
      <c r="H177" s="317" t="n"/>
      <c r="I177" s="142" t="n"/>
      <c r="J177" s="142" t="n"/>
      <c r="K177" s="317" t="n"/>
      <c r="L177" s="142" t="n"/>
      <c r="M177" s="142" t="n"/>
      <c r="N177" s="317" t="n"/>
      <c r="O177" s="142" t="n"/>
      <c r="P177" s="142" t="n"/>
      <c r="Q177" s="317" t="n"/>
      <c r="R177" s="142" t="n"/>
      <c r="S177" s="142" t="n"/>
      <c r="T177" s="317" t="n"/>
      <c r="U177" s="142" t="n"/>
      <c r="V177" s="142" t="n"/>
      <c r="W177" s="317" t="n"/>
      <c r="X177" s="142" t="n"/>
      <c r="Y177" s="142" t="n"/>
      <c r="Z177" s="317" t="n"/>
      <c r="AA177" s="142" t="n"/>
      <c r="AB177" s="142" t="n"/>
      <c r="AC177" s="317" t="n"/>
      <c r="AD177" s="142" t="n"/>
      <c r="AE177" s="142" t="n"/>
      <c r="AF177" s="317" t="n"/>
      <c r="AG177" s="142" t="n"/>
      <c r="AH177" s="142" t="n"/>
      <c r="AI177" s="317" t="n"/>
      <c r="AJ177" s="142" t="n"/>
      <c r="AK177" s="142" t="n"/>
      <c r="AL177" s="317" t="n"/>
      <c r="AM177" s="317" t="n"/>
      <c r="AN177" s="317" t="n"/>
      <c r="AO177" s="317" t="n"/>
      <c r="AP177" s="317" t="n"/>
      <c r="AQ177" s="317" t="n"/>
      <c r="AR177" s="317" t="n"/>
      <c r="AS177" s="317" t="n"/>
      <c r="AT177" s="317" t="n"/>
      <c r="AU177" s="317" t="n"/>
      <c r="AV177" s="317" t="n"/>
      <c r="AW177" s="317" t="n"/>
      <c r="AX177" s="317" t="n"/>
      <c r="AY177" s="340" t="n"/>
      <c r="AZ177" s="93" t="n"/>
      <c r="BA177" s="340" t="n"/>
      <c r="BB177" s="93" t="n"/>
      <c r="BC177" s="340" t="n"/>
      <c r="BD177" s="93" t="n"/>
      <c r="BE177" s="340" t="n"/>
      <c r="BF177" s="93" t="n"/>
      <c r="BG177" s="340" t="n"/>
      <c r="BH177" s="93" t="n"/>
      <c r="BI177" s="340" t="n"/>
      <c r="BJ177" s="93" t="n"/>
      <c r="BK177" s="340" t="n"/>
      <c r="BL177" s="93" t="n"/>
      <c r="BM177" s="340" t="n"/>
      <c r="BN177" s="340" t="n"/>
      <c r="BO177" s="340" t="n"/>
      <c r="BP177" s="340" t="n"/>
      <c r="BQ177" s="340" t="n"/>
      <c r="BR177" s="340" t="n"/>
      <c r="BS177" s="340" t="n"/>
      <c r="BT177" s="340" t="n"/>
      <c r="BU177" s="340" t="n"/>
      <c r="BV177" s="340" t="n"/>
      <c r="BW177" s="340" t="n"/>
      <c r="BX177" s="340" t="n"/>
      <c r="BY177" s="340" t="n"/>
      <c r="BZ177" s="340" t="n"/>
      <c r="CA177" s="340" t="n"/>
      <c r="CB177" s="340" t="n"/>
      <c r="CC177" s="340" t="n"/>
      <c r="CD177" s="340" t="n"/>
      <c r="CE177" s="340" t="n"/>
      <c r="CF177" s="340" t="n"/>
      <c r="CG177" s="340" t="n"/>
      <c r="CH177" s="340" t="n"/>
      <c r="CI177" s="340" t="n"/>
      <c r="CJ177" s="340" t="n"/>
      <c r="CK177" s="340" t="n"/>
      <c r="CL177" s="340" t="n"/>
      <c r="CM177" s="340" t="n"/>
      <c r="CN177" s="340" t="n"/>
      <c r="CO177" s="340" t="n"/>
      <c r="CP177" s="340" t="n"/>
      <c r="CQ177" s="340" t="n"/>
      <c r="CR177" s="340" t="n"/>
      <c r="CS177" s="340" t="n"/>
      <c r="CT177" s="340" t="n"/>
      <c r="CU177" s="340" t="n"/>
      <c r="CV177" s="340" t="n"/>
      <c r="CW177" s="340" t="n"/>
      <c r="CX177" s="340" t="n"/>
      <c r="CY177" s="340" t="n"/>
      <c r="CZ177" s="340" t="n"/>
      <c r="DA177" s="340" t="n"/>
      <c r="DB177" s="340" t="n"/>
      <c r="DC177" s="340" t="n"/>
      <c r="DD177" s="340" t="n"/>
      <c r="DE177" s="341" t="n"/>
      <c r="DF177" s="341" t="n"/>
    </row>
    <row r="178" ht="13" customFormat="1" customHeight="1" s="116">
      <c r="A178" s="415" t="inlineStr">
        <is>
          <t>25Q1</t>
        </is>
      </c>
      <c r="B178" s="317" t="n">
        <v>77941.33</v>
      </c>
      <c r="C178" s="142">
        <f>B178/B173-1</f>
        <v/>
      </c>
      <c r="D178" s="142" t="n"/>
      <c r="E178" s="317" t="n">
        <v>51202.93</v>
      </c>
      <c r="F178" s="142">
        <f>E178/E173-1</f>
        <v/>
      </c>
      <c r="G178" s="142" t="n"/>
      <c r="H178" s="317" t="n">
        <v>25170.22</v>
      </c>
      <c r="I178" s="142">
        <f>H178/H173-1</f>
        <v/>
      </c>
      <c r="J178" s="142" t="n"/>
      <c r="K178" s="317" t="n">
        <v>1568.18</v>
      </c>
      <c r="L178" s="142">
        <f>K178/K173-1</f>
        <v/>
      </c>
      <c r="M178" s="142" t="n"/>
      <c r="N178" s="317" t="n">
        <v>65472.25999999999</v>
      </c>
      <c r="O178" s="142">
        <f>N178/N173-1</f>
        <v/>
      </c>
      <c r="P178" s="142" t="n"/>
      <c r="Q178" s="317" t="n">
        <v>43905.39999999999</v>
      </c>
      <c r="R178" s="142">
        <f>Q178/Q173-1</f>
        <v/>
      </c>
      <c r="S178" s="142" t="n"/>
      <c r="T178" s="317" t="n">
        <v>20299.76</v>
      </c>
      <c r="U178" s="142">
        <f>T178/T173-1</f>
        <v/>
      </c>
      <c r="V178" s="142" t="n"/>
      <c r="W178" s="317" t="n">
        <v>1267.1</v>
      </c>
      <c r="X178" s="142">
        <f>W178/W173-1</f>
        <v/>
      </c>
      <c r="Y178" s="142" t="n"/>
      <c r="Z178" s="317" t="n">
        <v>36450.02</v>
      </c>
      <c r="AA178" s="142">
        <f>Z178/Z173-1</f>
        <v/>
      </c>
      <c r="AB178" s="142" t="n"/>
      <c r="AC178" s="317" t="n">
        <v>30578.12</v>
      </c>
      <c r="AD178" s="142">
        <f>AC178/AC173-1</f>
        <v/>
      </c>
      <c r="AE178" s="142" t="n"/>
      <c r="AF178" s="317" t="n">
        <v>4967.08</v>
      </c>
      <c r="AG178" s="142">
        <f>AF178/AF173-1</f>
        <v/>
      </c>
      <c r="AH178" s="142" t="n"/>
      <c r="AI178" s="317" t="n">
        <v>904.8100000000001</v>
      </c>
      <c r="AJ178" s="142">
        <f>AI178/AI173-1</f>
        <v/>
      </c>
      <c r="AK178" s="142" t="n"/>
      <c r="AL178" s="182" t="n">
        <v>84.04333333333334</v>
      </c>
      <c r="AM178" s="182">
        <f>AL178-AL166</f>
        <v/>
      </c>
      <c r="AN178" s="317" t="n"/>
      <c r="AO178" s="182" t="n">
        <v>85.8</v>
      </c>
      <c r="AP178" s="182">
        <f>AO178-AO166</f>
        <v/>
      </c>
      <c r="AQ178" s="317" t="n"/>
      <c r="AR178" s="182" t="n">
        <v>80.62333333333333</v>
      </c>
      <c r="AS178" s="182">
        <f>AR178-AR166</f>
        <v/>
      </c>
      <c r="AT178" s="317" t="n"/>
      <c r="AU178" s="182" t="n">
        <v>80.8</v>
      </c>
      <c r="AV178" s="182">
        <f>AU178-AU166</f>
        <v/>
      </c>
      <c r="AW178" s="317" t="n"/>
      <c r="AX178" s="317" t="n"/>
      <c r="AY178" s="142" t="n"/>
      <c r="AZ178" s="317" t="n"/>
      <c r="BA178" s="317" t="n"/>
      <c r="BB178" s="317" t="n"/>
      <c r="BC178" s="317" t="n"/>
      <c r="BD178" s="317" t="n"/>
      <c r="BE178" s="317" t="n"/>
      <c r="BF178" s="317" t="n"/>
      <c r="BG178" s="317" t="n"/>
      <c r="BH178" s="317" t="n"/>
      <c r="BI178" s="317" t="n"/>
      <c r="BJ178" s="317" t="n"/>
      <c r="BK178" s="317" t="n"/>
      <c r="BL178" s="317" t="n"/>
      <c r="BM178" s="317" t="n"/>
      <c r="BN178" s="317" t="n"/>
      <c r="BO178" s="317" t="n"/>
      <c r="BP178" s="317" t="n"/>
      <c r="BQ178" s="317" t="n"/>
      <c r="BR178" s="317" t="n"/>
      <c r="BS178" s="317" t="n"/>
      <c r="BT178" s="317" t="n"/>
      <c r="BU178" s="317" t="n"/>
      <c r="BV178" s="317" t="n"/>
      <c r="BW178" s="317" t="n"/>
      <c r="BX178" s="317" t="n"/>
      <c r="BY178" s="317" t="n"/>
      <c r="BZ178" s="317" t="n"/>
      <c r="CA178" s="317" t="n"/>
      <c r="CB178" s="317" t="n"/>
      <c r="CC178" s="317" t="n"/>
      <c r="CD178" s="317" t="n"/>
      <c r="CE178" s="317" t="n"/>
      <c r="CF178" s="317" t="n"/>
      <c r="CG178" s="317" t="n"/>
      <c r="CH178" s="317" t="n"/>
      <c r="CI178" s="317" t="n"/>
      <c r="CJ178" s="317" t="n"/>
      <c r="CK178" s="317" t="n"/>
      <c r="CL178" s="317" t="n"/>
      <c r="CM178" s="317" t="n"/>
      <c r="CN178" s="317" t="n"/>
      <c r="CO178" s="317" t="n"/>
      <c r="CP178" s="343" t="n"/>
      <c r="CQ178" s="317" t="n"/>
      <c r="CR178" s="343" t="n"/>
      <c r="CS178" s="317" t="n"/>
      <c r="CT178" s="343" t="n"/>
      <c r="CU178" s="317" t="n"/>
      <c r="CV178" s="343" t="n"/>
      <c r="CW178" s="317" t="n"/>
      <c r="CX178" s="317" t="n"/>
      <c r="CY178" s="317" t="n"/>
      <c r="CZ178" s="317" t="n"/>
      <c r="DA178" s="317" t="n"/>
      <c r="DB178" s="317" t="n"/>
      <c r="DC178" s="317" t="n"/>
      <c r="DD178" s="317" t="n"/>
      <c r="DE178" s="319" t="n"/>
      <c r="DF178" s="319" t="n"/>
    </row>
    <row r="179" ht="13" customFormat="1" customHeight="1" s="116">
      <c r="B179" s="317" t="n"/>
      <c r="C179" s="142" t="n"/>
      <c r="D179" s="142" t="n"/>
      <c r="E179" s="317" t="n"/>
      <c r="F179" s="142" t="n"/>
      <c r="G179" s="142" t="n"/>
      <c r="H179" s="317" t="n"/>
      <c r="I179" s="142" t="n"/>
      <c r="J179" s="142" t="n"/>
      <c r="K179" s="317" t="n"/>
      <c r="L179" s="142" t="n"/>
      <c r="M179" s="142" t="n"/>
      <c r="N179" s="317" t="n"/>
      <c r="O179" s="142" t="n"/>
      <c r="P179" s="142" t="n"/>
      <c r="Q179" s="317" t="n"/>
      <c r="R179" s="142" t="n"/>
      <c r="S179" s="142" t="n"/>
      <c r="T179" s="317" t="n"/>
      <c r="U179" s="142" t="n"/>
      <c r="V179" s="142" t="n"/>
      <c r="W179" s="317" t="n"/>
      <c r="X179" s="142" t="n"/>
      <c r="Y179" s="142" t="n"/>
      <c r="Z179" s="317" t="n"/>
      <c r="AA179" s="142" t="n"/>
      <c r="AB179" s="142" t="n"/>
      <c r="AC179" s="317" t="n"/>
      <c r="AD179" s="142" t="n"/>
      <c r="AE179" s="142" t="n"/>
      <c r="AF179" s="317" t="n"/>
      <c r="AG179" s="142" t="n"/>
      <c r="AH179" s="142" t="n"/>
      <c r="AI179" s="317" t="n"/>
      <c r="AJ179" s="142" t="n"/>
      <c r="AK179" s="142" t="n"/>
      <c r="AL179" s="317" t="n"/>
      <c r="AM179" s="317" t="n"/>
      <c r="AN179" s="317" t="n"/>
      <c r="AO179" s="317" t="n"/>
      <c r="AP179" s="317" t="n"/>
      <c r="AQ179" s="317" t="n"/>
      <c r="AR179" s="317" t="n"/>
      <c r="AS179" s="317" t="n"/>
      <c r="AT179" s="317" t="n"/>
      <c r="AU179" s="317" t="n"/>
      <c r="AV179" s="317" t="n"/>
      <c r="AW179" s="317" t="n"/>
      <c r="AX179" s="317" t="n"/>
      <c r="AY179" s="317" t="n"/>
      <c r="AZ179" s="317" t="n"/>
      <c r="BA179" s="317" t="n"/>
      <c r="BB179" s="317" t="n"/>
      <c r="BC179" s="317" t="n"/>
      <c r="BD179" s="317" t="n"/>
      <c r="BE179" s="317" t="n"/>
      <c r="BF179" s="317" t="n"/>
      <c r="BG179" s="317" t="n"/>
      <c r="BH179" s="317" t="n"/>
      <c r="BI179" s="317" t="n"/>
      <c r="BJ179" s="317" t="n"/>
      <c r="BK179" s="317" t="n"/>
      <c r="BL179" s="317" t="n"/>
      <c r="BM179" s="317" t="n"/>
      <c r="BN179" s="317" t="n"/>
      <c r="BO179" s="317" t="n"/>
      <c r="BP179" s="317" t="n"/>
      <c r="BQ179" s="317" t="n"/>
      <c r="BR179" s="317" t="n"/>
      <c r="BS179" s="317" t="n"/>
      <c r="BT179" s="317" t="n"/>
      <c r="BU179" s="317" t="n"/>
      <c r="BV179" s="317" t="n"/>
      <c r="BW179" s="317" t="n"/>
      <c r="BX179" s="317" t="n"/>
      <c r="BY179" s="317" t="n"/>
      <c r="BZ179" s="317" t="n"/>
      <c r="CA179" s="317" t="n"/>
      <c r="CB179" s="317" t="n"/>
      <c r="CC179" s="317" t="n"/>
      <c r="CD179" s="317" t="n"/>
      <c r="CE179" s="317" t="n"/>
      <c r="CF179" s="317" t="n"/>
      <c r="CG179" s="317" t="n"/>
      <c r="CH179" s="317" t="n"/>
      <c r="CI179" s="317" t="n"/>
      <c r="CJ179" s="317" t="n"/>
      <c r="CK179" s="317" t="n"/>
      <c r="CL179" s="317" t="n"/>
      <c r="CM179" s="317" t="n"/>
      <c r="CN179" s="317" t="n"/>
      <c r="CO179" s="317" t="n"/>
      <c r="CP179" s="343" t="n"/>
      <c r="CQ179" s="317" t="n"/>
      <c r="CR179" s="343" t="n"/>
      <c r="CS179" s="317" t="n"/>
      <c r="CT179" s="343" t="n"/>
      <c r="CU179" s="317" t="n"/>
      <c r="CV179" s="343" t="n"/>
      <c r="CW179" s="317" t="n"/>
      <c r="CX179" s="317" t="n"/>
      <c r="CY179" s="317" t="n"/>
      <c r="CZ179" s="317" t="n"/>
      <c r="DA179" s="317" t="n"/>
      <c r="DB179" s="317" t="n"/>
      <c r="DC179" s="317" t="n"/>
      <c r="DD179" s="317" t="n"/>
      <c r="DE179" s="319" t="n"/>
      <c r="DF179" s="319" t="n"/>
    </row>
    <row r="180" ht="13" customFormat="1" customHeight="1" s="116">
      <c r="A180" s="425">
        <f>"YTD"</f>
        <v/>
      </c>
      <c r="B180" s="317" t="n"/>
      <c r="C180" s="142" t="n"/>
      <c r="D180" s="142" t="n"/>
      <c r="E180" s="317" t="n"/>
      <c r="F180" s="142" t="n"/>
      <c r="G180" s="142" t="n"/>
      <c r="H180" s="317" t="n"/>
      <c r="I180" s="142" t="n"/>
      <c r="J180" s="142" t="n"/>
      <c r="K180" s="317" t="n"/>
      <c r="L180" s="142" t="n"/>
      <c r="M180" s="142" t="n"/>
      <c r="N180" s="317" t="n"/>
      <c r="O180" s="142" t="n"/>
      <c r="P180" s="142" t="n"/>
      <c r="Q180" s="317" t="n"/>
      <c r="R180" s="142" t="n"/>
      <c r="S180" s="142" t="n"/>
      <c r="T180" s="317" t="n"/>
      <c r="U180" s="142" t="n"/>
      <c r="V180" s="142" t="n"/>
      <c r="W180" s="317" t="n"/>
      <c r="X180" s="142" t="n"/>
      <c r="Y180" s="142" t="n"/>
      <c r="Z180" s="317" t="n"/>
      <c r="AA180" s="142" t="n"/>
      <c r="AB180" s="142" t="n"/>
      <c r="AC180" s="317" t="n"/>
      <c r="AD180" s="142" t="n"/>
      <c r="AE180" s="142" t="n"/>
      <c r="AF180" s="317" t="n"/>
      <c r="AG180" s="142" t="n"/>
      <c r="AH180" s="142" t="n"/>
      <c r="AI180" s="317" t="n"/>
      <c r="AJ180" s="142" t="n"/>
      <c r="AK180" s="142" t="n"/>
      <c r="AL180" s="317" t="n"/>
      <c r="AM180" s="182">
        <f>AL180-AL168</f>
        <v/>
      </c>
      <c r="AN180" s="317" t="n"/>
      <c r="AO180" s="317" t="n"/>
      <c r="AP180" s="182">
        <f>AO180-AO168</f>
        <v/>
      </c>
      <c r="AQ180" s="317" t="n"/>
      <c r="AR180" s="317" t="n"/>
      <c r="AS180" s="182">
        <f>AR180-AR168</f>
        <v/>
      </c>
      <c r="AT180" s="317" t="n"/>
      <c r="AU180" s="317" t="n"/>
      <c r="AV180" s="182">
        <f>AU180-AU168</f>
        <v/>
      </c>
      <c r="AW180" s="317" t="n"/>
      <c r="AX180" s="317" t="n"/>
      <c r="AY180" s="317" t="n"/>
      <c r="AZ180" s="317" t="n"/>
      <c r="BA180" s="317" t="n"/>
      <c r="BB180" s="317" t="n"/>
      <c r="BC180" s="317" t="n"/>
      <c r="BD180" s="317" t="n"/>
      <c r="BE180" s="317" t="n"/>
      <c r="BF180" s="317" t="n"/>
      <c r="BG180" s="317" t="n"/>
      <c r="BH180" s="317" t="n"/>
      <c r="BI180" s="317" t="n"/>
      <c r="BJ180" s="317" t="n"/>
      <c r="BK180" s="317" t="n"/>
      <c r="BL180" s="317" t="n"/>
      <c r="BM180" s="317" t="n"/>
      <c r="BN180" s="317" t="n"/>
      <c r="BO180" s="317" t="n"/>
      <c r="BP180" s="317" t="n"/>
      <c r="BQ180" s="317" t="n"/>
      <c r="BR180" s="317" t="n"/>
      <c r="BS180" s="317" t="n"/>
      <c r="BT180" s="317" t="n"/>
      <c r="BU180" s="317" t="n"/>
      <c r="BV180" s="317" t="n"/>
      <c r="BW180" s="317" t="n"/>
      <c r="BX180" s="317" t="n"/>
      <c r="BY180" s="317" t="n"/>
      <c r="BZ180" s="317" t="n"/>
      <c r="CA180" s="317" t="n"/>
      <c r="CB180" s="317" t="n"/>
      <c r="CC180" s="317" t="n"/>
      <c r="CD180" s="317" t="n"/>
      <c r="CE180" s="317" t="n"/>
      <c r="CF180" s="317" t="n"/>
      <c r="CG180" s="317" t="n"/>
      <c r="CH180" s="317" t="n"/>
      <c r="CI180" s="317" t="n"/>
      <c r="CJ180" s="317" t="n"/>
      <c r="CK180" s="317" t="n"/>
      <c r="CL180" s="317" t="n"/>
      <c r="CM180" s="317" t="n"/>
      <c r="CN180" s="317" t="n"/>
      <c r="CO180" s="317" t="n"/>
      <c r="CP180" s="343" t="n"/>
      <c r="CQ180" s="317" t="n"/>
      <c r="CR180" s="343" t="n"/>
      <c r="CS180" s="317" t="n"/>
      <c r="CT180" s="343" t="n"/>
      <c r="CU180" s="317" t="n"/>
      <c r="CV180" s="343" t="n"/>
      <c r="CW180" s="317" t="n"/>
      <c r="CX180" s="317" t="n"/>
      <c r="CY180" s="317" t="n"/>
      <c r="CZ180" s="317" t="n"/>
      <c r="DA180" s="317" t="n"/>
      <c r="DB180" s="317" t="n"/>
      <c r="DC180" s="317" t="n"/>
      <c r="DD180" s="317" t="n"/>
      <c r="DE180" s="319" t="n"/>
      <c r="DF180" s="319" t="n"/>
    </row>
    <row r="181" ht="13" customFormat="1" customHeight="1" s="116">
      <c r="A181" s="426">
        <f>5</f>
        <v/>
      </c>
      <c r="B181" s="317" t="n"/>
      <c r="C181" s="97" t="n"/>
      <c r="D181" s="97" t="n"/>
      <c r="E181" s="317" t="n"/>
      <c r="F181" s="97" t="n"/>
      <c r="G181" s="97" t="n"/>
      <c r="H181" s="317" t="n"/>
      <c r="I181" s="97" t="n"/>
      <c r="J181" s="97" t="n"/>
      <c r="K181" s="317" t="n"/>
      <c r="L181" s="97" t="n"/>
      <c r="M181" s="97" t="n"/>
      <c r="N181" s="317" t="n"/>
      <c r="O181" s="97" t="n"/>
      <c r="P181" s="97" t="n"/>
      <c r="Q181" s="317" t="n"/>
      <c r="R181" s="97" t="n"/>
      <c r="S181" s="97" t="n"/>
      <c r="T181" s="317" t="n"/>
      <c r="U181" s="97" t="n"/>
      <c r="V181" s="97" t="n"/>
      <c r="W181" s="317" t="n"/>
      <c r="X181" s="97" t="n"/>
      <c r="Y181" s="97" t="n"/>
      <c r="Z181" s="317" t="n"/>
      <c r="AA181" s="97" t="n"/>
      <c r="AB181" s="97" t="n"/>
      <c r="AC181" s="317" t="n"/>
      <c r="AD181" s="97" t="n"/>
      <c r="AE181" s="97" t="n"/>
      <c r="AF181" s="317" t="n"/>
      <c r="AG181" s="97" t="n"/>
      <c r="AH181" s="97" t="n"/>
      <c r="AI181" s="317" t="n"/>
      <c r="AJ181" s="97" t="n"/>
      <c r="AK181" s="97" t="n"/>
      <c r="AL181" s="317" t="n"/>
      <c r="AM181" s="418">
        <f>AL181-AL169</f>
        <v/>
      </c>
      <c r="AN181" s="97" t="n"/>
      <c r="AO181" s="317" t="n"/>
      <c r="AP181" s="418">
        <f>AO181-AO169</f>
        <v/>
      </c>
      <c r="AQ181" s="97" t="n"/>
      <c r="AR181" s="317" t="n"/>
      <c r="AS181" s="418">
        <f>AR181-AR169</f>
        <v/>
      </c>
      <c r="AT181" s="97" t="n"/>
      <c r="AU181" s="317" t="n"/>
      <c r="AV181" s="418">
        <f>AU181-AU169</f>
        <v/>
      </c>
      <c r="AW181" s="97" t="n"/>
      <c r="AX181" s="317" t="n"/>
      <c r="AY181" s="317" t="n"/>
      <c r="AZ181" s="97" t="n"/>
      <c r="BA181" s="317" t="n"/>
      <c r="BB181" s="97" t="n"/>
      <c r="BC181" s="317" t="n"/>
      <c r="BD181" s="97" t="n"/>
      <c r="BE181" s="317" t="n"/>
      <c r="BF181" s="97" t="n"/>
      <c r="BG181" s="317" t="n"/>
      <c r="BH181" s="97" t="n"/>
      <c r="BI181" s="317" t="n"/>
      <c r="BJ181" s="97" t="n"/>
      <c r="BK181" s="317" t="n"/>
      <c r="BL181" s="97" t="n"/>
      <c r="BM181" s="317" t="n"/>
      <c r="BN181" s="97" t="n"/>
      <c r="BO181" s="317" t="n"/>
      <c r="BP181" s="317" t="n"/>
      <c r="BQ181" s="97" t="n"/>
      <c r="BR181" s="317" t="n"/>
      <c r="BS181" s="97" t="n"/>
      <c r="BT181" s="317" t="n"/>
      <c r="BU181" s="97" t="n"/>
      <c r="BV181" s="317" t="n"/>
      <c r="BW181" s="97" t="n"/>
      <c r="BX181" s="317" t="n"/>
      <c r="BY181" s="97" t="n"/>
      <c r="BZ181" s="317" t="n"/>
      <c r="CA181" s="97" t="n"/>
      <c r="CB181" s="317" t="n"/>
      <c r="CC181" s="97" t="n"/>
      <c r="CD181" s="317" t="n"/>
      <c r="CE181" s="97" t="n"/>
      <c r="CF181" s="317" t="n"/>
      <c r="CG181" s="97" t="n"/>
      <c r="CH181" s="317" t="n"/>
      <c r="CI181" s="97" t="n"/>
      <c r="CJ181" s="317" t="n"/>
      <c r="CK181" s="97" t="n"/>
      <c r="CL181" s="317" t="n"/>
      <c r="CM181" s="97" t="n"/>
      <c r="CN181" s="317" t="n"/>
      <c r="CO181" s="97" t="n"/>
      <c r="CP181" s="317" t="n"/>
      <c r="CQ181" s="97" t="n"/>
      <c r="CR181" s="317" t="n"/>
      <c r="CS181" s="97" t="n"/>
      <c r="CT181" s="317" t="n"/>
      <c r="CU181" s="97" t="n"/>
      <c r="CV181" s="346" t="n"/>
      <c r="CW181" s="317" t="n"/>
      <c r="CX181" s="97" t="n"/>
      <c r="CY181" s="317" t="n"/>
      <c r="CZ181" s="97" t="n"/>
      <c r="DA181" s="317" t="n"/>
      <c r="DB181" s="97" t="n"/>
      <c r="DC181" s="317" t="n"/>
      <c r="DD181" s="97" t="n"/>
      <c r="DE181" s="319" t="n"/>
      <c r="DF181" s="319" t="n"/>
    </row>
    <row r="182" ht="13" customFormat="1" customHeight="1" s="116">
      <c r="A182" s="188" t="inlineStr">
        <is>
          <t>月份</t>
        </is>
      </c>
      <c r="B182" s="317" t="n"/>
      <c r="C182" s="39" t="n"/>
      <c r="D182" s="39" t="n"/>
      <c r="E182" s="317" t="n"/>
      <c r="F182" s="39" t="n"/>
      <c r="G182" s="39" t="n"/>
      <c r="H182" s="317" t="n"/>
      <c r="I182" s="39" t="n"/>
      <c r="J182" s="39" t="n"/>
      <c r="K182" s="317" t="n"/>
      <c r="L182" s="39" t="n"/>
      <c r="M182" s="39" t="n"/>
      <c r="N182" s="317" t="n"/>
      <c r="O182" s="39" t="n"/>
      <c r="P182" s="39" t="n"/>
      <c r="Q182" s="317" t="n"/>
      <c r="R182" s="39" t="n"/>
      <c r="S182" s="39" t="n"/>
      <c r="T182" s="317" t="n"/>
      <c r="U182" s="39" t="n"/>
      <c r="V182" s="39" t="n"/>
      <c r="W182" s="317" t="n"/>
      <c r="X182" s="39" t="n"/>
      <c r="Y182" s="39" t="n"/>
      <c r="Z182" s="317" t="n"/>
      <c r="AA182" s="39" t="n"/>
      <c r="AB182" s="39" t="n"/>
      <c r="AC182" s="317" t="n"/>
      <c r="AD182" s="39" t="n"/>
      <c r="AE182" s="39" t="n"/>
      <c r="AF182" s="317" t="n"/>
      <c r="AG182" s="39" t="n"/>
      <c r="AH182" s="39" t="n"/>
      <c r="AI182" s="317" t="n"/>
      <c r="AJ182" s="39" t="n"/>
      <c r="AK182" s="39" t="n"/>
      <c r="AL182" s="317" t="n"/>
      <c r="AM182" s="182">
        <f>AL182-AL170</f>
        <v/>
      </c>
      <c r="AN182" s="317" t="n"/>
      <c r="AO182" s="317" t="n"/>
      <c r="AP182" s="182">
        <f>AO182-AO170</f>
        <v/>
      </c>
      <c r="AQ182" s="317" t="n"/>
      <c r="AR182" s="317" t="n"/>
      <c r="AS182" s="182">
        <f>AR182-AR170</f>
        <v/>
      </c>
      <c r="AT182" s="317" t="n"/>
      <c r="AU182" s="317" t="n"/>
      <c r="AV182" s="182">
        <f>AU182-AU170</f>
        <v/>
      </c>
      <c r="AW182" s="317" t="n"/>
      <c r="AX182" s="317" t="n"/>
      <c r="AY182" s="317" t="n"/>
      <c r="AZ182" s="39" t="n"/>
      <c r="BA182" s="317" t="n"/>
      <c r="BB182" s="39" t="n"/>
      <c r="BC182" s="317" t="n"/>
      <c r="BD182" s="39" t="n"/>
      <c r="BE182" s="317" t="n"/>
      <c r="BF182" s="39" t="n"/>
      <c r="BG182" s="317" t="n"/>
      <c r="BH182" s="39" t="n"/>
      <c r="BI182" s="317" t="n"/>
      <c r="BJ182" s="39" t="n"/>
      <c r="BK182" s="317" t="n"/>
      <c r="BL182" s="39" t="n"/>
      <c r="BM182" s="317" t="n"/>
      <c r="BN182" s="39" t="n"/>
      <c r="BO182" s="317" t="n"/>
      <c r="BP182" s="317" t="n"/>
      <c r="BQ182" s="39" t="n"/>
      <c r="BR182" s="317" t="n"/>
      <c r="BS182" s="39" t="n"/>
      <c r="BT182" s="317" t="n"/>
      <c r="BU182" s="39" t="n"/>
      <c r="BV182" s="317" t="n"/>
      <c r="BW182" s="39" t="n"/>
      <c r="BX182" s="317" t="n"/>
      <c r="BY182" s="39" t="n"/>
      <c r="BZ182" s="317" t="n"/>
      <c r="CA182" s="39" t="n"/>
      <c r="CB182" s="317" t="n"/>
      <c r="CC182" s="39" t="n"/>
      <c r="CD182" s="317" t="n"/>
      <c r="CE182" s="39" t="n"/>
      <c r="CF182" s="317" t="n"/>
      <c r="CG182" s="317" t="n"/>
      <c r="CH182" s="317" t="n"/>
      <c r="CI182" s="317" t="n"/>
      <c r="CJ182" s="317" t="n"/>
      <c r="CK182" s="317" t="n"/>
      <c r="CL182" s="317" t="n"/>
      <c r="CM182" s="317" t="n"/>
      <c r="CN182" s="317" t="n"/>
      <c r="CO182" s="317" t="n"/>
      <c r="CP182" s="317" t="n"/>
      <c r="CQ182" s="317" t="n"/>
      <c r="CR182" s="317" t="n"/>
      <c r="CS182" s="317" t="n"/>
      <c r="CT182" s="317" t="n"/>
      <c r="CU182" s="317" t="n"/>
      <c r="CV182" s="343" t="n"/>
      <c r="CW182" s="317" t="n"/>
      <c r="CX182" s="39" t="n"/>
      <c r="CY182" s="317" t="n"/>
      <c r="CZ182" s="39" t="n"/>
      <c r="DA182" s="317" t="n"/>
      <c r="DB182" s="39" t="n"/>
      <c r="DC182" s="317" t="n"/>
      <c r="DD182" s="39" t="n"/>
      <c r="DE182" s="319" t="n"/>
      <c r="DF182" s="319" t="n"/>
    </row>
    <row r="183" ht="13" customFormat="1" customHeight="1" s="116">
      <c r="A183" s="351" t="inlineStr">
        <is>
          <t>2018年</t>
        </is>
      </c>
      <c r="B183" s="317">
        <f>SUM(B52:INDEX(B:B, 52+$A181-1))</f>
        <v/>
      </c>
      <c r="C183" s="39" t="inlineStr"/>
      <c r="D183" s="39" t="n"/>
      <c r="E183" s="317">
        <f>SUM(E52:INDEX(E:E, 52+$A181-1))</f>
        <v/>
      </c>
      <c r="F183" s="39" t="inlineStr"/>
      <c r="G183" s="39" t="n"/>
      <c r="H183" s="317">
        <f>SUM(H52:INDEX(H:H, 52+$A181-1))</f>
        <v/>
      </c>
      <c r="I183" s="39" t="inlineStr"/>
      <c r="J183" s="39" t="n"/>
      <c r="K183" s="317">
        <f>SUM(K52:INDEX(K:K, 52+$A181-1))</f>
        <v/>
      </c>
      <c r="L183" s="39" t="inlineStr"/>
      <c r="M183" s="39" t="n"/>
      <c r="N183" s="317">
        <f>SUM(N52:INDEX(N:N, 52+$A181-1))</f>
        <v/>
      </c>
      <c r="O183" s="39" t="inlineStr"/>
      <c r="P183" s="39" t="n"/>
      <c r="Q183" s="317">
        <f>SUM(Q52:INDEX(Q:Q, 52+$A181-1))</f>
        <v/>
      </c>
      <c r="R183" s="39" t="inlineStr"/>
      <c r="S183" s="39" t="n"/>
      <c r="T183" s="317">
        <f>SUM(T52:INDEX(T:T, 52+$A181-1))</f>
        <v/>
      </c>
      <c r="U183" s="39" t="inlineStr"/>
      <c r="V183" s="39" t="n"/>
      <c r="W183" s="317">
        <f>SUM(W52:INDEX(W:W, 52+$A181-1))</f>
        <v/>
      </c>
      <c r="X183" s="39" t="inlineStr"/>
      <c r="Y183" s="39" t="n"/>
      <c r="Z183" s="317">
        <f>SUM(Z52:INDEX(Z:Z, 52+$A181-1))</f>
        <v/>
      </c>
      <c r="AA183" s="39" t="inlineStr"/>
      <c r="AB183" s="39" t="n"/>
      <c r="AC183" s="317">
        <f>SUM(AC52:INDEX(AC:AC, 52+$A181-1))</f>
        <v/>
      </c>
      <c r="AD183" s="39" t="inlineStr"/>
      <c r="AE183" s="39" t="n"/>
      <c r="AF183" s="317">
        <f>SUM(AF52:INDEX(AF:AF, 52+$A181-1))</f>
        <v/>
      </c>
      <c r="AG183" s="39" t="inlineStr"/>
      <c r="AH183" s="39" t="n"/>
      <c r="AI183" s="317">
        <f>SUM(AI52:INDEX(AI:AI, 52+$A181-1))</f>
        <v/>
      </c>
      <c r="AJ183" s="39" t="inlineStr"/>
      <c r="AK183" s="39" t="n"/>
      <c r="AL183" s="182">
        <f>AVERAGE(AL52:INDEX(AL:AL, 52+$A181-1))</f>
        <v/>
      </c>
      <c r="AM183" s="352" t="n"/>
      <c r="AN183" s="39" t="n"/>
      <c r="AO183" s="182">
        <f>AVERAGE(AO52:INDEX(AO:AO, 52+$A181-1))</f>
        <v/>
      </c>
      <c r="AP183" s="352" t="n"/>
      <c r="AQ183" s="39" t="n"/>
      <c r="AR183" s="182">
        <f>AVERAGE(AR52:INDEX(AR:AR, 52+$A181-1))</f>
        <v/>
      </c>
      <c r="AS183" s="352" t="n"/>
      <c r="AT183" s="39" t="n"/>
      <c r="AU183" s="182">
        <f>AVERAGE(AU52:INDEX(AU:AU, 52+$A181-1))</f>
        <v/>
      </c>
      <c r="AV183" s="352" t="n"/>
      <c r="AW183" s="39" t="n"/>
      <c r="AX183" s="317" t="n"/>
      <c r="AY183" s="317" t="n"/>
      <c r="AZ183" s="39" t="n"/>
      <c r="BA183" s="317" t="n"/>
      <c r="BB183" s="39" t="n"/>
      <c r="BC183" s="317" t="n"/>
      <c r="BD183" s="39" t="n"/>
      <c r="BE183" s="317" t="n"/>
      <c r="BF183" s="39" t="n"/>
      <c r="BG183" s="317" t="n"/>
      <c r="BH183" s="39" t="n"/>
      <c r="BI183" s="317" t="n"/>
      <c r="BJ183" s="39" t="n"/>
      <c r="BK183" s="317" t="n"/>
      <c r="BL183" s="39" t="n"/>
      <c r="BM183" s="317" t="n"/>
      <c r="BN183" s="39" t="n"/>
      <c r="BO183" s="317" t="n"/>
      <c r="BP183" s="317" t="n"/>
      <c r="BQ183" s="39" t="n"/>
      <c r="BR183" s="317" t="n"/>
      <c r="BS183" s="39" t="n"/>
      <c r="BT183" s="317" t="n"/>
      <c r="BU183" s="39" t="n"/>
      <c r="BV183" s="317" t="n"/>
      <c r="BW183" s="39" t="n"/>
      <c r="BX183" s="317" t="n"/>
      <c r="BY183" s="39" t="n"/>
      <c r="BZ183" s="317" t="n"/>
      <c r="CA183" s="39" t="n"/>
      <c r="CB183" s="317" t="n"/>
      <c r="CC183" s="39" t="n"/>
      <c r="CD183" s="317" t="n"/>
      <c r="CE183" s="39" t="n"/>
      <c r="CF183" s="317" t="n"/>
      <c r="CG183" s="39" t="n"/>
      <c r="CH183" s="317" t="n"/>
      <c r="CI183" s="39" t="n"/>
      <c r="CJ183" s="317" t="n"/>
      <c r="CK183" s="39" t="n"/>
      <c r="CL183" s="317" t="n"/>
      <c r="CM183" s="39" t="n"/>
      <c r="CN183" s="317" t="n"/>
      <c r="CO183" s="39" t="n"/>
      <c r="CP183" s="317" t="n"/>
      <c r="CQ183" s="39" t="n"/>
      <c r="CR183" s="317" t="n"/>
      <c r="CS183" s="39" t="n"/>
      <c r="CT183" s="317" t="n"/>
      <c r="CU183" s="39" t="n"/>
      <c r="CV183" s="343" t="n"/>
      <c r="CW183" s="317" t="n"/>
      <c r="CX183" s="39" t="n"/>
      <c r="CY183" s="317" t="n"/>
      <c r="CZ183" s="39" t="n"/>
      <c r="DA183" s="317" t="n"/>
      <c r="DB183" s="39" t="n"/>
      <c r="DC183" s="317" t="n"/>
      <c r="DD183" s="39" t="n"/>
      <c r="DE183" s="319" t="n"/>
      <c r="DF183" s="319" t="n"/>
    </row>
    <row r="184" ht="13" customFormat="1" customHeight="1" s="116">
      <c r="A184" s="188" t="n"/>
      <c r="B184" s="317" t="n"/>
      <c r="C184" s="39" t="n"/>
      <c r="D184" s="39" t="n"/>
      <c r="E184" s="317" t="n"/>
      <c r="F184" s="39" t="n"/>
      <c r="G184" s="39" t="n"/>
      <c r="H184" s="317" t="n"/>
      <c r="I184" s="39" t="n"/>
      <c r="J184" s="39" t="n"/>
      <c r="K184" s="317" t="n"/>
      <c r="L184" s="39" t="n"/>
      <c r="M184" s="39" t="n"/>
      <c r="N184" s="317" t="n"/>
      <c r="O184" s="39" t="n"/>
      <c r="P184" s="39" t="n"/>
      <c r="Q184" s="317" t="n"/>
      <c r="R184" s="39" t="n"/>
      <c r="S184" s="39" t="n"/>
      <c r="T184" s="317" t="n"/>
      <c r="U184" s="39" t="n"/>
      <c r="V184" s="39" t="n"/>
      <c r="W184" s="317" t="n"/>
      <c r="X184" s="39" t="n"/>
      <c r="Y184" s="39" t="n"/>
      <c r="Z184" s="317" t="n"/>
      <c r="AA184" s="39" t="n"/>
      <c r="AB184" s="39" t="n"/>
      <c r="AC184" s="317" t="n"/>
      <c r="AD184" s="39" t="n"/>
      <c r="AE184" s="39" t="n"/>
      <c r="AF184" s="317" t="n"/>
      <c r="AG184" s="39" t="n"/>
      <c r="AH184" s="39" t="n"/>
      <c r="AI184" s="317" t="n"/>
      <c r="AJ184" s="39" t="n"/>
      <c r="AK184" s="39" t="n"/>
      <c r="AL184" s="317" t="n"/>
      <c r="AM184" s="352" t="n"/>
      <c r="AN184" s="39" t="n"/>
      <c r="AO184" s="317" t="n"/>
      <c r="AP184" s="352" t="n"/>
      <c r="AQ184" s="39" t="n"/>
      <c r="AR184" s="317" t="n"/>
      <c r="AS184" s="352" t="n"/>
      <c r="AT184" s="39" t="n"/>
      <c r="AU184" s="317" t="n"/>
      <c r="AV184" s="352" t="n"/>
      <c r="AW184" s="39" t="n"/>
      <c r="AX184" s="317" t="n"/>
      <c r="AY184" s="317" t="n"/>
      <c r="AZ184" s="39" t="n"/>
      <c r="BA184" s="317" t="n"/>
      <c r="BB184" s="39" t="n"/>
      <c r="BC184" s="317" t="n"/>
      <c r="BD184" s="39" t="n"/>
      <c r="BE184" s="317" t="n"/>
      <c r="BF184" s="39" t="n"/>
      <c r="BG184" s="317" t="n"/>
      <c r="BH184" s="39" t="n"/>
      <c r="BI184" s="317" t="n"/>
      <c r="BJ184" s="39" t="n"/>
      <c r="BK184" s="317" t="n"/>
      <c r="BL184" s="39" t="n"/>
      <c r="BM184" s="317" t="n"/>
      <c r="BN184" s="39" t="n"/>
      <c r="BO184" s="317" t="n"/>
      <c r="BP184" s="317" t="n"/>
      <c r="BQ184" s="39" t="n"/>
      <c r="BR184" s="317" t="n"/>
      <c r="BS184" s="39" t="n"/>
      <c r="BT184" s="317" t="n"/>
      <c r="BU184" s="39" t="n"/>
      <c r="BV184" s="317" t="n"/>
      <c r="BW184" s="39" t="n"/>
      <c r="BX184" s="317" t="n"/>
      <c r="BY184" s="39" t="n"/>
      <c r="BZ184" s="317" t="n"/>
      <c r="CA184" s="39" t="n"/>
      <c r="CB184" s="317" t="n"/>
      <c r="CC184" s="39" t="n"/>
      <c r="CD184" s="317" t="n"/>
      <c r="CE184" s="39" t="n"/>
      <c r="CF184" s="317" t="n"/>
      <c r="CG184" s="39" t="n"/>
      <c r="CH184" s="317" t="n"/>
      <c r="CI184" s="39" t="n"/>
      <c r="CJ184" s="317" t="n"/>
      <c r="CK184" s="39" t="n"/>
      <c r="CL184" s="317" t="n"/>
      <c r="CM184" s="39" t="n"/>
      <c r="CN184" s="317" t="n"/>
      <c r="CO184" s="39" t="n"/>
      <c r="CP184" s="317" t="n"/>
      <c r="CQ184" s="39" t="n"/>
      <c r="CR184" s="317" t="n"/>
      <c r="CS184" s="39" t="n"/>
      <c r="CT184" s="317" t="n"/>
      <c r="CU184" s="39" t="n"/>
      <c r="CV184" s="343" t="n"/>
      <c r="CW184" s="317" t="n"/>
      <c r="CX184" s="39" t="n"/>
      <c r="CY184" s="317" t="n"/>
      <c r="CZ184" s="39" t="n"/>
      <c r="DA184" s="317" t="n"/>
      <c r="DB184" s="39" t="n"/>
      <c r="DC184" s="317" t="n"/>
      <c r="DD184" s="39" t="n"/>
      <c r="DE184" s="319" t="n"/>
      <c r="DF184" s="319" t="n"/>
    </row>
    <row r="185" ht="13" customFormat="1" customHeight="1" s="116">
      <c r="A185" s="351" t="inlineStr">
        <is>
          <t>2019年</t>
        </is>
      </c>
      <c r="B185" s="317">
        <f>SUM(B64:INDEX(B:B, 64+$A181-1))</f>
        <v/>
      </c>
      <c r="C185" s="39">
        <f>B185/B183-1</f>
        <v/>
      </c>
      <c r="D185" s="39" t="n"/>
      <c r="E185" s="317">
        <f>SUM(E64:INDEX(E:E, 64+$A181-1))</f>
        <v/>
      </c>
      <c r="F185" s="39">
        <f>E185/E183-1</f>
        <v/>
      </c>
      <c r="G185" s="39" t="n"/>
      <c r="H185" s="317">
        <f>SUM(H64:INDEX(H:H, 64+$A181-1))</f>
        <v/>
      </c>
      <c r="I185" s="39">
        <f>H185/H183-1</f>
        <v/>
      </c>
      <c r="J185" s="39" t="n"/>
      <c r="K185" s="317">
        <f>SUM(K64:INDEX(K:K, 64+$A181-1))</f>
        <v/>
      </c>
      <c r="L185" s="39">
        <f>K185/K183-1</f>
        <v/>
      </c>
      <c r="M185" s="39" t="n"/>
      <c r="N185" s="317">
        <f>SUM(N64:INDEX(N:N, 64+$A181-1))</f>
        <v/>
      </c>
      <c r="O185" s="39">
        <f>N185/N183-1</f>
        <v/>
      </c>
      <c r="P185" s="39" t="n"/>
      <c r="Q185" s="317">
        <f>SUM(Q64:INDEX(Q:Q, 64+$A181-1))</f>
        <v/>
      </c>
      <c r="R185" s="39">
        <f>Q185/Q183-1</f>
        <v/>
      </c>
      <c r="S185" s="39" t="n"/>
      <c r="T185" s="317">
        <f>SUM(T64:INDEX(T:T, 64+$A181-1))</f>
        <v/>
      </c>
      <c r="U185" s="39">
        <f>T185/T183-1</f>
        <v/>
      </c>
      <c r="V185" s="39" t="n"/>
      <c r="W185" s="317">
        <f>SUM(W64:INDEX(W:W, 64+$A181-1))</f>
        <v/>
      </c>
      <c r="X185" s="39">
        <f>W185/W183-1</f>
        <v/>
      </c>
      <c r="Y185" s="39" t="n"/>
      <c r="Z185" s="317">
        <f>SUM(Z64:INDEX(Z:Z, 64+$A181-1))</f>
        <v/>
      </c>
      <c r="AA185" s="39">
        <f>Z185/Z183-1</f>
        <v/>
      </c>
      <c r="AB185" s="39" t="n"/>
      <c r="AC185" s="317">
        <f>SUM(AC64:INDEX(AC:AC, 64+$A181-1))</f>
        <v/>
      </c>
      <c r="AD185" s="39">
        <f>AC185/AC183-1</f>
        <v/>
      </c>
      <c r="AE185" s="39" t="n"/>
      <c r="AF185" s="317">
        <f>SUM(AF64:INDEX(AF:AF, 64+$A181-1))</f>
        <v/>
      </c>
      <c r="AG185" s="39">
        <f>AF185/AF183-1</f>
        <v/>
      </c>
      <c r="AH185" s="39" t="n"/>
      <c r="AI185" s="317">
        <f>SUM(AI64:INDEX(AI:AI, 64+$A181-1))</f>
        <v/>
      </c>
      <c r="AJ185" s="39">
        <f>AI185/AI183-1</f>
        <v/>
      </c>
      <c r="AK185" s="39" t="n"/>
      <c r="AL185" s="182">
        <f>AVERAGE(AL64:INDEX(AL:AL, 64+$A181-1))</f>
        <v/>
      </c>
      <c r="AM185" s="179">
        <f>AL185-AL183</f>
        <v/>
      </c>
      <c r="AN185" s="39" t="n"/>
      <c r="AO185" s="182">
        <f>AVERAGE(AO64:INDEX(AO:AO, 64+$A181-1))</f>
        <v/>
      </c>
      <c r="AP185" s="179">
        <f>AO185-AO183</f>
        <v/>
      </c>
      <c r="AQ185" s="39" t="n"/>
      <c r="AR185" s="182">
        <f>AVERAGE(AR64:INDEX(AR:AR, 64+$A181-1))</f>
        <v/>
      </c>
      <c r="AS185" s="179">
        <f>AR185-AR183</f>
        <v/>
      </c>
      <c r="AT185" s="39" t="n"/>
      <c r="AU185" s="182">
        <f>AVERAGE(AU64:INDEX(AU:AU, 64+$A181-1))</f>
        <v/>
      </c>
      <c r="AV185" s="179">
        <f>AU185-AU183</f>
        <v/>
      </c>
      <c r="AW185" s="39" t="n"/>
      <c r="AX185" s="317" t="n"/>
      <c r="AY185" s="142" t="n"/>
      <c r="AZ185" s="39" t="n"/>
      <c r="BA185" s="317" t="n"/>
      <c r="BB185" s="39" t="n"/>
      <c r="BC185" s="317" t="n"/>
      <c r="BD185" s="39" t="n"/>
      <c r="BE185" s="317" t="n"/>
      <c r="BF185" s="39" t="n"/>
      <c r="BG185" s="317" t="n"/>
      <c r="BH185" s="39" t="n"/>
      <c r="BI185" s="317" t="n"/>
      <c r="BJ185" s="39" t="n"/>
      <c r="BK185" s="317" t="n"/>
      <c r="BL185" s="39" t="n"/>
      <c r="BM185" s="317" t="n"/>
      <c r="BN185" s="39" t="n"/>
      <c r="BO185" s="317" t="n"/>
      <c r="BP185" s="317" t="n"/>
      <c r="BQ185" s="39" t="n"/>
      <c r="BR185" s="317" t="n"/>
      <c r="BS185" s="39" t="n"/>
      <c r="BT185" s="317" t="n"/>
      <c r="BU185" s="39" t="n"/>
      <c r="BV185" s="317" t="n"/>
      <c r="BW185" s="39" t="n"/>
      <c r="BX185" s="317" t="n"/>
      <c r="BY185" s="39" t="n"/>
      <c r="BZ185" s="317" t="n"/>
      <c r="CA185" s="39" t="n"/>
      <c r="CB185" s="317" t="n"/>
      <c r="CC185" s="39" t="n"/>
      <c r="CD185" s="317" t="n"/>
      <c r="CE185" s="39" t="n"/>
      <c r="CF185" s="317" t="n"/>
      <c r="CG185" s="39" t="n"/>
      <c r="CH185" s="317" t="n"/>
      <c r="CI185" s="39" t="n"/>
      <c r="CJ185" s="317" t="n"/>
      <c r="CK185" s="39" t="n"/>
      <c r="CL185" s="317" t="n"/>
      <c r="CM185" s="39" t="n"/>
      <c r="CN185" s="317" t="n"/>
      <c r="CO185" s="39" t="n"/>
      <c r="CP185" s="317" t="n"/>
      <c r="CQ185" s="39" t="n"/>
      <c r="CR185" s="317" t="n"/>
      <c r="CS185" s="39" t="n"/>
      <c r="CT185" s="317" t="n"/>
      <c r="CU185" s="39" t="n"/>
      <c r="CV185" s="343" t="n"/>
      <c r="CW185" s="317" t="n"/>
      <c r="CX185" s="39" t="n"/>
      <c r="CY185" s="317" t="n"/>
      <c r="CZ185" s="39" t="n"/>
      <c r="DA185" s="317" t="n"/>
      <c r="DB185" s="39" t="n"/>
      <c r="DC185" s="317" t="n"/>
      <c r="DD185" s="39" t="n"/>
      <c r="DE185" s="319" t="n"/>
      <c r="DF185" s="319" t="n"/>
    </row>
    <row r="186" ht="13" customFormat="1" customHeight="1" s="116">
      <c r="A186" s="188" t="n"/>
      <c r="B186" s="317" t="n"/>
      <c r="C186" s="39" t="n"/>
      <c r="D186" s="39" t="n"/>
      <c r="E186" s="317" t="n"/>
      <c r="F186" s="39" t="n"/>
      <c r="G186" s="39" t="n"/>
      <c r="H186" s="317" t="n"/>
      <c r="I186" s="39" t="n"/>
      <c r="J186" s="39" t="n"/>
      <c r="K186" s="317" t="n"/>
      <c r="L186" s="39" t="n"/>
      <c r="M186" s="39" t="n"/>
      <c r="N186" s="317" t="n"/>
      <c r="O186" s="39" t="n"/>
      <c r="P186" s="39" t="n"/>
      <c r="Q186" s="317" t="n"/>
      <c r="R186" s="39" t="n"/>
      <c r="S186" s="39" t="n"/>
      <c r="T186" s="317" t="n"/>
      <c r="U186" s="39" t="n"/>
      <c r="V186" s="39" t="n"/>
      <c r="W186" s="317" t="n"/>
      <c r="X186" s="39" t="n"/>
      <c r="Y186" s="39" t="n"/>
      <c r="Z186" s="317" t="n"/>
      <c r="AA186" s="39" t="n"/>
      <c r="AB186" s="39" t="n"/>
      <c r="AC186" s="317" t="n"/>
      <c r="AD186" s="39" t="n"/>
      <c r="AE186" s="39" t="n"/>
      <c r="AF186" s="317" t="n"/>
      <c r="AG186" s="39" t="n"/>
      <c r="AH186" s="39" t="n"/>
      <c r="AI186" s="317" t="n"/>
      <c r="AJ186" s="39" t="n"/>
      <c r="AK186" s="39" t="n"/>
      <c r="AL186" s="317" t="n"/>
      <c r="AM186" s="352" t="n"/>
      <c r="AN186" s="39" t="n"/>
      <c r="AO186" s="317" t="n"/>
      <c r="AP186" s="352" t="n"/>
      <c r="AQ186" s="39" t="n"/>
      <c r="AR186" s="317" t="n"/>
      <c r="AS186" s="352" t="n"/>
      <c r="AT186" s="39" t="n"/>
      <c r="AU186" s="317" t="n"/>
      <c r="AV186" s="352" t="n"/>
      <c r="AW186" s="39" t="n"/>
      <c r="AX186" s="317" t="n"/>
      <c r="AY186" s="317" t="n"/>
      <c r="AZ186" s="39" t="n"/>
      <c r="BA186" s="317" t="n"/>
      <c r="BB186" s="39" t="n"/>
      <c r="BC186" s="317" t="n"/>
      <c r="BD186" s="39" t="n"/>
      <c r="BE186" s="317" t="n"/>
      <c r="BF186" s="39" t="n"/>
      <c r="BG186" s="317" t="n"/>
      <c r="BH186" s="39" t="n"/>
      <c r="BI186" s="317" t="n"/>
      <c r="BJ186" s="39" t="n"/>
      <c r="BK186" s="317" t="n"/>
      <c r="BL186" s="39" t="n"/>
      <c r="BM186" s="317" t="n"/>
      <c r="BN186" s="39" t="n"/>
      <c r="BO186" s="317" t="n"/>
      <c r="BP186" s="317" t="n"/>
      <c r="BQ186" s="39" t="n"/>
      <c r="BR186" s="317" t="n"/>
      <c r="BS186" s="39" t="n"/>
      <c r="BT186" s="317" t="n"/>
      <c r="BU186" s="39" t="n"/>
      <c r="BV186" s="317" t="n"/>
      <c r="BW186" s="39" t="n"/>
      <c r="BX186" s="317" t="n"/>
      <c r="BY186" s="39" t="n"/>
      <c r="BZ186" s="317" t="n"/>
      <c r="CA186" s="39" t="n"/>
      <c r="CB186" s="317" t="n"/>
      <c r="CC186" s="39" t="n"/>
      <c r="CD186" s="317" t="n"/>
      <c r="CE186" s="39" t="n"/>
      <c r="CF186" s="317" t="n"/>
      <c r="CG186" s="39" t="n"/>
      <c r="CH186" s="317" t="n"/>
      <c r="CI186" s="39" t="n"/>
      <c r="CJ186" s="317" t="n"/>
      <c r="CK186" s="39" t="n"/>
      <c r="CL186" s="317" t="n"/>
      <c r="CM186" s="39" t="n"/>
      <c r="CN186" s="317" t="n"/>
      <c r="CO186" s="39" t="n"/>
      <c r="CP186" s="317" t="n"/>
      <c r="CQ186" s="39" t="n"/>
      <c r="CR186" s="317" t="n"/>
      <c r="CS186" s="39" t="n"/>
      <c r="CT186" s="317" t="n"/>
      <c r="CU186" s="39" t="n"/>
      <c r="CV186" s="343" t="n"/>
      <c r="CW186" s="317" t="n"/>
      <c r="CX186" s="39" t="n"/>
      <c r="CY186" s="317" t="n"/>
      <c r="CZ186" s="39" t="n"/>
      <c r="DA186" s="317" t="n"/>
      <c r="DB186" s="39" t="n"/>
      <c r="DC186" s="317" t="n"/>
      <c r="DD186" s="39" t="n"/>
      <c r="DE186" s="319" t="n"/>
      <c r="DF186" s="319" t="n"/>
    </row>
    <row r="187" ht="13" customFormat="1" customHeight="1" s="116">
      <c r="A187" s="351" t="inlineStr">
        <is>
          <t>2020年</t>
        </is>
      </c>
      <c r="B187" s="317">
        <f>SUM(B76:INDEX(B:B, 76+$A181-1))</f>
        <v/>
      </c>
      <c r="C187" s="39">
        <f>B187/B185-1</f>
        <v/>
      </c>
      <c r="D187" s="39" t="n"/>
      <c r="E187" s="317">
        <f>SUM(E76:INDEX(E:E, 76+$A181-1))</f>
        <v/>
      </c>
      <c r="F187" s="39">
        <f>E187/E185-1</f>
        <v/>
      </c>
      <c r="G187" s="39" t="n"/>
      <c r="H187" s="317">
        <f>SUM(H76:INDEX(H:H, 76+$A181-1))</f>
        <v/>
      </c>
      <c r="I187" s="39">
        <f>H187/H185-1</f>
        <v/>
      </c>
      <c r="J187" s="39" t="n"/>
      <c r="K187" s="317">
        <f>SUM(K76:INDEX(K:K, 76+$A181-1))</f>
        <v/>
      </c>
      <c r="L187" s="39">
        <f>K187/K185-1</f>
        <v/>
      </c>
      <c r="M187" s="39" t="n"/>
      <c r="N187" s="317">
        <f>SUM(N76:INDEX(N:N, 76+$A181-1))</f>
        <v/>
      </c>
      <c r="O187" s="39">
        <f>N187/N185-1</f>
        <v/>
      </c>
      <c r="P187" s="39" t="n"/>
      <c r="Q187" s="317">
        <f>SUM(Q76:INDEX(Q:Q, 76+$A181-1))</f>
        <v/>
      </c>
      <c r="R187" s="39">
        <f>Q187/Q185-1</f>
        <v/>
      </c>
      <c r="S187" s="39" t="n"/>
      <c r="T187" s="317">
        <f>SUM(T76:INDEX(T:T, 76+$A181-1))</f>
        <v/>
      </c>
      <c r="U187" s="39">
        <f>T187/T185-1</f>
        <v/>
      </c>
      <c r="V187" s="39" t="n"/>
      <c r="W187" s="317">
        <f>SUM(W76:INDEX(W:W, 76+$A181-1))</f>
        <v/>
      </c>
      <c r="X187" s="39">
        <f>W187/W185-1</f>
        <v/>
      </c>
      <c r="Y187" s="39" t="n"/>
      <c r="Z187" s="317">
        <f>SUM(Z76:INDEX(Z:Z, 76+$A181-1))</f>
        <v/>
      </c>
      <c r="AA187" s="39">
        <f>Z187/Z185-1</f>
        <v/>
      </c>
      <c r="AB187" s="39" t="n"/>
      <c r="AC187" s="317">
        <f>SUM(AC76:INDEX(AC:AC, 76+$A181-1))</f>
        <v/>
      </c>
      <c r="AD187" s="39">
        <f>AC187/AC185-1</f>
        <v/>
      </c>
      <c r="AE187" s="39" t="n"/>
      <c r="AF187" s="317">
        <f>SUM(AF76:INDEX(AF:AF, 76+$A181-1))</f>
        <v/>
      </c>
      <c r="AG187" s="39">
        <f>AF187/AF185-1</f>
        <v/>
      </c>
      <c r="AH187" s="39" t="n"/>
      <c r="AI187" s="317">
        <f>SUM(AI76:INDEX(AI:AI, 76+$A181-1))</f>
        <v/>
      </c>
      <c r="AJ187" s="39">
        <f>AI187/AI185-1</f>
        <v/>
      </c>
      <c r="AK187" s="39" t="n"/>
      <c r="AL187" s="182">
        <f>AVERAGE(AL76:INDEX(AL:AL, 76+$A181-1))</f>
        <v/>
      </c>
      <c r="AM187" s="179">
        <f>AL187-AL185</f>
        <v/>
      </c>
      <c r="AN187" s="39" t="n"/>
      <c r="AO187" s="182">
        <f>AVERAGE(AO76:INDEX(AO:AO, 76+$A181-1))</f>
        <v/>
      </c>
      <c r="AP187" s="179">
        <f>AO187-AO185</f>
        <v/>
      </c>
      <c r="AQ187" s="39" t="n"/>
      <c r="AR187" s="182">
        <f>AVERAGE(AR76:INDEX(AR:AR, 76+$A181-1))</f>
        <v/>
      </c>
      <c r="AS187" s="179">
        <f>AR187-AR185</f>
        <v/>
      </c>
      <c r="AT187" s="39" t="n"/>
      <c r="AU187" s="182">
        <f>AVERAGE(AU76:INDEX(AU:AU, 76+$A181-1))</f>
        <v/>
      </c>
      <c r="AV187" s="179">
        <f>AU187-AU185</f>
        <v/>
      </c>
      <c r="AW187" s="39" t="n"/>
      <c r="AX187" s="317" t="n"/>
      <c r="AY187" s="142" t="n"/>
      <c r="AZ187" s="39" t="n"/>
      <c r="BA187" s="317" t="n"/>
      <c r="BB187" s="39" t="n"/>
      <c r="BC187" s="317" t="n"/>
      <c r="BD187" s="39" t="n"/>
      <c r="BE187" s="317" t="n"/>
      <c r="BF187" s="39" t="n"/>
      <c r="BG187" s="317" t="n"/>
      <c r="BH187" s="39" t="n"/>
      <c r="BI187" s="317" t="n"/>
      <c r="BJ187" s="39" t="n"/>
      <c r="BK187" s="317" t="n"/>
      <c r="BL187" s="39" t="n"/>
      <c r="BM187" s="317" t="n"/>
      <c r="BN187" s="39" t="n"/>
      <c r="BO187" s="317" t="n"/>
      <c r="BP187" s="317" t="n"/>
      <c r="BQ187" s="39" t="n"/>
      <c r="BR187" s="317" t="n"/>
      <c r="BS187" s="39" t="n"/>
      <c r="BT187" s="317" t="n"/>
      <c r="BU187" s="39" t="n"/>
      <c r="BV187" s="317" t="n"/>
      <c r="BW187" s="39" t="n"/>
      <c r="BX187" s="317" t="n"/>
      <c r="BY187" s="39" t="n"/>
      <c r="BZ187" s="317" t="n"/>
      <c r="CA187" s="39" t="n"/>
      <c r="CB187" s="317" t="n"/>
      <c r="CC187" s="39" t="n"/>
      <c r="CD187" s="317" t="n"/>
      <c r="CE187" s="39" t="n"/>
      <c r="CF187" s="317" t="n"/>
      <c r="CG187" s="39" t="n"/>
      <c r="CH187" s="317" t="n"/>
      <c r="CI187" s="39" t="n"/>
      <c r="CJ187" s="317" t="n"/>
      <c r="CK187" s="39" t="n"/>
      <c r="CL187" s="317" t="n"/>
      <c r="CM187" s="39" t="n"/>
      <c r="CN187" s="317" t="n"/>
      <c r="CO187" s="39" t="n"/>
      <c r="CP187" s="317" t="n"/>
      <c r="CQ187" s="39" t="n"/>
      <c r="CR187" s="317" t="n"/>
      <c r="CS187" s="39" t="n"/>
      <c r="CT187" s="317" t="n"/>
      <c r="CU187" s="39" t="n"/>
      <c r="CV187" s="343" t="n"/>
      <c r="CW187" s="317" t="n"/>
      <c r="CX187" s="39" t="n"/>
      <c r="CY187" s="317" t="n"/>
      <c r="CZ187" s="39" t="n"/>
      <c r="DA187" s="317" t="n"/>
      <c r="DB187" s="39" t="n"/>
      <c r="DC187" s="317" t="n"/>
      <c r="DD187" s="39" t="n"/>
      <c r="DE187" s="319" t="n"/>
      <c r="DF187" s="319" t="n"/>
    </row>
    <row r="188" ht="13" customFormat="1" customHeight="1" s="116">
      <c r="A188" s="351" t="n"/>
      <c r="B188" s="317" t="n"/>
      <c r="C188" s="39" t="n"/>
      <c r="D188" s="39" t="n"/>
      <c r="E188" s="317" t="n"/>
      <c r="F188" s="39" t="n"/>
      <c r="G188" s="39" t="n"/>
      <c r="H188" s="317" t="n"/>
      <c r="I188" s="39" t="n"/>
      <c r="J188" s="39" t="n"/>
      <c r="K188" s="317" t="n"/>
      <c r="L188" s="39" t="n"/>
      <c r="M188" s="39" t="n"/>
      <c r="N188" s="317" t="n"/>
      <c r="O188" s="39" t="n"/>
      <c r="P188" s="39" t="n"/>
      <c r="Q188" s="317" t="n"/>
      <c r="R188" s="39" t="n"/>
      <c r="S188" s="39" t="n"/>
      <c r="T188" s="317" t="n"/>
      <c r="U188" s="39" t="n"/>
      <c r="V188" s="39" t="n"/>
      <c r="W188" s="317" t="n"/>
      <c r="X188" s="39" t="n"/>
      <c r="Y188" s="39" t="n"/>
      <c r="Z188" s="317" t="n"/>
      <c r="AA188" s="39" t="n"/>
      <c r="AB188" s="39" t="n"/>
      <c r="AC188" s="317" t="n"/>
      <c r="AD188" s="39" t="n"/>
      <c r="AE188" s="39" t="n"/>
      <c r="AF188" s="317" t="n"/>
      <c r="AG188" s="39" t="n"/>
      <c r="AH188" s="39" t="n"/>
      <c r="AI188" s="317" t="n"/>
      <c r="AJ188" s="39" t="n"/>
      <c r="AK188" s="39" t="n"/>
      <c r="AL188" s="317" t="n"/>
      <c r="AM188" s="352" t="n"/>
      <c r="AN188" s="39" t="n"/>
      <c r="AO188" s="317" t="n"/>
      <c r="AP188" s="352" t="n"/>
      <c r="AQ188" s="39" t="n"/>
      <c r="AR188" s="317" t="n"/>
      <c r="AS188" s="352" t="n"/>
      <c r="AT188" s="39" t="n"/>
      <c r="AU188" s="317" t="n"/>
      <c r="AV188" s="352" t="n"/>
      <c r="AW188" s="39" t="n"/>
      <c r="AX188" s="317" t="n"/>
      <c r="AY188" s="317" t="n"/>
      <c r="AZ188" s="39" t="n"/>
      <c r="BA188" s="317" t="n"/>
      <c r="BB188" s="39" t="n"/>
      <c r="BC188" s="317" t="n"/>
      <c r="BD188" s="39" t="n"/>
      <c r="BE188" s="317" t="n"/>
      <c r="BF188" s="39" t="n"/>
      <c r="BG188" s="317" t="n"/>
      <c r="BH188" s="39" t="n"/>
      <c r="BI188" s="317" t="n"/>
      <c r="BJ188" s="39" t="n"/>
      <c r="BK188" s="317" t="n"/>
      <c r="BL188" s="39" t="n"/>
      <c r="BM188" s="317" t="n"/>
      <c r="BN188" s="39" t="n"/>
      <c r="BO188" s="317" t="n"/>
      <c r="BP188" s="317" t="n"/>
      <c r="BQ188" s="39" t="n"/>
      <c r="BR188" s="317" t="n"/>
      <c r="BS188" s="39" t="n"/>
      <c r="BT188" s="317" t="n"/>
      <c r="BU188" s="39" t="n"/>
      <c r="BV188" s="317" t="n"/>
      <c r="BW188" s="39" t="n"/>
      <c r="BX188" s="317" t="n"/>
      <c r="BY188" s="39" t="n"/>
      <c r="BZ188" s="317" t="n"/>
      <c r="CA188" s="39" t="n"/>
      <c r="CB188" s="317" t="n"/>
      <c r="CC188" s="39" t="n"/>
      <c r="CD188" s="317" t="n"/>
      <c r="CE188" s="39" t="n"/>
      <c r="CF188" s="317" t="n"/>
      <c r="CG188" s="39" t="n"/>
      <c r="CH188" s="317" t="n"/>
      <c r="CI188" s="39" t="n"/>
      <c r="CJ188" s="317" t="n"/>
      <c r="CK188" s="39" t="n"/>
      <c r="CL188" s="317" t="n"/>
      <c r="CM188" s="39" t="n"/>
      <c r="CN188" s="317" t="n"/>
      <c r="CO188" s="39" t="n"/>
      <c r="CP188" s="317" t="n"/>
      <c r="CQ188" s="39" t="n"/>
      <c r="CR188" s="317" t="n"/>
      <c r="CS188" s="39" t="n"/>
      <c r="CT188" s="317" t="n"/>
      <c r="CU188" s="39" t="n"/>
      <c r="CV188" s="343" t="n"/>
      <c r="CW188" s="317" t="n"/>
      <c r="CX188" s="39" t="n"/>
      <c r="CY188" s="317" t="n"/>
      <c r="CZ188" s="39" t="n"/>
      <c r="DA188" s="317" t="n"/>
      <c r="DB188" s="39" t="n"/>
      <c r="DC188" s="317" t="n"/>
      <c r="DD188" s="39" t="n"/>
      <c r="DE188" s="319" t="n"/>
      <c r="DF188" s="319" t="n"/>
    </row>
    <row r="189" customFormat="1" s="116">
      <c r="A189" s="351" t="inlineStr">
        <is>
          <t>2021年</t>
        </is>
      </c>
      <c r="B189" s="317">
        <f>SUM(B88:INDEX(B:B, 88+$A181-1))</f>
        <v/>
      </c>
      <c r="C189" s="39">
        <f>B189/B187-1</f>
        <v/>
      </c>
      <c r="D189" s="39" t="n"/>
      <c r="E189" s="317">
        <f>SUM(E88:INDEX(E:E, 88+$A181-1))</f>
        <v/>
      </c>
      <c r="F189" s="39">
        <f>E189/E187-1</f>
        <v/>
      </c>
      <c r="G189" s="39" t="n"/>
      <c r="H189" s="317">
        <f>SUM(H88:INDEX(H:H, 88+$A181-1))</f>
        <v/>
      </c>
      <c r="I189" s="39">
        <f>H189/H187-1</f>
        <v/>
      </c>
      <c r="J189" s="39" t="n"/>
      <c r="K189" s="317">
        <f>SUM(K88:INDEX(K:K, 88+$A181-1))</f>
        <v/>
      </c>
      <c r="L189" s="39">
        <f>K189/K187-1</f>
        <v/>
      </c>
      <c r="M189" s="39" t="n"/>
      <c r="N189" s="317">
        <f>SUM(N88:INDEX(N:N, 88+$A181-1))</f>
        <v/>
      </c>
      <c r="O189" s="39">
        <f>N189/N187-1</f>
        <v/>
      </c>
      <c r="P189" s="39" t="n"/>
      <c r="Q189" s="317">
        <f>SUM(Q88:INDEX(Q:Q, 88+$A181-1))</f>
        <v/>
      </c>
      <c r="R189" s="39">
        <f>Q189/Q187-1</f>
        <v/>
      </c>
      <c r="S189" s="39" t="n"/>
      <c r="T189" s="317">
        <f>SUM(T88:INDEX(T:T, 88+$A181-1))</f>
        <v/>
      </c>
      <c r="U189" s="39">
        <f>T189/T187-1</f>
        <v/>
      </c>
      <c r="V189" s="39" t="n"/>
      <c r="W189" s="317">
        <f>SUM(W88:INDEX(W:W, 88+$A181-1))</f>
        <v/>
      </c>
      <c r="X189" s="39">
        <f>W189/W187-1</f>
        <v/>
      </c>
      <c r="Y189" s="39" t="n"/>
      <c r="Z189" s="317">
        <f>SUM(Z88:INDEX(Z:Z, 88+$A181-1))</f>
        <v/>
      </c>
      <c r="AA189" s="39">
        <f>Z189/Z187-1</f>
        <v/>
      </c>
      <c r="AB189" s="39" t="n"/>
      <c r="AC189" s="317">
        <f>SUM(AC88:INDEX(AC:AC, 88+$A181-1))</f>
        <v/>
      </c>
      <c r="AD189" s="39">
        <f>AC189/AC187-1</f>
        <v/>
      </c>
      <c r="AE189" s="39" t="n"/>
      <c r="AF189" s="317">
        <f>SUM(AF88:INDEX(AF:AF, 88+$A181-1))</f>
        <v/>
      </c>
      <c r="AG189" s="39">
        <f>AF189/AF187-1</f>
        <v/>
      </c>
      <c r="AH189" s="39" t="n"/>
      <c r="AI189" s="317">
        <f>SUM(AI88:INDEX(AI:AI, 88+$A181-1))</f>
        <v/>
      </c>
      <c r="AJ189" s="39">
        <f>AI189/AI187-1</f>
        <v/>
      </c>
      <c r="AK189" s="39" t="n"/>
      <c r="AL189" s="182">
        <f>AVERAGE(AL88:INDEX(AL:AL, 88+$A181-1))</f>
        <v/>
      </c>
      <c r="AM189" s="179">
        <f>AL189-AL187</f>
        <v/>
      </c>
      <c r="AN189" s="39" t="n"/>
      <c r="AO189" s="182">
        <f>AVERAGE(AO88:INDEX(AO:AO, 88+$A181-1))</f>
        <v/>
      </c>
      <c r="AP189" s="179">
        <f>AO189-AO187</f>
        <v/>
      </c>
      <c r="AQ189" s="39" t="n"/>
      <c r="AR189" s="182">
        <f>AVERAGE(AR88:INDEX(AR:AR, 88+$A181-1))</f>
        <v/>
      </c>
      <c r="AS189" s="179">
        <f>AR189-AR187</f>
        <v/>
      </c>
      <c r="AT189" s="39" t="n"/>
      <c r="AU189" s="182">
        <f>AVERAGE(AU88:INDEX(AU:AU, 88+$A181-1))</f>
        <v/>
      </c>
      <c r="AV189" s="179">
        <f>AU189-AU187</f>
        <v/>
      </c>
      <c r="AW189" s="39" t="n"/>
      <c r="AX189" s="317" t="n"/>
      <c r="AY189" s="142" t="n"/>
      <c r="AZ189" s="39" t="n"/>
      <c r="BA189" s="317" t="n"/>
      <c r="BB189" s="39" t="n"/>
      <c r="BC189" s="317" t="n"/>
      <c r="BD189" s="39" t="n"/>
      <c r="BE189" s="317" t="n"/>
      <c r="BF189" s="39" t="n"/>
      <c r="BG189" s="317" t="n"/>
      <c r="BH189" s="39" t="n"/>
      <c r="BI189" s="317" t="n"/>
      <c r="BJ189" s="39" t="n"/>
      <c r="BK189" s="317" t="n"/>
      <c r="BL189" s="39" t="n"/>
      <c r="BM189" s="317" t="n"/>
      <c r="BN189" s="39" t="n"/>
      <c r="BO189" s="317" t="n"/>
      <c r="BP189" s="354" t="n"/>
      <c r="BQ189" s="39" t="n"/>
      <c r="BR189" s="317" t="n"/>
      <c r="BS189" s="39" t="n"/>
      <c r="BT189" s="317" t="n"/>
      <c r="BU189" s="39" t="n"/>
      <c r="BV189" s="317" t="n"/>
      <c r="BW189" s="39" t="n"/>
      <c r="BX189" s="317" t="n"/>
      <c r="BY189" s="39" t="n"/>
      <c r="BZ189" s="317" t="n"/>
      <c r="CA189" s="39" t="n"/>
      <c r="CB189" s="317" t="n"/>
      <c r="CC189" s="39" t="n"/>
      <c r="CD189" s="317" t="n"/>
      <c r="CE189" s="39" t="n"/>
      <c r="CF189" s="317" t="n"/>
      <c r="CG189" s="39" t="n"/>
      <c r="CH189" s="317" t="n"/>
      <c r="CI189" s="39" t="n"/>
      <c r="CJ189" s="317" t="n"/>
      <c r="CK189" s="39" t="n"/>
      <c r="CL189" s="317" t="n"/>
      <c r="CM189" s="39" t="n"/>
      <c r="CN189" s="317" t="n"/>
      <c r="CO189" s="39" t="n"/>
      <c r="CP189" s="317" t="n"/>
      <c r="CQ189" s="39" t="n"/>
      <c r="CR189" s="317" t="n"/>
      <c r="CS189" s="39" t="n"/>
      <c r="CT189" s="317" t="n"/>
      <c r="CU189" s="39" t="n"/>
      <c r="CV189" s="39" t="n"/>
      <c r="CW189" s="355" t="n"/>
      <c r="CX189" s="39" t="n"/>
      <c r="CY189" s="355" t="n"/>
      <c r="CZ189" s="39" t="n"/>
      <c r="DA189" s="355" t="n"/>
      <c r="DB189" s="39" t="n"/>
      <c r="DC189" s="117" t="n"/>
      <c r="DD189" s="39" t="n"/>
      <c r="DE189" s="356" t="n"/>
      <c r="DF189" s="356" t="n"/>
    </row>
    <row r="190" customFormat="1" s="116">
      <c r="A190" s="351" t="n"/>
      <c r="B190" s="317" t="n"/>
      <c r="C190" s="39" t="n"/>
      <c r="D190" s="39" t="n"/>
      <c r="E190" s="317" t="n"/>
      <c r="F190" s="39" t="n"/>
      <c r="G190" s="39" t="n"/>
      <c r="H190" s="317" t="n"/>
      <c r="I190" s="39" t="n"/>
      <c r="J190" s="39" t="n"/>
      <c r="K190" s="317" t="n"/>
      <c r="L190" s="39" t="n"/>
      <c r="M190" s="39" t="n"/>
      <c r="N190" s="317" t="n"/>
      <c r="O190" s="39" t="n"/>
      <c r="P190" s="39" t="n"/>
      <c r="Q190" s="317" t="n"/>
      <c r="R190" s="39" t="n"/>
      <c r="S190" s="39" t="n"/>
      <c r="T190" s="317" t="n"/>
      <c r="U190" s="39" t="n"/>
      <c r="V190" s="39" t="n"/>
      <c r="W190" s="317" t="n"/>
      <c r="X190" s="39" t="n"/>
      <c r="Y190" s="39" t="n"/>
      <c r="Z190" s="317" t="n"/>
      <c r="AA190" s="39" t="n"/>
      <c r="AB190" s="39" t="n"/>
      <c r="AC190" s="317" t="n"/>
      <c r="AD190" s="39" t="n"/>
      <c r="AE190" s="39" t="n"/>
      <c r="AF190" s="317" t="n"/>
      <c r="AG190" s="39" t="n"/>
      <c r="AH190" s="39" t="n"/>
      <c r="AI190" s="317" t="n"/>
      <c r="AJ190" s="39" t="n"/>
      <c r="AK190" s="39" t="n"/>
      <c r="AL190" s="317" t="n"/>
      <c r="AM190" s="352" t="n"/>
      <c r="AN190" s="39" t="n"/>
      <c r="AO190" s="317" t="n"/>
      <c r="AP190" s="352" t="n"/>
      <c r="AQ190" s="39" t="n"/>
      <c r="AR190" s="317" t="n"/>
      <c r="AS190" s="352" t="n"/>
      <c r="AT190" s="39" t="n"/>
      <c r="AU190" s="317" t="n"/>
      <c r="AV190" s="352" t="n"/>
      <c r="AW190" s="39" t="n"/>
      <c r="AX190" s="317" t="n"/>
      <c r="AY190" s="317" t="n"/>
      <c r="AZ190" s="39" t="n"/>
      <c r="BA190" s="317" t="n"/>
      <c r="BB190" s="39" t="n"/>
      <c r="BC190" s="317" t="n"/>
      <c r="BD190" s="39" t="n"/>
      <c r="BE190" s="317" t="n"/>
      <c r="BF190" s="39" t="n"/>
      <c r="BG190" s="317" t="n"/>
      <c r="BH190" s="39" t="n"/>
      <c r="BI190" s="317" t="n"/>
      <c r="BJ190" s="39" t="n"/>
      <c r="BK190" s="317" t="n"/>
      <c r="BL190" s="39" t="n"/>
      <c r="BM190" s="317" t="n"/>
      <c r="BN190" s="39" t="n"/>
      <c r="BO190" s="317" t="n"/>
      <c r="BP190" s="354" t="n"/>
      <c r="BQ190" s="39" t="n"/>
      <c r="BR190" s="317" t="n"/>
      <c r="BS190" s="39" t="n"/>
      <c r="BT190" s="317" t="n"/>
      <c r="BU190" s="39" t="n"/>
      <c r="BV190" s="317" t="n"/>
      <c r="BW190" s="39" t="n"/>
      <c r="BX190" s="317" t="n"/>
      <c r="BY190" s="39" t="n"/>
      <c r="BZ190" s="317" t="n"/>
      <c r="CA190" s="39" t="n"/>
      <c r="CB190" s="317" t="n"/>
      <c r="CC190" s="39" t="n"/>
      <c r="CD190" s="317" t="n"/>
      <c r="CE190" s="39" t="n"/>
      <c r="CF190" s="317" t="n"/>
      <c r="CG190" s="39" t="n"/>
      <c r="CH190" s="317" t="n"/>
      <c r="CI190" s="39" t="n"/>
      <c r="CJ190" s="317" t="n"/>
      <c r="CK190" s="39" t="n"/>
      <c r="CL190" s="317" t="n"/>
      <c r="CM190" s="39" t="n"/>
      <c r="CN190" s="317" t="n"/>
      <c r="CO190" s="39" t="n"/>
      <c r="CP190" s="317" t="n"/>
      <c r="CQ190" s="39" t="n"/>
      <c r="CR190" s="317" t="n"/>
      <c r="CS190" s="39" t="n"/>
      <c r="CT190" s="317" t="n"/>
      <c r="CU190" s="39" t="n"/>
      <c r="CV190" s="39" t="n"/>
      <c r="CW190" s="355" t="n"/>
      <c r="CX190" s="39" t="n"/>
      <c r="CY190" s="355" t="n"/>
      <c r="CZ190" s="39" t="n"/>
      <c r="DA190" s="355" t="n"/>
      <c r="DB190" s="39" t="n"/>
      <c r="DC190" s="117" t="n"/>
      <c r="DD190" s="39" t="n"/>
      <c r="DE190" s="356" t="n"/>
      <c r="DF190" s="356" t="n"/>
    </row>
    <row r="191" customFormat="1" s="116">
      <c r="A191" s="351" t="inlineStr">
        <is>
          <t>2022年</t>
        </is>
      </c>
      <c r="B191" s="317">
        <f>SUM(B100:INDEX(B:B, 100+$A181-1))</f>
        <v/>
      </c>
      <c r="C191" s="39">
        <f>B191/B189-1</f>
        <v/>
      </c>
      <c r="D191" s="39" t="n"/>
      <c r="E191" s="317">
        <f>SUM(E100:INDEX(E:E, 100+$A181-1))</f>
        <v/>
      </c>
      <c r="F191" s="39">
        <f>E191/E189-1</f>
        <v/>
      </c>
      <c r="G191" s="39" t="n"/>
      <c r="H191" s="317">
        <f>SUM(H100:INDEX(H:H, 100+$A181-1))</f>
        <v/>
      </c>
      <c r="I191" s="39">
        <f>H191/H189-1</f>
        <v/>
      </c>
      <c r="J191" s="39" t="n"/>
      <c r="K191" s="317">
        <f>SUM(K100:INDEX(K:K, 100+$A181-1))</f>
        <v/>
      </c>
      <c r="L191" s="39">
        <f>K191/K189-1</f>
        <v/>
      </c>
      <c r="M191" s="39" t="n"/>
      <c r="N191" s="317">
        <f>SUM(N100:INDEX(N:N, 100+$A181-1))</f>
        <v/>
      </c>
      <c r="O191" s="39">
        <f>N191/N189-1</f>
        <v/>
      </c>
      <c r="P191" s="39" t="n"/>
      <c r="Q191" s="317">
        <f>SUM(Q100:INDEX(Q:Q, 100+$A181-1))</f>
        <v/>
      </c>
      <c r="R191" s="39">
        <f>Q191/Q189-1</f>
        <v/>
      </c>
      <c r="S191" s="39" t="n"/>
      <c r="T191" s="317">
        <f>SUM(T100:INDEX(T:T, 100+$A181-1))</f>
        <v/>
      </c>
      <c r="U191" s="39">
        <f>T191/T189-1</f>
        <v/>
      </c>
      <c r="V191" s="39" t="n"/>
      <c r="W191" s="317">
        <f>SUM(W100:INDEX(W:W, 100+$A181-1))</f>
        <v/>
      </c>
      <c r="X191" s="39">
        <f>W191/W189-1</f>
        <v/>
      </c>
      <c r="Y191" s="39" t="n"/>
      <c r="Z191" s="317">
        <f>SUM(Z100:INDEX(Z:Z, 100+$A181-1))</f>
        <v/>
      </c>
      <c r="AA191" s="39">
        <f>Z191/Z189-1</f>
        <v/>
      </c>
      <c r="AB191" s="39" t="n"/>
      <c r="AC191" s="317">
        <f>SUM(AC100:INDEX(AC:AC, 100+$A181-1))</f>
        <v/>
      </c>
      <c r="AD191" s="39">
        <f>AC191/AC189-1</f>
        <v/>
      </c>
      <c r="AE191" s="39" t="n"/>
      <c r="AF191" s="317">
        <f>SUM(AF100:INDEX(AF:AF, 100+$A181-1))</f>
        <v/>
      </c>
      <c r="AG191" s="39">
        <f>AF191/AF189-1</f>
        <v/>
      </c>
      <c r="AH191" s="39" t="n"/>
      <c r="AI191" s="317">
        <f>SUM(AI100:INDEX(AI:AI, 100+$A181-1))</f>
        <v/>
      </c>
      <c r="AJ191" s="39">
        <f>AI191/AI189-1</f>
        <v/>
      </c>
      <c r="AK191" s="39" t="n"/>
      <c r="AL191" s="182">
        <f>AVERAGE(AL100:INDEX(AL:AL, 100+$A181-1))</f>
        <v/>
      </c>
      <c r="AM191" s="179">
        <f>AL191-AL189</f>
        <v/>
      </c>
      <c r="AN191" s="352" t="n"/>
      <c r="AO191" s="182">
        <f>AVERAGE(AO100:INDEX(AO:AO, 100+$A181-1))</f>
        <v/>
      </c>
      <c r="AP191" s="179">
        <f>AO191-AO189</f>
        <v/>
      </c>
      <c r="AQ191" s="352" t="n"/>
      <c r="AR191" s="182">
        <f>AVERAGE(AR100:INDEX(AR:AR, 100+$A181-1))</f>
        <v/>
      </c>
      <c r="AS191" s="179">
        <f>AR191-AR189</f>
        <v/>
      </c>
      <c r="AT191" s="352" t="n"/>
      <c r="AU191" s="182">
        <f>AVERAGE(AU100:INDEX(AU:AU, 100+$A181-1))</f>
        <v/>
      </c>
      <c r="AV191" s="179">
        <f>AU191-AU189</f>
        <v/>
      </c>
      <c r="AW191" s="352" t="n"/>
      <c r="AX191" s="317" t="n"/>
      <c r="AY191" s="142" t="n"/>
      <c r="AZ191" s="39" t="n"/>
      <c r="BA191" s="317" t="n"/>
      <c r="BB191" s="39" t="n"/>
      <c r="BC191" s="317" t="n"/>
      <c r="BD191" s="39" t="n"/>
      <c r="BE191" s="317" t="n"/>
      <c r="BF191" s="39" t="n"/>
      <c r="BG191" s="317" t="n"/>
      <c r="BH191" s="39" t="n"/>
      <c r="BI191" s="317" t="n"/>
      <c r="BJ191" s="39" t="n"/>
      <c r="BK191" s="317" t="n"/>
      <c r="BL191" s="39" t="n"/>
      <c r="BM191" s="317" t="n"/>
      <c r="BN191" s="39" t="n"/>
      <c r="BO191" s="317" t="n"/>
      <c r="BP191" s="354" t="n"/>
      <c r="BQ191" s="39" t="n"/>
      <c r="BR191" s="317" t="n"/>
      <c r="BS191" s="39" t="n"/>
      <c r="BT191" s="317" t="n"/>
      <c r="BU191" s="39" t="n"/>
      <c r="BV191" s="317" t="n"/>
      <c r="BW191" s="39" t="n"/>
      <c r="BX191" s="317" t="n"/>
      <c r="BY191" s="39" t="n"/>
      <c r="BZ191" s="317" t="n"/>
      <c r="CA191" s="39" t="n"/>
      <c r="CB191" s="317" t="n"/>
      <c r="CC191" s="39" t="n"/>
      <c r="CD191" s="317" t="n"/>
      <c r="CE191" s="39" t="n"/>
      <c r="CF191" s="317" t="n"/>
      <c r="CG191" s="39" t="n"/>
      <c r="CH191" s="317" t="n"/>
      <c r="CI191" s="39" t="n"/>
      <c r="CJ191" s="317" t="n"/>
      <c r="CK191" s="39" t="n"/>
      <c r="CL191" s="317" t="n"/>
      <c r="CM191" s="39" t="n"/>
      <c r="CN191" s="317" t="n"/>
      <c r="CO191" s="39" t="n"/>
      <c r="CP191" s="317" t="n"/>
      <c r="CQ191" s="39" t="n"/>
      <c r="CR191" s="317" t="n"/>
      <c r="CS191" s="39" t="n"/>
      <c r="CT191" s="317" t="n"/>
      <c r="CU191" s="39" t="n"/>
      <c r="CV191" s="39" t="n"/>
      <c r="CW191" s="355" t="n"/>
      <c r="CX191" s="39" t="n"/>
      <c r="CY191" s="355" t="n"/>
      <c r="CZ191" s="39" t="n"/>
      <c r="DA191" s="355" t="n"/>
      <c r="DB191" s="39" t="n"/>
      <c r="DC191" s="117" t="n"/>
      <c r="DD191" s="39" t="n"/>
      <c r="DE191" s="356" t="n"/>
      <c r="DF191" s="356" t="n"/>
    </row>
    <row r="192" customFormat="1" s="116">
      <c r="A192" s="351" t="n"/>
      <c r="B192" s="317" t="n"/>
      <c r="C192" s="39" t="n"/>
      <c r="D192" s="39" t="n"/>
      <c r="E192" s="317" t="n"/>
      <c r="F192" s="39" t="n"/>
      <c r="G192" s="39" t="n"/>
      <c r="H192" s="317" t="n"/>
      <c r="I192" s="39" t="n"/>
      <c r="J192" s="39" t="n"/>
      <c r="K192" s="317" t="n"/>
      <c r="L192" s="39" t="n"/>
      <c r="M192" s="39" t="n"/>
      <c r="N192" s="317" t="n"/>
      <c r="O192" s="39" t="n"/>
      <c r="P192" s="39" t="n"/>
      <c r="Q192" s="317" t="n"/>
      <c r="R192" s="39" t="n"/>
      <c r="S192" s="39" t="n"/>
      <c r="T192" s="317" t="n"/>
      <c r="U192" s="39" t="n"/>
      <c r="V192" s="39" t="n"/>
      <c r="W192" s="317" t="n"/>
      <c r="X192" s="39" t="n"/>
      <c r="Y192" s="39" t="n"/>
      <c r="Z192" s="317" t="n"/>
      <c r="AA192" s="39" t="n"/>
      <c r="AB192" s="39" t="n"/>
      <c r="AC192" s="317" t="n"/>
      <c r="AD192" s="39" t="n"/>
      <c r="AE192" s="39" t="n"/>
      <c r="AF192" s="317" t="n"/>
      <c r="AG192" s="39" t="n"/>
      <c r="AH192" s="39" t="n"/>
      <c r="AI192" s="317" t="n"/>
      <c r="AJ192" s="39" t="n"/>
      <c r="AK192" s="39" t="n"/>
      <c r="AL192" s="317" t="n"/>
      <c r="AM192" s="352" t="n"/>
      <c r="AN192" s="352" t="n"/>
      <c r="AO192" s="317" t="n"/>
      <c r="AP192" s="352" t="n"/>
      <c r="AQ192" s="352" t="n"/>
      <c r="AR192" s="317" t="n"/>
      <c r="AS192" s="352" t="n"/>
      <c r="AT192" s="352" t="n"/>
      <c r="AU192" s="317" t="n"/>
      <c r="AV192" s="352" t="n"/>
      <c r="AW192" s="352" t="n"/>
      <c r="AX192" s="317" t="n"/>
      <c r="AY192" s="317" t="n"/>
      <c r="AZ192" s="39" t="n"/>
      <c r="BA192" s="317" t="n"/>
      <c r="BB192" s="39" t="n"/>
      <c r="BC192" s="317" t="n"/>
      <c r="BD192" s="39" t="n"/>
      <c r="BE192" s="317" t="n"/>
      <c r="BF192" s="39" t="n"/>
      <c r="BG192" s="317" t="n"/>
      <c r="BH192" s="39" t="n"/>
      <c r="BI192" s="317" t="n"/>
      <c r="BJ192" s="39" t="n"/>
      <c r="BK192" s="317" t="n"/>
      <c r="BL192" s="39" t="n"/>
      <c r="BM192" s="317" t="n"/>
      <c r="BN192" s="39" t="n"/>
      <c r="BO192" s="317" t="n"/>
      <c r="BP192" s="354" t="n"/>
      <c r="BQ192" s="39" t="n"/>
      <c r="BR192" s="317" t="n"/>
      <c r="BS192" s="39" t="n"/>
      <c r="BT192" s="317" t="n"/>
      <c r="BU192" s="39" t="n"/>
      <c r="BV192" s="317" t="n"/>
      <c r="BW192" s="39" t="n"/>
      <c r="BX192" s="317" t="n"/>
      <c r="BY192" s="39" t="n"/>
      <c r="BZ192" s="317" t="n"/>
      <c r="CA192" s="39" t="n"/>
      <c r="CB192" s="317" t="n"/>
      <c r="CC192" s="39" t="n"/>
      <c r="CD192" s="317" t="n"/>
      <c r="CE192" s="39" t="n"/>
      <c r="CF192" s="317" t="n"/>
      <c r="CG192" s="39" t="n"/>
      <c r="CH192" s="317" t="n"/>
      <c r="CI192" s="39" t="n"/>
      <c r="CJ192" s="317" t="n"/>
      <c r="CK192" s="39" t="n"/>
      <c r="CL192" s="317" t="n"/>
      <c r="CM192" s="39" t="n"/>
      <c r="CN192" s="317" t="n"/>
      <c r="CO192" s="39" t="n"/>
      <c r="CP192" s="317" t="n"/>
      <c r="CQ192" s="39" t="n"/>
      <c r="CR192" s="317" t="n"/>
      <c r="CS192" s="39" t="n"/>
      <c r="CT192" s="317" t="n"/>
      <c r="CU192" s="39" t="n"/>
      <c r="CV192" s="39" t="n"/>
      <c r="CW192" s="355" t="n"/>
      <c r="CX192" s="39" t="n"/>
      <c r="CY192" s="355" t="n"/>
      <c r="CZ192" s="39" t="n"/>
      <c r="DA192" s="355" t="n"/>
      <c r="DB192" s="39" t="n"/>
      <c r="DC192" s="117" t="n"/>
      <c r="DD192" s="39" t="n"/>
      <c r="DE192" s="356" t="n"/>
      <c r="DF192" s="356" t="n"/>
    </row>
    <row r="193" customFormat="1" s="116">
      <c r="A193" s="351" t="inlineStr">
        <is>
          <t>2023年</t>
        </is>
      </c>
      <c r="B193" s="317">
        <f>SUM(B112:INDEX(B:B, 112+$A181-1))</f>
        <v/>
      </c>
      <c r="C193" s="39">
        <f>B193/B191-1</f>
        <v/>
      </c>
      <c r="D193" s="39">
        <f>B193/B185-1</f>
        <v/>
      </c>
      <c r="E193" s="317">
        <f>SUM(E112:INDEX(E:E, 112+$A181-1))</f>
        <v/>
      </c>
      <c r="F193" s="39">
        <f>E193/E191-1</f>
        <v/>
      </c>
      <c r="G193" s="39">
        <f>E193/E185-1</f>
        <v/>
      </c>
      <c r="H193" s="317">
        <f>SUM(H112:INDEX(H:H, 112+$A181-1))</f>
        <v/>
      </c>
      <c r="I193" s="39">
        <f>H193/H191-1</f>
        <v/>
      </c>
      <c r="J193" s="39">
        <f>H193/H185-1</f>
        <v/>
      </c>
      <c r="K193" s="317">
        <f>SUM(K112:INDEX(K:K, 112+$A181-1))</f>
        <v/>
      </c>
      <c r="L193" s="39">
        <f>K193/K191-1</f>
        <v/>
      </c>
      <c r="M193" s="39">
        <f>K193/K185-1</f>
        <v/>
      </c>
      <c r="N193" s="317">
        <f>SUM(N112:INDEX(N:N, 112+$A181-1))</f>
        <v/>
      </c>
      <c r="O193" s="39">
        <f>N193/N191-1</f>
        <v/>
      </c>
      <c r="P193" s="39">
        <f>N193/N185-1</f>
        <v/>
      </c>
      <c r="Q193" s="317">
        <f>SUM(Q112:INDEX(Q:Q, 112+$A181-1))</f>
        <v/>
      </c>
      <c r="R193" s="39">
        <f>Q193/Q191-1</f>
        <v/>
      </c>
      <c r="S193" s="39">
        <f>Q193/Q185-1</f>
        <v/>
      </c>
      <c r="T193" s="317">
        <f>SUM(T112:INDEX(T:T, 112+$A181-1))</f>
        <v/>
      </c>
      <c r="U193" s="39">
        <f>T193/T191-1</f>
        <v/>
      </c>
      <c r="V193" s="39">
        <f>T193/T185-1</f>
        <v/>
      </c>
      <c r="W193" s="317">
        <f>SUM(W112:INDEX(W:W, 112+$A181-1))</f>
        <v/>
      </c>
      <c r="X193" s="39">
        <f>W193/W191-1</f>
        <v/>
      </c>
      <c r="Y193" s="39">
        <f>W193/W185-1</f>
        <v/>
      </c>
      <c r="Z193" s="317">
        <f>SUM(Z112:INDEX(Z:Z, 112+$A181-1))</f>
        <v/>
      </c>
      <c r="AA193" s="39">
        <f>Z193/Z191-1</f>
        <v/>
      </c>
      <c r="AB193" s="39">
        <f>Z193/Z185-1</f>
        <v/>
      </c>
      <c r="AC193" s="317">
        <f>SUM(AC112:INDEX(AC:AC, 112+$A181-1))</f>
        <v/>
      </c>
      <c r="AD193" s="39">
        <f>AC193/AC191-1</f>
        <v/>
      </c>
      <c r="AE193" s="39">
        <f>AC193/AC185-1</f>
        <v/>
      </c>
      <c r="AF193" s="317">
        <f>SUM(AF112:INDEX(AF:AF, 112+$A181-1))</f>
        <v/>
      </c>
      <c r="AG193" s="39">
        <f>AF193/AF191-1</f>
        <v/>
      </c>
      <c r="AH193" s="39">
        <f>AF193/AF185-1</f>
        <v/>
      </c>
      <c r="AI193" s="317">
        <f>SUM(AI112:INDEX(AI:AI, 112+$A181-1))</f>
        <v/>
      </c>
      <c r="AJ193" s="39">
        <f>AI193/AI191-1</f>
        <v/>
      </c>
      <c r="AK193" s="39">
        <f>AI193/AI185-1</f>
        <v/>
      </c>
      <c r="AL193" s="182">
        <f>AVERAGE(AL112:INDEX(AL:AL, 112+$A181-1))</f>
        <v/>
      </c>
      <c r="AM193" s="179">
        <f>AL193-AL191</f>
        <v/>
      </c>
      <c r="AN193" s="179">
        <f>AL193-AL185</f>
        <v/>
      </c>
      <c r="AO193" s="182">
        <f>AVERAGE(AO112:INDEX(AO:AO, 112+$A181-1))</f>
        <v/>
      </c>
      <c r="AP193" s="179">
        <f>AO193-AO191</f>
        <v/>
      </c>
      <c r="AQ193" s="179">
        <f>AO193-AO185</f>
        <v/>
      </c>
      <c r="AR193" s="182">
        <f>AVERAGE(AR112:INDEX(AR:AR, 112+$A181-1))</f>
        <v/>
      </c>
      <c r="AS193" s="179">
        <f>AR193-AR191</f>
        <v/>
      </c>
      <c r="AT193" s="179">
        <f>AR193-AR185</f>
        <v/>
      </c>
      <c r="AU193" s="182">
        <f>AVERAGE(AU112:INDEX(AU:AU, 112+$A181-1))</f>
        <v/>
      </c>
      <c r="AV193" s="179">
        <f>AU193-AU191</f>
        <v/>
      </c>
      <c r="AW193" s="179">
        <f>AU193-AU185</f>
        <v/>
      </c>
      <c r="AX193" s="317" t="n"/>
      <c r="AY193" s="142" t="n"/>
      <c r="AZ193" s="39" t="n"/>
      <c r="BA193" s="317" t="n"/>
      <c r="BB193" s="39" t="n"/>
      <c r="BC193" s="317" t="n"/>
      <c r="BD193" s="39" t="n"/>
      <c r="BE193" s="317" t="n"/>
      <c r="BF193" s="39" t="n"/>
      <c r="BG193" s="317" t="n"/>
      <c r="BH193" s="39" t="n"/>
      <c r="BI193" s="317" t="n"/>
      <c r="BJ193" s="39" t="n"/>
      <c r="BK193" s="317" t="n"/>
      <c r="BL193" s="39" t="n"/>
      <c r="BM193" s="317" t="n"/>
      <c r="BN193" s="39" t="n"/>
      <c r="BO193" s="317" t="n"/>
      <c r="BP193" s="354" t="n"/>
      <c r="BQ193" s="39" t="n"/>
      <c r="BR193" s="317" t="n"/>
      <c r="BS193" s="39" t="n"/>
      <c r="BT193" s="317" t="n"/>
      <c r="BU193" s="39" t="n"/>
      <c r="BV193" s="317" t="n"/>
      <c r="BW193" s="39" t="n"/>
      <c r="BX193" s="317" t="n"/>
      <c r="BY193" s="39" t="n"/>
      <c r="BZ193" s="317" t="n"/>
      <c r="CA193" s="39" t="n"/>
      <c r="CB193" s="317" t="n"/>
      <c r="CC193" s="39" t="n"/>
      <c r="CD193" s="317" t="n"/>
      <c r="CE193" s="39" t="n"/>
      <c r="CF193" s="317" t="n"/>
      <c r="CG193" s="39" t="n"/>
      <c r="CH193" s="317" t="n"/>
      <c r="CI193" s="39" t="n"/>
      <c r="CJ193" s="317" t="n"/>
      <c r="CK193" s="39" t="n"/>
      <c r="CL193" s="317" t="n"/>
      <c r="CM193" s="39" t="n"/>
      <c r="CN193" s="317" t="n"/>
      <c r="CO193" s="39" t="n"/>
      <c r="CP193" s="317" t="n"/>
      <c r="CQ193" s="39" t="n"/>
      <c r="CR193" s="317" t="n"/>
      <c r="CS193" s="39" t="n"/>
      <c r="CT193" s="317" t="n"/>
      <c r="CU193" s="39" t="n"/>
      <c r="CV193" s="39" t="n"/>
      <c r="CW193" s="355" t="n"/>
      <c r="CX193" s="39" t="n"/>
      <c r="CY193" s="355" t="n"/>
      <c r="CZ193" s="39" t="n"/>
      <c r="DA193" s="355" t="n"/>
      <c r="DB193" s="39" t="n"/>
      <c r="DC193" s="117" t="n"/>
      <c r="DD193" s="39" t="n"/>
      <c r="DE193" s="356" t="n"/>
      <c r="DF193" s="356" t="n"/>
    </row>
    <row r="194" ht="13" customFormat="1" customHeight="1" s="116">
      <c r="A194" s="342" t="n"/>
      <c r="B194" s="317" t="n"/>
      <c r="C194" s="39" t="n"/>
      <c r="D194" s="39" t="n"/>
      <c r="E194" s="317" t="n"/>
      <c r="F194" s="39" t="n"/>
      <c r="G194" s="39" t="n"/>
      <c r="H194" s="317" t="n"/>
      <c r="I194" s="39" t="n"/>
      <c r="J194" s="39" t="n"/>
      <c r="K194" s="317" t="n"/>
      <c r="L194" s="39" t="n"/>
      <c r="M194" s="39" t="n"/>
      <c r="N194" s="317" t="n"/>
      <c r="O194" s="39" t="n"/>
      <c r="P194" s="39" t="n"/>
      <c r="Q194" s="317" t="n"/>
      <c r="R194" s="39" t="n"/>
      <c r="S194" s="39" t="n"/>
      <c r="T194" s="317" t="n"/>
      <c r="U194" s="39" t="n"/>
      <c r="V194" s="39" t="n"/>
      <c r="W194" s="317" t="n"/>
      <c r="X194" s="39" t="n"/>
      <c r="Y194" s="39" t="n"/>
      <c r="Z194" s="317" t="n"/>
      <c r="AA194" s="142" t="n"/>
      <c r="AB194" s="142" t="n"/>
      <c r="AC194" s="317" t="n"/>
      <c r="AD194" s="142" t="n"/>
      <c r="AE194" s="142" t="n"/>
      <c r="AF194" s="317" t="n"/>
      <c r="AG194" s="142" t="n"/>
      <c r="AH194" s="142" t="n"/>
      <c r="AI194" s="317" t="n"/>
      <c r="AJ194" s="142" t="n"/>
      <c r="AK194" s="142" t="n"/>
      <c r="AL194" s="317" t="n"/>
      <c r="AM194" s="317" t="n"/>
      <c r="AN194" s="317" t="n"/>
      <c r="AO194" s="317" t="n"/>
      <c r="AP194" s="317" t="n"/>
      <c r="AQ194" s="317" t="n"/>
      <c r="AR194" s="317" t="n"/>
      <c r="AS194" s="317" t="n"/>
      <c r="AT194" s="317" t="n"/>
      <c r="AU194" s="317" t="n"/>
      <c r="AV194" s="317" t="n"/>
      <c r="AW194" s="317" t="n"/>
      <c r="AX194" s="317" t="n"/>
      <c r="AY194" s="317" t="n"/>
      <c r="AZ194" s="39" t="n"/>
      <c r="BA194" s="317" t="n"/>
      <c r="BB194" s="39" t="n"/>
      <c r="BC194" s="317" t="n"/>
      <c r="BD194" s="39" t="n"/>
      <c r="BE194" s="317" t="n"/>
      <c r="BF194" s="39" t="n"/>
      <c r="BG194" s="317" t="n"/>
      <c r="BH194" s="39" t="n"/>
      <c r="BI194" s="317" t="n"/>
      <c r="BJ194" s="39" t="n"/>
      <c r="BK194" s="317" t="n"/>
      <c r="BL194" s="39" t="n"/>
      <c r="BM194" s="317" t="n"/>
      <c r="BN194" s="39" t="n"/>
      <c r="BO194" s="317" t="n"/>
      <c r="BP194" s="317" t="n"/>
      <c r="BQ194" s="39" t="n"/>
      <c r="BR194" s="317" t="n"/>
      <c r="BS194" s="39" t="n"/>
      <c r="BT194" s="317" t="n"/>
      <c r="BU194" s="39" t="n"/>
      <c r="BV194" s="317" t="n"/>
      <c r="BW194" s="39" t="n"/>
      <c r="BX194" s="317" t="n"/>
      <c r="BY194" s="39" t="n"/>
      <c r="BZ194" s="317" t="n"/>
      <c r="CA194" s="39" t="n"/>
      <c r="CB194" s="317" t="n"/>
      <c r="CC194" s="39" t="n"/>
      <c r="CD194" s="317" t="n"/>
      <c r="CE194" s="39" t="n"/>
      <c r="CF194" s="317" t="n"/>
      <c r="CG194" s="317" t="n"/>
      <c r="CH194" s="317" t="n"/>
      <c r="CI194" s="317" t="n"/>
      <c r="CJ194" s="317" t="n"/>
      <c r="CK194" s="317" t="n"/>
      <c r="CL194" s="317" t="n"/>
      <c r="CM194" s="317" t="n"/>
      <c r="CN194" s="317" t="n"/>
      <c r="CO194" s="317" t="n"/>
      <c r="CP194" s="343" t="n"/>
      <c r="CQ194" s="317" t="n"/>
      <c r="CR194" s="343" t="n"/>
      <c r="CS194" s="317" t="n"/>
      <c r="CT194" s="343" t="n"/>
      <c r="CU194" s="317" t="n"/>
      <c r="CV194" s="343" t="n"/>
      <c r="CW194" s="317" t="n"/>
      <c r="CX194" s="39" t="n"/>
      <c r="CY194" s="317" t="n"/>
      <c r="CZ194" s="39" t="n"/>
      <c r="DA194" s="317" t="n"/>
      <c r="DB194" s="39" t="n"/>
      <c r="DC194" s="317" t="n"/>
      <c r="DD194" s="39" t="n"/>
      <c r="DE194" s="319" t="n"/>
      <c r="DF194" s="319" t="n"/>
    </row>
    <row r="195" ht="13" customFormat="1" customHeight="1" s="116">
      <c r="A195" s="415" t="inlineStr">
        <is>
          <t>2024年</t>
        </is>
      </c>
      <c r="B195" s="317">
        <f>SUM(B124:INDEX(B:B, 124+$A181-1))</f>
        <v/>
      </c>
      <c r="C195" s="142">
        <f>B195/B193-1</f>
        <v/>
      </c>
      <c r="D195" s="142">
        <f>B195/B185-1</f>
        <v/>
      </c>
      <c r="E195" s="317">
        <f>SUM(E124:INDEX(E:E, 124+$A181-1))</f>
        <v/>
      </c>
      <c r="F195" s="142">
        <f>E195/E193-1</f>
        <v/>
      </c>
      <c r="G195" s="142">
        <f>E195/E185-1</f>
        <v/>
      </c>
      <c r="H195" s="317">
        <f>SUM(H124:INDEX(H:H, 124+$A181-1))</f>
        <v/>
      </c>
      <c r="I195" s="142">
        <f>H195/H193-1</f>
        <v/>
      </c>
      <c r="J195" s="142">
        <f>H195/H185-1</f>
        <v/>
      </c>
      <c r="K195" s="317">
        <f>SUM(K124:INDEX(K:K, 124+$A181-1))</f>
        <v/>
      </c>
      <c r="L195" s="142">
        <f>K195/K193-1</f>
        <v/>
      </c>
      <c r="M195" s="142">
        <f>K195/K185-1</f>
        <v/>
      </c>
      <c r="N195" s="317">
        <f>SUM(N124:INDEX(N:N, 124+$A181-1))</f>
        <v/>
      </c>
      <c r="O195" s="142">
        <f>N195/N193-1</f>
        <v/>
      </c>
      <c r="P195" s="142">
        <f>N195/N185-1</f>
        <v/>
      </c>
      <c r="Q195" s="317">
        <f>SUM(Q124:INDEX(Q:Q, 124+$A181-1))</f>
        <v/>
      </c>
      <c r="R195" s="142">
        <f>Q195/Q193-1</f>
        <v/>
      </c>
      <c r="S195" s="142">
        <f>Q195/Q185-1</f>
        <v/>
      </c>
      <c r="T195" s="317">
        <f>SUM(T124:INDEX(T:T, 124+$A181-1))</f>
        <v/>
      </c>
      <c r="U195" s="142">
        <f>T195/T193-1</f>
        <v/>
      </c>
      <c r="V195" s="142">
        <f>T195/T185-1</f>
        <v/>
      </c>
      <c r="W195" s="317">
        <f>SUM(W124:INDEX(W:W, 124+$A181-1))</f>
        <v/>
      </c>
      <c r="X195" s="142">
        <f>W195/W193-1</f>
        <v/>
      </c>
      <c r="Y195" s="142">
        <f>W195/W185-1</f>
        <v/>
      </c>
      <c r="Z195" s="317">
        <f>SUM(Z124:INDEX(Z:Z, 124+$A181-1))</f>
        <v/>
      </c>
      <c r="AA195" s="142">
        <f>Z195/Z193-1</f>
        <v/>
      </c>
      <c r="AB195" s="142">
        <f>Z195/Z185-1</f>
        <v/>
      </c>
      <c r="AC195" s="317">
        <f>SUM(AC124:INDEX(AC:AC, 124+$A181-1))</f>
        <v/>
      </c>
      <c r="AD195" s="142">
        <f>AC195/AC193-1</f>
        <v/>
      </c>
      <c r="AE195" s="142">
        <f>AC195/AC185-1</f>
        <v/>
      </c>
      <c r="AF195" s="317">
        <f>SUM(AF124:INDEX(AF:AF, 124+$A181-1))</f>
        <v/>
      </c>
      <c r="AG195" s="142">
        <f>AF195/AF193-1</f>
        <v/>
      </c>
      <c r="AH195" s="142">
        <f>AF195/AF185-1</f>
        <v/>
      </c>
      <c r="AI195" s="317">
        <f>SUM(AI124:INDEX(AI:AI, 124+$A181-1))</f>
        <v/>
      </c>
      <c r="AJ195" s="142">
        <f>AI195/AI193-1</f>
        <v/>
      </c>
      <c r="AK195" s="142">
        <f>AI195/AI185-1</f>
        <v/>
      </c>
      <c r="AL195" s="182">
        <f>AVERAGE(AL124:INDEX(AL:AL, 124+$A181-1))</f>
        <v/>
      </c>
      <c r="AM195" s="182">
        <f>AL195-AL193</f>
        <v/>
      </c>
      <c r="AN195" s="182">
        <f>AL195-AL185</f>
        <v/>
      </c>
      <c r="AO195" s="182">
        <f>AVERAGE(AO124:INDEX(AO:AO, 124+$A181-1))</f>
        <v/>
      </c>
      <c r="AP195" s="182">
        <f>AO195-AO193</f>
        <v/>
      </c>
      <c r="AQ195" s="182">
        <f>AO195-AO185</f>
        <v/>
      </c>
      <c r="AR195" s="182">
        <f>AVERAGE(AR124:INDEX(AR:AR, 124+$A181-1))</f>
        <v/>
      </c>
      <c r="AS195" s="182">
        <f>AR195-AR193</f>
        <v/>
      </c>
      <c r="AT195" s="182">
        <f>AR195-AR185</f>
        <v/>
      </c>
      <c r="AU195" s="182">
        <f>AVERAGE(AU124:INDEX(AU:AU, 124+$A181-1))</f>
        <v/>
      </c>
      <c r="AV195" s="182">
        <f>AU195-AU193</f>
        <v/>
      </c>
      <c r="AW195" s="182">
        <f>AU195-AU185</f>
        <v/>
      </c>
      <c r="AX195" s="317" t="n"/>
      <c r="AY195" s="142" t="n"/>
      <c r="AZ195" s="142" t="n"/>
      <c r="BA195" s="317" t="n"/>
      <c r="BB195" s="317" t="n"/>
      <c r="BC195" s="317" t="n"/>
      <c r="BD195" s="317" t="n"/>
      <c r="BE195" s="317" t="n"/>
      <c r="BF195" s="317" t="n"/>
      <c r="BG195" s="317" t="n"/>
      <c r="BH195" s="317" t="n"/>
      <c r="BI195" s="317" t="n"/>
      <c r="BJ195" s="317" t="n"/>
      <c r="BK195" s="317" t="n"/>
      <c r="BL195" s="317" t="n"/>
      <c r="BM195" s="317" t="n"/>
      <c r="BN195" s="317" t="n"/>
      <c r="BO195" s="317" t="n"/>
      <c r="BP195" s="317" t="n"/>
      <c r="BQ195" s="317" t="n"/>
      <c r="BR195" s="317" t="n"/>
      <c r="BS195" s="317" t="n"/>
      <c r="BT195" s="317" t="n"/>
      <c r="BU195" s="317" t="n"/>
      <c r="BV195" s="317" t="n"/>
      <c r="BW195" s="317" t="n"/>
      <c r="BX195" s="317" t="n"/>
      <c r="BY195" s="317" t="n"/>
      <c r="BZ195" s="317" t="n"/>
      <c r="CA195" s="317" t="n"/>
      <c r="CB195" s="317" t="n"/>
      <c r="CC195" s="317" t="n"/>
      <c r="CD195" s="317" t="n"/>
      <c r="CE195" s="317" t="n"/>
      <c r="CF195" s="317" t="n"/>
      <c r="CG195" s="317" t="n"/>
      <c r="CH195" s="317" t="n"/>
      <c r="CI195" s="317" t="n"/>
      <c r="CJ195" s="317" t="n"/>
      <c r="CK195" s="317" t="n"/>
      <c r="CL195" s="317" t="n"/>
      <c r="CM195" s="317" t="n"/>
      <c r="CN195" s="317" t="n"/>
      <c r="CO195" s="317" t="n"/>
      <c r="CP195" s="343" t="n"/>
      <c r="CQ195" s="317" t="n"/>
      <c r="CR195" s="343" t="n"/>
      <c r="CS195" s="317" t="n"/>
      <c r="CT195" s="343" t="n"/>
      <c r="CU195" s="317" t="n"/>
      <c r="CV195" s="343" t="n"/>
      <c r="CW195" s="317" t="n"/>
      <c r="CX195" s="317" t="n"/>
      <c r="CY195" s="317" t="n"/>
      <c r="CZ195" s="317" t="n"/>
      <c r="DA195" s="317" t="n"/>
      <c r="DB195" s="317" t="n"/>
      <c r="DC195" s="317" t="n"/>
      <c r="DD195" s="317" t="n"/>
      <c r="DE195" s="319" t="n"/>
      <c r="DF195" s="319" t="n"/>
    </row>
    <row r="196" ht="13" customFormat="1" customHeight="1" s="116">
      <c r="A196" s="342" t="n"/>
      <c r="B196" s="317" t="n"/>
      <c r="C196" s="142" t="n"/>
      <c r="D196" s="142" t="n"/>
      <c r="E196" s="317" t="n"/>
      <c r="F196" s="142" t="n"/>
      <c r="G196" s="142" t="n"/>
      <c r="H196" s="317" t="n"/>
      <c r="I196" s="142" t="n"/>
      <c r="J196" s="142" t="n"/>
      <c r="K196" s="317" t="n"/>
      <c r="L196" s="142" t="n"/>
      <c r="M196" s="142" t="n"/>
      <c r="N196" s="317" t="n"/>
      <c r="O196" s="142" t="n"/>
      <c r="P196" s="142" t="n"/>
      <c r="Q196" s="317" t="n"/>
      <c r="R196" s="142" t="n"/>
      <c r="S196" s="142" t="n"/>
      <c r="T196" s="317" t="n"/>
      <c r="U196" s="142" t="n"/>
      <c r="V196" s="142" t="n"/>
      <c r="W196" s="317" t="n"/>
      <c r="X196" s="142" t="n"/>
      <c r="Y196" s="142" t="n"/>
      <c r="Z196" s="317" t="n"/>
      <c r="AA196" s="142" t="n"/>
      <c r="AB196" s="142" t="n"/>
      <c r="AC196" s="317" t="n"/>
      <c r="AD196" s="142" t="n"/>
      <c r="AE196" s="142" t="n"/>
      <c r="AF196" s="317" t="n"/>
      <c r="AG196" s="142" t="n"/>
      <c r="AH196" s="142" t="n"/>
      <c r="AI196" s="317" t="n"/>
      <c r="AJ196" s="142" t="n"/>
      <c r="AK196" s="142" t="n"/>
      <c r="AL196" s="317" t="n"/>
      <c r="AM196" s="317" t="n"/>
      <c r="AN196" s="317" t="n"/>
      <c r="AO196" s="317" t="n"/>
      <c r="AP196" s="317" t="n"/>
      <c r="AQ196" s="317" t="n"/>
      <c r="AR196" s="317" t="n"/>
      <c r="AS196" s="317" t="n"/>
      <c r="AT196" s="317" t="n"/>
      <c r="AU196" s="317" t="n"/>
      <c r="AV196" s="317" t="n"/>
      <c r="AW196" s="317" t="n"/>
      <c r="AX196" s="268" t="n"/>
      <c r="AY196" s="317" t="n"/>
      <c r="AZ196" s="317" t="n"/>
      <c r="BA196" s="317" t="n"/>
      <c r="BB196" s="317" t="n"/>
      <c r="BC196" s="317" t="n"/>
      <c r="BD196" s="317" t="n"/>
      <c r="BE196" s="317" t="n"/>
      <c r="BF196" s="317" t="n"/>
      <c r="BG196" s="317" t="n"/>
      <c r="BH196" s="317" t="n"/>
      <c r="BI196" s="317" t="n"/>
      <c r="BJ196" s="317" t="n"/>
      <c r="BK196" s="317" t="n"/>
      <c r="BL196" s="317" t="n"/>
      <c r="BM196" s="317" t="n"/>
      <c r="BN196" s="317" t="n"/>
      <c r="BO196" s="317" t="n"/>
      <c r="BP196" s="317" t="n"/>
      <c r="BQ196" s="317" t="n"/>
      <c r="BR196" s="317" t="n"/>
      <c r="BS196" s="317" t="n"/>
      <c r="BT196" s="317" t="n"/>
      <c r="BU196" s="317" t="n"/>
      <c r="BV196" s="317" t="n"/>
      <c r="BW196" s="317" t="n"/>
      <c r="BX196" s="317" t="n"/>
      <c r="BY196" s="317" t="n"/>
      <c r="BZ196" s="317" t="n"/>
      <c r="CA196" s="317" t="n"/>
      <c r="CB196" s="317" t="n"/>
      <c r="CC196" s="317" t="n"/>
      <c r="CD196" s="317" t="n"/>
      <c r="CE196" s="317" t="n"/>
      <c r="CF196" s="317" t="n"/>
      <c r="CG196" s="317" t="n"/>
      <c r="CH196" s="317" t="n"/>
      <c r="CI196" s="317" t="n"/>
      <c r="CJ196" s="317" t="n"/>
      <c r="CK196" s="317" t="n"/>
      <c r="CL196" s="317" t="n"/>
      <c r="CM196" s="317" t="n"/>
      <c r="CN196" s="317" t="n"/>
      <c r="CO196" s="317" t="n"/>
      <c r="CP196" s="343" t="n"/>
      <c r="CQ196" s="317" t="n"/>
      <c r="CR196" s="343" t="n"/>
      <c r="CS196" s="317" t="n"/>
      <c r="CT196" s="343" t="n"/>
      <c r="CU196" s="317" t="n"/>
      <c r="CV196" s="343" t="n"/>
      <c r="CW196" s="317" t="n"/>
      <c r="CX196" s="317" t="n"/>
      <c r="CY196" s="317" t="n"/>
      <c r="CZ196" s="317" t="n"/>
      <c r="DA196" s="317" t="n"/>
      <c r="DB196" s="317" t="n"/>
      <c r="DC196" s="317" t="n"/>
      <c r="DD196" s="317" t="n"/>
      <c r="DE196" s="319" t="n"/>
      <c r="DF196" s="319" t="n"/>
    </row>
    <row r="197" ht="13" customFormat="1" customHeight="1" s="116">
      <c r="A197" s="342" t="inlineStr">
        <is>
          <t>2025年</t>
        </is>
      </c>
      <c r="B197" s="317">
        <f>SUM(B136:INDEX(B:B, 136+$A181-1))</f>
        <v/>
      </c>
      <c r="C197" s="142">
        <f>B197/B195-1</f>
        <v/>
      </c>
      <c r="D197" s="142">
        <f>B197/B185-1</f>
        <v/>
      </c>
      <c r="E197" s="317">
        <f>SUM(E136:INDEX(E:E, 136+$A181-1))</f>
        <v/>
      </c>
      <c r="F197" s="142">
        <f>E197/E195-1</f>
        <v/>
      </c>
      <c r="G197" s="142">
        <f>E197/E185-1</f>
        <v/>
      </c>
      <c r="H197" s="317">
        <f>SUM(H136:INDEX(H:H, 136+$A181-1))</f>
        <v/>
      </c>
      <c r="I197" s="142">
        <f>H197/H195-1</f>
        <v/>
      </c>
      <c r="J197" s="142">
        <f>H197/H185-1</f>
        <v/>
      </c>
      <c r="K197" s="317">
        <f>SUM(K136:INDEX(K:K, 136+$A181-1))</f>
        <v/>
      </c>
      <c r="L197" s="142">
        <f>K197/K195-1</f>
        <v/>
      </c>
      <c r="M197" s="142">
        <f>K197/K185-1</f>
        <v/>
      </c>
      <c r="N197" s="317">
        <f>SUM(N136:INDEX(N:N, 136+$A181-1))</f>
        <v/>
      </c>
      <c r="O197" s="142">
        <f>N197/N195-1</f>
        <v/>
      </c>
      <c r="P197" s="142">
        <f>N197/N185-1</f>
        <v/>
      </c>
      <c r="Q197" s="317">
        <f>SUM(Q136:INDEX(Q:Q, 136+$A181-1))</f>
        <v/>
      </c>
      <c r="R197" s="142">
        <f>Q197/Q195-1</f>
        <v/>
      </c>
      <c r="S197" s="142">
        <f>Q197/Q185-1</f>
        <v/>
      </c>
      <c r="T197" s="317">
        <f>SUM(T136:INDEX(T:T, 136+$A181-1))</f>
        <v/>
      </c>
      <c r="U197" s="142">
        <f>T197/T195-1</f>
        <v/>
      </c>
      <c r="V197" s="142">
        <f>T197/T185-1</f>
        <v/>
      </c>
      <c r="W197" s="317">
        <f>SUM(W136:INDEX(W:W, 136+$A181-1))</f>
        <v/>
      </c>
      <c r="X197" s="142">
        <f>W197/W195-1</f>
        <v/>
      </c>
      <c r="Y197" s="142">
        <f>W197/W185-1</f>
        <v/>
      </c>
      <c r="Z197" s="317">
        <f>SUM(Z136:INDEX(Z:Z, 136+$A181-1))</f>
        <v/>
      </c>
      <c r="AA197" s="142">
        <f>Z197/Z195-1</f>
        <v/>
      </c>
      <c r="AB197" s="142">
        <f>Z197/Z185-1</f>
        <v/>
      </c>
      <c r="AC197" s="317">
        <f>SUM(AC136:INDEX(AC:AC, 136+$A181-1))</f>
        <v/>
      </c>
      <c r="AD197" s="142">
        <f>AC197/AC195-1</f>
        <v/>
      </c>
      <c r="AE197" s="142">
        <f>AC197/AC185-1</f>
        <v/>
      </c>
      <c r="AF197" s="317">
        <f>SUM(AF136:INDEX(AF:AF, 136+$A181-1))</f>
        <v/>
      </c>
      <c r="AG197" s="142">
        <f>AF197/AF195-1</f>
        <v/>
      </c>
      <c r="AH197" s="142">
        <f>AF197/AF185-1</f>
        <v/>
      </c>
      <c r="AI197" s="317">
        <f>SUM(AI136:INDEX(AI:AI, 136+$A181-1))</f>
        <v/>
      </c>
      <c r="AJ197" s="142">
        <f>AI197/AI195-1</f>
        <v/>
      </c>
      <c r="AK197" s="142">
        <f>AI197/AI185-1</f>
        <v/>
      </c>
      <c r="AL197" s="182">
        <f>AVERAGE(AL136:INDEX(AL:AL, 136+$A181-1))</f>
        <v/>
      </c>
      <c r="AM197" s="182">
        <f>AL197-AL195</f>
        <v/>
      </c>
      <c r="AN197" s="182">
        <f>AL197-AL185</f>
        <v/>
      </c>
      <c r="AO197" s="182">
        <f>AVERAGE(AO136:INDEX(AO:AO, 136+$A181-1))</f>
        <v/>
      </c>
      <c r="AP197" s="182">
        <f>AO197-AO195</f>
        <v/>
      </c>
      <c r="AQ197" s="182">
        <f>AO197-AO185</f>
        <v/>
      </c>
      <c r="AR197" s="182">
        <f>AVERAGE(AR136:INDEX(AR:AR, 136+$A181-1))</f>
        <v/>
      </c>
      <c r="AS197" s="182">
        <f>AR197-AR195</f>
        <v/>
      </c>
      <c r="AT197" s="182">
        <f>AR197-AR185</f>
        <v/>
      </c>
      <c r="AU197" s="182">
        <f>AVERAGE(AU136:INDEX(AU:AU, 136+$A181-1))</f>
        <v/>
      </c>
      <c r="AV197" s="179">
        <f>AU197-AU195</f>
        <v/>
      </c>
      <c r="AW197" s="179">
        <f>AU197-AU185</f>
        <v/>
      </c>
      <c r="AX197" s="317" t="n"/>
      <c r="AY197" s="142" t="n"/>
      <c r="AZ197" s="142" t="n"/>
      <c r="BA197" s="317" t="n"/>
      <c r="BB197" s="317" t="n"/>
      <c r="BC197" s="317" t="n"/>
      <c r="BD197" s="317" t="n"/>
      <c r="BE197" s="317" t="n"/>
      <c r="BF197" s="317" t="n"/>
      <c r="BG197" s="317" t="n"/>
      <c r="BH197" s="317" t="n"/>
      <c r="BI197" s="317" t="n"/>
      <c r="BJ197" s="317" t="n"/>
      <c r="BK197" s="317" t="n"/>
      <c r="BL197" s="317" t="n"/>
      <c r="BM197" s="317" t="n"/>
      <c r="BN197" s="317" t="n"/>
      <c r="BO197" s="317" t="n"/>
      <c r="BP197" s="317" t="n"/>
      <c r="BQ197" s="317" t="n"/>
      <c r="BR197" s="317" t="n"/>
      <c r="BS197" s="317" t="n"/>
      <c r="BT197" s="317" t="n"/>
      <c r="BU197" s="317" t="n"/>
      <c r="BV197" s="317" t="n"/>
      <c r="BW197" s="317" t="n"/>
      <c r="BX197" s="317" t="n"/>
      <c r="BY197" s="317" t="n"/>
      <c r="BZ197" s="317" t="n"/>
      <c r="CA197" s="317" t="n"/>
      <c r="CB197" s="317" t="n"/>
      <c r="CC197" s="317" t="n"/>
      <c r="CD197" s="317" t="n"/>
      <c r="CE197" s="317" t="n"/>
      <c r="CF197" s="317" t="n"/>
      <c r="CG197" s="317" t="n"/>
      <c r="CH197" s="317" t="n"/>
      <c r="CI197" s="317" t="n"/>
      <c r="CJ197" s="317" t="n"/>
      <c r="CK197" s="317" t="n"/>
      <c r="CL197" s="317" t="n"/>
      <c r="CM197" s="317" t="n"/>
      <c r="CN197" s="317" t="n"/>
      <c r="CO197" s="317" t="n"/>
      <c r="CP197" s="317" t="n"/>
      <c r="CQ197" s="317" t="n"/>
      <c r="CR197" s="317" t="n"/>
      <c r="CS197" s="317" t="n"/>
      <c r="CT197" s="317" t="n"/>
      <c r="CU197" s="317" t="n"/>
      <c r="CV197" s="343" t="n"/>
      <c r="CW197" s="317" t="n"/>
      <c r="CX197" s="317" t="n"/>
      <c r="CY197" s="317" t="n"/>
      <c r="CZ197" s="317" t="n"/>
      <c r="DA197" s="317" t="n"/>
      <c r="DB197" s="317" t="n"/>
      <c r="DC197" s="317" t="n"/>
      <c r="DD197" s="317" t="n"/>
      <c r="DE197" s="319" t="n"/>
      <c r="DF197" s="319" t="n"/>
    </row>
    <row r="198" ht="13" customFormat="1" customHeight="1" s="116">
      <c r="A198" s="342" t="n"/>
      <c r="B198" s="317" t="n"/>
      <c r="C198" s="142" t="n"/>
      <c r="D198" s="142" t="n"/>
      <c r="E198" s="317" t="n"/>
      <c r="F198" s="142" t="n"/>
      <c r="G198" s="142" t="n"/>
      <c r="H198" s="317" t="n"/>
      <c r="I198" s="142" t="n"/>
      <c r="J198" s="142" t="n"/>
      <c r="K198" s="317" t="n"/>
      <c r="L198" s="142" t="n"/>
      <c r="M198" s="142" t="n"/>
      <c r="N198" s="317" t="n"/>
      <c r="O198" s="142" t="n"/>
      <c r="P198" s="142" t="n"/>
      <c r="Q198" s="317" t="n"/>
      <c r="R198" s="142" t="n"/>
      <c r="S198" s="142" t="n"/>
      <c r="T198" s="317" t="n"/>
      <c r="U198" s="142" t="n"/>
      <c r="V198" s="142" t="n"/>
      <c r="W198" s="317" t="n"/>
      <c r="X198" s="142" t="n"/>
      <c r="Y198" s="142" t="n"/>
      <c r="Z198" s="317" t="n"/>
      <c r="AA198" s="142" t="n"/>
      <c r="AB198" s="142" t="n"/>
      <c r="AC198" s="317" t="n"/>
      <c r="AD198" s="142" t="n"/>
      <c r="AE198" s="142" t="n"/>
      <c r="AF198" s="317" t="n"/>
      <c r="AG198" s="142" t="n"/>
      <c r="AH198" s="142" t="n"/>
      <c r="AI198" s="317" t="n"/>
      <c r="AJ198" s="142" t="n"/>
      <c r="AK198" s="142" t="n"/>
      <c r="AL198" s="317" t="n"/>
      <c r="AM198" s="317" t="n"/>
      <c r="AN198" s="317" t="n"/>
      <c r="AO198" s="317" t="n"/>
      <c r="AP198" s="317" t="n"/>
      <c r="AQ198" s="317" t="n"/>
      <c r="AR198" s="317" t="n"/>
      <c r="AS198" s="317" t="n"/>
      <c r="AT198" s="317" t="n"/>
      <c r="AU198" s="317" t="n"/>
      <c r="AV198" s="317" t="n"/>
      <c r="AW198" s="317" t="n"/>
      <c r="AX198" s="317" t="n"/>
      <c r="AY198" s="317" t="n"/>
      <c r="AZ198" s="317" t="n"/>
      <c r="BA198" s="317" t="n"/>
      <c r="BB198" s="317" t="n"/>
      <c r="BC198" s="317" t="n"/>
      <c r="BD198" s="317" t="n"/>
      <c r="BE198" s="317" t="n"/>
      <c r="BF198" s="317" t="n"/>
      <c r="BG198" s="317" t="n"/>
      <c r="BH198" s="317" t="n"/>
      <c r="BI198" s="317" t="n"/>
      <c r="BJ198" s="317" t="n"/>
      <c r="BK198" s="317" t="n"/>
      <c r="BL198" s="317" t="n"/>
      <c r="BM198" s="317" t="n"/>
      <c r="BN198" s="317" t="n"/>
      <c r="BO198" s="317" t="n"/>
      <c r="BP198" s="317" t="n"/>
      <c r="BQ198" s="317" t="n"/>
      <c r="BR198" s="317" t="n"/>
      <c r="BS198" s="317" t="n"/>
      <c r="BT198" s="317" t="n"/>
      <c r="BU198" s="317" t="n"/>
      <c r="BV198" s="317" t="n"/>
      <c r="BW198" s="317" t="n"/>
      <c r="BX198" s="317" t="n"/>
      <c r="BY198" s="317" t="n"/>
      <c r="BZ198" s="317" t="n"/>
      <c r="CA198" s="317" t="n"/>
      <c r="CB198" s="317" t="n"/>
      <c r="CC198" s="317" t="n"/>
      <c r="CD198" s="317" t="n"/>
      <c r="CE198" s="317" t="n"/>
      <c r="CF198" s="317" t="n"/>
      <c r="CG198" s="317" t="n"/>
      <c r="CH198" s="317" t="n"/>
      <c r="CI198" s="317" t="n"/>
      <c r="CJ198" s="317" t="n"/>
      <c r="CK198" s="317" t="n"/>
      <c r="CL198" s="317" t="n"/>
      <c r="CM198" s="317" t="n"/>
      <c r="CN198" s="317" t="n"/>
      <c r="CO198" s="317" t="n"/>
      <c r="CP198" s="317" t="n"/>
      <c r="CQ198" s="317" t="n"/>
      <c r="CR198" s="317" t="n"/>
      <c r="CS198" s="317" t="n"/>
      <c r="CT198" s="317" t="n"/>
      <c r="CU198" s="317" t="n"/>
      <c r="CV198" s="343" t="n"/>
      <c r="CW198" s="317" t="n"/>
      <c r="CX198" s="317" t="n"/>
      <c r="CY198" s="317" t="n"/>
      <c r="CZ198" s="317" t="n"/>
      <c r="DA198" s="317" t="n"/>
      <c r="DB198" s="317" t="n"/>
      <c r="DC198" s="317" t="n"/>
      <c r="DD198" s="317" t="n"/>
      <c r="DE198" s="319" t="n"/>
      <c r="DF198" s="319" t="n"/>
    </row>
    <row r="199" ht="13" customFormat="1" customHeight="1" s="116">
      <c r="A199" s="342" t="n"/>
      <c r="B199" s="317" t="n"/>
      <c r="C199" s="142" t="n"/>
      <c r="D199" s="142" t="n"/>
      <c r="E199" s="317" t="n"/>
      <c r="F199" s="142" t="n"/>
      <c r="G199" s="142" t="n"/>
      <c r="H199" s="317" t="n"/>
      <c r="I199" s="142" t="n"/>
      <c r="J199" s="142" t="n"/>
      <c r="K199" s="317" t="n"/>
      <c r="L199" s="142" t="n"/>
      <c r="M199" s="142" t="n"/>
      <c r="N199" s="317" t="n"/>
      <c r="O199" s="142" t="n"/>
      <c r="P199" s="142" t="n"/>
      <c r="Q199" s="317" t="n"/>
      <c r="R199" s="142" t="n"/>
      <c r="S199" s="142" t="n"/>
      <c r="T199" s="317" t="n"/>
      <c r="U199" s="142" t="n"/>
      <c r="V199" s="142" t="n"/>
      <c r="W199" s="317" t="n"/>
      <c r="X199" s="142" t="n"/>
      <c r="Y199" s="142" t="n"/>
      <c r="Z199" s="317" t="n"/>
      <c r="AA199" s="142" t="n"/>
      <c r="AB199" s="142" t="n"/>
      <c r="AC199" s="317" t="n"/>
      <c r="AD199" s="142" t="n"/>
      <c r="AE199" s="142" t="n"/>
      <c r="AF199" s="317" t="n"/>
      <c r="AG199" s="142" t="n"/>
      <c r="AH199" s="142" t="n"/>
      <c r="AI199" s="317" t="n"/>
      <c r="AJ199" s="142" t="n"/>
      <c r="AK199" s="142" t="n"/>
      <c r="AL199" s="317" t="n"/>
      <c r="AM199" s="317" t="n"/>
      <c r="AN199" s="317" t="n"/>
      <c r="AO199" s="317" t="n"/>
      <c r="AP199" s="317" t="n"/>
      <c r="AQ199" s="317" t="n"/>
      <c r="AR199" s="317" t="n"/>
      <c r="AS199" s="317" t="n"/>
      <c r="AT199" s="317" t="n"/>
      <c r="AU199" s="317" t="n"/>
      <c r="AV199" s="317" t="n"/>
      <c r="AW199" s="317" t="n"/>
      <c r="AX199" s="317" t="n"/>
      <c r="AY199" s="317" t="n"/>
      <c r="AZ199" s="317" t="n"/>
      <c r="BA199" s="317" t="n"/>
      <c r="BB199" s="317" t="n"/>
      <c r="BC199" s="317" t="n"/>
      <c r="BD199" s="317" t="n"/>
      <c r="BE199" s="317" t="n"/>
      <c r="BF199" s="317" t="n"/>
      <c r="BG199" s="317" t="n"/>
      <c r="BH199" s="317" t="n"/>
      <c r="BI199" s="317" t="n"/>
      <c r="BJ199" s="317" t="n"/>
      <c r="BK199" s="317" t="n"/>
      <c r="BL199" s="317" t="n"/>
      <c r="BM199" s="317" t="n"/>
      <c r="BN199" s="317" t="n"/>
      <c r="BO199" s="317" t="n"/>
      <c r="BP199" s="317" t="n"/>
      <c r="BQ199" s="317" t="n"/>
      <c r="BR199" s="317" t="n"/>
      <c r="BS199" s="317" t="n"/>
      <c r="BT199" s="317" t="n"/>
      <c r="BU199" s="317" t="n"/>
      <c r="BV199" s="317" t="n"/>
      <c r="BW199" s="317" t="n"/>
      <c r="BX199" s="317" t="n"/>
      <c r="BY199" s="317" t="n"/>
      <c r="BZ199" s="317" t="n"/>
      <c r="CA199" s="317" t="n"/>
      <c r="CB199" s="317" t="n"/>
      <c r="CC199" s="317" t="n"/>
      <c r="CD199" s="317" t="n"/>
      <c r="CE199" s="317" t="n"/>
      <c r="CF199" s="317" t="n"/>
      <c r="CG199" s="317" t="n"/>
      <c r="CH199" s="317" t="n"/>
      <c r="CI199" s="317" t="n"/>
      <c r="CJ199" s="317" t="n"/>
      <c r="CK199" s="317" t="n"/>
      <c r="CL199" s="317" t="n"/>
      <c r="CM199" s="317" t="n"/>
      <c r="CN199" s="317" t="n"/>
      <c r="CO199" s="317" t="n"/>
      <c r="CP199" s="317" t="n"/>
      <c r="CQ199" s="317" t="n"/>
      <c r="CR199" s="317" t="n"/>
      <c r="CS199" s="317" t="n"/>
      <c r="CT199" s="317" t="n"/>
      <c r="CU199" s="317" t="n"/>
      <c r="CV199" s="343" t="n"/>
      <c r="CW199" s="317" t="n"/>
      <c r="CX199" s="317" t="n"/>
      <c r="CY199" s="317" t="n"/>
      <c r="CZ199" s="317" t="n"/>
      <c r="DA199" s="317" t="n"/>
      <c r="DB199" s="317" t="n"/>
      <c r="DC199" s="317" t="n"/>
      <c r="DD199" s="317" t="n"/>
      <c r="DE199" s="319" t="n"/>
      <c r="DF199" s="319" t="n"/>
    </row>
    <row r="200" ht="13" customFormat="1" customHeight="1" s="116">
      <c r="A200" s="411" t="inlineStr">
        <is>
          <t>全年</t>
        </is>
      </c>
      <c r="B200" s="317" t="n"/>
      <c r="C200" s="39" t="n"/>
      <c r="D200" s="39" t="n"/>
      <c r="E200" s="317" t="n"/>
      <c r="F200" s="39" t="n"/>
      <c r="G200" s="39" t="n"/>
      <c r="H200" s="317" t="n"/>
      <c r="I200" s="39" t="n"/>
      <c r="J200" s="39" t="n"/>
      <c r="K200" s="317" t="n"/>
      <c r="L200" s="39" t="n"/>
      <c r="M200" s="39" t="n"/>
      <c r="N200" s="317" t="n"/>
      <c r="O200" s="39" t="n"/>
      <c r="P200" s="39" t="n"/>
      <c r="Q200" s="317" t="n"/>
      <c r="R200" s="39" t="n"/>
      <c r="S200" s="39" t="n"/>
      <c r="T200" s="317" t="n"/>
      <c r="U200" s="39" t="n"/>
      <c r="V200" s="39" t="n"/>
      <c r="W200" s="317" t="n"/>
      <c r="X200" s="39" t="n"/>
      <c r="Y200" s="39" t="n"/>
      <c r="Z200" s="317" t="n"/>
      <c r="AA200" s="39" t="n"/>
      <c r="AB200" s="39" t="n"/>
      <c r="AC200" s="317" t="n"/>
      <c r="AD200" s="39" t="n"/>
      <c r="AE200" s="39" t="n"/>
      <c r="AF200" s="317" t="n"/>
      <c r="AG200" s="39" t="n"/>
      <c r="AH200" s="39" t="n"/>
      <c r="AI200" s="317" t="n"/>
      <c r="AJ200" s="39" t="n"/>
      <c r="AK200" s="39" t="n"/>
      <c r="AL200" s="317" t="n"/>
      <c r="AM200" s="182">
        <f>AL200-AL198</f>
        <v/>
      </c>
      <c r="AN200" s="39" t="n"/>
      <c r="AO200" s="317" t="n"/>
      <c r="AP200" s="182">
        <f>AO200-AO198</f>
        <v/>
      </c>
      <c r="AQ200" s="39" t="n"/>
      <c r="AR200" s="317" t="n"/>
      <c r="AS200" s="182">
        <f>AR200-AR198</f>
        <v/>
      </c>
      <c r="AT200" s="39" t="n"/>
      <c r="AU200" s="317" t="n"/>
      <c r="AV200" s="182">
        <f>AU200-AU198</f>
        <v/>
      </c>
      <c r="AW200" s="39" t="n"/>
      <c r="AX200" s="317" t="n"/>
      <c r="AY200" s="317" t="n"/>
      <c r="AZ200" s="39" t="n"/>
      <c r="BA200" s="317" t="n"/>
      <c r="BB200" s="39" t="n"/>
      <c r="BC200" s="317" t="n"/>
      <c r="BD200" s="39" t="n"/>
      <c r="BE200" s="317" t="n"/>
      <c r="BF200" s="39" t="n"/>
      <c r="BG200" s="317" t="n"/>
      <c r="BH200" s="39" t="n"/>
      <c r="BI200" s="317" t="n"/>
      <c r="BJ200" s="39" t="n"/>
      <c r="BK200" s="317" t="n"/>
      <c r="BL200" s="39" t="n"/>
      <c r="BM200" s="317" t="n"/>
      <c r="BN200" s="39" t="n"/>
      <c r="BO200" s="317" t="n"/>
      <c r="BP200" s="317" t="n"/>
      <c r="BQ200" s="39" t="n"/>
      <c r="BR200" s="317" t="n"/>
      <c r="BS200" s="39" t="n"/>
      <c r="BT200" s="317" t="n"/>
      <c r="BU200" s="39" t="n"/>
      <c r="BV200" s="317" t="n"/>
      <c r="BW200" s="39" t="n"/>
      <c r="BX200" s="317" t="n"/>
      <c r="BY200" s="39" t="n"/>
      <c r="BZ200" s="317" t="n"/>
      <c r="CA200" s="39" t="n"/>
      <c r="CB200" s="317" t="n"/>
      <c r="CC200" s="39" t="n"/>
      <c r="CD200" s="317" t="n"/>
      <c r="CE200" s="39" t="n"/>
      <c r="CF200" s="317" t="n"/>
      <c r="CG200" s="39" t="n"/>
      <c r="CH200" s="317" t="n"/>
      <c r="CI200" s="39" t="n"/>
      <c r="CJ200" s="317" t="n"/>
      <c r="CK200" s="39" t="n"/>
      <c r="CL200" s="317" t="n"/>
      <c r="CM200" s="39" t="n"/>
      <c r="CN200" s="317" t="n"/>
      <c r="CO200" s="39" t="n"/>
      <c r="CP200" s="317" t="n"/>
      <c r="CQ200" s="39" t="n"/>
      <c r="CR200" s="317" t="n"/>
      <c r="CS200" s="39" t="n"/>
      <c r="CT200" s="317" t="n"/>
      <c r="CU200" s="39" t="n"/>
      <c r="CV200" s="343" t="n"/>
      <c r="CW200" s="317" t="n"/>
      <c r="CX200" s="39" t="n"/>
      <c r="CY200" s="317" t="n"/>
      <c r="CZ200" s="39" t="n"/>
      <c r="DA200" s="317" t="n"/>
      <c r="DB200" s="39" t="n"/>
      <c r="DC200" s="317" t="n"/>
      <c r="DD200" s="39" t="n"/>
      <c r="DE200" s="319" t="n"/>
      <c r="DF200" s="319" t="n"/>
    </row>
    <row r="201" ht="13" customFormat="1" customHeight="1" s="116">
      <c r="A201" s="342" t="inlineStr">
        <is>
          <t>2014年</t>
        </is>
      </c>
      <c r="B201" s="317" t="n">
        <v>160599.83</v>
      </c>
      <c r="C201" s="39" t="n"/>
      <c r="D201" s="39" t="n"/>
      <c r="E201" s="317" t="n">
        <v>110599.11</v>
      </c>
      <c r="F201" s="39" t="n"/>
      <c r="G201" s="39" t="n"/>
      <c r="H201" s="317" t="n">
        <v>44262.97</v>
      </c>
      <c r="I201" s="39" t="n"/>
      <c r="J201" s="39" t="n"/>
      <c r="K201" s="317" t="n">
        <v>5737.7964</v>
      </c>
      <c r="L201" s="39" t="n"/>
      <c r="M201" s="39" t="n"/>
      <c r="N201" s="317" t="n">
        <v>127637.01</v>
      </c>
      <c r="O201" s="39" t="n"/>
      <c r="P201" s="39" t="n"/>
      <c r="Q201" s="317" t="n">
        <v>88251.13</v>
      </c>
      <c r="R201" s="39" t="n"/>
      <c r="S201" s="39" t="n"/>
      <c r="T201" s="317" t="n">
        <v>35032.31</v>
      </c>
      <c r="U201" s="39" t="n"/>
      <c r="V201" s="39" t="n"/>
      <c r="W201" s="317" t="n">
        <v>4350.012400000001</v>
      </c>
      <c r="X201" s="39" t="n"/>
      <c r="Y201" s="39" t="n"/>
      <c r="Z201" s="317" t="n">
        <v>83855.82000000001</v>
      </c>
      <c r="AA201" s="39" t="n"/>
      <c r="AB201" s="39" t="n"/>
      <c r="AC201" s="317" t="n">
        <v>71068.84</v>
      </c>
      <c r="AD201" s="39" t="n"/>
      <c r="AE201" s="39" t="n"/>
      <c r="AF201" s="317" t="n">
        <v>9638.409999999998</v>
      </c>
      <c r="AG201" s="39" t="n"/>
      <c r="AH201" s="39" t="n"/>
      <c r="AI201" s="317" t="n">
        <v>3148.611</v>
      </c>
      <c r="AJ201" s="39" t="n"/>
      <c r="AK201" s="39" t="n"/>
      <c r="AL201" s="182" t="n">
        <v>79.47416666666668</v>
      </c>
      <c r="AM201" s="182">
        <f>AL201-AL199</f>
        <v/>
      </c>
      <c r="AN201" s="39" t="n"/>
      <c r="AO201" s="182" t="n">
        <v>79.81</v>
      </c>
      <c r="AP201" s="182">
        <f>AO201-AO199</f>
        <v/>
      </c>
      <c r="AQ201" s="39" t="n"/>
      <c r="AR201" s="182" t="n">
        <v>79.11166666666666</v>
      </c>
      <c r="AS201" s="182">
        <f>AR201-AR199</f>
        <v/>
      </c>
      <c r="AT201" s="39" t="n"/>
      <c r="AU201" s="182" t="n">
        <v>75.81333333333333</v>
      </c>
      <c r="AV201" s="182">
        <f>AU201-AU199</f>
        <v/>
      </c>
      <c r="AW201" s="39" t="n"/>
      <c r="AX201" s="317" t="n"/>
      <c r="AY201" s="142" t="n"/>
      <c r="AZ201" s="39" t="n"/>
      <c r="BA201" s="317" t="n"/>
      <c r="BB201" s="39" t="n"/>
      <c r="BC201" s="317" t="n"/>
      <c r="BD201" s="39" t="n"/>
      <c r="BE201" s="317" t="n"/>
      <c r="BF201" s="39" t="n"/>
      <c r="BG201" s="317" t="n"/>
      <c r="BH201" s="39" t="n"/>
      <c r="BI201" s="317" t="n"/>
      <c r="BJ201" s="39" t="n"/>
      <c r="BK201" s="317" t="n"/>
      <c r="BL201" s="39" t="n"/>
      <c r="BM201" s="317" t="n"/>
      <c r="BN201" s="39" t="n"/>
      <c r="BO201" s="317" t="n"/>
      <c r="BP201" s="317" t="n"/>
      <c r="BQ201" s="39" t="n"/>
      <c r="BR201" s="317" t="n"/>
      <c r="BS201" s="39" t="n"/>
      <c r="BT201" s="317" t="n"/>
      <c r="BU201" s="39" t="n"/>
      <c r="BV201" s="317" t="n"/>
      <c r="BW201" s="39" t="n"/>
      <c r="BX201" s="317" t="n"/>
      <c r="BY201" s="39" t="n"/>
      <c r="BZ201" s="317" t="n"/>
      <c r="CA201" s="39" t="n"/>
      <c r="CB201" s="317" t="n"/>
      <c r="CC201" s="39" t="n"/>
      <c r="CD201" s="317" t="n"/>
      <c r="CE201" s="39" t="n"/>
      <c r="CF201" s="317" t="n"/>
      <c r="CG201" s="39" t="n"/>
      <c r="CH201" s="317" t="n"/>
      <c r="CI201" s="39" t="n"/>
      <c r="CJ201" s="317" t="n"/>
      <c r="CK201" s="39" t="n"/>
      <c r="CL201" s="317" t="n"/>
      <c r="CM201" s="39" t="n"/>
      <c r="CN201" s="317" t="n"/>
      <c r="CO201" s="39" t="n"/>
      <c r="CP201" s="317" t="n"/>
      <c r="CQ201" s="39" t="n"/>
      <c r="CR201" s="317" t="n"/>
      <c r="CS201" s="39" t="n"/>
      <c r="CT201" s="317" t="n"/>
      <c r="CU201" s="39" t="n"/>
      <c r="CV201" s="343" t="n"/>
      <c r="CW201" s="317" t="n"/>
      <c r="CX201" s="39" t="n"/>
      <c r="CY201" s="317" t="n"/>
      <c r="CZ201" s="39" t="n"/>
      <c r="DA201" s="317" t="n"/>
      <c r="DB201" s="39" t="n"/>
      <c r="DC201" s="317" t="n"/>
      <c r="DD201" s="39" t="n"/>
      <c r="DE201" s="319" t="n"/>
      <c r="DF201" s="319" t="n"/>
    </row>
    <row r="202" ht="13" customFormat="1" customHeight="1" s="116">
      <c r="A202" s="342" t="inlineStr">
        <is>
          <t>2015年</t>
        </is>
      </c>
      <c r="B202" s="317" t="n">
        <v>181792.39</v>
      </c>
      <c r="C202" s="39" t="n"/>
      <c r="D202" s="39" t="n"/>
      <c r="E202" s="317" t="n">
        <v>121031.81</v>
      </c>
      <c r="F202" s="39" t="n"/>
      <c r="G202" s="39" t="n"/>
      <c r="H202" s="317" t="n">
        <v>55258.37</v>
      </c>
      <c r="I202" s="39" t="n"/>
      <c r="J202" s="39" t="n"/>
      <c r="K202" s="317" t="n">
        <v>5502.2265</v>
      </c>
      <c r="L202" s="39" t="n"/>
      <c r="M202" s="39" t="n"/>
      <c r="N202" s="317" t="n">
        <v>146290.54</v>
      </c>
      <c r="O202" s="39" t="n"/>
      <c r="P202" s="39" t="n"/>
      <c r="Q202" s="317" t="n">
        <v>98261.37000000001</v>
      </c>
      <c r="R202" s="39" t="n"/>
      <c r="S202" s="39" t="n"/>
      <c r="T202" s="317" t="n">
        <v>43843.71000000001</v>
      </c>
      <c r="U202" s="39" t="n"/>
      <c r="V202" s="39" t="n"/>
      <c r="W202" s="317" t="n">
        <v>4185.453299999999</v>
      </c>
      <c r="X202" s="39" t="n"/>
      <c r="Y202" s="39" t="n"/>
      <c r="Z202" s="317" t="n">
        <v>93804.23000000003</v>
      </c>
      <c r="AA202" s="39" t="n"/>
      <c r="AB202" s="39" t="n"/>
      <c r="AC202" s="317" t="n">
        <v>78457.31</v>
      </c>
      <c r="AD202" s="39" t="n"/>
      <c r="AE202" s="39" t="n"/>
      <c r="AF202" s="317" t="n">
        <v>12258.31</v>
      </c>
      <c r="AG202" s="39" t="n"/>
      <c r="AH202" s="39" t="n"/>
      <c r="AI202" s="317" t="n">
        <v>3088.621</v>
      </c>
      <c r="AJ202" s="39" t="n"/>
      <c r="AK202" s="39" t="n"/>
      <c r="AL202" s="182" t="n">
        <v>80.39916666666666</v>
      </c>
      <c r="AM202" s="182">
        <f>AL202-AL200</f>
        <v/>
      </c>
      <c r="AN202" s="39" t="n"/>
      <c r="AO202" s="182" t="n">
        <v>81.08666666666666</v>
      </c>
      <c r="AP202" s="182">
        <f>AO202-AO200</f>
        <v/>
      </c>
      <c r="AQ202" s="39" t="n"/>
      <c r="AR202" s="182" t="n">
        <v>79.34416666666667</v>
      </c>
      <c r="AS202" s="182">
        <f>AR202-AR200</f>
        <v/>
      </c>
      <c r="AT202" s="39" t="n"/>
      <c r="AU202" s="182" t="n">
        <v>75.99833333333333</v>
      </c>
      <c r="AV202" s="182">
        <f>AU202-AU200</f>
        <v/>
      </c>
      <c r="AW202" s="39" t="n"/>
      <c r="AX202" s="317" t="n"/>
      <c r="AY202" s="142" t="n"/>
      <c r="AZ202" s="39" t="n"/>
      <c r="BA202" s="317" t="n"/>
      <c r="BB202" s="39" t="n"/>
      <c r="BC202" s="317" t="n"/>
      <c r="BD202" s="39" t="n"/>
      <c r="BE202" s="317" t="n"/>
      <c r="BF202" s="39" t="n"/>
      <c r="BG202" s="317" t="n"/>
      <c r="BH202" s="39" t="n"/>
      <c r="BI202" s="317" t="n"/>
      <c r="BJ202" s="39" t="n"/>
      <c r="BK202" s="317" t="n"/>
      <c r="BL202" s="39" t="n"/>
      <c r="BM202" s="317" t="n"/>
      <c r="BN202" s="39" t="n"/>
      <c r="BO202" s="317" t="n"/>
      <c r="BP202" s="317" t="n"/>
      <c r="BQ202" s="39" t="n"/>
      <c r="BR202" s="317" t="n"/>
      <c r="BS202" s="39" t="n"/>
      <c r="BT202" s="317" t="n"/>
      <c r="BU202" s="39" t="n"/>
      <c r="BV202" s="317" t="n"/>
      <c r="BW202" s="39" t="n"/>
      <c r="BX202" s="317" t="n"/>
      <c r="BY202" s="39" t="n"/>
      <c r="BZ202" s="317" t="n"/>
      <c r="CA202" s="39" t="n"/>
      <c r="CB202" s="317" t="n"/>
      <c r="CC202" s="39" t="n"/>
      <c r="CD202" s="317" t="n"/>
      <c r="CE202" s="39" t="n"/>
      <c r="CF202" s="317" t="n"/>
      <c r="CG202" s="39" t="n"/>
      <c r="CH202" s="317" t="n"/>
      <c r="CI202" s="39" t="n"/>
      <c r="CJ202" s="317" t="n"/>
      <c r="CK202" s="39" t="n"/>
      <c r="CL202" s="317" t="n"/>
      <c r="CM202" s="39" t="n"/>
      <c r="CN202" s="317" t="n"/>
      <c r="CO202" s="39" t="n"/>
      <c r="CP202" s="317" t="n"/>
      <c r="CQ202" s="39" t="n"/>
      <c r="CR202" s="317" t="n"/>
      <c r="CS202" s="39" t="n"/>
      <c r="CT202" s="317" t="n"/>
      <c r="CU202" s="39" t="n"/>
      <c r="CV202" s="343" t="n"/>
      <c r="CW202" s="317" t="n"/>
      <c r="CX202" s="39" t="n"/>
      <c r="CY202" s="317" t="n"/>
      <c r="CZ202" s="39" t="n"/>
      <c r="DA202" s="317" t="n"/>
      <c r="DB202" s="39" t="n"/>
      <c r="DC202" s="317" t="n"/>
      <c r="DD202" s="39" t="n"/>
      <c r="DE202" s="319" t="n"/>
      <c r="DF202" s="319" t="n"/>
    </row>
    <row r="203" ht="13" customFormat="1" customHeight="1" s="116">
      <c r="A203" s="342" t="inlineStr">
        <is>
          <t>2016年</t>
        </is>
      </c>
      <c r="B203" s="317" t="n">
        <v>206295.16</v>
      </c>
      <c r="C203" s="39" t="n"/>
      <c r="D203" s="39" t="n"/>
      <c r="E203" s="317" t="n">
        <v>129468.33</v>
      </c>
      <c r="F203" s="39" t="n"/>
      <c r="G203" s="39" t="n"/>
      <c r="H203" s="317" t="n">
        <v>71251.8</v>
      </c>
      <c r="I203" s="39" t="n"/>
      <c r="J203" s="39" t="n"/>
      <c r="K203" s="317" t="n">
        <v>5574.99</v>
      </c>
      <c r="L203" s="39" t="n"/>
      <c r="M203" s="39" t="n"/>
      <c r="N203" s="317" t="n">
        <v>167489.29</v>
      </c>
      <c r="O203" s="39" t="n"/>
      <c r="P203" s="39" t="n"/>
      <c r="Q203" s="317" t="n">
        <v>106299.09</v>
      </c>
      <c r="R203" s="39" t="n"/>
      <c r="S203" s="39" t="n"/>
      <c r="T203" s="317" t="n">
        <v>56869.86</v>
      </c>
      <c r="U203" s="39" t="n"/>
      <c r="V203" s="39" t="n"/>
      <c r="W203" s="317" t="n">
        <v>4320.339999999999</v>
      </c>
      <c r="X203" s="39" t="n"/>
      <c r="Y203" s="39" t="n"/>
      <c r="Z203" s="317" t="n">
        <v>101724.88</v>
      </c>
      <c r="AA203" s="39" t="n"/>
      <c r="AB203" s="39" t="n"/>
      <c r="AC203" s="317" t="n">
        <v>84192.69</v>
      </c>
      <c r="AD203" s="39" t="n"/>
      <c r="AE203" s="39" t="n"/>
      <c r="AF203" s="317" t="n">
        <v>14331.39</v>
      </c>
      <c r="AG203" s="39" t="n"/>
      <c r="AH203" s="39" t="n"/>
      <c r="AI203" s="317" t="n">
        <v>3200.8</v>
      </c>
      <c r="AJ203" s="39" t="n"/>
      <c r="AK203" s="39" t="n"/>
      <c r="AL203" s="182" t="n">
        <v>81.14833333333333</v>
      </c>
      <c r="AM203" s="182">
        <f>AL203-AL201</f>
        <v/>
      </c>
      <c r="AN203" s="39" t="n"/>
      <c r="AO203" s="182" t="n">
        <v>82.0575</v>
      </c>
      <c r="AP203" s="182">
        <f>AO203-AO201</f>
        <v/>
      </c>
      <c r="AQ203" s="39" t="n"/>
      <c r="AR203" s="182" t="n">
        <v>79.75916666666667</v>
      </c>
      <c r="AS203" s="182">
        <f>AR203-AR201</f>
        <v/>
      </c>
      <c r="AT203" s="39" t="n"/>
      <c r="AU203" s="182" t="n">
        <v>77.49083333333333</v>
      </c>
      <c r="AV203" s="182">
        <f>AU203-AU201</f>
        <v/>
      </c>
      <c r="AW203" s="39" t="n"/>
      <c r="AX203" s="317" t="n"/>
      <c r="AY203" s="142" t="n"/>
      <c r="AZ203" s="39" t="n"/>
      <c r="BA203" s="317" t="n"/>
      <c r="BB203" s="39" t="n"/>
      <c r="BC203" s="317" t="n"/>
      <c r="BD203" s="39" t="n"/>
      <c r="BE203" s="317" t="n"/>
      <c r="BF203" s="39" t="n"/>
      <c r="BG203" s="317" t="n"/>
      <c r="BH203" s="39" t="n"/>
      <c r="BI203" s="317" t="n"/>
      <c r="BJ203" s="39" t="n"/>
      <c r="BK203" s="317" t="n"/>
      <c r="BL203" s="39" t="n"/>
      <c r="BM203" s="317" t="n"/>
      <c r="BN203" s="39" t="n"/>
      <c r="BO203" s="317" t="n"/>
      <c r="BP203" s="317" t="n"/>
      <c r="BQ203" s="39" t="n"/>
      <c r="BR203" s="317" t="n"/>
      <c r="BS203" s="39" t="n"/>
      <c r="BT203" s="317" t="n"/>
      <c r="BU203" s="39" t="n"/>
      <c r="BV203" s="317" t="n"/>
      <c r="BW203" s="39" t="n"/>
      <c r="BX203" s="317" t="n"/>
      <c r="BY203" s="39" t="n"/>
      <c r="BZ203" s="317" t="n"/>
      <c r="CA203" s="39" t="n"/>
      <c r="CB203" s="317" t="n"/>
      <c r="CC203" s="39" t="n"/>
      <c r="CD203" s="317" t="n"/>
      <c r="CE203" s="39" t="n"/>
      <c r="CF203" s="317" t="n"/>
      <c r="CG203" s="39" t="n"/>
      <c r="CH203" s="317" t="n"/>
      <c r="CI203" s="39" t="n"/>
      <c r="CJ203" s="317" t="n"/>
      <c r="CK203" s="39" t="n"/>
      <c r="CL203" s="317" t="n"/>
      <c r="CM203" s="39" t="n"/>
      <c r="CN203" s="317" t="n"/>
      <c r="CO203" s="39" t="n"/>
      <c r="CP203" s="317" t="n"/>
      <c r="CQ203" s="39" t="n"/>
      <c r="CR203" s="317" t="n"/>
      <c r="CS203" s="39" t="n"/>
      <c r="CT203" s="317" t="n"/>
      <c r="CU203" s="39" t="n"/>
      <c r="CV203" s="343" t="n"/>
      <c r="CW203" s="317" t="n"/>
      <c r="CX203" s="39" t="n"/>
      <c r="CY203" s="317" t="n"/>
      <c r="CZ203" s="39" t="n"/>
      <c r="DA203" s="317" t="n"/>
      <c r="DB203" s="39" t="n"/>
      <c r="DC203" s="317" t="n"/>
      <c r="DD203" s="39" t="n"/>
      <c r="DE203" s="319" t="n"/>
      <c r="DF203" s="319" t="n"/>
    </row>
    <row r="204" ht="13" customFormat="1" customHeight="1" s="116">
      <c r="A204" s="342" t="inlineStr">
        <is>
          <t>2017年</t>
        </is>
      </c>
      <c r="B204" s="317" t="n">
        <v>225919.92</v>
      </c>
      <c r="C204" s="39" t="n"/>
      <c r="D204" s="39" t="n"/>
      <c r="E204" s="317" t="n">
        <v>140959.42</v>
      </c>
      <c r="F204" s="39" t="n"/>
      <c r="G204" s="39" t="n"/>
      <c r="H204" s="317" t="n">
        <v>79017.98000000001</v>
      </c>
      <c r="I204" s="39" t="n"/>
      <c r="J204" s="39" t="n"/>
      <c r="K204" s="317" t="n">
        <v>5942.52</v>
      </c>
      <c r="L204" s="39" t="n"/>
      <c r="M204" s="39" t="n"/>
      <c r="N204" s="317" t="n">
        <v>183074.23</v>
      </c>
      <c r="O204" s="39" t="n"/>
      <c r="P204" s="39" t="n"/>
      <c r="Q204" s="317" t="n">
        <v>116895.51</v>
      </c>
      <c r="R204" s="39" t="n"/>
      <c r="S204" s="39" t="n"/>
      <c r="T204" s="317" t="n">
        <v>61424.15</v>
      </c>
      <c r="U204" s="39" t="n"/>
      <c r="V204" s="39" t="n"/>
      <c r="W204" s="317" t="n">
        <v>4754.579999999999</v>
      </c>
      <c r="X204" s="39" t="n"/>
      <c r="Y204" s="39" t="n"/>
      <c r="Z204" s="317" t="n">
        <v>110712.87</v>
      </c>
      <c r="AA204" s="39" t="n"/>
      <c r="AB204" s="39" t="n"/>
      <c r="AC204" s="317" t="n">
        <v>92525.95000000001</v>
      </c>
      <c r="AD204" s="39" t="n"/>
      <c r="AE204" s="39" t="n"/>
      <c r="AF204" s="317" t="n">
        <v>14675.77</v>
      </c>
      <c r="AG204" s="39" t="n"/>
      <c r="AH204" s="39" t="n"/>
      <c r="AI204" s="317" t="n">
        <v>3511.15</v>
      </c>
      <c r="AJ204" s="39" t="n"/>
      <c r="AK204" s="39" t="n"/>
      <c r="AL204" s="182" t="n">
        <v>81.04083333333334</v>
      </c>
      <c r="AM204" s="182">
        <f>AL204-AL202</f>
        <v/>
      </c>
      <c r="AN204" s="39" t="n"/>
      <c r="AO204" s="182" t="n">
        <v>82.94083333333333</v>
      </c>
      <c r="AP204" s="182">
        <f>AO204-AO202</f>
        <v/>
      </c>
      <c r="AQ204" s="39" t="n"/>
      <c r="AR204" s="182" t="n">
        <v>77.70833333333333</v>
      </c>
      <c r="AS204" s="182">
        <f>AR204-AR202</f>
        <v/>
      </c>
      <c r="AT204" s="39" t="n"/>
      <c r="AU204" s="182" t="n">
        <v>79.98416666666667</v>
      </c>
      <c r="AV204" s="182">
        <f>AU204-AU202</f>
        <v/>
      </c>
      <c r="AW204" s="39" t="n"/>
      <c r="AX204" s="317" t="n"/>
      <c r="AY204" s="142" t="n"/>
      <c r="AZ204" s="39" t="n"/>
      <c r="BA204" s="317" t="n"/>
      <c r="BB204" s="39" t="n"/>
      <c r="BC204" s="317" t="n"/>
      <c r="BD204" s="39" t="n"/>
      <c r="BE204" s="317" t="n"/>
      <c r="BF204" s="39" t="n"/>
      <c r="BG204" s="317" t="n"/>
      <c r="BH204" s="39" t="n"/>
      <c r="BI204" s="317" t="n"/>
      <c r="BJ204" s="39" t="n"/>
      <c r="BK204" s="317" t="n"/>
      <c r="BL204" s="39" t="n"/>
      <c r="BM204" s="317" t="n"/>
      <c r="BN204" s="39" t="n"/>
      <c r="BO204" s="317" t="n"/>
      <c r="BP204" s="317" t="n"/>
      <c r="BQ204" s="39" t="n"/>
      <c r="BR204" s="317" t="n"/>
      <c r="BS204" s="39" t="n"/>
      <c r="BT204" s="317" t="n"/>
      <c r="BU204" s="39" t="n"/>
      <c r="BV204" s="317" t="n"/>
      <c r="BW204" s="39" t="n"/>
      <c r="BX204" s="317" t="n"/>
      <c r="BY204" s="39" t="n"/>
      <c r="BZ204" s="317" t="n"/>
      <c r="CA204" s="39" t="n"/>
      <c r="CB204" s="317" t="n"/>
      <c r="CC204" s="39" t="n"/>
      <c r="CD204" s="317" t="n"/>
      <c r="CE204" s="39" t="n"/>
      <c r="CF204" s="317" t="n"/>
      <c r="CG204" s="39" t="n"/>
      <c r="CH204" s="317" t="n"/>
      <c r="CI204" s="39" t="n"/>
      <c r="CJ204" s="317" t="n"/>
      <c r="CK204" s="39" t="n"/>
      <c r="CL204" s="317" t="n"/>
      <c r="CM204" s="39" t="n"/>
      <c r="CN204" s="317" t="n"/>
      <c r="CO204" s="39" t="n"/>
      <c r="CP204" s="317" t="n"/>
      <c r="CQ204" s="39" t="n"/>
      <c r="CR204" s="317" t="n"/>
      <c r="CS204" s="39" t="n"/>
      <c r="CT204" s="317" t="n"/>
      <c r="CU204" s="39" t="n"/>
      <c r="CV204" s="343" t="n"/>
      <c r="CW204" s="317" t="n"/>
      <c r="CX204" s="39" t="n"/>
      <c r="CY204" s="317" t="n"/>
      <c r="CZ204" s="39" t="n"/>
      <c r="DA204" s="317" t="n"/>
      <c r="DB204" s="39" t="n"/>
      <c r="DC204" s="317" t="n"/>
      <c r="DD204" s="39" t="n"/>
      <c r="DE204" s="319" t="n"/>
      <c r="DF204" s="319" t="n"/>
    </row>
    <row r="205" ht="13" customFormat="1" customHeight="1" s="116">
      <c r="A205" s="342" t="inlineStr">
        <is>
          <t>2018年</t>
        </is>
      </c>
      <c r="B205" s="317" t="n">
        <v>244268.34</v>
      </c>
      <c r="C205" s="343">
        <f>B205/B204-1</f>
        <v/>
      </c>
      <c r="D205" s="39" t="n"/>
      <c r="E205" s="317" t="n">
        <v>153549.58</v>
      </c>
      <c r="F205" s="343">
        <f>E205/E204-1</f>
        <v/>
      </c>
      <c r="G205" s="39" t="n"/>
      <c r="H205" s="317" t="n">
        <v>84335.33</v>
      </c>
      <c r="I205" s="343">
        <f>H205/H204-1</f>
        <v/>
      </c>
      <c r="J205" s="39" t="n"/>
      <c r="K205" s="317" t="n">
        <v>6383.44</v>
      </c>
      <c r="L205" s="343">
        <f>K205/K204-1</f>
        <v/>
      </c>
      <c r="M205" s="39" t="n"/>
      <c r="N205" s="317" t="n">
        <v>200929.82</v>
      </c>
      <c r="O205" s="343">
        <f>N205/N204-1</f>
        <v/>
      </c>
      <c r="P205" s="39" t="n"/>
      <c r="Q205" s="317" t="n">
        <v>128419.76</v>
      </c>
      <c r="R205" s="343">
        <f>Q205/Q204-1</f>
        <v/>
      </c>
      <c r="S205" s="39" t="n"/>
      <c r="T205" s="317" t="n">
        <v>67216.29000000001</v>
      </c>
      <c r="U205" s="343">
        <f>T205/T204-1</f>
        <v/>
      </c>
      <c r="V205" s="39" t="n"/>
      <c r="W205" s="317" t="n">
        <v>5293.77</v>
      </c>
      <c r="X205" s="343">
        <f>W205/W204-1</f>
        <v/>
      </c>
      <c r="Y205" s="39" t="n"/>
      <c r="Z205" s="317" t="n">
        <v>121125.62</v>
      </c>
      <c r="AA205" s="343">
        <f>Z205/Z204-1</f>
        <v/>
      </c>
      <c r="AB205" s="39" t="n"/>
      <c r="AC205" s="317" t="n">
        <v>101161.84</v>
      </c>
      <c r="AD205" s="343">
        <f>AC205/AC204-1</f>
        <v/>
      </c>
      <c r="AE205" s="39" t="n"/>
      <c r="AF205" s="317" t="n">
        <v>16095.67</v>
      </c>
      <c r="AG205" s="343">
        <f>AF205/AF204-1</f>
        <v/>
      </c>
      <c r="AH205" s="39" t="n"/>
      <c r="AI205" s="317" t="n">
        <v>3868.130000000001</v>
      </c>
      <c r="AJ205" s="343">
        <f>AI205/AI204-1</f>
        <v/>
      </c>
      <c r="AK205" s="39" t="n"/>
      <c r="AL205" s="182" t="n">
        <v>82.24583333333334</v>
      </c>
      <c r="AM205" s="353" t="n">
        <v>-0.01465119813567051</v>
      </c>
      <c r="AN205" s="179" t="n"/>
      <c r="AO205" s="182" t="n">
        <v>83.6225</v>
      </c>
      <c r="AP205" s="353" t="n">
        <v>-0.008151713553967821</v>
      </c>
      <c r="AQ205" s="179" t="n"/>
      <c r="AR205" s="182" t="n">
        <v>79.68666666666667</v>
      </c>
      <c r="AS205" s="353" t="n">
        <v>-0.02482640341336906</v>
      </c>
      <c r="AT205" s="179" t="n"/>
      <c r="AU205" s="182" t="n">
        <v>82.89166666666667</v>
      </c>
      <c r="AV205" s="353" t="n">
        <v>-0.03507590228209512</v>
      </c>
      <c r="AW205" s="179" t="n"/>
      <c r="AX205" s="317" t="n"/>
      <c r="AY205" s="353" t="n"/>
      <c r="AZ205" s="39" t="n"/>
      <c r="BA205" s="317" t="n"/>
      <c r="BB205" s="39" t="n"/>
      <c r="BC205" s="317" t="n"/>
      <c r="BD205" s="39" t="n"/>
      <c r="BE205" s="317" t="n"/>
      <c r="BF205" s="39" t="n"/>
      <c r="BG205" s="317" t="n"/>
      <c r="BH205" s="39" t="n"/>
      <c r="BI205" s="317" t="n"/>
      <c r="BJ205" s="39" t="n"/>
      <c r="BK205" s="317" t="n"/>
      <c r="BL205" s="39" t="n"/>
      <c r="BM205" s="317" t="n"/>
      <c r="BN205" s="39" t="n"/>
      <c r="BO205" s="317" t="n"/>
      <c r="BP205" s="317" t="n"/>
      <c r="BQ205" s="39" t="n"/>
      <c r="BR205" s="317" t="n"/>
      <c r="BS205" s="39" t="n"/>
      <c r="BT205" s="317" t="n"/>
      <c r="BU205" s="39" t="n"/>
      <c r="BV205" s="317" t="n"/>
      <c r="BW205" s="39" t="n"/>
      <c r="BX205" s="317" t="n"/>
      <c r="BY205" s="39" t="n"/>
      <c r="BZ205" s="317" t="n"/>
      <c r="CA205" s="39" t="n"/>
      <c r="CB205" s="317" t="n"/>
      <c r="CC205" s="39" t="n"/>
      <c r="CD205" s="317" t="n"/>
      <c r="CE205" s="39" t="n"/>
      <c r="CF205" s="317" t="n"/>
      <c r="CG205" s="39" t="n"/>
      <c r="CH205" s="317" t="n"/>
      <c r="CI205" s="39" t="n"/>
      <c r="CJ205" s="317" t="n"/>
      <c r="CK205" s="39" t="n"/>
      <c r="CL205" s="317" t="n"/>
      <c r="CM205" s="39" t="n"/>
      <c r="CN205" s="317" t="n"/>
      <c r="CO205" s="39" t="n"/>
      <c r="CP205" s="317" t="n"/>
      <c r="CQ205" s="39" t="n"/>
      <c r="CR205" s="317" t="n"/>
      <c r="CS205" s="39" t="n"/>
      <c r="CT205" s="317" t="n"/>
      <c r="CU205" s="39" t="n"/>
      <c r="CV205" s="343" t="n"/>
      <c r="CW205" s="317" t="n"/>
      <c r="CX205" s="39" t="n"/>
      <c r="CY205" s="317" t="n"/>
      <c r="CZ205" s="39" t="n"/>
      <c r="DA205" s="317" t="n"/>
      <c r="DB205" s="39" t="n"/>
      <c r="DC205" s="317" t="n"/>
      <c r="DD205" s="39" t="n"/>
      <c r="DE205" s="319" t="n"/>
      <c r="DF205" s="319" t="n"/>
    </row>
    <row r="206" ht="13" customFormat="1" customHeight="1" s="116">
      <c r="A206" s="342" t="inlineStr">
        <is>
          <t>2019年</t>
        </is>
      </c>
      <c r="B206" s="317" t="n">
        <v>270161.2000000001</v>
      </c>
      <c r="C206" s="343">
        <f>B206/B205-1</f>
        <v/>
      </c>
      <c r="D206" s="39" t="n"/>
      <c r="E206" s="317" t="n">
        <v>171662.3</v>
      </c>
      <c r="F206" s="343">
        <f>E206/E205-1</f>
        <v/>
      </c>
      <c r="G206" s="39" t="n"/>
      <c r="H206" s="317" t="n">
        <v>92091.80000000002</v>
      </c>
      <c r="I206" s="343">
        <f>H206/H205-1</f>
        <v/>
      </c>
      <c r="J206" s="39" t="n"/>
      <c r="K206" s="317" t="n">
        <v>6407.1</v>
      </c>
      <c r="L206" s="343">
        <f>K206/K205-1</f>
        <v/>
      </c>
      <c r="M206" s="39" t="n"/>
      <c r="N206" s="317" t="n">
        <v>221557.41</v>
      </c>
      <c r="O206" s="343">
        <f>N206/N205-1</f>
        <v/>
      </c>
      <c r="P206" s="39" t="n"/>
      <c r="Q206" s="317" t="n">
        <v>142834.95</v>
      </c>
      <c r="R206" s="343">
        <f>Q206/Q205-1</f>
        <v/>
      </c>
      <c r="S206" s="39" t="n"/>
      <c r="T206" s="317" t="n">
        <v>73676.61</v>
      </c>
      <c r="U206" s="343">
        <f>T206/T205-1</f>
        <v/>
      </c>
      <c r="V206" s="39" t="n"/>
      <c r="W206" s="317" t="n">
        <v>5045.82</v>
      </c>
      <c r="X206" s="343">
        <f>W206/W205-1</f>
        <v/>
      </c>
      <c r="Y206" s="39" t="n"/>
      <c r="Z206" s="317" t="n">
        <v>130211.92</v>
      </c>
      <c r="AA206" s="343">
        <f>Z206/Z205-1</f>
        <v/>
      </c>
      <c r="AB206" s="39" t="n"/>
      <c r="AC206" s="317" t="n">
        <v>108950.78</v>
      </c>
      <c r="AD206" s="343">
        <f>AC206/AC205-1</f>
        <v/>
      </c>
      <c r="AE206" s="39" t="n"/>
      <c r="AF206" s="317" t="n">
        <v>17551.34</v>
      </c>
      <c r="AG206" s="343">
        <f>AF206/AF205-1</f>
        <v/>
      </c>
      <c r="AH206" s="39" t="n"/>
      <c r="AI206" s="317" t="n">
        <v>3709.86</v>
      </c>
      <c r="AJ206" s="343">
        <f>AI206/AI205-1</f>
        <v/>
      </c>
      <c r="AK206" s="39" t="n"/>
      <c r="AL206" s="182" t="n">
        <v>82.02083333333333</v>
      </c>
      <c r="AM206" s="182">
        <f>AL206-AL204</f>
        <v/>
      </c>
      <c r="AN206" s="179" t="n"/>
      <c r="AO206" s="182" t="n">
        <v>83.215</v>
      </c>
      <c r="AP206" s="182">
        <f>AO206-AO204</f>
        <v/>
      </c>
      <c r="AQ206" s="179" t="n"/>
      <c r="AR206" s="182" t="n">
        <v>80.03916666666667</v>
      </c>
      <c r="AS206" s="182">
        <f>AR206-AR204</f>
        <v/>
      </c>
      <c r="AT206" s="179" t="n"/>
      <c r="AU206" s="182" t="n">
        <v>78.35083333333334</v>
      </c>
      <c r="AV206" s="182">
        <f>AU206-AU204</f>
        <v/>
      </c>
      <c r="AW206" s="179" t="n"/>
      <c r="AX206" s="268" t="n"/>
      <c r="AY206" s="353" t="n"/>
      <c r="AZ206" s="39" t="n"/>
      <c r="BA206" s="317" t="n"/>
      <c r="BB206" s="39" t="n"/>
      <c r="BC206" s="317" t="n"/>
      <c r="BD206" s="39" t="n"/>
      <c r="BE206" s="317" t="n"/>
      <c r="BF206" s="39" t="n"/>
      <c r="BG206" s="317" t="n"/>
      <c r="BH206" s="39" t="n"/>
      <c r="BI206" s="317" t="n"/>
      <c r="BJ206" s="39" t="n"/>
      <c r="BK206" s="317" t="n"/>
      <c r="BL206" s="39" t="n"/>
      <c r="BM206" s="317" t="n"/>
      <c r="BN206" s="39" t="n"/>
      <c r="BO206" s="317" t="n"/>
      <c r="BP206" s="317" t="n"/>
      <c r="BQ206" s="39" t="n"/>
      <c r="BR206" s="317" t="n"/>
      <c r="BS206" s="39" t="n"/>
      <c r="BT206" s="317" t="n"/>
      <c r="BU206" s="39" t="n"/>
      <c r="BV206" s="317" t="n"/>
      <c r="BW206" s="39" t="n"/>
      <c r="BX206" s="317" t="n"/>
      <c r="BY206" s="39" t="n"/>
      <c r="BZ206" s="317" t="n"/>
      <c r="CA206" s="39" t="n"/>
      <c r="CB206" s="317" t="n"/>
      <c r="CC206" s="39" t="n"/>
      <c r="CD206" s="317" t="n"/>
      <c r="CE206" s="39" t="n"/>
      <c r="CF206" s="317" t="n"/>
      <c r="CG206" s="39" t="n"/>
      <c r="CH206" s="317" t="n"/>
      <c r="CI206" s="39" t="n"/>
      <c r="CJ206" s="317" t="n"/>
      <c r="CK206" s="39" t="n"/>
      <c r="CL206" s="317" t="n"/>
      <c r="CM206" s="39" t="n"/>
      <c r="CN206" s="317" t="n"/>
      <c r="CO206" s="39" t="n"/>
      <c r="CP206" s="317" t="n"/>
      <c r="CQ206" s="39" t="n"/>
      <c r="CR206" s="317" t="n"/>
      <c r="CS206" s="39" t="n"/>
      <c r="CT206" s="317" t="n"/>
      <c r="CU206" s="39" t="n"/>
      <c r="CV206" s="343" t="n"/>
      <c r="CW206" s="317" t="n"/>
      <c r="CX206" s="39" t="n"/>
      <c r="CY206" s="317" t="n"/>
      <c r="CZ206" s="39" t="n"/>
      <c r="DA206" s="317" t="n"/>
      <c r="DB206" s="39" t="n"/>
      <c r="DC206" s="317" t="n"/>
      <c r="DD206" s="39" t="n"/>
      <c r="DE206" s="319" t="n"/>
      <c r="DF206" s="319" t="n"/>
    </row>
    <row r="207" ht="13" customFormat="1" customHeight="1" s="119">
      <c r="A207" s="419" t="inlineStr">
        <is>
          <t>2020年</t>
        </is>
      </c>
      <c r="B207" s="340" t="n">
        <v>152070.93</v>
      </c>
      <c r="C207" s="343">
        <f>B207/B206-1</f>
        <v/>
      </c>
      <c r="D207" s="39" t="n"/>
      <c r="E207" s="340" t="n">
        <v>134730.48</v>
      </c>
      <c r="F207" s="420">
        <f>E207/E206-1</f>
        <v/>
      </c>
      <c r="G207" s="196" t="n"/>
      <c r="H207" s="340" t="n">
        <v>16434.63</v>
      </c>
      <c r="I207" s="420">
        <f>H207/H206-1</f>
        <v/>
      </c>
      <c r="J207" s="196" t="n"/>
      <c r="K207" s="340" t="n">
        <v>905.8</v>
      </c>
      <c r="L207" s="420">
        <f>K207/K206-1</f>
        <v/>
      </c>
      <c r="M207" s="196" t="n"/>
      <c r="N207" s="340" t="n">
        <v>107301.55</v>
      </c>
      <c r="O207" s="420">
        <f>N207/N206-1</f>
        <v/>
      </c>
      <c r="P207" s="196" t="n"/>
      <c r="Q207" s="340" t="n">
        <v>96233.88999999998</v>
      </c>
      <c r="R207" s="420">
        <f>Q207/Q206-1</f>
        <v/>
      </c>
      <c r="S207" s="196" t="n"/>
      <c r="T207" s="340" t="n">
        <v>10609.7</v>
      </c>
      <c r="U207" s="420">
        <f>T207/T206-1</f>
        <v/>
      </c>
      <c r="V207" s="196" t="n"/>
      <c r="W207" s="340" t="n">
        <v>457.9499999999999</v>
      </c>
      <c r="X207" s="420">
        <f>W207/W206-1</f>
        <v/>
      </c>
      <c r="Y207" s="196" t="n"/>
      <c r="Z207" s="340" t="n">
        <v>74487.79000000001</v>
      </c>
      <c r="AA207" s="420">
        <f>Z207/Z206-1</f>
        <v/>
      </c>
      <c r="AB207" s="196" t="n"/>
      <c r="AC207" s="340" t="n">
        <v>71897.25999999999</v>
      </c>
      <c r="AD207" s="420">
        <f>AC207/AC206-1</f>
        <v/>
      </c>
      <c r="AE207" s="196" t="n"/>
      <c r="AF207" s="340" t="n">
        <v>2241.26</v>
      </c>
      <c r="AG207" s="420">
        <f>AF207/AF206-1</f>
        <v/>
      </c>
      <c r="AH207" s="196" t="n"/>
      <c r="AI207" s="340" t="n">
        <v>349.3000000000001</v>
      </c>
      <c r="AJ207" s="420">
        <f>AI207/AI206-1</f>
        <v/>
      </c>
      <c r="AK207" s="196" t="n"/>
      <c r="AL207" s="421" t="n">
        <v>67.90166666666666</v>
      </c>
      <c r="AM207" s="421">
        <f>AL207-AL205</f>
        <v/>
      </c>
      <c r="AN207" s="340" t="n"/>
      <c r="AO207" s="421" t="n">
        <v>68.26166666666667</v>
      </c>
      <c r="AP207" s="421">
        <f>AO207-AO205</f>
        <v/>
      </c>
      <c r="AQ207" s="340" t="n"/>
      <c r="AR207" s="421" t="n">
        <v>50.75166666666667</v>
      </c>
      <c r="AS207" s="421">
        <f>AR207-AR205</f>
        <v/>
      </c>
      <c r="AT207" s="340" t="n"/>
      <c r="AU207" s="421" t="n">
        <v>31.715</v>
      </c>
      <c r="AV207" s="421">
        <f>AU207-AU205</f>
        <v/>
      </c>
      <c r="AW207" s="340" t="n"/>
      <c r="AX207" s="340" t="n"/>
      <c r="AY207" s="420" t="n"/>
      <c r="AZ207" s="340" t="n"/>
      <c r="BA207" s="340" t="n"/>
      <c r="BB207" s="340" t="n"/>
      <c r="BC207" s="340" t="n"/>
      <c r="BD207" s="340" t="n"/>
      <c r="BE207" s="340" t="n"/>
      <c r="BF207" s="340" t="n"/>
      <c r="BG207" s="340" t="n"/>
      <c r="BH207" s="340" t="n"/>
      <c r="BI207" s="340" t="n"/>
      <c r="BJ207" s="340" t="n"/>
      <c r="BK207" s="340" t="n"/>
      <c r="BL207" s="340" t="n"/>
      <c r="BM207" s="340" t="n"/>
      <c r="BN207" s="340" t="n"/>
      <c r="BO207" s="340" t="n"/>
      <c r="BP207" s="340" t="n"/>
      <c r="BQ207" s="340" t="n"/>
      <c r="BR207" s="340" t="n"/>
      <c r="BS207" s="340" t="n"/>
      <c r="BT207" s="340" t="n"/>
      <c r="BU207" s="340" t="n"/>
      <c r="BV207" s="340" t="n"/>
      <c r="BW207" s="340" t="n"/>
      <c r="BX207" s="340" t="n"/>
      <c r="BY207" s="340" t="n"/>
      <c r="BZ207" s="340" t="n"/>
      <c r="CA207" s="340" t="n"/>
      <c r="CB207" s="340" t="n"/>
      <c r="CC207" s="340" t="n"/>
      <c r="CD207" s="340" t="n"/>
      <c r="CE207" s="340" t="n"/>
      <c r="CF207" s="340" t="n"/>
      <c r="CG207" s="340" t="n"/>
      <c r="CH207" s="340" t="n"/>
      <c r="CI207" s="340" t="n"/>
      <c r="CJ207" s="340" t="n"/>
      <c r="CK207" s="340" t="n"/>
      <c r="CL207" s="340" t="n"/>
      <c r="CM207" s="340" t="n"/>
      <c r="CN207" s="340" t="n"/>
      <c r="CO207" s="340" t="n"/>
      <c r="CP207" s="340" t="n"/>
      <c r="CQ207" s="340" t="n"/>
      <c r="CR207" s="340" t="n"/>
      <c r="CS207" s="340" t="n"/>
      <c r="CT207" s="340" t="n"/>
      <c r="CU207" s="340" t="n"/>
      <c r="CV207" s="340" t="n"/>
      <c r="CW207" s="340" t="n"/>
      <c r="CX207" s="340" t="n"/>
      <c r="CY207" s="340" t="n"/>
      <c r="CZ207" s="340" t="n"/>
      <c r="DA207" s="340" t="n"/>
      <c r="DB207" s="340" t="n"/>
      <c r="DC207" s="340" t="n"/>
      <c r="DD207" s="340" t="n"/>
      <c r="DE207" s="340" t="n"/>
      <c r="DF207" s="340" t="n"/>
    </row>
    <row r="208" ht="13" customFormat="1" customHeight="1" s="119">
      <c r="A208" s="419" t="inlineStr">
        <is>
          <t>2021年</t>
        </is>
      </c>
      <c r="B208" s="340" t="n">
        <v>160691.81</v>
      </c>
      <c r="C208" s="343">
        <f>B208/B207-1</f>
        <v/>
      </c>
      <c r="D208" s="39" t="n"/>
      <c r="E208" s="340" t="n">
        <v>155996.78</v>
      </c>
      <c r="F208" s="420">
        <f>E208/E207-1</f>
        <v/>
      </c>
      <c r="G208" s="196" t="n"/>
      <c r="H208" s="340" t="n">
        <v>3959.69</v>
      </c>
      <c r="I208" s="420">
        <f>H208/H207-1</f>
        <v/>
      </c>
      <c r="J208" s="196" t="n"/>
      <c r="K208" s="340" t="n">
        <v>735.3699999999999</v>
      </c>
      <c r="L208" s="420">
        <f>K208/K207-1</f>
        <v/>
      </c>
      <c r="M208" s="196" t="n"/>
      <c r="N208" s="340" t="n">
        <v>108787.4</v>
      </c>
      <c r="O208" s="420">
        <f>N208/N207-1</f>
        <v/>
      </c>
      <c r="P208" s="196" t="n"/>
      <c r="Q208" s="340" t="n">
        <v>106588.69</v>
      </c>
      <c r="R208" s="420">
        <f>Q208/Q207-1</f>
        <v/>
      </c>
      <c r="S208" s="196" t="n"/>
      <c r="T208" s="340" t="n">
        <v>1788.77</v>
      </c>
      <c r="U208" s="420">
        <f>T208/T207-1</f>
        <v/>
      </c>
      <c r="V208" s="196" t="n"/>
      <c r="W208" s="340" t="n">
        <v>409.93</v>
      </c>
      <c r="X208" s="420">
        <f>W208/W207-1</f>
        <v/>
      </c>
      <c r="Y208" s="196" t="n"/>
      <c r="Z208" s="340" t="n">
        <v>79054.64</v>
      </c>
      <c r="AA208" s="420">
        <f>Z208/Z207-1</f>
        <v/>
      </c>
      <c r="AB208" s="196" t="n"/>
      <c r="AC208" s="340" t="n">
        <v>78512.74000000001</v>
      </c>
      <c r="AD208" s="420">
        <f>AC208/AC207-1</f>
        <v/>
      </c>
      <c r="AE208" s="196" t="n"/>
      <c r="AF208" s="340" t="n">
        <v>267.37</v>
      </c>
      <c r="AG208" s="420">
        <f>AF208/AF207-1</f>
        <v/>
      </c>
      <c r="AH208" s="196" t="n"/>
      <c r="AI208" s="340" t="n">
        <v>274.51</v>
      </c>
      <c r="AJ208" s="420">
        <f>AI208/AI207-1</f>
        <v/>
      </c>
      <c r="AK208" s="196" t="n"/>
      <c r="AL208" s="421" t="n">
        <v>66.24833333333333</v>
      </c>
      <c r="AM208" s="421">
        <f>AL208-AL206</f>
        <v/>
      </c>
      <c r="AN208" s="340" t="n"/>
      <c r="AO208" s="421" t="n">
        <v>66.81583333333333</v>
      </c>
      <c r="AP208" s="421">
        <f>AO208-AO206</f>
        <v/>
      </c>
      <c r="AQ208" s="340" t="n"/>
      <c r="AR208" s="421" t="n">
        <v>45.8</v>
      </c>
      <c r="AS208" s="421">
        <f>AR208-AR206</f>
        <v/>
      </c>
      <c r="AT208" s="340" t="n"/>
      <c r="AU208" s="421" t="n">
        <v>53.84833333333333</v>
      </c>
      <c r="AV208" s="421">
        <f>AU208-AU206</f>
        <v/>
      </c>
      <c r="AW208" s="340" t="n"/>
      <c r="AX208" s="340" t="n"/>
      <c r="AY208" s="420" t="n"/>
      <c r="AZ208" s="340" t="n"/>
      <c r="BA208" s="340" t="n"/>
      <c r="BB208" s="340" t="n"/>
      <c r="BC208" s="340" t="n"/>
      <c r="BD208" s="340" t="n"/>
      <c r="BE208" s="340" t="n"/>
      <c r="BF208" s="340" t="n"/>
      <c r="BG208" s="340" t="n"/>
      <c r="BH208" s="340" t="n"/>
      <c r="BI208" s="340" t="n"/>
      <c r="BJ208" s="340" t="n"/>
      <c r="BK208" s="340" t="n"/>
      <c r="BL208" s="340" t="n"/>
      <c r="BM208" s="340" t="n"/>
      <c r="BN208" s="340" t="n"/>
      <c r="BO208" s="340" t="n"/>
      <c r="BP208" s="340" t="n"/>
      <c r="BQ208" s="340" t="n"/>
      <c r="BR208" s="340" t="n"/>
      <c r="BS208" s="340" t="n"/>
      <c r="BT208" s="340" t="n"/>
      <c r="BU208" s="340" t="n"/>
      <c r="BV208" s="340" t="n"/>
      <c r="BW208" s="340" t="n"/>
      <c r="BX208" s="340" t="n"/>
      <c r="BY208" s="340" t="n"/>
      <c r="BZ208" s="340" t="n"/>
      <c r="CA208" s="340" t="n"/>
      <c r="CB208" s="340" t="n"/>
      <c r="CC208" s="340" t="n"/>
      <c r="CD208" s="340" t="n"/>
      <c r="CE208" s="340" t="n"/>
      <c r="CF208" s="340" t="n"/>
      <c r="CG208" s="340" t="n"/>
      <c r="CH208" s="340" t="n"/>
      <c r="CI208" s="340" t="n"/>
      <c r="CJ208" s="340" t="n"/>
      <c r="CK208" s="340" t="n"/>
      <c r="CL208" s="340" t="n"/>
      <c r="CM208" s="340" t="n"/>
      <c r="CN208" s="340" t="n"/>
      <c r="CO208" s="340" t="n"/>
      <c r="CP208" s="340" t="n"/>
      <c r="CQ208" s="340" t="n"/>
      <c r="CR208" s="340" t="n"/>
      <c r="CS208" s="340" t="n"/>
      <c r="CT208" s="340" t="n"/>
      <c r="CU208" s="340" t="n"/>
      <c r="CV208" s="340" t="n"/>
      <c r="CW208" s="340" t="n"/>
      <c r="CX208" s="340" t="n"/>
      <c r="CY208" s="340" t="n"/>
      <c r="CZ208" s="340" t="n"/>
      <c r="DA208" s="340" t="n"/>
      <c r="DB208" s="340" t="n"/>
      <c r="DC208" s="340" t="n"/>
      <c r="DD208" s="340" t="n"/>
      <c r="DE208" s="340" t="n"/>
      <c r="DF208" s="340" t="n"/>
    </row>
    <row r="209" ht="13" customFormat="1" customHeight="1" s="116">
      <c r="A209" s="342" t="inlineStr">
        <is>
          <t>2022年</t>
        </is>
      </c>
      <c r="B209" s="317" t="n">
        <v>96179.65000000001</v>
      </c>
      <c r="C209" s="353">
        <f>B209/B208-1</f>
        <v/>
      </c>
      <c r="D209" s="142" t="n"/>
      <c r="E209" s="317" t="n">
        <v>92181.28</v>
      </c>
      <c r="F209" s="353">
        <f>E209/E208-1</f>
        <v/>
      </c>
      <c r="G209" s="142" t="n"/>
      <c r="H209" s="317" t="n">
        <v>3571.130000000001</v>
      </c>
      <c r="I209" s="353">
        <f>H209/H208-1</f>
        <v/>
      </c>
      <c r="J209" s="142" t="n"/>
      <c r="K209" s="317" t="n">
        <v>427.2599999999999</v>
      </c>
      <c r="L209" s="353">
        <f>K209/K208-1</f>
        <v/>
      </c>
      <c r="M209" s="142" t="n"/>
      <c r="N209" s="317" t="n">
        <v>61271.6</v>
      </c>
      <c r="O209" s="353">
        <f>N209/N208-1</f>
        <v/>
      </c>
      <c r="P209" s="142" t="n"/>
      <c r="Q209" s="317" t="n">
        <v>59019.01</v>
      </c>
      <c r="R209" s="353">
        <f>Q209/Q208-1</f>
        <v/>
      </c>
      <c r="S209" s="142" t="n"/>
      <c r="T209" s="317" t="n">
        <v>2014.19</v>
      </c>
      <c r="U209" s="353">
        <f>T209/T208-1</f>
        <v/>
      </c>
      <c r="V209" s="142" t="n"/>
      <c r="W209" s="317" t="n">
        <v>238.41</v>
      </c>
      <c r="X209" s="353">
        <f>W209/W208-1</f>
        <v/>
      </c>
      <c r="Y209" s="142" t="n"/>
      <c r="Z209" s="317" t="n">
        <v>42527.61</v>
      </c>
      <c r="AA209" s="353">
        <f>Z209/Z208-1</f>
        <v/>
      </c>
      <c r="AB209" s="142" t="n"/>
      <c r="AC209" s="317" t="n">
        <v>42044.92000000001</v>
      </c>
      <c r="AD209" s="353">
        <f>AC209/AC208-1</f>
        <v/>
      </c>
      <c r="AE209" s="142" t="n"/>
      <c r="AF209" s="317" t="n">
        <v>322.0700000000001</v>
      </c>
      <c r="AG209" s="353">
        <f>AF209/AF208-1</f>
        <v/>
      </c>
      <c r="AH209" s="142" t="n"/>
      <c r="AI209" s="317" t="n">
        <v>160.62</v>
      </c>
      <c r="AJ209" s="353">
        <f>AI209/AI208-1</f>
        <v/>
      </c>
      <c r="AK209" s="142" t="n"/>
      <c r="AL209" s="182" t="n">
        <v>63.23916666666667</v>
      </c>
      <c r="AM209" s="182">
        <f>AL209-AL207</f>
        <v/>
      </c>
      <c r="AN209" s="317" t="n"/>
      <c r="AO209" s="182" t="n">
        <v>63.65583333333333</v>
      </c>
      <c r="AP209" s="182">
        <f>AO209-AO207</f>
        <v/>
      </c>
      <c r="AQ209" s="317" t="n"/>
      <c r="AR209" s="182" t="n">
        <v>54.55333333333333</v>
      </c>
      <c r="AS209" s="182">
        <f>AR209-AR207</f>
        <v/>
      </c>
      <c r="AT209" s="317" t="n"/>
      <c r="AU209" s="182" t="n">
        <v>47.65166666666667</v>
      </c>
      <c r="AV209" s="182">
        <f>AU209-AU207</f>
        <v/>
      </c>
      <c r="AW209" s="427" t="n"/>
      <c r="AX209" s="317" t="n"/>
      <c r="AY209" s="353" t="n"/>
      <c r="AZ209" s="142" t="n"/>
      <c r="BA209" s="317" t="n"/>
      <c r="BB209" s="142" t="n"/>
      <c r="BC209" s="317" t="n"/>
      <c r="BD209" s="142" t="n"/>
      <c r="BE209" s="317" t="n"/>
      <c r="BF209" s="142" t="n"/>
      <c r="BG209" s="317" t="n"/>
      <c r="BH209" s="317" t="n"/>
      <c r="BI209" s="317" t="n"/>
      <c r="BJ209" s="317" t="n"/>
      <c r="BK209" s="317" t="n"/>
      <c r="BL209" s="317" t="n"/>
      <c r="BM209" s="317" t="n"/>
      <c r="BN209" s="317" t="n"/>
      <c r="BO209" s="317" t="n"/>
      <c r="BP209" s="317" t="n"/>
      <c r="BQ209" s="142" t="n"/>
      <c r="BR209" s="317" t="n"/>
      <c r="BS209" s="142" t="n"/>
      <c r="BT209" s="317" t="n"/>
      <c r="BU209" s="142" t="n"/>
      <c r="BV209" s="317" t="n"/>
      <c r="BW209" s="142" t="n"/>
      <c r="BX209" s="317" t="n"/>
      <c r="BY209" s="142" t="n"/>
      <c r="BZ209" s="317" t="n"/>
      <c r="CA209" s="142" t="n"/>
      <c r="CB209" s="317" t="n"/>
      <c r="CC209" s="142" t="n"/>
      <c r="CD209" s="317" t="n"/>
      <c r="CE209" s="142" t="n"/>
      <c r="CF209" s="317" t="n"/>
      <c r="CG209" s="317" t="n"/>
      <c r="CH209" s="317" t="n"/>
      <c r="CI209" s="317" t="n"/>
      <c r="CJ209" s="317" t="n"/>
      <c r="CK209" s="317" t="n"/>
      <c r="CL209" s="317" t="n"/>
      <c r="CM209" s="317" t="n"/>
      <c r="CN209" s="317" t="n"/>
      <c r="CO209" s="317" t="n"/>
      <c r="CP209" s="142" t="n"/>
      <c r="CQ209" s="317" t="n"/>
      <c r="CR209" s="142" t="n"/>
      <c r="CS209" s="317" t="n"/>
      <c r="CT209" s="142" t="n"/>
      <c r="CU209" s="317" t="n"/>
      <c r="CV209" s="142" t="n"/>
      <c r="CW209" s="317" t="n"/>
      <c r="CX209" s="142" t="n"/>
      <c r="CY209" s="317" t="n"/>
      <c r="CZ209" s="142" t="n"/>
      <c r="DA209" s="317" t="n"/>
      <c r="DB209" s="142" t="n"/>
      <c r="DC209" s="317" t="n"/>
      <c r="DD209" s="142" t="n"/>
      <c r="DE209" s="317" t="n"/>
      <c r="DF209" s="317" t="n"/>
    </row>
    <row r="210" ht="13" customFormat="1" customHeight="1" s="119">
      <c r="A210" s="419" t="inlineStr">
        <is>
          <t>2023年</t>
        </is>
      </c>
      <c r="B210" s="340" t="n">
        <v>244974.74</v>
      </c>
      <c r="C210" s="420">
        <f>B210/B209-1</f>
        <v/>
      </c>
      <c r="D210" s="420">
        <f>B210/B206-1</f>
        <v/>
      </c>
      <c r="E210" s="340" t="n">
        <v>199829.45</v>
      </c>
      <c r="F210" s="420">
        <f>E210/E209-1</f>
        <v/>
      </c>
      <c r="G210" s="420">
        <f>E210/E206-1</f>
        <v/>
      </c>
      <c r="H210" s="340" t="n">
        <v>40341.7</v>
      </c>
      <c r="I210" s="420">
        <f>H210/H209-1</f>
        <v/>
      </c>
      <c r="J210" s="420">
        <f>H210/H206-1</f>
        <v/>
      </c>
      <c r="K210" s="340" t="n">
        <v>4803.62</v>
      </c>
      <c r="L210" s="420">
        <f>K210/K209-1</f>
        <v/>
      </c>
      <c r="M210" s="420">
        <f>K210/K206-1</f>
        <v/>
      </c>
      <c r="N210" s="340" t="n">
        <v>182294.72</v>
      </c>
      <c r="O210" s="420">
        <f>N210/N209-1</f>
        <v/>
      </c>
      <c r="P210" s="420">
        <f>N210/N206-1</f>
        <v/>
      </c>
      <c r="Q210" s="340" t="n">
        <v>149928.58</v>
      </c>
      <c r="R210" s="420">
        <f>Q210/Q209-1</f>
        <v/>
      </c>
      <c r="S210" s="420">
        <f>Q210/Q206-1</f>
        <v/>
      </c>
      <c r="T210" s="340" t="n">
        <v>28843.92</v>
      </c>
      <c r="U210" s="420">
        <f>T210/T209-1</f>
        <v/>
      </c>
      <c r="V210" s="420">
        <f>T210/T206-1</f>
        <v/>
      </c>
      <c r="W210" s="340" t="n">
        <v>3522.24</v>
      </c>
      <c r="X210" s="420">
        <f>W210/W209-1</f>
        <v/>
      </c>
      <c r="Y210" s="420">
        <f>W210/W206-1</f>
        <v/>
      </c>
      <c r="Z210" s="340" t="n">
        <v>115639.88</v>
      </c>
      <c r="AA210" s="420">
        <f>Z210/Z209-1</f>
        <v/>
      </c>
      <c r="AB210" s="420">
        <f>Z210/Z206-1</f>
        <v/>
      </c>
      <c r="AC210" s="340" t="n">
        <v>106308.46</v>
      </c>
      <c r="AD210" s="420">
        <f>AC210/AC209-1</f>
        <v/>
      </c>
      <c r="AE210" s="420">
        <f>AC210/AC206-1</f>
        <v/>
      </c>
      <c r="AF210" s="340" t="n">
        <v>6820.6</v>
      </c>
      <c r="AG210" s="420">
        <f>AF210/AF209-1</f>
        <v/>
      </c>
      <c r="AH210" s="420">
        <f>AF210/AF206-1</f>
        <v/>
      </c>
      <c r="AI210" s="340" t="n">
        <v>2510.86</v>
      </c>
      <c r="AJ210" s="420">
        <f>AI210/AI209-1</f>
        <v/>
      </c>
      <c r="AK210" s="420">
        <f>AI210/AI206-1</f>
        <v/>
      </c>
      <c r="AL210" s="421" t="n">
        <v>74.05416666666666</v>
      </c>
      <c r="AM210" s="421">
        <f>AL210-AL208</f>
        <v/>
      </c>
      <c r="AN210" s="421">
        <f>AL210-AL206</f>
        <v/>
      </c>
      <c r="AO210" s="421" t="n">
        <v>74.86833333333333</v>
      </c>
      <c r="AP210" s="421">
        <f>AO210-AO208</f>
        <v/>
      </c>
      <c r="AQ210" s="421">
        <f>AO210-AO206</f>
        <v/>
      </c>
      <c r="AR210" s="421" t="n">
        <v>69.24166666666666</v>
      </c>
      <c r="AS210" s="421">
        <f>AR210-AR208</f>
        <v/>
      </c>
      <c r="AT210" s="421">
        <f>AR210-AR206</f>
        <v/>
      </c>
      <c r="AU210" s="421" t="n">
        <v>73.30083333333333</v>
      </c>
      <c r="AV210" s="421">
        <f>AU210-AU208</f>
        <v/>
      </c>
      <c r="AW210" s="421">
        <f>AU210-AU206</f>
        <v/>
      </c>
      <c r="AX210" s="340" t="n"/>
      <c r="AY210" s="420" t="n"/>
      <c r="AZ210" s="420" t="n"/>
      <c r="BA210" s="340" t="n"/>
      <c r="BB210" s="340" t="n"/>
      <c r="BC210" s="340" t="n"/>
      <c r="BD210" s="340" t="n"/>
      <c r="BE210" s="340" t="n"/>
      <c r="BF210" s="340" t="n"/>
      <c r="BG210" s="340" t="n"/>
      <c r="BH210" s="340" t="n"/>
      <c r="BI210" s="340" t="n"/>
      <c r="BJ210" s="340" t="n"/>
      <c r="BK210" s="340" t="n"/>
      <c r="BL210" s="340" t="n"/>
      <c r="BM210" s="340" t="n"/>
      <c r="BN210" s="340" t="n"/>
      <c r="BO210" s="340" t="n"/>
      <c r="BP210" s="340" t="n"/>
      <c r="BQ210" s="340" t="n"/>
      <c r="BR210" s="340" t="n"/>
      <c r="BS210" s="340" t="n"/>
      <c r="BT210" s="340" t="n"/>
      <c r="BU210" s="340" t="n"/>
      <c r="BV210" s="340" t="n"/>
      <c r="BW210" s="340" t="n"/>
      <c r="BX210" s="340" t="n"/>
      <c r="BY210" s="340" t="n"/>
      <c r="BZ210" s="340" t="n"/>
      <c r="CA210" s="340" t="n"/>
      <c r="CB210" s="340" t="n"/>
      <c r="CC210" s="340" t="n"/>
      <c r="CD210" s="340" t="n"/>
      <c r="CE210" s="340" t="n"/>
      <c r="CF210" s="340" t="n"/>
      <c r="CG210" s="340" t="n"/>
      <c r="CH210" s="340" t="n"/>
      <c r="CI210" s="340" t="n"/>
      <c r="CJ210" s="340" t="n"/>
      <c r="CK210" s="340" t="n"/>
      <c r="CL210" s="340" t="n"/>
      <c r="CM210" s="340" t="n"/>
      <c r="CN210" s="340" t="n"/>
      <c r="CO210" s="340" t="n"/>
      <c r="CP210" s="340" t="n"/>
      <c r="CQ210" s="340" t="n"/>
      <c r="CR210" s="340" t="n"/>
      <c r="CS210" s="340" t="n"/>
      <c r="CT210" s="340" t="n"/>
      <c r="CU210" s="340" t="n"/>
      <c r="CV210" s="340" t="n"/>
      <c r="CW210" s="340" t="n"/>
      <c r="CX210" s="340" t="n"/>
      <c r="CY210" s="340" t="n"/>
      <c r="CZ210" s="340" t="n"/>
      <c r="DA210" s="340" t="n"/>
      <c r="DB210" s="340" t="n"/>
      <c r="DC210" s="340" t="n"/>
      <c r="DD210" s="340" t="n"/>
      <c r="DE210" s="340" t="n"/>
      <c r="DF210" s="340" t="n"/>
      <c r="DG210" s="340" t="n"/>
    </row>
    <row r="211" ht="13" customFormat="1" customHeight="1" s="119">
      <c r="A211" s="419" t="inlineStr">
        <is>
          <t>2024年</t>
        </is>
      </c>
      <c r="B211" s="340" t="n">
        <v>296909.2000000001</v>
      </c>
      <c r="C211" s="420">
        <f>B211/B210-1</f>
        <v/>
      </c>
      <c r="D211" s="420">
        <f>B211/B206-1</f>
        <v/>
      </c>
      <c r="E211" s="340" t="n">
        <v>202445.08</v>
      </c>
      <c r="F211" s="420">
        <f>E211/E210-1</f>
        <v/>
      </c>
      <c r="G211" s="420">
        <f>E211/E206-1</f>
        <v/>
      </c>
      <c r="H211" s="340" t="n">
        <v>87802.99000000001</v>
      </c>
      <c r="I211" s="420">
        <f>H211/H210-1</f>
        <v/>
      </c>
      <c r="J211" s="420">
        <f>H211/H206-1</f>
        <v/>
      </c>
      <c r="K211" s="340" t="n">
        <v>6661.12</v>
      </c>
      <c r="L211" s="420">
        <f>K211/K210-1</f>
        <v/>
      </c>
      <c r="M211" s="420">
        <f>K211/K206-1</f>
        <v/>
      </c>
      <c r="N211" s="340" t="n">
        <v>245894.47</v>
      </c>
      <c r="O211" s="420">
        <f>N211/N210-1</f>
        <v/>
      </c>
      <c r="P211" s="420">
        <f>N211/N206-1</f>
        <v/>
      </c>
      <c r="Q211" s="340" t="n">
        <v>170121.76</v>
      </c>
      <c r="R211" s="420">
        <f>Q211/Q210-1</f>
        <v/>
      </c>
      <c r="S211" s="420">
        <f>Q211/Q206-1</f>
        <v/>
      </c>
      <c r="T211" s="340" t="n">
        <v>70543.03999999999</v>
      </c>
      <c r="U211" s="420">
        <f>T211/T210-1</f>
        <v/>
      </c>
      <c r="V211" s="420">
        <f>T211/T206-1</f>
        <v/>
      </c>
      <c r="W211" s="340" t="n">
        <v>5229.67</v>
      </c>
      <c r="X211" s="420">
        <f>W211/W210-1</f>
        <v/>
      </c>
      <c r="Y211" s="420">
        <f>W211/W206-1</f>
        <v/>
      </c>
      <c r="Z211" s="340" t="n">
        <v>140583.2</v>
      </c>
      <c r="AA211" s="420">
        <f>Z211/Z210-1</f>
        <v/>
      </c>
      <c r="AB211" s="420">
        <f>Z211/Z206-1</f>
        <v/>
      </c>
      <c r="AC211" s="340" t="n">
        <v>119689.14</v>
      </c>
      <c r="AD211" s="420">
        <f>AC211/AC210-1</f>
        <v/>
      </c>
      <c r="AE211" s="420">
        <f>AC211/AC206-1</f>
        <v/>
      </c>
      <c r="AF211" s="340" t="n">
        <v>17166.84</v>
      </c>
      <c r="AG211" s="420">
        <f>AF211/AF210-1</f>
        <v/>
      </c>
      <c r="AH211" s="420">
        <f>AF211/AF206-1</f>
        <v/>
      </c>
      <c r="AI211" s="340" t="n">
        <v>3727.24</v>
      </c>
      <c r="AJ211" s="420">
        <f>AI211/AI210-1</f>
        <v/>
      </c>
      <c r="AK211" s="420">
        <f>AI211/AI206-1</f>
        <v/>
      </c>
      <c r="AL211" s="421" t="n">
        <v>82.76000000000001</v>
      </c>
      <c r="AM211" s="421">
        <f>AL211-AL209</f>
        <v/>
      </c>
      <c r="AN211" s="421">
        <f>AL211-AL206</f>
        <v/>
      </c>
      <c r="AO211" s="421" t="n">
        <v>83.99833333333333</v>
      </c>
      <c r="AP211" s="421">
        <f>AO211-AO209</f>
        <v/>
      </c>
      <c r="AQ211" s="421">
        <f>AO211-AO206</f>
        <v/>
      </c>
      <c r="AR211" s="421" t="n">
        <v>80.24166666666666</v>
      </c>
      <c r="AS211" s="421">
        <f>AR211-AR209</f>
        <v/>
      </c>
      <c r="AT211" s="421">
        <f>AR211-AR206</f>
        <v/>
      </c>
      <c r="AU211" s="421" t="n">
        <v>78.54000000000001</v>
      </c>
      <c r="AV211" s="421">
        <f>AU211-AU209</f>
        <v/>
      </c>
      <c r="AW211" s="421">
        <f>AU211-AU206</f>
        <v/>
      </c>
      <c r="AX211" s="340" t="n"/>
      <c r="AY211" s="420" t="n"/>
      <c r="AZ211" s="420" t="n"/>
      <c r="BA211" s="340" t="n"/>
      <c r="BB211" s="340" t="n"/>
      <c r="BC211" s="340" t="n"/>
      <c r="BD211" s="340" t="n"/>
      <c r="BE211" s="340" t="n"/>
      <c r="BF211" s="340" t="n"/>
      <c r="BG211" s="340" t="n"/>
      <c r="BH211" s="340" t="n"/>
      <c r="BI211" s="340" t="n"/>
      <c r="BJ211" s="340" t="n"/>
      <c r="BK211" s="340" t="n"/>
      <c r="BL211" s="340" t="n"/>
      <c r="BM211" s="340" t="n"/>
      <c r="BN211" s="340" t="n"/>
      <c r="BO211" s="340" t="n"/>
      <c r="BP211" s="340" t="n"/>
      <c r="BQ211" s="340" t="n"/>
      <c r="BR211" s="340" t="n"/>
      <c r="BS211" s="340" t="n"/>
      <c r="BT211" s="340" t="n"/>
      <c r="BU211" s="340" t="n"/>
      <c r="BV211" s="340" t="n"/>
      <c r="BW211" s="340" t="n"/>
      <c r="BX211" s="340" t="n"/>
      <c r="BY211" s="340" t="n"/>
      <c r="BZ211" s="340" t="n"/>
      <c r="CA211" s="340" t="n"/>
      <c r="CB211" s="340" t="n"/>
      <c r="CC211" s="340" t="n"/>
      <c r="CD211" s="340" t="n"/>
      <c r="CE211" s="340" t="n"/>
      <c r="CF211" s="340" t="n"/>
      <c r="CG211" s="340" t="n"/>
      <c r="CH211" s="340" t="n"/>
      <c r="CI211" s="340" t="n"/>
      <c r="CJ211" s="340" t="n"/>
      <c r="CK211" s="340" t="n"/>
      <c r="CL211" s="340" t="n"/>
      <c r="CM211" s="340" t="n"/>
      <c r="CN211" s="340" t="n"/>
      <c r="CO211" s="340" t="n"/>
      <c r="CP211" s="340" t="n"/>
      <c r="CQ211" s="340" t="n"/>
      <c r="CR211" s="340" t="n"/>
      <c r="CS211" s="340" t="n"/>
      <c r="CT211" s="340" t="n"/>
      <c r="CU211" s="340" t="n"/>
      <c r="CV211" s="340" t="n"/>
      <c r="CW211" s="340" t="n"/>
      <c r="CX211" s="340" t="n"/>
      <c r="CY211" s="340" t="n"/>
      <c r="CZ211" s="340" t="n"/>
      <c r="DA211" s="340" t="n"/>
      <c r="DB211" s="340" t="n"/>
      <c r="DC211" s="340" t="n"/>
      <c r="DD211" s="340" t="n"/>
      <c r="DE211" s="340" t="n"/>
      <c r="DF211" s="340" t="n"/>
      <c r="DG211" s="340" t="n"/>
    </row>
    <row r="212" ht="13" customFormat="1" customHeight="1" s="119">
      <c r="A212" s="419" t="n"/>
      <c r="B212" s="340" t="n"/>
      <c r="C212" s="196" t="n"/>
      <c r="D212" s="196" t="n"/>
      <c r="E212" s="340" t="n"/>
      <c r="F212" s="196" t="n"/>
      <c r="G212" s="196" t="n"/>
      <c r="H212" s="340" t="n"/>
      <c r="I212" s="196" t="n"/>
      <c r="J212" s="196" t="n"/>
      <c r="K212" s="340" t="n"/>
      <c r="L212" s="196" t="n"/>
      <c r="M212" s="196" t="n"/>
      <c r="N212" s="340" t="n"/>
      <c r="O212" s="196" t="n"/>
      <c r="P212" s="196" t="n"/>
      <c r="Q212" s="340" t="n"/>
      <c r="R212" s="196" t="n"/>
      <c r="S212" s="196" t="n"/>
      <c r="T212" s="340" t="n"/>
      <c r="U212" s="196" t="n"/>
      <c r="V212" s="196" t="n"/>
      <c r="W212" s="340" t="n"/>
      <c r="X212" s="196" t="n"/>
      <c r="Y212" s="196" t="n"/>
      <c r="Z212" s="340" t="n"/>
      <c r="AA212" s="196" t="n"/>
      <c r="AB212" s="196" t="n"/>
      <c r="AC212" s="340" t="n"/>
      <c r="AD212" s="196" t="n"/>
      <c r="AE212" s="196" t="n"/>
      <c r="AF212" s="340" t="n"/>
      <c r="AG212" s="196" t="n"/>
      <c r="AH212" s="196" t="n"/>
      <c r="AI212" s="340" t="n"/>
      <c r="AJ212" s="196" t="n"/>
      <c r="AK212" s="196" t="n"/>
      <c r="AL212" s="340" t="n"/>
      <c r="AM212" s="340" t="n"/>
      <c r="AN212" s="340" t="n"/>
      <c r="AO212" s="340" t="n"/>
      <c r="AP212" s="340" t="n"/>
      <c r="AQ212" s="340" t="n"/>
      <c r="AR212" s="340" t="n"/>
      <c r="AS212" s="340" t="n"/>
      <c r="AT212" s="340" t="n"/>
      <c r="AU212" s="340" t="n"/>
      <c r="AV212" s="423" t="n"/>
      <c r="AW212" s="423" t="n"/>
      <c r="AX212" s="340" t="n"/>
      <c r="AY212" s="340" t="n"/>
      <c r="AZ212" s="196" t="n"/>
      <c r="BA212" s="340" t="n"/>
      <c r="BB212" s="196" t="n"/>
      <c r="BC212" s="340" t="n"/>
      <c r="BD212" s="196" t="n"/>
      <c r="BE212" s="340" t="n"/>
      <c r="BF212" s="196" t="n"/>
      <c r="BG212" s="340" t="n"/>
      <c r="BH212" s="340" t="n"/>
      <c r="BI212" s="340" t="n"/>
      <c r="BJ212" s="340" t="n"/>
      <c r="BK212" s="340" t="n"/>
      <c r="BL212" s="340" t="n"/>
      <c r="BM212" s="340" t="n"/>
      <c r="BN212" s="340" t="n"/>
      <c r="BO212" s="340" t="n"/>
      <c r="BP212" s="340" t="n"/>
      <c r="BQ212" s="196" t="n"/>
      <c r="BR212" s="340" t="n"/>
      <c r="BS212" s="196" t="n"/>
      <c r="BT212" s="340" t="n"/>
      <c r="BU212" s="196" t="n"/>
      <c r="BV212" s="340" t="n"/>
      <c r="BW212" s="196" t="n"/>
      <c r="BX212" s="340" t="n"/>
      <c r="BY212" s="196" t="n"/>
      <c r="BZ212" s="340" t="n"/>
      <c r="CA212" s="196" t="n"/>
      <c r="CB212" s="340" t="n"/>
      <c r="CC212" s="196" t="n"/>
      <c r="CD212" s="340" t="n"/>
      <c r="CE212" s="196" t="n"/>
      <c r="CF212" s="340" t="n"/>
      <c r="CG212" s="340" t="n"/>
      <c r="CH212" s="340" t="n"/>
      <c r="CI212" s="340" t="n"/>
      <c r="CJ212" s="340" t="n"/>
      <c r="CK212" s="340" t="n"/>
      <c r="CL212" s="340" t="n"/>
      <c r="CM212" s="340" t="n"/>
      <c r="CN212" s="340" t="n"/>
      <c r="CO212" s="340" t="n"/>
      <c r="CP212" s="196" t="n"/>
      <c r="CQ212" s="340" t="n"/>
      <c r="CR212" s="196" t="n"/>
      <c r="CS212" s="340" t="n"/>
      <c r="CT212" s="196" t="n"/>
      <c r="CU212" s="340" t="n"/>
      <c r="CV212" s="196" t="n"/>
      <c r="CW212" s="340" t="n"/>
      <c r="CX212" s="196" t="n"/>
      <c r="CY212" s="340" t="n"/>
      <c r="CZ212" s="196" t="n"/>
      <c r="DA212" s="340" t="n"/>
      <c r="DB212" s="196" t="n"/>
      <c r="DC212" s="340" t="n"/>
      <c r="DD212" s="196" t="n"/>
      <c r="DE212" s="340" t="n"/>
      <c r="DF212" s="340" t="n"/>
    </row>
    <row r="213" ht="13" customFormat="1" customHeight="1" s="119">
      <c r="A213" s="419" t="n"/>
      <c r="B213" s="340" t="n"/>
      <c r="C213" s="196" t="n"/>
      <c r="D213" s="196" t="n"/>
      <c r="E213" s="340" t="n"/>
      <c r="F213" s="196" t="n"/>
      <c r="G213" s="196" t="n"/>
      <c r="H213" s="340" t="n"/>
      <c r="I213" s="196" t="n"/>
      <c r="J213" s="196" t="n"/>
      <c r="K213" s="340" t="n"/>
      <c r="L213" s="196" t="n"/>
      <c r="M213" s="196" t="n"/>
      <c r="N213" s="340" t="n"/>
      <c r="O213" s="196" t="n"/>
      <c r="P213" s="196" t="n"/>
      <c r="Q213" s="340" t="n"/>
      <c r="R213" s="196" t="n"/>
      <c r="S213" s="196" t="n"/>
      <c r="T213" s="340" t="n"/>
      <c r="U213" s="196" t="n"/>
      <c r="V213" s="196" t="n"/>
      <c r="W213" s="340" t="n"/>
      <c r="X213" s="196" t="n"/>
      <c r="Y213" s="196" t="n"/>
      <c r="Z213" s="340" t="n"/>
      <c r="AA213" s="196" t="n"/>
      <c r="AB213" s="196" t="n"/>
      <c r="AC213" s="340" t="n"/>
      <c r="AD213" s="196" t="n"/>
      <c r="AE213" s="196" t="n"/>
      <c r="AF213" s="340" t="n"/>
      <c r="AG213" s="196" t="n"/>
      <c r="AH213" s="196" t="n"/>
      <c r="AI213" s="340" t="n"/>
      <c r="AJ213" s="196" t="n"/>
      <c r="AK213" s="196" t="n"/>
      <c r="AL213" s="340" t="n"/>
      <c r="AM213" s="340" t="n"/>
      <c r="AN213" s="340" t="n"/>
      <c r="AO213" s="340" t="n"/>
      <c r="AP213" s="340" t="n"/>
      <c r="AQ213" s="340" t="n"/>
      <c r="AR213" s="340" t="n"/>
      <c r="AS213" s="340" t="n"/>
      <c r="AT213" s="340" t="n"/>
      <c r="AU213" s="340" t="n"/>
      <c r="AV213" s="423" t="n"/>
      <c r="AW213" s="423" t="n"/>
      <c r="AX213" s="340" t="n"/>
      <c r="AY213" s="340" t="n"/>
      <c r="AZ213" s="196" t="n"/>
      <c r="BA213" s="340" t="n"/>
      <c r="BB213" s="196" t="n"/>
      <c r="BC213" s="340" t="n"/>
      <c r="BD213" s="196" t="n"/>
      <c r="BE213" s="340" t="n"/>
      <c r="BF213" s="196" t="n"/>
      <c r="BG213" s="340" t="n"/>
      <c r="BH213" s="340" t="n"/>
      <c r="BI213" s="340" t="n"/>
      <c r="BJ213" s="340" t="n"/>
      <c r="BK213" s="340" t="n"/>
      <c r="BL213" s="340" t="n"/>
      <c r="BM213" s="340" t="n"/>
      <c r="BN213" s="340" t="n"/>
      <c r="BO213" s="340" t="n"/>
      <c r="BP213" s="340" t="n"/>
      <c r="BQ213" s="196" t="n"/>
      <c r="BR213" s="340" t="n"/>
      <c r="BS213" s="196" t="n"/>
      <c r="BT213" s="340" t="n"/>
      <c r="BU213" s="196" t="n"/>
      <c r="BV213" s="340" t="n"/>
      <c r="BW213" s="196" t="n"/>
      <c r="BX213" s="340" t="n"/>
      <c r="BY213" s="196" t="n"/>
      <c r="BZ213" s="340" t="n"/>
      <c r="CA213" s="196" t="n"/>
      <c r="CB213" s="340" t="n"/>
      <c r="CC213" s="196" t="n"/>
      <c r="CD213" s="340" t="n"/>
      <c r="CE213" s="196" t="n"/>
      <c r="CF213" s="340" t="n"/>
      <c r="CG213" s="340" t="n"/>
      <c r="CH213" s="340" t="n"/>
      <c r="CI213" s="340" t="n"/>
      <c r="CJ213" s="340" t="n"/>
      <c r="CK213" s="340" t="n"/>
      <c r="CL213" s="340" t="n"/>
      <c r="CM213" s="340" t="n"/>
      <c r="CN213" s="340" t="n"/>
      <c r="CO213" s="340" t="n"/>
      <c r="CP213" s="196" t="n"/>
      <c r="CQ213" s="340" t="n"/>
      <c r="CR213" s="196" t="n"/>
      <c r="CS213" s="340" t="n"/>
      <c r="CT213" s="196" t="n"/>
      <c r="CU213" s="340" t="n"/>
      <c r="CV213" s="196" t="n"/>
      <c r="CW213" s="340" t="n"/>
      <c r="CX213" s="196" t="n"/>
      <c r="CY213" s="340" t="n"/>
      <c r="CZ213" s="196" t="n"/>
      <c r="DA213" s="340" t="n"/>
      <c r="DB213" s="196" t="n"/>
      <c r="DC213" s="340" t="n"/>
      <c r="DD213" s="196" t="n"/>
      <c r="DE213" s="340" t="n"/>
      <c r="DF213" s="340" t="n"/>
    </row>
    <row r="214" ht="13" customFormat="1" customHeight="1" s="119">
      <c r="A214" s="419" t="n"/>
      <c r="B214" s="340" t="n"/>
      <c r="C214" s="196" t="n"/>
      <c r="D214" s="196" t="n"/>
      <c r="E214" s="340" t="n"/>
      <c r="F214" s="196" t="n"/>
      <c r="G214" s="196" t="n"/>
      <c r="H214" s="340" t="n"/>
      <c r="I214" s="196" t="n"/>
      <c r="J214" s="196" t="n"/>
      <c r="K214" s="340" t="n"/>
      <c r="L214" s="196" t="n"/>
      <c r="M214" s="196" t="n"/>
      <c r="N214" s="340" t="n"/>
      <c r="O214" s="196" t="n"/>
      <c r="P214" s="196" t="n"/>
      <c r="Q214" s="340" t="n"/>
      <c r="R214" s="196" t="n"/>
      <c r="S214" s="196" t="n"/>
      <c r="T214" s="340" t="n"/>
      <c r="U214" s="196" t="n"/>
      <c r="V214" s="196" t="n"/>
      <c r="W214" s="340" t="n"/>
      <c r="X214" s="196" t="n"/>
      <c r="Y214" s="196" t="n"/>
      <c r="Z214" s="340" t="n"/>
      <c r="AA214" s="196" t="n"/>
      <c r="AB214" s="196" t="n"/>
      <c r="AC214" s="340" t="n"/>
      <c r="AD214" s="196" t="n"/>
      <c r="AE214" s="196" t="n"/>
      <c r="AF214" s="340" t="n"/>
      <c r="AG214" s="196" t="n"/>
      <c r="AH214" s="196" t="n"/>
      <c r="AI214" s="340" t="n"/>
      <c r="AJ214" s="196" t="n"/>
      <c r="AK214" s="196" t="n"/>
      <c r="AL214" s="340" t="n"/>
      <c r="AM214" s="340" t="n"/>
      <c r="AN214" s="340" t="n"/>
      <c r="AO214" s="340" t="n"/>
      <c r="AP214" s="340" t="n"/>
      <c r="AQ214" s="340" t="n"/>
      <c r="AR214" s="340" t="n"/>
      <c r="AS214" s="340" t="n"/>
      <c r="AT214" s="340" t="n"/>
      <c r="AU214" s="340" t="n"/>
      <c r="AV214" s="340" t="n"/>
      <c r="AW214" s="340" t="n"/>
      <c r="AX214" s="340" t="n"/>
      <c r="AY214" s="340" t="n"/>
      <c r="AZ214" s="340" t="n"/>
      <c r="BA214" s="340" t="n"/>
      <c r="BB214" s="340" t="n"/>
      <c r="BC214" s="340" t="n"/>
      <c r="BD214" s="340" t="n"/>
      <c r="BE214" s="340" t="n"/>
      <c r="BF214" s="340" t="n"/>
      <c r="BG214" s="340" t="n"/>
      <c r="BH214" s="340" t="n"/>
      <c r="BI214" s="340" t="n"/>
      <c r="BJ214" s="340" t="n"/>
      <c r="BK214" s="340" t="n"/>
      <c r="BL214" s="340" t="n"/>
      <c r="BM214" s="340" t="n"/>
      <c r="BN214" s="340" t="n"/>
      <c r="BO214" s="340" t="n"/>
      <c r="BP214" s="340" t="n"/>
      <c r="BQ214" s="340" t="n"/>
      <c r="BR214" s="340" t="n"/>
      <c r="BS214" s="340" t="n"/>
      <c r="BT214" s="340" t="n"/>
      <c r="BU214" s="340" t="n"/>
      <c r="BV214" s="340" t="n"/>
      <c r="BW214" s="340" t="n"/>
      <c r="BX214" s="340" t="n"/>
      <c r="BY214" s="340" t="n"/>
      <c r="BZ214" s="340" t="n"/>
      <c r="CA214" s="340" t="n"/>
      <c r="CB214" s="340" t="n"/>
      <c r="CC214" s="340" t="n"/>
      <c r="CD214" s="340" t="n"/>
      <c r="CE214" s="340" t="n"/>
      <c r="CF214" s="340" t="n"/>
      <c r="CG214" s="340" t="n"/>
      <c r="CH214" s="340" t="n"/>
      <c r="CI214" s="340" t="n"/>
      <c r="CJ214" s="340" t="n"/>
      <c r="CK214" s="340" t="n"/>
      <c r="CL214" s="340" t="n"/>
      <c r="CM214" s="340" t="n"/>
      <c r="CN214" s="340" t="n"/>
      <c r="CO214" s="340" t="n"/>
      <c r="CP214" s="340" t="n"/>
      <c r="CQ214" s="340" t="n"/>
      <c r="CR214" s="340" t="n"/>
      <c r="CS214" s="340" t="n"/>
      <c r="CT214" s="340" t="n"/>
      <c r="CU214" s="340" t="n"/>
      <c r="CV214" s="340" t="n"/>
      <c r="CW214" s="340" t="n"/>
      <c r="CX214" s="340" t="n"/>
      <c r="CY214" s="340" t="n"/>
      <c r="CZ214" s="340" t="n"/>
      <c r="DA214" s="340" t="n"/>
      <c r="DB214" s="340" t="n"/>
      <c r="DC214" s="340" t="n"/>
      <c r="DD214" s="340" t="n"/>
      <c r="DE214" s="340" t="n"/>
      <c r="DF214" s="340" t="n"/>
      <c r="DG214" s="340" t="n"/>
      <c r="DH214" s="340" t="n"/>
      <c r="DI214" s="340" t="n"/>
      <c r="DJ214" s="340" t="n"/>
      <c r="DK214" s="340" t="n"/>
      <c r="DL214" s="340" t="n"/>
      <c r="DM214" s="340" t="n"/>
      <c r="DN214" s="340" t="n"/>
      <c r="DO214" s="340" t="n"/>
      <c r="DP214" s="340" t="n"/>
      <c r="DQ214" s="340" t="n"/>
      <c r="DR214" s="340" t="n"/>
      <c r="DS214" s="340" t="n"/>
      <c r="DT214" s="340" t="n"/>
      <c r="DU214" s="340" t="n"/>
      <c r="DV214" s="340" t="n"/>
    </row>
    <row r="215" ht="13" customFormat="1" customHeight="1" s="119">
      <c r="A215" s="419" t="n"/>
      <c r="B215" s="340" t="n"/>
      <c r="C215" s="196" t="n"/>
      <c r="D215" s="196" t="n"/>
      <c r="E215" s="340" t="n"/>
      <c r="F215" s="196" t="n"/>
      <c r="G215" s="196" t="n"/>
      <c r="H215" s="340" t="n"/>
      <c r="I215" s="196" t="n"/>
      <c r="J215" s="196" t="n"/>
      <c r="K215" s="340" t="n"/>
      <c r="L215" s="196" t="n"/>
      <c r="M215" s="196" t="n"/>
      <c r="N215" s="340" t="n"/>
      <c r="O215" s="196" t="n"/>
      <c r="P215" s="196" t="n"/>
      <c r="Q215" s="340" t="n"/>
      <c r="R215" s="196" t="n"/>
      <c r="S215" s="196" t="n"/>
      <c r="T215" s="340" t="n"/>
      <c r="U215" s="196" t="n"/>
      <c r="V215" s="196" t="n"/>
      <c r="W215" s="340" t="n"/>
      <c r="X215" s="196" t="n"/>
      <c r="Y215" s="196" t="n"/>
      <c r="Z215" s="340" t="n"/>
      <c r="AA215" s="196" t="n"/>
      <c r="AB215" s="196" t="n"/>
      <c r="AC215" s="340" t="n"/>
      <c r="AD215" s="196" t="n"/>
      <c r="AE215" s="196" t="n"/>
      <c r="AF215" s="340" t="n"/>
      <c r="AG215" s="196" t="n"/>
      <c r="AH215" s="196" t="n"/>
      <c r="AI215" s="340" t="n"/>
      <c r="AJ215" s="196" t="n"/>
      <c r="AK215" s="196" t="n"/>
      <c r="AL215" s="340" t="n"/>
      <c r="AM215" s="340" t="n"/>
      <c r="AN215" s="340" t="n"/>
      <c r="AO215" s="340" t="n"/>
      <c r="AP215" s="340" t="n"/>
      <c r="AQ215" s="340" t="n"/>
      <c r="AR215" s="340" t="n"/>
      <c r="AS215" s="340" t="n"/>
      <c r="AT215" s="340" t="n"/>
      <c r="AU215" s="340" t="n"/>
      <c r="AV215" s="340" t="n"/>
      <c r="AW215" s="340" t="n"/>
      <c r="AX215" s="340" t="n"/>
      <c r="AY215" s="340" t="n"/>
      <c r="AZ215" s="340" t="n"/>
      <c r="BA215" s="340" t="n"/>
      <c r="BB215" s="340" t="n"/>
      <c r="BC215" s="340" t="n"/>
      <c r="BD215" s="340" t="n"/>
      <c r="BE215" s="340" t="n"/>
      <c r="BF215" s="340" t="n"/>
      <c r="BG215" s="340" t="n"/>
      <c r="BH215" s="340" t="n"/>
      <c r="BI215" s="340" t="n"/>
      <c r="BJ215" s="340" t="n"/>
      <c r="BK215" s="340" t="n"/>
      <c r="BL215" s="340" t="n"/>
      <c r="BM215" s="340" t="n"/>
      <c r="BN215" s="340" t="n"/>
      <c r="BO215" s="340" t="n"/>
      <c r="BP215" s="340" t="n"/>
      <c r="BQ215" s="340" t="n"/>
      <c r="BR215" s="340" t="n"/>
      <c r="BS215" s="340" t="n"/>
      <c r="BT215" s="340" t="n"/>
      <c r="BU215" s="340" t="n"/>
      <c r="BV215" s="340" t="n"/>
      <c r="BW215" s="340" t="n"/>
      <c r="BX215" s="340" t="n"/>
      <c r="BY215" s="340" t="n"/>
      <c r="BZ215" s="340" t="n"/>
      <c r="CA215" s="340" t="n"/>
      <c r="CB215" s="340" t="n"/>
      <c r="CC215" s="340" t="n"/>
      <c r="CD215" s="340" t="n"/>
      <c r="CE215" s="340" t="n"/>
      <c r="CF215" s="340" t="n"/>
      <c r="CG215" s="340" t="n"/>
      <c r="CH215" s="340" t="n"/>
      <c r="CI215" s="340" t="n"/>
      <c r="CJ215" s="340" t="n"/>
      <c r="CK215" s="340" t="n"/>
      <c r="CL215" s="340" t="n"/>
      <c r="CM215" s="340" t="n"/>
      <c r="CN215" s="340" t="n"/>
      <c r="CO215" s="340" t="n"/>
      <c r="CP215" s="340" t="n"/>
      <c r="CQ215" s="340" t="n"/>
      <c r="CR215" s="340" t="n"/>
      <c r="CS215" s="340" t="n"/>
      <c r="CT215" s="340" t="n"/>
      <c r="CU215" s="340" t="n"/>
      <c r="CV215" s="340" t="n"/>
      <c r="CW215" s="340" t="n"/>
      <c r="CX215" s="340" t="n"/>
      <c r="CY215" s="340" t="n"/>
      <c r="CZ215" s="340" t="n"/>
      <c r="DA215" s="340" t="n"/>
      <c r="DB215" s="340" t="n"/>
      <c r="DC215" s="340" t="n"/>
      <c r="DD215" s="340" t="n"/>
      <c r="DE215" s="340" t="n"/>
      <c r="DF215" s="340" t="n"/>
      <c r="DG215" s="340" t="n"/>
      <c r="DH215" s="340" t="n"/>
      <c r="DI215" s="340" t="n"/>
      <c r="DJ215" s="340" t="n"/>
      <c r="DK215" s="340" t="n"/>
      <c r="DL215" s="340" t="n"/>
      <c r="DM215" s="340" t="n"/>
      <c r="DN215" s="340" t="n"/>
      <c r="DO215" s="340" t="n"/>
      <c r="DP215" s="340" t="n"/>
      <c r="DQ215" s="340" t="n"/>
      <c r="DR215" s="340" t="n"/>
      <c r="DS215" s="340" t="n"/>
      <c r="DT215" s="340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theme="9" tint="0.799920651875362"/>
    <outlinePr summaryBelow="1" summaryRight="1"/>
    <pageSetUpPr/>
  </sheetPr>
  <dimension ref="A1:DV231"/>
  <sheetViews>
    <sheetView zoomScale="90" zoomScaleNormal="90" workbookViewId="0">
      <pane xSplit="1" ySplit="3" topLeftCell="AD248" activePane="bottomRight" state="frozen"/>
      <selection activeCell="A1" sqref="A1"/>
      <selection pane="topRight" activeCell="A1" sqref="A1"/>
      <selection pane="bottomLeft" activeCell="A1" sqref="A1"/>
      <selection pane="bottomRight" activeCell="A4" sqref="$A4:$XFD272"/>
    </sheetView>
  </sheetViews>
  <sheetFormatPr baseColWidth="8" defaultColWidth="8.75" defaultRowHeight="14"/>
  <cols>
    <col width="8.75" customWidth="1" style="1" min="1" max="1"/>
    <col width="16.75" customWidth="1" style="1" min="2" max="2"/>
    <col width="9.75" customWidth="1" style="2" min="3" max="3"/>
    <col width="8" customWidth="1" style="2" min="4" max="4"/>
    <col width="16.75" customWidth="1" style="1" min="5" max="5"/>
    <col width="9.75" customWidth="1" style="2" min="6" max="6"/>
    <col width="8" customWidth="1" style="2" min="7" max="7"/>
    <col width="16.75" customWidth="1" style="1" min="8" max="8"/>
    <col width="9.75" customWidth="1" style="2" min="9" max="9"/>
    <col width="8" customWidth="1" style="2" min="10" max="10"/>
    <col width="16.75" customWidth="1" style="1" min="11" max="11"/>
    <col width="9.75" customWidth="1" style="2" min="12" max="12"/>
    <col width="8" customWidth="1" style="2" min="13" max="13"/>
    <col width="16.75" customWidth="1" style="1" min="14" max="14"/>
    <col width="9.75" customWidth="1" style="2" min="15" max="15"/>
    <col width="8" customWidth="1" style="2" min="16" max="16"/>
    <col width="16.75" customWidth="1" style="1" min="17" max="17"/>
    <col width="9.75" customWidth="1" style="2" min="18" max="18"/>
    <col width="8" customWidth="1" style="2" min="19" max="19"/>
    <col width="16.75" customWidth="1" style="1" min="20" max="20"/>
    <col width="9.75" customWidth="1" style="2" min="21" max="21"/>
    <col width="8" customWidth="1" style="2" min="22" max="22"/>
    <col width="16.75" customWidth="1" style="1" min="23" max="23"/>
    <col width="9.75" customWidth="1" style="2" min="24" max="24"/>
    <col width="8" customWidth="1" style="2" min="25" max="25"/>
    <col width="16.75" customWidth="1" style="1" min="26" max="26"/>
    <col width="9.75" customWidth="1" style="2" min="27" max="27"/>
    <col width="8" customWidth="1" style="2" min="28" max="28"/>
    <col width="16.75" customWidth="1" style="1" min="29" max="29"/>
    <col width="9.75" customWidth="1" style="2" min="30" max="30"/>
    <col width="8" customWidth="1" style="2" min="31" max="31"/>
    <col width="16.75" customWidth="1" style="1" min="32" max="32"/>
    <col width="9.75" customWidth="1" style="2" min="33" max="33"/>
    <col width="8" customWidth="1" style="2" min="34" max="34"/>
    <col width="16.75" customWidth="1" style="1" min="35" max="35"/>
    <col width="9.75" customWidth="1" style="2" min="36" max="36"/>
    <col width="8" customWidth="1" style="2" min="37" max="37"/>
    <col width="11.375" customWidth="1" style="1" min="38" max="38"/>
    <col width="9.75" customWidth="1" style="1" min="39" max="39"/>
    <col width="10" customWidth="1" style="1" min="40" max="40"/>
    <col width="11.875" customWidth="1" style="1" min="41" max="41"/>
    <col width="9.75" customWidth="1" style="1" min="42" max="42"/>
    <col width="7.875" customWidth="1" style="1" min="43" max="43"/>
    <col width="12.25" customWidth="1" style="1" min="44" max="44"/>
    <col width="9.75" customWidth="1" style="1" min="45" max="45"/>
    <col width="7.875" customWidth="1" style="1" min="46" max="46"/>
    <col width="12.375" customWidth="1" style="1" min="47" max="47"/>
    <col width="9.75" customWidth="1" style="1" min="48" max="48"/>
    <col width="7.875" customWidth="1" style="1" min="49" max="49"/>
    <col width="16.75" customWidth="1" style="1" min="50" max="50"/>
    <col width="11.375" customWidth="1" style="1" min="51" max="51"/>
    <col width="8.375" customWidth="1" style="1" min="52" max="52"/>
    <col width="10.375" customWidth="1" style="1" min="53" max="53"/>
    <col width="8.375" customWidth="1" style="1" min="54" max="54"/>
    <col width="9" customWidth="1" style="1" min="55" max="55"/>
    <col width="8.375" customWidth="1" style="1" min="56" max="57"/>
    <col width="17.375" customWidth="1" style="1" min="58" max="58"/>
    <col width="31" customWidth="1" style="1" min="59" max="59"/>
    <col width="20.375" customWidth="1" style="1" min="60" max="60"/>
    <col width="16.125" customWidth="1" style="1" min="61" max="61"/>
    <col width="18.375" customWidth="1" style="1" min="62" max="62"/>
    <col width="16.375" customWidth="1" style="1" min="63" max="63"/>
    <col width="14.625" customWidth="1" style="1" min="64" max="64"/>
    <col width="8.375" customWidth="1" style="1" min="65" max="65"/>
    <col width="27" customWidth="1" style="1" min="66" max="66"/>
    <col width="9" customWidth="1" style="1" min="67" max="67"/>
    <col width="16" customWidth="1" style="1" min="68" max="68"/>
    <col width="8.375" customWidth="1" style="1" min="69" max="73"/>
    <col width="14.625" customWidth="1" style="1" min="74" max="74"/>
    <col width="8.375" customWidth="1" style="1" min="75" max="75"/>
    <col width="16" customWidth="1" style="1" min="76" max="76"/>
    <col width="8.375" customWidth="1" style="1" min="77" max="79"/>
    <col width="18.375" customWidth="1" style="1" min="80" max="80"/>
    <col width="17.375" customWidth="1" style="1" min="81" max="81"/>
    <col width="13.625" customWidth="1" style="1" min="82" max="82"/>
    <col width="24" customWidth="1" style="1" min="83" max="83"/>
    <col width="12" customWidth="1" style="1" min="84" max="84"/>
    <col width="17.625" customWidth="1" style="1" min="85" max="85"/>
    <col width="15.75" customWidth="1" style="1" min="86" max="86"/>
    <col width="20.375" customWidth="1" style="1" min="87" max="87"/>
    <col width="18.75" customWidth="1" style="1" min="88" max="88"/>
    <col width="21.75" customWidth="1" style="1" min="89" max="89"/>
    <col width="12.375" customWidth="1" style="1" min="90" max="90"/>
    <col width="14.375" customWidth="1" style="1" min="91" max="91"/>
    <col width="10.375" customWidth="1" style="1" min="92" max="92"/>
    <col width="14.375" customWidth="1" style="1" min="93" max="93"/>
    <col width="15.375" customWidth="1" style="269" min="94" max="94"/>
    <col width="15.125" customWidth="1" style="1" min="95" max="95"/>
    <col width="19.375" customWidth="1" style="269" min="96" max="96"/>
    <col width="15.125" customWidth="1" style="1" min="97" max="97"/>
    <col width="10" customWidth="1" style="269" min="98" max="98"/>
    <col width="16.375" customWidth="1" style="1" min="99" max="99"/>
    <col width="14.625" customWidth="1" style="269" min="100" max="100"/>
    <col width="12" customWidth="1" style="1" min="101" max="101"/>
    <col width="8.375" customWidth="1" style="1" min="102" max="102"/>
    <col width="10.375" customWidth="1" style="1" min="103" max="103"/>
    <col width="8.375" customWidth="1" style="1" min="104" max="104"/>
    <col width="10.375" customWidth="1" style="1" min="105" max="105"/>
    <col width="13.625" customWidth="1" style="1" min="106" max="106"/>
    <col width="18.625" customWidth="1" style="1" min="107" max="107"/>
    <col width="17.75" customWidth="1" style="1" min="108" max="108"/>
    <col width="8.75" customWidth="1" style="270" min="109" max="110"/>
    <col width="8.75" customWidth="1" style="1" min="111" max="16384"/>
  </cols>
  <sheetData>
    <row r="1" customFormat="1" s="59">
      <c r="A1" s="271" t="inlineStr">
        <is>
          <t>指标名称</t>
        </is>
      </c>
      <c r="B1" s="271" t="inlineStr">
        <is>
          <t>可用座公里（百万）</t>
        </is>
      </c>
      <c r="C1" s="4" t="inlineStr">
        <is>
          <t>同比上年</t>
        </is>
      </c>
      <c r="D1" s="4" t="inlineStr">
        <is>
          <t>同比19</t>
        </is>
      </c>
      <c r="E1" s="271" t="inlineStr">
        <is>
          <t>可用座公里:国内</t>
        </is>
      </c>
      <c r="F1" s="4" t="inlineStr">
        <is>
          <t>同比上年</t>
        </is>
      </c>
      <c r="G1" s="4" t="inlineStr">
        <is>
          <t>同比19</t>
        </is>
      </c>
      <c r="H1" s="271" t="inlineStr">
        <is>
          <t>可用座公里:国际</t>
        </is>
      </c>
      <c r="I1" s="4" t="inlineStr">
        <is>
          <t>同比上年</t>
        </is>
      </c>
      <c r="J1" s="4" t="inlineStr">
        <is>
          <t>同比19</t>
        </is>
      </c>
      <c r="K1" s="271" t="inlineStr">
        <is>
          <t>可用座公里:地区</t>
        </is>
      </c>
      <c r="L1" s="4" t="inlineStr">
        <is>
          <t>同比上年</t>
        </is>
      </c>
      <c r="M1" s="4" t="inlineStr">
        <is>
          <t>同比19</t>
        </is>
      </c>
      <c r="N1" s="271" t="inlineStr">
        <is>
          <t>收入客公里（百万）</t>
        </is>
      </c>
      <c r="O1" s="4" t="inlineStr">
        <is>
          <t>同比上年</t>
        </is>
      </c>
      <c r="P1" s="4" t="inlineStr">
        <is>
          <t>同比19</t>
        </is>
      </c>
      <c r="Q1" s="271" t="inlineStr">
        <is>
          <t>收入客公里:国内</t>
        </is>
      </c>
      <c r="R1" s="4" t="inlineStr">
        <is>
          <t>同比上年</t>
        </is>
      </c>
      <c r="S1" s="4" t="inlineStr">
        <is>
          <t>同比19</t>
        </is>
      </c>
      <c r="T1" s="271" t="inlineStr">
        <is>
          <t>收入客公里:国际</t>
        </is>
      </c>
      <c r="U1" s="4" t="inlineStr">
        <is>
          <t>同比上年</t>
        </is>
      </c>
      <c r="V1" s="4" t="inlineStr">
        <is>
          <t>同比19</t>
        </is>
      </c>
      <c r="W1" s="271" t="inlineStr">
        <is>
          <t>收入客公里:地区</t>
        </is>
      </c>
      <c r="X1" s="4" t="inlineStr">
        <is>
          <t>同比上年</t>
        </is>
      </c>
      <c r="Y1" s="4" t="inlineStr">
        <is>
          <t>同比19</t>
        </is>
      </c>
      <c r="Z1" s="271" t="inlineStr">
        <is>
          <t>客运量（千人次）</t>
        </is>
      </c>
      <c r="AA1" s="4" t="inlineStr">
        <is>
          <t>同比上年</t>
        </is>
      </c>
      <c r="AB1" s="4" t="inlineStr">
        <is>
          <t>同比19</t>
        </is>
      </c>
      <c r="AC1" s="271" t="inlineStr">
        <is>
          <t>客运量:国内</t>
        </is>
      </c>
      <c r="AD1" s="4" t="inlineStr">
        <is>
          <t>同比上年</t>
        </is>
      </c>
      <c r="AE1" s="4" t="inlineStr">
        <is>
          <t>同比19</t>
        </is>
      </c>
      <c r="AF1" s="271" t="inlineStr">
        <is>
          <t>客运量:国际</t>
        </is>
      </c>
      <c r="AG1" s="4" t="inlineStr">
        <is>
          <t>同比上年</t>
        </is>
      </c>
      <c r="AH1" s="4" t="inlineStr">
        <is>
          <t>同比19</t>
        </is>
      </c>
      <c r="AI1" s="271" t="inlineStr">
        <is>
          <t>客运量:地区</t>
        </is>
      </c>
      <c r="AJ1" s="4" t="inlineStr">
        <is>
          <t>同比上年</t>
        </is>
      </c>
      <c r="AK1" s="4" t="inlineStr">
        <is>
          <t>同比19</t>
        </is>
      </c>
      <c r="AL1" s="271" t="inlineStr">
        <is>
          <t>客座率</t>
        </is>
      </c>
      <c r="AM1" s="4" t="inlineStr">
        <is>
          <t>同比上年</t>
        </is>
      </c>
      <c r="AN1" s="4" t="inlineStr">
        <is>
          <t>同比19</t>
        </is>
      </c>
      <c r="AO1" s="271" t="inlineStr">
        <is>
          <t>客座率:国内</t>
        </is>
      </c>
      <c r="AP1" s="4" t="inlineStr">
        <is>
          <t>同比上年</t>
        </is>
      </c>
      <c r="AQ1" s="4" t="inlineStr">
        <is>
          <t>同比19</t>
        </is>
      </c>
      <c r="AR1" s="271" t="inlineStr">
        <is>
          <t>客座率:国际</t>
        </is>
      </c>
      <c r="AS1" s="4" t="inlineStr">
        <is>
          <t>同比上年</t>
        </is>
      </c>
      <c r="AT1" s="4" t="inlineStr">
        <is>
          <t>同比19</t>
        </is>
      </c>
      <c r="AU1" s="271" t="inlineStr">
        <is>
          <t>客座率:地区</t>
        </is>
      </c>
      <c r="AV1" s="4" t="inlineStr">
        <is>
          <t>同比上年</t>
        </is>
      </c>
      <c r="AW1" s="4" t="inlineStr">
        <is>
          <t>同比19</t>
        </is>
      </c>
      <c r="AX1" s="271" t="inlineStr">
        <is>
          <t>运营飞机数</t>
        </is>
      </c>
      <c r="AY1" s="4" t="inlineStr">
        <is>
          <t>同比上年</t>
        </is>
      </c>
      <c r="AZ1" s="4" t="inlineStr">
        <is>
          <t>同比19</t>
        </is>
      </c>
      <c r="BA1" s="271" t="n"/>
      <c r="BB1" s="271" t="n"/>
      <c r="BC1" s="271" t="n"/>
      <c r="BD1" s="271" t="n"/>
      <c r="BE1" s="271" t="n"/>
      <c r="BF1" s="271" t="n"/>
      <c r="BG1" s="271" t="n"/>
      <c r="BH1" s="271" t="n"/>
      <c r="BI1" s="271" t="n"/>
      <c r="BJ1" s="271" t="n"/>
      <c r="BK1" s="271" t="n"/>
      <c r="BL1" s="271" t="n"/>
      <c r="BM1" s="271" t="n"/>
      <c r="BN1" s="271" t="n"/>
      <c r="BO1" s="271" t="n"/>
      <c r="BP1" s="271" t="n"/>
      <c r="BQ1" s="271" t="n"/>
      <c r="BR1" s="271" t="n"/>
      <c r="BS1" s="271" t="n"/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1" t="n"/>
      <c r="CE1" s="271" t="n"/>
      <c r="CF1" s="271" t="n"/>
      <c r="CG1" s="271" t="n"/>
      <c r="CH1" s="271" t="n"/>
      <c r="CI1" s="271" t="n"/>
      <c r="CJ1" s="271" t="n"/>
      <c r="CK1" s="271" t="n"/>
      <c r="CL1" s="271" t="n"/>
      <c r="CM1" s="271" t="n"/>
      <c r="CN1" s="271" t="n"/>
      <c r="CO1" s="271" t="n"/>
      <c r="CP1" s="271" t="n"/>
      <c r="CQ1" s="271" t="n"/>
      <c r="CR1" s="271" t="n"/>
      <c r="CS1" s="271" t="n"/>
      <c r="CT1" s="271" t="n"/>
      <c r="CU1" s="271" t="n"/>
      <c r="CV1" s="67" t="n"/>
      <c r="CW1" s="271" t="n"/>
      <c r="CX1" s="271" t="n"/>
      <c r="CY1" s="271" t="n"/>
      <c r="CZ1" s="271" t="n"/>
      <c r="DA1" s="271" t="n"/>
      <c r="DB1" s="271" t="n"/>
      <c r="DC1" s="271" t="n"/>
      <c r="DD1" s="271" t="n"/>
      <c r="DE1" s="272" t="n"/>
      <c r="DF1" s="272" t="n"/>
      <c r="DG1" s="271" t="n"/>
      <c r="DH1" s="67" t="n"/>
      <c r="DI1" s="67" t="n"/>
      <c r="DJ1" s="67" t="n"/>
      <c r="DK1" s="67" t="n"/>
      <c r="DL1" s="67" t="n"/>
      <c r="DM1" s="67" t="n"/>
      <c r="DN1" s="67" t="n"/>
      <c r="DO1" s="67" t="n"/>
      <c r="DP1" s="67" t="n"/>
      <c r="DQ1" s="67" t="n"/>
      <c r="DR1" s="67" t="n"/>
    </row>
    <row r="2" ht="13" customFormat="1" customHeight="1" s="52">
      <c r="A2" s="273" t="inlineStr">
        <is>
          <t>频率</t>
        </is>
      </c>
      <c r="B2" s="274" t="inlineStr">
        <is>
          <t>月</t>
        </is>
      </c>
      <c r="C2" s="7" t="n"/>
      <c r="D2" s="7" t="n"/>
      <c r="E2" s="274" t="inlineStr">
        <is>
          <t>月</t>
        </is>
      </c>
      <c r="F2" s="7" t="n"/>
      <c r="G2" s="7" t="n"/>
      <c r="H2" s="274" t="inlineStr">
        <is>
          <t>月</t>
        </is>
      </c>
      <c r="I2" s="7" t="n"/>
      <c r="J2" s="7" t="n"/>
      <c r="K2" s="274" t="inlineStr">
        <is>
          <t>月</t>
        </is>
      </c>
      <c r="L2" s="7" t="n"/>
      <c r="M2" s="7" t="n"/>
      <c r="N2" s="274" t="inlineStr">
        <is>
          <t>月</t>
        </is>
      </c>
      <c r="O2" s="7" t="n"/>
      <c r="P2" s="7" t="n"/>
      <c r="Q2" s="274" t="inlineStr">
        <is>
          <t>月</t>
        </is>
      </c>
      <c r="R2" s="7" t="n"/>
      <c r="S2" s="7" t="n"/>
      <c r="T2" s="274" t="inlineStr">
        <is>
          <t>月</t>
        </is>
      </c>
      <c r="U2" s="7" t="n"/>
      <c r="V2" s="7" t="n"/>
      <c r="W2" s="274" t="inlineStr">
        <is>
          <t>月</t>
        </is>
      </c>
      <c r="X2" s="7" t="n"/>
      <c r="Y2" s="7" t="n"/>
      <c r="Z2" s="274" t="inlineStr">
        <is>
          <t>月</t>
        </is>
      </c>
      <c r="AA2" s="7" t="n"/>
      <c r="AB2" s="7" t="n"/>
      <c r="AC2" s="274" t="inlineStr">
        <is>
          <t>月</t>
        </is>
      </c>
      <c r="AD2" s="7" t="n"/>
      <c r="AE2" s="7" t="n"/>
      <c r="AF2" s="274" t="inlineStr">
        <is>
          <t>月</t>
        </is>
      </c>
      <c r="AG2" s="7" t="n"/>
      <c r="AH2" s="7" t="n"/>
      <c r="AI2" s="274" t="inlineStr">
        <is>
          <t>月</t>
        </is>
      </c>
      <c r="AJ2" s="7" t="n"/>
      <c r="AK2" s="7" t="n"/>
      <c r="AL2" s="274" t="inlineStr">
        <is>
          <t>月</t>
        </is>
      </c>
      <c r="AM2" s="8" t="n"/>
      <c r="AN2" s="8" t="n"/>
      <c r="AO2" s="274" t="inlineStr">
        <is>
          <t>月</t>
        </is>
      </c>
      <c r="AP2" s="8" t="n"/>
      <c r="AQ2" s="8" t="n"/>
      <c r="AR2" s="274" t="inlineStr">
        <is>
          <t>月</t>
        </is>
      </c>
      <c r="AS2" s="8" t="n"/>
      <c r="AT2" s="8" t="n"/>
      <c r="AU2" s="274" t="inlineStr">
        <is>
          <t>月</t>
        </is>
      </c>
      <c r="AV2" s="8" t="n"/>
      <c r="AW2" s="8" t="n"/>
      <c r="AX2" s="274" t="n"/>
      <c r="AY2" s="8" t="n"/>
      <c r="AZ2" s="8" t="n"/>
      <c r="BA2" s="274" t="n"/>
      <c r="BB2" s="274" t="n"/>
      <c r="BC2" s="274" t="n"/>
      <c r="BD2" s="274" t="n"/>
      <c r="BE2" s="274" t="n"/>
      <c r="BF2" s="274" t="n"/>
      <c r="BG2" s="274" t="n"/>
      <c r="BH2" s="274" t="n"/>
      <c r="BI2" s="274" t="n"/>
      <c r="BJ2" s="274" t="n"/>
      <c r="BK2" s="274" t="n"/>
      <c r="BL2" s="274" t="n"/>
      <c r="BM2" s="274" t="n"/>
      <c r="BN2" s="274" t="n"/>
      <c r="BO2" s="274" t="n"/>
      <c r="BP2" s="274" t="n"/>
      <c r="BQ2" s="274" t="n"/>
      <c r="BR2" s="274" t="n"/>
      <c r="BS2" s="274" t="n"/>
      <c r="BT2" s="274" t="n"/>
      <c r="BU2" s="274" t="n"/>
      <c r="BV2" s="274" t="n"/>
      <c r="BW2" s="274" t="n"/>
      <c r="BX2" s="274" t="n"/>
      <c r="BY2" s="274" t="n"/>
      <c r="BZ2" s="274" t="n"/>
      <c r="CA2" s="274" t="n"/>
      <c r="CB2" s="274" t="n"/>
      <c r="CC2" s="274" t="n"/>
      <c r="CD2" s="274" t="n"/>
      <c r="CE2" s="274" t="n"/>
      <c r="CF2" s="274" t="n"/>
      <c r="CG2" s="274" t="n"/>
      <c r="CH2" s="274" t="n"/>
      <c r="CI2" s="274" t="n"/>
      <c r="CJ2" s="274" t="n"/>
      <c r="CK2" s="274" t="n"/>
      <c r="CL2" s="274" t="n"/>
      <c r="CM2" s="274" t="n"/>
      <c r="CN2" s="274" t="n"/>
      <c r="CO2" s="274" t="n"/>
      <c r="CP2" s="274" t="n"/>
      <c r="CQ2" s="274" t="n"/>
      <c r="CR2" s="274" t="n"/>
      <c r="CS2" s="274" t="n"/>
      <c r="CT2" s="274" t="n"/>
      <c r="CU2" s="274" t="n"/>
      <c r="CV2" s="69" t="n"/>
      <c r="CW2" s="274" t="n"/>
      <c r="CX2" s="274" t="n"/>
      <c r="CY2" s="274" t="n"/>
      <c r="CZ2" s="274" t="n"/>
      <c r="DA2" s="274" t="n"/>
      <c r="DB2" s="274" t="n"/>
      <c r="DC2" s="274" t="n"/>
      <c r="DD2" s="274" t="n"/>
      <c r="DE2" s="275" t="n"/>
      <c r="DF2" s="275" t="n"/>
      <c r="DG2" s="69" t="n"/>
      <c r="DH2" s="69" t="n"/>
      <c r="DI2" s="69" t="n"/>
      <c r="DJ2" s="69" t="n"/>
      <c r="DK2" s="69" t="n"/>
      <c r="DL2" s="69" t="n"/>
      <c r="DM2" s="69" t="n"/>
      <c r="DN2" s="69" t="n"/>
      <c r="DO2" s="69" t="n"/>
      <c r="DP2" s="69" t="n"/>
      <c r="DQ2" s="69" t="n"/>
      <c r="DR2" s="69" t="n"/>
    </row>
    <row r="3" ht="13" customFormat="1" customHeight="1" s="60">
      <c r="A3" s="276" t="n"/>
      <c r="B3" s="277" t="inlineStr">
        <is>
          <t>ASK</t>
        </is>
      </c>
      <c r="C3" s="11" t="n"/>
      <c r="D3" s="11" t="n"/>
      <c r="E3" s="277" t="inlineStr">
        <is>
          <t>Domestic</t>
        </is>
      </c>
      <c r="F3" s="11" t="n"/>
      <c r="G3" s="11" t="n"/>
      <c r="H3" s="277" t="inlineStr">
        <is>
          <t>International</t>
        </is>
      </c>
      <c r="I3" s="11" t="n"/>
      <c r="J3" s="11" t="n"/>
      <c r="K3" s="277" t="inlineStr">
        <is>
          <t>Regional</t>
        </is>
      </c>
      <c r="L3" s="11" t="n"/>
      <c r="M3" s="11" t="n"/>
      <c r="N3" s="277" t="inlineStr">
        <is>
          <t>RPK</t>
        </is>
      </c>
      <c r="O3" s="11" t="n"/>
      <c r="P3" s="11" t="n"/>
      <c r="Q3" s="277" t="inlineStr">
        <is>
          <t>Domestic</t>
        </is>
      </c>
      <c r="R3" s="11" t="n"/>
      <c r="S3" s="11" t="n"/>
      <c r="T3" s="277" t="inlineStr">
        <is>
          <t>International</t>
        </is>
      </c>
      <c r="U3" s="11" t="n"/>
      <c r="V3" s="11" t="n"/>
      <c r="W3" s="277" t="inlineStr">
        <is>
          <t>Regional</t>
        </is>
      </c>
      <c r="X3" s="11" t="n"/>
      <c r="Y3" s="11" t="n"/>
      <c r="Z3" s="277" t="inlineStr">
        <is>
          <t>Pax volume</t>
        </is>
      </c>
      <c r="AA3" s="11" t="n"/>
      <c r="AB3" s="11" t="n"/>
      <c r="AC3" s="277" t="inlineStr">
        <is>
          <t>Domestic</t>
        </is>
      </c>
      <c r="AD3" s="11" t="n"/>
      <c r="AE3" s="11" t="n"/>
      <c r="AF3" s="277" t="inlineStr">
        <is>
          <t>International</t>
        </is>
      </c>
      <c r="AG3" s="11" t="n"/>
      <c r="AH3" s="11" t="n"/>
      <c r="AI3" s="277" t="inlineStr">
        <is>
          <t>Regional</t>
        </is>
      </c>
      <c r="AJ3" s="11" t="n"/>
      <c r="AK3" s="11" t="n"/>
      <c r="AL3" s="277" t="inlineStr">
        <is>
          <t>PLF</t>
        </is>
      </c>
      <c r="AM3" s="12" t="n"/>
      <c r="AN3" s="12" t="n"/>
      <c r="AO3" s="277" t="inlineStr">
        <is>
          <t>Domestic</t>
        </is>
      </c>
      <c r="AP3" s="12" t="n"/>
      <c r="AQ3" s="12" t="n"/>
      <c r="AR3" s="277" t="inlineStr">
        <is>
          <t>International</t>
        </is>
      </c>
      <c r="AS3" s="12" t="n"/>
      <c r="AT3" s="12" t="n"/>
      <c r="AU3" s="277" t="inlineStr">
        <is>
          <t>Regional</t>
        </is>
      </c>
      <c r="AV3" s="12" t="n"/>
      <c r="AW3" s="12" t="n"/>
      <c r="AX3" s="277" t="n"/>
      <c r="AY3" s="12" t="n"/>
      <c r="AZ3" s="12" t="n"/>
      <c r="BA3" s="277" t="n"/>
      <c r="BB3" s="277" t="n"/>
      <c r="BC3" s="277" t="n"/>
      <c r="BD3" s="277" t="n"/>
      <c r="BE3" s="277" t="n"/>
      <c r="BF3" s="277" t="n"/>
      <c r="BG3" s="277" t="n"/>
      <c r="BH3" s="277" t="n"/>
      <c r="BI3" s="277" t="n"/>
      <c r="BJ3" s="277" t="n"/>
      <c r="BK3" s="277" t="n"/>
      <c r="BL3" s="277" t="n"/>
      <c r="BM3" s="277" t="n"/>
      <c r="BN3" s="277" t="n"/>
      <c r="BO3" s="277" t="n"/>
      <c r="BP3" s="277" t="n"/>
      <c r="BQ3" s="277" t="n"/>
      <c r="BR3" s="277" t="n"/>
      <c r="BS3" s="277" t="n"/>
      <c r="BT3" s="277" t="n"/>
      <c r="BU3" s="277" t="n"/>
      <c r="BV3" s="277" t="n"/>
      <c r="BW3" s="277" t="n"/>
      <c r="BX3" s="277" t="n"/>
      <c r="BY3" s="277" t="n"/>
      <c r="BZ3" s="277" t="n"/>
      <c r="CA3" s="277" t="n"/>
      <c r="CB3" s="277" t="n"/>
      <c r="CC3" s="277" t="n"/>
      <c r="CD3" s="277" t="n"/>
      <c r="CE3" s="277" t="n"/>
      <c r="CF3" s="278" t="n"/>
      <c r="CG3" s="277" t="n"/>
      <c r="CH3" s="277" t="n"/>
      <c r="CI3" s="277" t="n"/>
      <c r="CJ3" s="277" t="n"/>
      <c r="CK3" s="277" t="n"/>
      <c r="CL3" s="277" t="n"/>
      <c r="CM3" s="277" t="n"/>
      <c r="CN3" s="278" t="n"/>
      <c r="CO3" s="278" t="n"/>
      <c r="CP3" s="277" t="n"/>
      <c r="CQ3" s="277" t="n"/>
      <c r="CR3" s="277" t="n"/>
      <c r="CS3" s="277" t="n"/>
      <c r="CT3" s="277" t="n"/>
      <c r="CU3" s="277" t="n"/>
      <c r="CV3" s="72" t="n"/>
      <c r="CW3" s="277" t="n"/>
      <c r="CX3" s="277" t="n"/>
      <c r="CY3" s="277" t="n"/>
      <c r="CZ3" s="277" t="n"/>
      <c r="DA3" s="277" t="n"/>
      <c r="DB3" s="277" t="n"/>
      <c r="DC3" s="277" t="n"/>
      <c r="DD3" s="277" t="n"/>
      <c r="DE3" s="279" t="n"/>
      <c r="DF3" s="279" t="n"/>
      <c r="DG3" s="72" t="n"/>
      <c r="DH3" s="72" t="n"/>
      <c r="DI3" s="72" t="n"/>
      <c r="DJ3" s="72" t="n"/>
      <c r="DK3" s="72" t="n"/>
      <c r="DL3" s="72" t="n"/>
      <c r="DM3" s="72" t="n"/>
      <c r="DN3" s="72" t="n"/>
      <c r="DO3" s="72" t="n"/>
      <c r="DP3" s="72" t="n"/>
      <c r="DQ3" s="72" t="n"/>
      <c r="DR3" s="72" t="n"/>
    </row>
    <row r="4" ht="13" customFormat="1" customHeight="1" s="40">
      <c r="A4" s="330" t="n"/>
      <c r="B4" s="281" t="n"/>
      <c r="C4" s="15" t="n"/>
      <c r="D4" s="15" t="n"/>
      <c r="E4" s="281" t="n"/>
      <c r="F4" s="15" t="n"/>
      <c r="G4" s="15" t="n"/>
      <c r="H4" s="281" t="n"/>
      <c r="I4" s="15" t="n"/>
      <c r="J4" s="15" t="n"/>
      <c r="K4" s="281" t="n"/>
      <c r="L4" s="15" t="n"/>
      <c r="M4" s="15" t="n"/>
      <c r="N4" s="281" t="n"/>
      <c r="O4" s="15" t="n"/>
      <c r="P4" s="15" t="n"/>
      <c r="Q4" s="281" t="n"/>
      <c r="R4" s="15" t="n"/>
      <c r="S4" s="15" t="n"/>
      <c r="T4" s="281" t="n"/>
      <c r="U4" s="15" t="n"/>
      <c r="V4" s="15" t="n"/>
      <c r="W4" s="281" t="n"/>
      <c r="X4" s="15" t="n"/>
      <c r="Y4" s="15" t="n"/>
      <c r="Z4" s="281" t="n"/>
      <c r="AA4" s="15" t="n"/>
      <c r="AB4" s="15" t="n"/>
      <c r="AC4" s="281" t="n"/>
      <c r="AD4" s="15" t="n"/>
      <c r="AE4" s="15" t="n"/>
      <c r="AF4" s="281" t="n"/>
      <c r="AG4" s="15" t="n"/>
      <c r="AH4" s="15" t="n"/>
      <c r="AI4" s="281" t="n"/>
      <c r="AJ4" s="15" t="n"/>
      <c r="AK4" s="15" t="n"/>
      <c r="AL4" s="281" t="n"/>
      <c r="AM4" s="15" t="n"/>
      <c r="AN4" s="15" t="n"/>
      <c r="AO4" s="281" t="n"/>
      <c r="AP4" s="15" t="n"/>
      <c r="AQ4" s="15" t="n"/>
      <c r="AR4" s="281" t="n"/>
      <c r="AS4" s="15" t="n"/>
      <c r="AT4" s="15" t="n"/>
      <c r="AU4" s="281" t="n"/>
      <c r="AV4" s="15" t="n"/>
      <c r="AW4" s="15" t="n"/>
      <c r="AX4" s="281" t="n"/>
      <c r="AY4" s="15" t="n"/>
      <c r="AZ4" s="15" t="n"/>
      <c r="BA4" s="291" t="n"/>
      <c r="BB4" s="37" t="n"/>
      <c r="BC4" s="291" t="n"/>
      <c r="BD4" s="37" t="n"/>
      <c r="BE4" s="291" t="n"/>
      <c r="BF4" s="37" t="n"/>
      <c r="BG4" s="291" t="n"/>
      <c r="BH4" s="37" t="n"/>
      <c r="BI4" s="291" t="n"/>
      <c r="BJ4" s="37" t="n"/>
      <c r="BK4" s="291" t="n"/>
      <c r="BL4" s="37" t="n"/>
      <c r="BM4" s="291" t="n"/>
      <c r="BN4" s="37" t="n"/>
      <c r="BO4" s="291" t="n"/>
      <c r="BP4" s="291" t="n"/>
      <c r="BQ4" s="37" t="n"/>
      <c r="BR4" s="291" t="n"/>
      <c r="BS4" s="37" t="n"/>
      <c r="BT4" s="291" t="n"/>
      <c r="BU4" s="37" t="n"/>
      <c r="BV4" s="291" t="n"/>
      <c r="BW4" s="37" t="n"/>
      <c r="BX4" s="291" t="n"/>
      <c r="BY4" s="37" t="n"/>
      <c r="BZ4" s="291" t="n"/>
      <c r="CA4" s="37" t="n"/>
      <c r="CB4" s="291" t="n"/>
      <c r="CC4" s="37" t="n"/>
      <c r="CD4" s="291" t="n"/>
      <c r="CE4" s="37" t="n"/>
      <c r="CF4" s="291" t="n"/>
      <c r="CG4" s="291" t="n"/>
      <c r="CH4" s="291" t="n"/>
      <c r="CI4" s="291" t="n"/>
      <c r="CJ4" s="291" t="n"/>
      <c r="CK4" s="291" t="n"/>
      <c r="CL4" s="291" t="n"/>
      <c r="CM4" s="291" t="n"/>
      <c r="CN4" s="291" t="n"/>
      <c r="CO4" s="291" t="n"/>
      <c r="CP4" s="291" t="n"/>
      <c r="CQ4" s="291" t="n"/>
      <c r="CR4" s="291" t="n"/>
      <c r="CS4" s="291" t="n"/>
      <c r="CT4" s="291" t="n"/>
      <c r="CU4" s="291" t="n"/>
      <c r="CW4" s="291" t="n"/>
      <c r="CX4" s="37" t="n"/>
      <c r="CY4" s="291" t="n"/>
      <c r="CZ4" s="37" t="n"/>
      <c r="DA4" s="291" t="n"/>
      <c r="DB4" s="37" t="n"/>
      <c r="DC4" s="291" t="n"/>
      <c r="DD4" s="37" t="n"/>
      <c r="DE4" s="311" t="n"/>
      <c r="DF4" s="311" t="n"/>
    </row>
    <row r="5">
      <c r="A5" s="428" t="n"/>
      <c r="B5" s="285" t="n"/>
      <c r="C5" s="18" t="n"/>
      <c r="D5" s="18" t="n"/>
      <c r="E5" s="285" t="n"/>
      <c r="F5" s="18" t="n"/>
      <c r="G5" s="18" t="n"/>
      <c r="H5" s="285" t="n"/>
      <c r="I5" s="18" t="n"/>
      <c r="J5" s="18" t="n"/>
      <c r="K5" s="285" t="n"/>
      <c r="L5" s="18" t="n"/>
      <c r="M5" s="18" t="n"/>
      <c r="N5" s="285" t="n"/>
      <c r="O5" s="18" t="n"/>
      <c r="P5" s="18" t="n"/>
      <c r="Q5" s="285" t="n"/>
      <c r="R5" s="18" t="n"/>
      <c r="S5" s="18" t="n"/>
      <c r="T5" s="285" t="n"/>
      <c r="U5" s="18" t="n"/>
      <c r="V5" s="18" t="n"/>
      <c r="W5" s="285" t="n"/>
      <c r="X5" s="18" t="n"/>
      <c r="Y5" s="18" t="n"/>
      <c r="Z5" s="285" t="n"/>
      <c r="AA5" s="18" t="n"/>
      <c r="AB5" s="18" t="n"/>
      <c r="AC5" s="285" t="n"/>
      <c r="AD5" s="18" t="n"/>
      <c r="AE5" s="18" t="n"/>
      <c r="AF5" s="285" t="n"/>
      <c r="AG5" s="18" t="n"/>
      <c r="AH5" s="18" t="n"/>
      <c r="AI5" s="285" t="n"/>
      <c r="AJ5" s="18" t="n"/>
      <c r="AK5" s="18" t="n"/>
      <c r="AL5" s="285" t="n"/>
      <c r="AM5" s="19" t="n"/>
      <c r="AN5" s="19" t="n"/>
      <c r="AO5" s="285" t="n"/>
      <c r="AP5" s="19" t="n"/>
      <c r="AQ5" s="19" t="n"/>
      <c r="AR5" s="285" t="n"/>
      <c r="AS5" s="19" t="n"/>
      <c r="AT5" s="19" t="n"/>
      <c r="AU5" s="285" t="n"/>
      <c r="AV5" s="19" t="n"/>
      <c r="AW5" s="19" t="n"/>
      <c r="AX5" s="285" t="n"/>
      <c r="AY5" s="19" t="n"/>
      <c r="AZ5" s="19" t="n"/>
      <c r="BA5" s="287" t="n"/>
      <c r="BB5" s="287" t="n"/>
      <c r="BC5" s="287" t="n"/>
      <c r="BD5" s="287" t="n"/>
      <c r="BE5" s="287" t="n"/>
      <c r="BF5" s="287" t="n"/>
      <c r="BG5" s="287" t="n"/>
      <c r="BH5" s="287" t="n"/>
      <c r="BI5" s="288" t="n"/>
      <c r="BJ5" s="288" t="n"/>
      <c r="BK5" s="288" t="n"/>
      <c r="BL5" s="288" t="n"/>
      <c r="BM5" s="288" t="n"/>
      <c r="BN5" s="288" t="n"/>
      <c r="BO5" s="288" t="n"/>
      <c r="BP5" s="288" t="n"/>
      <c r="BQ5" s="288" t="n"/>
      <c r="BR5" s="288" t="n"/>
      <c r="BS5" s="288" t="n"/>
      <c r="BT5" s="288" t="n"/>
      <c r="BU5" s="288" t="n"/>
      <c r="BV5" s="288" t="n"/>
      <c r="BW5" s="288" t="n"/>
      <c r="BX5" s="288" t="n"/>
      <c r="BY5" s="288" t="n"/>
      <c r="BZ5" s="288" t="n"/>
      <c r="CA5" s="288" t="n"/>
      <c r="CB5" s="288" t="n"/>
      <c r="CC5" s="288" t="n"/>
      <c r="CD5" s="288" t="n"/>
      <c r="CE5" s="288" t="n"/>
      <c r="CF5" s="288" t="n"/>
      <c r="CG5" s="288" t="n"/>
      <c r="CH5" s="288" t="n"/>
      <c r="CI5" s="288" t="n"/>
      <c r="CJ5" s="288" t="n"/>
      <c r="CK5" s="288" t="n"/>
      <c r="CL5" s="288" t="n"/>
      <c r="CM5" s="288" t="n"/>
      <c r="CN5" s="288" t="n"/>
      <c r="CO5" s="288" t="n"/>
      <c r="CP5" s="288" t="n"/>
      <c r="CQ5" s="288" t="n"/>
      <c r="CR5" s="288" t="n"/>
      <c r="CS5" s="288" t="n"/>
      <c r="CT5" s="288" t="n"/>
      <c r="CU5" s="288" t="n"/>
      <c r="CV5" s="269" t="n"/>
      <c r="CW5" s="288" t="n"/>
      <c r="CX5" s="288" t="n"/>
      <c r="CY5" s="288" t="n"/>
      <c r="CZ5" s="288" t="n"/>
      <c r="DA5" s="288" t="n"/>
      <c r="DB5" s="288" t="n"/>
      <c r="DC5" s="288" t="n"/>
      <c r="DD5" s="288" t="n"/>
      <c r="DE5" s="289" t="n"/>
      <c r="DF5" s="289" t="n"/>
      <c r="DG5" s="79" t="n"/>
    </row>
    <row r="6">
      <c r="A6" s="428" t="n"/>
      <c r="B6" s="285" t="n"/>
      <c r="C6" s="18" t="n"/>
      <c r="D6" s="18" t="n"/>
      <c r="E6" s="285" t="n"/>
      <c r="F6" s="18" t="n"/>
      <c r="G6" s="18" t="n"/>
      <c r="H6" s="285" t="n"/>
      <c r="I6" s="18" t="n"/>
      <c r="J6" s="18" t="n"/>
      <c r="K6" s="285" t="n"/>
      <c r="L6" s="18" t="n"/>
      <c r="M6" s="18" t="n"/>
      <c r="N6" s="285" t="n"/>
      <c r="O6" s="18" t="n"/>
      <c r="P6" s="18" t="n"/>
      <c r="Q6" s="285" t="n"/>
      <c r="R6" s="18" t="n"/>
      <c r="S6" s="18" t="n"/>
      <c r="T6" s="285" t="n"/>
      <c r="U6" s="18" t="n"/>
      <c r="V6" s="18" t="n"/>
      <c r="W6" s="285" t="n"/>
      <c r="X6" s="18" t="n"/>
      <c r="Y6" s="18" t="n"/>
      <c r="Z6" s="285" t="n"/>
      <c r="AA6" s="18" t="n"/>
      <c r="AB6" s="18" t="n"/>
      <c r="AC6" s="285" t="n"/>
      <c r="AD6" s="18" t="n"/>
      <c r="AE6" s="18" t="n"/>
      <c r="AF6" s="285" t="n"/>
      <c r="AG6" s="18" t="n"/>
      <c r="AH6" s="18" t="n"/>
      <c r="AI6" s="285" t="n"/>
      <c r="AJ6" s="18" t="n"/>
      <c r="AK6" s="18" t="n"/>
      <c r="AL6" s="285" t="n"/>
      <c r="AM6" s="19" t="n"/>
      <c r="AN6" s="19" t="n"/>
      <c r="AO6" s="285" t="n"/>
      <c r="AP6" s="19" t="n"/>
      <c r="AQ6" s="19" t="n"/>
      <c r="AR6" s="285" t="n"/>
      <c r="AS6" s="19" t="n"/>
      <c r="AT6" s="19" t="n"/>
      <c r="AU6" s="285" t="n"/>
      <c r="AV6" s="19" t="n"/>
      <c r="AW6" s="19" t="n"/>
      <c r="AX6" s="285" t="n"/>
      <c r="AY6" s="19" t="n"/>
      <c r="AZ6" s="19" t="n"/>
      <c r="BA6" s="287" t="n"/>
      <c r="BB6" s="287" t="n"/>
      <c r="BC6" s="287" t="n"/>
      <c r="BD6" s="287" t="n"/>
      <c r="BE6" s="287" t="n"/>
      <c r="BF6" s="287" t="n"/>
      <c r="BG6" s="287" t="n"/>
      <c r="BH6" s="287" t="n"/>
      <c r="BI6" s="288" t="n"/>
      <c r="BJ6" s="288" t="n"/>
      <c r="BK6" s="288" t="n"/>
      <c r="BL6" s="288" t="n"/>
      <c r="BM6" s="288" t="n"/>
      <c r="BN6" s="288" t="n"/>
      <c r="BO6" s="288" t="n"/>
      <c r="BP6" s="288" t="n"/>
      <c r="BQ6" s="288" t="n"/>
      <c r="BR6" s="288" t="n"/>
      <c r="BS6" s="288" t="n"/>
      <c r="BT6" s="288" t="n"/>
      <c r="BU6" s="288" t="n"/>
      <c r="BV6" s="288" t="n"/>
      <c r="BW6" s="288" t="n"/>
      <c r="BX6" s="288" t="n"/>
      <c r="BY6" s="288" t="n"/>
      <c r="BZ6" s="288" t="n"/>
      <c r="CA6" s="288" t="n"/>
      <c r="CB6" s="288" t="n"/>
      <c r="CC6" s="288" t="n"/>
      <c r="CD6" s="288" t="n"/>
      <c r="CE6" s="288" t="n"/>
      <c r="CF6" s="288" t="n"/>
      <c r="CG6" s="288" t="n"/>
      <c r="CH6" s="288" t="n"/>
      <c r="CI6" s="288" t="n"/>
      <c r="CJ6" s="288" t="n"/>
      <c r="CK6" s="288" t="n"/>
      <c r="CL6" s="288" t="n"/>
      <c r="CM6" s="288" t="n"/>
      <c r="CN6" s="288" t="n"/>
      <c r="CO6" s="288" t="n"/>
      <c r="CP6" s="288" t="n"/>
      <c r="CQ6" s="288" t="n"/>
      <c r="CR6" s="288" t="n"/>
      <c r="CS6" s="288" t="n"/>
      <c r="CT6" s="288" t="n"/>
      <c r="CU6" s="288" t="n"/>
      <c r="CV6" s="269" t="n"/>
      <c r="CW6" s="288" t="n"/>
      <c r="CX6" s="288" t="n"/>
      <c r="CY6" s="288" t="n"/>
      <c r="CZ6" s="288" t="n"/>
      <c r="DA6" s="288" t="n"/>
      <c r="DB6" s="288" t="n"/>
      <c r="DC6" s="288" t="n"/>
      <c r="DD6" s="288" t="n"/>
      <c r="DE6" s="289" t="n"/>
      <c r="DF6" s="289" t="n"/>
      <c r="DG6" s="79" t="n"/>
    </row>
    <row r="7">
      <c r="A7" s="428" t="n"/>
      <c r="B7" s="285" t="n"/>
      <c r="C7" s="18" t="n"/>
      <c r="D7" s="18" t="n"/>
      <c r="E7" s="285" t="n"/>
      <c r="F7" s="18" t="n"/>
      <c r="G7" s="18" t="n"/>
      <c r="H7" s="285" t="n"/>
      <c r="I7" s="18" t="n"/>
      <c r="J7" s="18" t="n"/>
      <c r="K7" s="285" t="n"/>
      <c r="L7" s="18" t="n"/>
      <c r="M7" s="18" t="n"/>
      <c r="N7" s="285" t="n"/>
      <c r="O7" s="18" t="n"/>
      <c r="P7" s="18" t="n"/>
      <c r="Q7" s="285" t="n"/>
      <c r="R7" s="18" t="n"/>
      <c r="S7" s="18" t="n"/>
      <c r="T7" s="285" t="n"/>
      <c r="U7" s="18" t="n"/>
      <c r="V7" s="18" t="n"/>
      <c r="W7" s="285" t="n"/>
      <c r="X7" s="18" t="n"/>
      <c r="Y7" s="18" t="n"/>
      <c r="Z7" s="285" t="n"/>
      <c r="AA7" s="18" t="n"/>
      <c r="AB7" s="18" t="n"/>
      <c r="AC7" s="285" t="n"/>
      <c r="AD7" s="18" t="n"/>
      <c r="AE7" s="18" t="n"/>
      <c r="AF7" s="285" t="n"/>
      <c r="AG7" s="18" t="n"/>
      <c r="AH7" s="18" t="n"/>
      <c r="AI7" s="285" t="n"/>
      <c r="AJ7" s="18" t="n"/>
      <c r="AK7" s="18" t="n"/>
      <c r="AL7" s="285" t="n"/>
      <c r="AM7" s="19" t="n"/>
      <c r="AN7" s="19" t="n"/>
      <c r="AO7" s="285" t="n"/>
      <c r="AP7" s="19" t="n"/>
      <c r="AQ7" s="19" t="n"/>
      <c r="AR7" s="285" t="n"/>
      <c r="AS7" s="19" t="n"/>
      <c r="AT7" s="19" t="n"/>
      <c r="AU7" s="285" t="n"/>
      <c r="AV7" s="19" t="n"/>
      <c r="AW7" s="19" t="n"/>
      <c r="AX7" s="285" t="n"/>
      <c r="AY7" s="19" t="n"/>
      <c r="AZ7" s="19" t="n"/>
      <c r="BA7" s="287" t="n"/>
      <c r="BB7" s="287" t="n"/>
      <c r="BC7" s="287" t="n"/>
      <c r="BD7" s="287" t="n"/>
      <c r="BE7" s="287" t="n"/>
      <c r="BF7" s="287" t="n"/>
      <c r="BG7" s="287" t="n"/>
      <c r="BH7" s="287" t="n"/>
      <c r="BI7" s="288" t="n"/>
      <c r="BJ7" s="288" t="n"/>
      <c r="BK7" s="288" t="n"/>
      <c r="BL7" s="288" t="n"/>
      <c r="BM7" s="288" t="n"/>
      <c r="BN7" s="288" t="n"/>
      <c r="BO7" s="288" t="n"/>
      <c r="BP7" s="288" t="n"/>
      <c r="BQ7" s="288" t="n"/>
      <c r="BR7" s="288" t="n"/>
      <c r="BS7" s="288" t="n"/>
      <c r="BT7" s="288" t="n"/>
      <c r="BU7" s="288" t="n"/>
      <c r="BV7" s="288" t="n"/>
      <c r="BW7" s="288" t="n"/>
      <c r="BX7" s="288" t="n"/>
      <c r="BY7" s="288" t="n"/>
      <c r="BZ7" s="288" t="n"/>
      <c r="CA7" s="288" t="n"/>
      <c r="CB7" s="288" t="n"/>
      <c r="CC7" s="288" t="n"/>
      <c r="CD7" s="288" t="n"/>
      <c r="CE7" s="288" t="n"/>
      <c r="CF7" s="288" t="n"/>
      <c r="CG7" s="288" t="n"/>
      <c r="CH7" s="288" t="n"/>
      <c r="CI7" s="288" t="n"/>
      <c r="CJ7" s="288" t="n"/>
      <c r="CK7" s="288" t="n"/>
      <c r="CL7" s="288" t="n"/>
      <c r="CM7" s="288" t="n"/>
      <c r="CN7" s="288" t="n"/>
      <c r="CO7" s="288" t="n"/>
      <c r="CP7" s="288" t="n"/>
      <c r="CQ7" s="288" t="n"/>
      <c r="CR7" s="288" t="n"/>
      <c r="CS7" s="288" t="n"/>
      <c r="CT7" s="288" t="n"/>
      <c r="CU7" s="288" t="n"/>
      <c r="CV7" s="269" t="n"/>
      <c r="CW7" s="288" t="n"/>
      <c r="CX7" s="288" t="n"/>
      <c r="CY7" s="288" t="n"/>
      <c r="CZ7" s="288" t="n"/>
      <c r="DA7" s="288" t="n"/>
      <c r="DB7" s="288" t="n"/>
      <c r="DC7" s="288" t="n"/>
      <c r="DD7" s="288" t="n"/>
      <c r="DE7" s="289" t="n"/>
      <c r="DF7" s="289" t="n"/>
      <c r="DG7" s="79" t="n"/>
    </row>
    <row r="8">
      <c r="A8" s="428" t="n"/>
      <c r="B8" s="285" t="n"/>
      <c r="C8" s="18" t="n"/>
      <c r="D8" s="18" t="n"/>
      <c r="E8" s="285" t="n"/>
      <c r="F8" s="18" t="n"/>
      <c r="G8" s="18" t="n"/>
      <c r="H8" s="285" t="n"/>
      <c r="I8" s="18" t="n"/>
      <c r="J8" s="18" t="n"/>
      <c r="K8" s="285" t="n"/>
      <c r="L8" s="18" t="n"/>
      <c r="M8" s="18" t="n"/>
      <c r="N8" s="285" t="n"/>
      <c r="O8" s="18" t="n"/>
      <c r="P8" s="18" t="n"/>
      <c r="Q8" s="285" t="n"/>
      <c r="R8" s="18" t="n"/>
      <c r="S8" s="18" t="n"/>
      <c r="T8" s="285" t="n"/>
      <c r="U8" s="18" t="n"/>
      <c r="V8" s="18" t="n"/>
      <c r="W8" s="285" t="n"/>
      <c r="X8" s="18" t="n"/>
      <c r="Y8" s="18" t="n"/>
      <c r="Z8" s="285" t="n"/>
      <c r="AA8" s="18" t="n"/>
      <c r="AB8" s="18" t="n"/>
      <c r="AC8" s="285" t="n"/>
      <c r="AD8" s="18" t="n"/>
      <c r="AE8" s="18" t="n"/>
      <c r="AF8" s="285" t="n"/>
      <c r="AG8" s="18" t="n"/>
      <c r="AH8" s="18" t="n"/>
      <c r="AI8" s="285" t="n"/>
      <c r="AJ8" s="18" t="n"/>
      <c r="AK8" s="18" t="n"/>
      <c r="AL8" s="285" t="n"/>
      <c r="AM8" s="19" t="n"/>
      <c r="AN8" s="19" t="n"/>
      <c r="AO8" s="285" t="n"/>
      <c r="AP8" s="19" t="n"/>
      <c r="AQ8" s="19" t="n"/>
      <c r="AR8" s="285" t="n"/>
      <c r="AS8" s="19" t="n"/>
      <c r="AT8" s="19" t="n"/>
      <c r="AU8" s="285" t="n"/>
      <c r="AV8" s="19" t="n"/>
      <c r="AW8" s="19" t="n"/>
      <c r="AX8" s="285" t="n"/>
      <c r="AY8" s="19" t="n"/>
      <c r="AZ8" s="19" t="n"/>
      <c r="BA8" s="287" t="n"/>
      <c r="BB8" s="287" t="n"/>
      <c r="BC8" s="287" t="n"/>
      <c r="BD8" s="287" t="n"/>
      <c r="BE8" s="287" t="n"/>
      <c r="BF8" s="287" t="n"/>
      <c r="BG8" s="287" t="n"/>
      <c r="BH8" s="287" t="n"/>
      <c r="BI8" s="288" t="n"/>
      <c r="BJ8" s="288" t="n"/>
      <c r="BK8" s="288" t="n"/>
      <c r="BL8" s="288" t="n"/>
      <c r="BM8" s="288" t="n"/>
      <c r="BN8" s="288" t="n"/>
      <c r="BO8" s="288" t="n"/>
      <c r="BP8" s="288" t="n"/>
      <c r="BQ8" s="288" t="n"/>
      <c r="BR8" s="288" t="n"/>
      <c r="BS8" s="288" t="n"/>
      <c r="BT8" s="288" t="n"/>
      <c r="BU8" s="288" t="n"/>
      <c r="BV8" s="288" t="n"/>
      <c r="BW8" s="288" t="n"/>
      <c r="BX8" s="288" t="n"/>
      <c r="BY8" s="288" t="n"/>
      <c r="BZ8" s="288" t="n"/>
      <c r="CA8" s="288" t="n"/>
      <c r="CB8" s="288" t="n"/>
      <c r="CC8" s="288" t="n"/>
      <c r="CD8" s="288" t="n"/>
      <c r="CE8" s="288" t="n"/>
      <c r="CF8" s="288" t="n"/>
      <c r="CG8" s="288" t="n"/>
      <c r="CH8" s="288" t="n"/>
      <c r="CI8" s="288" t="n"/>
      <c r="CJ8" s="288" t="n"/>
      <c r="CK8" s="288" t="n"/>
      <c r="CL8" s="288" t="n"/>
      <c r="CM8" s="288" t="n"/>
      <c r="CN8" s="288" t="n"/>
      <c r="CO8" s="288" t="n"/>
      <c r="CP8" s="288" t="n"/>
      <c r="CQ8" s="288" t="n"/>
      <c r="CR8" s="288" t="n"/>
      <c r="CS8" s="288" t="n"/>
      <c r="CT8" s="288" t="n"/>
      <c r="CU8" s="288" t="n"/>
      <c r="CV8" s="269" t="n"/>
      <c r="CW8" s="288" t="n"/>
      <c r="CX8" s="288" t="n"/>
      <c r="CY8" s="288" t="n"/>
      <c r="CZ8" s="288" t="n"/>
      <c r="DA8" s="288" t="n"/>
      <c r="DB8" s="288" t="n"/>
      <c r="DC8" s="288" t="n"/>
      <c r="DD8" s="288" t="n"/>
      <c r="DE8" s="289" t="n"/>
      <c r="DF8" s="289" t="n"/>
      <c r="DG8" s="79" t="n"/>
    </row>
    <row r="9">
      <c r="A9" s="428" t="n"/>
      <c r="B9" s="285" t="n"/>
      <c r="C9" s="18" t="n"/>
      <c r="D9" s="18" t="n"/>
      <c r="E9" s="285" t="n"/>
      <c r="F9" s="18" t="n"/>
      <c r="G9" s="18" t="n"/>
      <c r="H9" s="285" t="n"/>
      <c r="I9" s="18" t="n"/>
      <c r="J9" s="18" t="n"/>
      <c r="K9" s="285" t="n"/>
      <c r="L9" s="18" t="n"/>
      <c r="M9" s="18" t="n"/>
      <c r="N9" s="285" t="n"/>
      <c r="O9" s="18" t="n"/>
      <c r="P9" s="18" t="n"/>
      <c r="Q9" s="285" t="n"/>
      <c r="R9" s="18" t="n"/>
      <c r="S9" s="18" t="n"/>
      <c r="T9" s="285" t="n"/>
      <c r="U9" s="18" t="n"/>
      <c r="V9" s="18" t="n"/>
      <c r="W9" s="285" t="n"/>
      <c r="X9" s="18" t="n"/>
      <c r="Y9" s="18" t="n"/>
      <c r="Z9" s="285" t="n"/>
      <c r="AA9" s="18" t="n"/>
      <c r="AB9" s="18" t="n"/>
      <c r="AC9" s="285" t="n"/>
      <c r="AD9" s="18" t="n"/>
      <c r="AE9" s="18" t="n"/>
      <c r="AF9" s="285" t="n"/>
      <c r="AG9" s="18" t="n"/>
      <c r="AH9" s="18" t="n"/>
      <c r="AI9" s="285" t="n"/>
      <c r="AJ9" s="18" t="n"/>
      <c r="AK9" s="18" t="n"/>
      <c r="AL9" s="285" t="n"/>
      <c r="AM9" s="19" t="n"/>
      <c r="AN9" s="19" t="n"/>
      <c r="AO9" s="285" t="n"/>
      <c r="AP9" s="19" t="n"/>
      <c r="AQ9" s="19" t="n"/>
      <c r="AR9" s="285" t="n"/>
      <c r="AS9" s="19" t="n"/>
      <c r="AT9" s="19" t="n"/>
      <c r="AU9" s="285" t="n"/>
      <c r="AV9" s="19" t="n"/>
      <c r="AW9" s="19" t="n"/>
      <c r="AX9" s="285" t="n"/>
      <c r="AY9" s="19" t="n"/>
      <c r="AZ9" s="19" t="n"/>
      <c r="BA9" s="287" t="n"/>
      <c r="BB9" s="287" t="n"/>
      <c r="BC9" s="287" t="n"/>
      <c r="BD9" s="287" t="n"/>
      <c r="BE9" s="287" t="n"/>
      <c r="BF9" s="287" t="n"/>
      <c r="BG9" s="287" t="n"/>
      <c r="BH9" s="287" t="n"/>
      <c r="BI9" s="288" t="n"/>
      <c r="BJ9" s="288" t="n"/>
      <c r="BK9" s="288" t="n"/>
      <c r="BL9" s="288" t="n"/>
      <c r="BM9" s="288" t="n"/>
      <c r="BN9" s="288" t="n"/>
      <c r="BO9" s="288" t="n"/>
      <c r="BP9" s="288" t="n"/>
      <c r="BQ9" s="288" t="n"/>
      <c r="BR9" s="288" t="n"/>
      <c r="BS9" s="288" t="n"/>
      <c r="BT9" s="288" t="n"/>
      <c r="BU9" s="288" t="n"/>
      <c r="BV9" s="288" t="n"/>
      <c r="BW9" s="288" t="n"/>
      <c r="BX9" s="288" t="n"/>
      <c r="BY9" s="288" t="n"/>
      <c r="BZ9" s="288" t="n"/>
      <c r="CA9" s="288" t="n"/>
      <c r="CB9" s="288" t="n"/>
      <c r="CC9" s="288" t="n"/>
      <c r="CD9" s="288" t="n"/>
      <c r="CE9" s="288" t="n"/>
      <c r="CF9" s="288" t="n"/>
      <c r="CG9" s="288" t="n"/>
      <c r="CH9" s="288" t="n"/>
      <c r="CI9" s="288" t="n"/>
      <c r="CJ9" s="288" t="n"/>
      <c r="CK9" s="288" t="n"/>
      <c r="CL9" s="288" t="n"/>
      <c r="CM9" s="288" t="n"/>
      <c r="CN9" s="288" t="n"/>
      <c r="CO9" s="288" t="n"/>
      <c r="CP9" s="288" t="n"/>
      <c r="CQ9" s="288" t="n"/>
      <c r="CR9" s="288" t="n"/>
      <c r="CS9" s="288" t="n"/>
      <c r="CT9" s="288" t="n"/>
      <c r="CU9" s="288" t="n"/>
      <c r="CV9" s="269" t="n"/>
      <c r="CW9" s="288" t="n"/>
      <c r="CX9" s="288" t="n"/>
      <c r="CY9" s="288" t="n"/>
      <c r="CZ9" s="288" t="n"/>
      <c r="DA9" s="288" t="n"/>
      <c r="DB9" s="288" t="n"/>
      <c r="DC9" s="288" t="n"/>
      <c r="DD9" s="288" t="n"/>
      <c r="DE9" s="289" t="n"/>
      <c r="DF9" s="289" t="n"/>
      <c r="DG9" s="79" t="n"/>
    </row>
    <row r="10">
      <c r="A10" s="428" t="n"/>
      <c r="B10" s="285" t="n"/>
      <c r="C10" s="18" t="n"/>
      <c r="D10" s="18" t="n"/>
      <c r="E10" s="285" t="n"/>
      <c r="F10" s="18" t="n"/>
      <c r="G10" s="18" t="n"/>
      <c r="H10" s="285" t="n"/>
      <c r="I10" s="18" t="n"/>
      <c r="J10" s="18" t="n"/>
      <c r="K10" s="285" t="n"/>
      <c r="L10" s="18" t="n"/>
      <c r="M10" s="18" t="n"/>
      <c r="N10" s="285" t="n"/>
      <c r="O10" s="18" t="n"/>
      <c r="P10" s="18" t="n"/>
      <c r="Q10" s="285" t="n"/>
      <c r="R10" s="18" t="n"/>
      <c r="S10" s="18" t="n"/>
      <c r="T10" s="285" t="n"/>
      <c r="U10" s="18" t="n"/>
      <c r="V10" s="18" t="n"/>
      <c r="W10" s="285" t="n"/>
      <c r="X10" s="18" t="n"/>
      <c r="Y10" s="18" t="n"/>
      <c r="Z10" s="285" t="n"/>
      <c r="AA10" s="18" t="n"/>
      <c r="AB10" s="18" t="n"/>
      <c r="AC10" s="285" t="n"/>
      <c r="AD10" s="18" t="n"/>
      <c r="AE10" s="18" t="n"/>
      <c r="AF10" s="285" t="n"/>
      <c r="AG10" s="18" t="n"/>
      <c r="AH10" s="18" t="n"/>
      <c r="AI10" s="285" t="n"/>
      <c r="AJ10" s="18" t="n"/>
      <c r="AK10" s="18" t="n"/>
      <c r="AL10" s="285" t="n"/>
      <c r="AM10" s="19" t="n"/>
      <c r="AN10" s="19" t="n"/>
      <c r="AO10" s="285" t="n"/>
      <c r="AP10" s="19" t="n"/>
      <c r="AQ10" s="19" t="n"/>
      <c r="AR10" s="285" t="n"/>
      <c r="AS10" s="19" t="n"/>
      <c r="AT10" s="19" t="n"/>
      <c r="AU10" s="285" t="n"/>
      <c r="AV10" s="19" t="n"/>
      <c r="AW10" s="19" t="n"/>
      <c r="AX10" s="285" t="n"/>
      <c r="AY10" s="19" t="n"/>
      <c r="AZ10" s="19" t="n"/>
      <c r="BA10" s="287" t="n"/>
      <c r="BB10" s="287" t="n"/>
      <c r="BC10" s="287" t="n"/>
      <c r="BD10" s="287" t="n"/>
      <c r="BE10" s="287" t="n"/>
      <c r="BF10" s="287" t="n"/>
      <c r="BG10" s="287" t="n"/>
      <c r="BH10" s="287" t="n"/>
      <c r="BI10" s="288" t="n"/>
      <c r="BJ10" s="288" t="n"/>
      <c r="BK10" s="288" t="n"/>
      <c r="BL10" s="288" t="n"/>
      <c r="BM10" s="288" t="n"/>
      <c r="BN10" s="288" t="n"/>
      <c r="BO10" s="288" t="n"/>
      <c r="BP10" s="288" t="n"/>
      <c r="BQ10" s="288" t="n"/>
      <c r="BR10" s="288" t="n"/>
      <c r="BS10" s="288" t="n"/>
      <c r="BT10" s="288" t="n"/>
      <c r="BU10" s="288" t="n"/>
      <c r="BV10" s="288" t="n"/>
      <c r="BW10" s="288" t="n"/>
      <c r="BX10" s="288" t="n"/>
      <c r="BY10" s="288" t="n"/>
      <c r="BZ10" s="288" t="n"/>
      <c r="CA10" s="288" t="n"/>
      <c r="CB10" s="288" t="n"/>
      <c r="CC10" s="288" t="n"/>
      <c r="CD10" s="288" t="n"/>
      <c r="CE10" s="288" t="n"/>
      <c r="CF10" s="288" t="n"/>
      <c r="CG10" s="288" t="n"/>
      <c r="CH10" s="288" t="n"/>
      <c r="CI10" s="288" t="n"/>
      <c r="CJ10" s="288" t="n"/>
      <c r="CK10" s="288" t="n"/>
      <c r="CL10" s="288" t="n"/>
      <c r="CM10" s="288" t="n"/>
      <c r="CN10" s="288" t="n"/>
      <c r="CO10" s="288" t="n"/>
      <c r="CP10" s="288" t="n"/>
      <c r="CQ10" s="288" t="n"/>
      <c r="CR10" s="288" t="n"/>
      <c r="CS10" s="288" t="n"/>
      <c r="CT10" s="288" t="n"/>
      <c r="CU10" s="288" t="n"/>
      <c r="CV10" s="269" t="n"/>
      <c r="CW10" s="288" t="n"/>
      <c r="CX10" s="288" t="n"/>
      <c r="CY10" s="288" t="n"/>
      <c r="CZ10" s="288" t="n"/>
      <c r="DA10" s="288" t="n"/>
      <c r="DB10" s="288" t="n"/>
      <c r="DC10" s="288" t="n"/>
      <c r="DD10" s="288" t="n"/>
      <c r="DE10" s="289" t="n"/>
      <c r="DF10" s="289" t="n"/>
      <c r="DG10" s="79" t="n"/>
    </row>
    <row r="11">
      <c r="A11" s="428" t="n"/>
      <c r="B11" s="285" t="n"/>
      <c r="C11" s="18" t="n"/>
      <c r="D11" s="18" t="n"/>
      <c r="E11" s="285" t="n"/>
      <c r="F11" s="18" t="n"/>
      <c r="G11" s="18" t="n"/>
      <c r="H11" s="285" t="n"/>
      <c r="I11" s="18" t="n"/>
      <c r="J11" s="18" t="n"/>
      <c r="K11" s="285" t="n"/>
      <c r="L11" s="18" t="n"/>
      <c r="M11" s="18" t="n"/>
      <c r="N11" s="285" t="n"/>
      <c r="O11" s="18" t="n"/>
      <c r="P11" s="18" t="n"/>
      <c r="Q11" s="285" t="n"/>
      <c r="R11" s="18" t="n"/>
      <c r="S11" s="18" t="n"/>
      <c r="T11" s="285" t="n"/>
      <c r="U11" s="18" t="n"/>
      <c r="V11" s="18" t="n"/>
      <c r="W11" s="285" t="n"/>
      <c r="X11" s="18" t="n"/>
      <c r="Y11" s="18" t="n"/>
      <c r="Z11" s="285" t="n"/>
      <c r="AA11" s="18" t="n"/>
      <c r="AB11" s="18" t="n"/>
      <c r="AC11" s="285" t="n"/>
      <c r="AD11" s="18" t="n"/>
      <c r="AE11" s="18" t="n"/>
      <c r="AF11" s="285" t="n"/>
      <c r="AG11" s="18" t="n"/>
      <c r="AH11" s="18" t="n"/>
      <c r="AI11" s="285" t="n"/>
      <c r="AJ11" s="18" t="n"/>
      <c r="AK11" s="18" t="n"/>
      <c r="AL11" s="285" t="n"/>
      <c r="AM11" s="19" t="n"/>
      <c r="AN11" s="19" t="n"/>
      <c r="AO11" s="285" t="n"/>
      <c r="AP11" s="19" t="n"/>
      <c r="AQ11" s="19" t="n"/>
      <c r="AR11" s="285" t="n"/>
      <c r="AS11" s="19" t="n"/>
      <c r="AT11" s="19" t="n"/>
      <c r="AU11" s="285" t="n"/>
      <c r="AV11" s="19" t="n"/>
      <c r="AW11" s="19" t="n"/>
      <c r="AX11" s="285" t="n"/>
      <c r="AY11" s="19" t="n"/>
      <c r="AZ11" s="19" t="n"/>
      <c r="BA11" s="287" t="n"/>
      <c r="BB11" s="287" t="n"/>
      <c r="BC11" s="287" t="n"/>
      <c r="BD11" s="287" t="n"/>
      <c r="BE11" s="287" t="n"/>
      <c r="BF11" s="287" t="n"/>
      <c r="BG11" s="287" t="n"/>
      <c r="BH11" s="287" t="n"/>
      <c r="BI11" s="288" t="n"/>
      <c r="BJ11" s="288" t="n"/>
      <c r="BK11" s="288" t="n"/>
      <c r="BL11" s="288" t="n"/>
      <c r="BM11" s="288" t="n"/>
      <c r="BN11" s="288" t="n"/>
      <c r="BO11" s="288" t="n"/>
      <c r="BP11" s="288" t="n"/>
      <c r="BQ11" s="288" t="n"/>
      <c r="BR11" s="288" t="n"/>
      <c r="BS11" s="288" t="n"/>
      <c r="BT11" s="288" t="n"/>
      <c r="BU11" s="288" t="n"/>
      <c r="BV11" s="288" t="n"/>
      <c r="BW11" s="288" t="n"/>
      <c r="BX11" s="288" t="n"/>
      <c r="BY11" s="288" t="n"/>
      <c r="BZ11" s="288" t="n"/>
      <c r="CA11" s="288" t="n"/>
      <c r="CB11" s="288" t="n"/>
      <c r="CC11" s="288" t="n"/>
      <c r="CD11" s="288" t="n"/>
      <c r="CE11" s="288" t="n"/>
      <c r="CF11" s="288" t="n"/>
      <c r="CG11" s="288" t="n"/>
      <c r="CH11" s="288" t="n"/>
      <c r="CI11" s="288" t="n"/>
      <c r="CJ11" s="288" t="n"/>
      <c r="CK11" s="288" t="n"/>
      <c r="CL11" s="288" t="n"/>
      <c r="CM11" s="288" t="n"/>
      <c r="CN11" s="288" t="n"/>
      <c r="CO11" s="288" t="n"/>
      <c r="CP11" s="288" t="n"/>
      <c r="CQ11" s="288" t="n"/>
      <c r="CR11" s="288" t="n"/>
      <c r="CS11" s="288" t="n"/>
      <c r="CT11" s="288" t="n"/>
      <c r="CU11" s="288" t="n"/>
      <c r="CV11" s="269" t="n"/>
      <c r="CW11" s="288" t="n"/>
      <c r="CX11" s="288" t="n"/>
      <c r="CY11" s="288" t="n"/>
      <c r="CZ11" s="288" t="n"/>
      <c r="DA11" s="288" t="n"/>
      <c r="DB11" s="288" t="n"/>
      <c r="DC11" s="288" t="n"/>
      <c r="DD11" s="288" t="n"/>
      <c r="DE11" s="289" t="n"/>
      <c r="DF11" s="289" t="n"/>
      <c r="DG11" s="79" t="n"/>
    </row>
    <row r="12">
      <c r="A12" s="428" t="n"/>
      <c r="B12" s="285" t="n"/>
      <c r="C12" s="18" t="n"/>
      <c r="D12" s="18" t="n"/>
      <c r="E12" s="285" t="n"/>
      <c r="F12" s="18" t="n"/>
      <c r="G12" s="18" t="n"/>
      <c r="H12" s="285" t="n"/>
      <c r="I12" s="18" t="n"/>
      <c r="J12" s="18" t="n"/>
      <c r="K12" s="285" t="n"/>
      <c r="L12" s="18" t="n"/>
      <c r="M12" s="18" t="n"/>
      <c r="N12" s="285" t="n"/>
      <c r="O12" s="18" t="n"/>
      <c r="P12" s="18" t="n"/>
      <c r="Q12" s="285" t="n"/>
      <c r="R12" s="18" t="n"/>
      <c r="S12" s="18" t="n"/>
      <c r="T12" s="285" t="n"/>
      <c r="U12" s="18" t="n"/>
      <c r="V12" s="18" t="n"/>
      <c r="W12" s="285" t="n"/>
      <c r="X12" s="18" t="n"/>
      <c r="Y12" s="18" t="n"/>
      <c r="Z12" s="285" t="n"/>
      <c r="AA12" s="18" t="n"/>
      <c r="AB12" s="18" t="n"/>
      <c r="AC12" s="285" t="n"/>
      <c r="AD12" s="18" t="n"/>
      <c r="AE12" s="18" t="n"/>
      <c r="AF12" s="285" t="n"/>
      <c r="AG12" s="18" t="n"/>
      <c r="AH12" s="18" t="n"/>
      <c r="AI12" s="285" t="n"/>
      <c r="AJ12" s="18" t="n"/>
      <c r="AK12" s="18" t="n"/>
      <c r="AL12" s="285" t="n"/>
      <c r="AM12" s="19" t="n"/>
      <c r="AN12" s="19" t="n"/>
      <c r="AO12" s="285" t="n"/>
      <c r="AP12" s="19" t="n"/>
      <c r="AQ12" s="19" t="n"/>
      <c r="AR12" s="285" t="n"/>
      <c r="AS12" s="19" t="n"/>
      <c r="AT12" s="19" t="n"/>
      <c r="AU12" s="285" t="n"/>
      <c r="AV12" s="19" t="n"/>
      <c r="AW12" s="19" t="n"/>
      <c r="AX12" s="285" t="n"/>
      <c r="AY12" s="19" t="n"/>
      <c r="AZ12" s="19" t="n"/>
      <c r="BA12" s="287" t="n"/>
      <c r="BB12" s="287" t="n"/>
      <c r="BC12" s="287" t="n"/>
      <c r="BD12" s="287" t="n"/>
      <c r="BE12" s="287" t="n"/>
      <c r="BF12" s="287" t="n"/>
      <c r="BG12" s="287" t="n"/>
      <c r="BH12" s="287" t="n"/>
      <c r="BI12" s="288" t="n"/>
      <c r="BJ12" s="288" t="n"/>
      <c r="BK12" s="288" t="n"/>
      <c r="BL12" s="288" t="n"/>
      <c r="BM12" s="288" t="n"/>
      <c r="BN12" s="288" t="n"/>
      <c r="BO12" s="288" t="n"/>
      <c r="BP12" s="288" t="n"/>
      <c r="BQ12" s="288" t="n"/>
      <c r="BR12" s="288" t="n"/>
      <c r="BS12" s="288" t="n"/>
      <c r="BT12" s="288" t="n"/>
      <c r="BU12" s="288" t="n"/>
      <c r="BV12" s="288" t="n"/>
      <c r="BW12" s="288" t="n"/>
      <c r="BX12" s="288" t="n"/>
      <c r="BY12" s="288" t="n"/>
      <c r="BZ12" s="288" t="n"/>
      <c r="CA12" s="288" t="n"/>
      <c r="CB12" s="288" t="n"/>
      <c r="CC12" s="288" t="n"/>
      <c r="CD12" s="288" t="n"/>
      <c r="CE12" s="288" t="n"/>
      <c r="CF12" s="288" t="n"/>
      <c r="CG12" s="288" t="n"/>
      <c r="CH12" s="288" t="n"/>
      <c r="CI12" s="288" t="n"/>
      <c r="CJ12" s="288" t="n"/>
      <c r="CK12" s="288" t="n"/>
      <c r="CL12" s="288" t="n"/>
      <c r="CM12" s="288" t="n"/>
      <c r="CN12" s="288" t="n"/>
      <c r="CO12" s="288" t="n"/>
      <c r="CP12" s="288" t="n"/>
      <c r="CQ12" s="288" t="n"/>
      <c r="CR12" s="288" t="n"/>
      <c r="CS12" s="288" t="n"/>
      <c r="CT12" s="288" t="n"/>
      <c r="CU12" s="288" t="n"/>
      <c r="CV12" s="269" t="n"/>
      <c r="CW12" s="288" t="n"/>
      <c r="CX12" s="288" t="n"/>
      <c r="CY12" s="288" t="n"/>
      <c r="CZ12" s="288" t="n"/>
      <c r="DA12" s="288" t="n"/>
      <c r="DB12" s="288" t="n"/>
      <c r="DC12" s="288" t="n"/>
      <c r="DD12" s="288" t="n"/>
      <c r="DE12" s="289" t="n"/>
      <c r="DF12" s="289" t="n"/>
      <c r="DG12" s="79" t="n"/>
    </row>
    <row r="13">
      <c r="A13" s="428" t="n"/>
      <c r="B13" s="285" t="n"/>
      <c r="C13" s="18" t="n"/>
      <c r="D13" s="18" t="n"/>
      <c r="E13" s="285" t="n"/>
      <c r="F13" s="18" t="n"/>
      <c r="G13" s="18" t="n"/>
      <c r="H13" s="285" t="n"/>
      <c r="I13" s="18" t="n"/>
      <c r="J13" s="18" t="n"/>
      <c r="K13" s="285" t="n"/>
      <c r="L13" s="18" t="n"/>
      <c r="M13" s="18" t="n"/>
      <c r="N13" s="285" t="n"/>
      <c r="O13" s="18" t="n"/>
      <c r="P13" s="18" t="n"/>
      <c r="Q13" s="285" t="n"/>
      <c r="R13" s="18" t="n"/>
      <c r="S13" s="18" t="n"/>
      <c r="T13" s="285" t="n"/>
      <c r="U13" s="18" t="n"/>
      <c r="V13" s="18" t="n"/>
      <c r="W13" s="285" t="n"/>
      <c r="X13" s="18" t="n"/>
      <c r="Y13" s="18" t="n"/>
      <c r="Z13" s="285" t="n"/>
      <c r="AA13" s="18" t="n"/>
      <c r="AB13" s="18" t="n"/>
      <c r="AC13" s="285" t="n"/>
      <c r="AD13" s="18" t="n"/>
      <c r="AE13" s="18" t="n"/>
      <c r="AF13" s="285" t="n"/>
      <c r="AG13" s="18" t="n"/>
      <c r="AH13" s="18" t="n"/>
      <c r="AI13" s="285" t="n"/>
      <c r="AJ13" s="18" t="n"/>
      <c r="AK13" s="18" t="n"/>
      <c r="AL13" s="285" t="n"/>
      <c r="AM13" s="19" t="n"/>
      <c r="AN13" s="19" t="n"/>
      <c r="AO13" s="285" t="n"/>
      <c r="AP13" s="19" t="n"/>
      <c r="AQ13" s="19" t="n"/>
      <c r="AR13" s="285" t="n"/>
      <c r="AS13" s="19" t="n"/>
      <c r="AT13" s="19" t="n"/>
      <c r="AU13" s="285" t="n"/>
      <c r="AV13" s="19" t="n"/>
      <c r="AW13" s="19" t="n"/>
      <c r="AX13" s="285" t="n"/>
      <c r="AY13" s="19" t="n"/>
      <c r="AZ13" s="19" t="n"/>
      <c r="BA13" s="287" t="n"/>
      <c r="BB13" s="287" t="n"/>
      <c r="BC13" s="287" t="n"/>
      <c r="BD13" s="287" t="n"/>
      <c r="BE13" s="287" t="n"/>
      <c r="BF13" s="287" t="n"/>
      <c r="BG13" s="287" t="n"/>
      <c r="BH13" s="287" t="n"/>
      <c r="BI13" s="288" t="n"/>
      <c r="BJ13" s="288" t="n"/>
      <c r="BK13" s="288" t="n"/>
      <c r="BL13" s="288" t="n"/>
      <c r="BM13" s="288" t="n"/>
      <c r="BN13" s="288" t="n"/>
      <c r="BO13" s="288" t="n"/>
      <c r="BP13" s="288" t="n"/>
      <c r="BQ13" s="288" t="n"/>
      <c r="BR13" s="288" t="n"/>
      <c r="BS13" s="288" t="n"/>
      <c r="BT13" s="288" t="n"/>
      <c r="BU13" s="288" t="n"/>
      <c r="BV13" s="288" t="n"/>
      <c r="BW13" s="288" t="n"/>
      <c r="BX13" s="288" t="n"/>
      <c r="BY13" s="288" t="n"/>
      <c r="BZ13" s="288" t="n"/>
      <c r="CA13" s="288" t="n"/>
      <c r="CB13" s="288" t="n"/>
      <c r="CC13" s="288" t="n"/>
      <c r="CD13" s="288" t="n"/>
      <c r="CE13" s="288" t="n"/>
      <c r="CF13" s="288" t="n"/>
      <c r="CG13" s="288" t="n"/>
      <c r="CH13" s="288" t="n"/>
      <c r="CI13" s="288" t="n"/>
      <c r="CJ13" s="288" t="n"/>
      <c r="CK13" s="288" t="n"/>
      <c r="CL13" s="288" t="n"/>
      <c r="CM13" s="288" t="n"/>
      <c r="CN13" s="288" t="n"/>
      <c r="CO13" s="288" t="n"/>
      <c r="CP13" s="288" t="n"/>
      <c r="CQ13" s="288" t="n"/>
      <c r="CR13" s="288" t="n"/>
      <c r="CS13" s="288" t="n"/>
      <c r="CT13" s="288" t="n"/>
      <c r="CU13" s="288" t="n"/>
      <c r="CV13" s="269" t="n"/>
      <c r="CW13" s="288" t="n"/>
      <c r="CX13" s="288" t="n"/>
      <c r="CY13" s="288" t="n"/>
      <c r="CZ13" s="288" t="n"/>
      <c r="DA13" s="288" t="n"/>
      <c r="DB13" s="288" t="n"/>
      <c r="DC13" s="288" t="n"/>
      <c r="DD13" s="288" t="n"/>
      <c r="DE13" s="289" t="n"/>
      <c r="DF13" s="289" t="n"/>
      <c r="DG13" s="79" t="n"/>
    </row>
    <row r="14">
      <c r="A14" s="428" t="n"/>
      <c r="B14" s="285" t="n"/>
      <c r="C14" s="18" t="n"/>
      <c r="D14" s="18" t="n"/>
      <c r="E14" s="285" t="n"/>
      <c r="F14" s="18" t="n"/>
      <c r="G14" s="18" t="n"/>
      <c r="H14" s="285" t="n"/>
      <c r="I14" s="18" t="n"/>
      <c r="J14" s="18" t="n"/>
      <c r="K14" s="285" t="n"/>
      <c r="L14" s="18" t="n"/>
      <c r="M14" s="18" t="n"/>
      <c r="N14" s="285" t="n"/>
      <c r="O14" s="18" t="n"/>
      <c r="P14" s="18" t="n"/>
      <c r="Q14" s="285" t="n"/>
      <c r="R14" s="18" t="n"/>
      <c r="S14" s="18" t="n"/>
      <c r="T14" s="285" t="n"/>
      <c r="U14" s="18" t="n"/>
      <c r="V14" s="18" t="n"/>
      <c r="W14" s="285" t="n"/>
      <c r="X14" s="18" t="n"/>
      <c r="Y14" s="18" t="n"/>
      <c r="Z14" s="285" t="n"/>
      <c r="AA14" s="18" t="n"/>
      <c r="AB14" s="18" t="n"/>
      <c r="AC14" s="285" t="n"/>
      <c r="AD14" s="18" t="n"/>
      <c r="AE14" s="18" t="n"/>
      <c r="AF14" s="285" t="n"/>
      <c r="AG14" s="18" t="n"/>
      <c r="AH14" s="18" t="n"/>
      <c r="AI14" s="285" t="n"/>
      <c r="AJ14" s="18" t="n"/>
      <c r="AK14" s="18" t="n"/>
      <c r="AL14" s="285" t="n"/>
      <c r="AM14" s="19" t="n"/>
      <c r="AN14" s="19" t="n"/>
      <c r="AO14" s="285" t="n"/>
      <c r="AP14" s="19" t="n"/>
      <c r="AQ14" s="19" t="n"/>
      <c r="AR14" s="285" t="n"/>
      <c r="AS14" s="19" t="n"/>
      <c r="AT14" s="19" t="n"/>
      <c r="AU14" s="285" t="n"/>
      <c r="AV14" s="19" t="n"/>
      <c r="AW14" s="19" t="n"/>
      <c r="AX14" s="285" t="n"/>
      <c r="AY14" s="19" t="n"/>
      <c r="AZ14" s="19" t="n"/>
      <c r="BA14" s="287" t="n"/>
      <c r="BB14" s="287" t="n"/>
      <c r="BC14" s="287" t="n"/>
      <c r="BD14" s="287" t="n"/>
      <c r="BE14" s="287" t="n"/>
      <c r="BF14" s="287" t="n"/>
      <c r="BG14" s="287" t="n"/>
      <c r="BH14" s="287" t="n"/>
      <c r="BI14" s="288" t="n"/>
      <c r="BJ14" s="288" t="n"/>
      <c r="BK14" s="288" t="n"/>
      <c r="BL14" s="288" t="n"/>
      <c r="BM14" s="288" t="n"/>
      <c r="BN14" s="288" t="n"/>
      <c r="BO14" s="288" t="n"/>
      <c r="BP14" s="288" t="n"/>
      <c r="BQ14" s="288" t="n"/>
      <c r="BR14" s="288" t="n"/>
      <c r="BS14" s="288" t="n"/>
      <c r="BT14" s="288" t="n"/>
      <c r="BU14" s="288" t="n"/>
      <c r="BV14" s="288" t="n"/>
      <c r="BW14" s="288" t="n"/>
      <c r="BX14" s="288" t="n"/>
      <c r="BY14" s="288" t="n"/>
      <c r="BZ14" s="288" t="n"/>
      <c r="CA14" s="288" t="n"/>
      <c r="CB14" s="288" t="n"/>
      <c r="CC14" s="288" t="n"/>
      <c r="CD14" s="288" t="n"/>
      <c r="CE14" s="288" t="n"/>
      <c r="CF14" s="288" t="n"/>
      <c r="CG14" s="288" t="n"/>
      <c r="CH14" s="288" t="n"/>
      <c r="CI14" s="288" t="n"/>
      <c r="CJ14" s="288" t="n"/>
      <c r="CK14" s="288" t="n"/>
      <c r="CL14" s="288" t="n"/>
      <c r="CM14" s="288" t="n"/>
      <c r="CN14" s="288" t="n"/>
      <c r="CO14" s="288" t="n"/>
      <c r="CP14" s="288" t="n"/>
      <c r="CQ14" s="288" t="n"/>
      <c r="CR14" s="288" t="n"/>
      <c r="CS14" s="288" t="n"/>
      <c r="CT14" s="288" t="n"/>
      <c r="CU14" s="288" t="n"/>
      <c r="CV14" s="269" t="n"/>
      <c r="CW14" s="288" t="n"/>
      <c r="CX14" s="288" t="n"/>
      <c r="CY14" s="288" t="n"/>
      <c r="CZ14" s="288" t="n"/>
      <c r="DA14" s="288" t="n"/>
      <c r="DB14" s="288" t="n"/>
      <c r="DC14" s="288" t="n"/>
      <c r="DD14" s="288" t="n"/>
      <c r="DE14" s="289" t="n"/>
      <c r="DF14" s="289" t="n"/>
      <c r="DG14" s="79" t="n"/>
    </row>
    <row r="15">
      <c r="A15" s="428" t="n"/>
      <c r="B15" s="285" t="n"/>
      <c r="C15" s="18" t="n"/>
      <c r="D15" s="18" t="n"/>
      <c r="E15" s="285" t="n"/>
      <c r="F15" s="18" t="n"/>
      <c r="G15" s="18" t="n"/>
      <c r="H15" s="285" t="n"/>
      <c r="I15" s="18" t="n"/>
      <c r="J15" s="18" t="n"/>
      <c r="K15" s="285" t="n"/>
      <c r="L15" s="18" t="n"/>
      <c r="M15" s="18" t="n"/>
      <c r="N15" s="285" t="n"/>
      <c r="O15" s="18" t="n"/>
      <c r="P15" s="18" t="n"/>
      <c r="Q15" s="285" t="n"/>
      <c r="R15" s="18" t="n"/>
      <c r="S15" s="18" t="n"/>
      <c r="T15" s="285" t="n"/>
      <c r="U15" s="18" t="n"/>
      <c r="V15" s="18" t="n"/>
      <c r="W15" s="285" t="n"/>
      <c r="X15" s="18" t="n"/>
      <c r="Y15" s="18" t="n"/>
      <c r="Z15" s="285" t="n"/>
      <c r="AA15" s="18" t="n"/>
      <c r="AB15" s="18" t="n"/>
      <c r="AC15" s="285" t="n"/>
      <c r="AD15" s="18" t="n"/>
      <c r="AE15" s="18" t="n"/>
      <c r="AF15" s="285" t="n"/>
      <c r="AG15" s="18" t="n"/>
      <c r="AH15" s="18" t="n"/>
      <c r="AI15" s="285" t="n"/>
      <c r="AJ15" s="18" t="n"/>
      <c r="AK15" s="18" t="n"/>
      <c r="AL15" s="285" t="n"/>
      <c r="AM15" s="19" t="n"/>
      <c r="AN15" s="19" t="n"/>
      <c r="AO15" s="285" t="n"/>
      <c r="AP15" s="19" t="n"/>
      <c r="AQ15" s="19" t="n"/>
      <c r="AR15" s="285" t="n"/>
      <c r="AS15" s="19" t="n"/>
      <c r="AT15" s="19" t="n"/>
      <c r="AU15" s="285" t="n"/>
      <c r="AV15" s="19" t="n"/>
      <c r="AW15" s="19" t="n"/>
      <c r="AX15" s="285" t="n"/>
      <c r="AY15" s="19" t="n"/>
      <c r="AZ15" s="19" t="n"/>
      <c r="BA15" s="287" t="n"/>
      <c r="BB15" s="287" t="n"/>
      <c r="BC15" s="287" t="n"/>
      <c r="BD15" s="287" t="n"/>
      <c r="BE15" s="287" t="n"/>
      <c r="BF15" s="287" t="n"/>
      <c r="BG15" s="287" t="n"/>
      <c r="BH15" s="287" t="n"/>
      <c r="BI15" s="288" t="n"/>
      <c r="BJ15" s="288" t="n"/>
      <c r="BK15" s="288" t="n"/>
      <c r="BL15" s="288" t="n"/>
      <c r="BM15" s="288" t="n"/>
      <c r="BN15" s="288" t="n"/>
      <c r="BO15" s="288" t="n"/>
      <c r="BP15" s="288" t="n"/>
      <c r="BQ15" s="288" t="n"/>
      <c r="BR15" s="288" t="n"/>
      <c r="BS15" s="288" t="n"/>
      <c r="BT15" s="288" t="n"/>
      <c r="BU15" s="288" t="n"/>
      <c r="BV15" s="288" t="n"/>
      <c r="BW15" s="288" t="n"/>
      <c r="BX15" s="288" t="n"/>
      <c r="BY15" s="288" t="n"/>
      <c r="BZ15" s="288" t="n"/>
      <c r="CA15" s="288" t="n"/>
      <c r="CB15" s="288" t="n"/>
      <c r="CC15" s="288" t="n"/>
      <c r="CD15" s="288" t="n"/>
      <c r="CE15" s="288" t="n"/>
      <c r="CF15" s="288" t="n"/>
      <c r="CG15" s="288" t="n"/>
      <c r="CH15" s="288" t="n"/>
      <c r="CI15" s="288" t="n"/>
      <c r="CJ15" s="288" t="n"/>
      <c r="CK15" s="288" t="n"/>
      <c r="CL15" s="288" t="n"/>
      <c r="CM15" s="288" t="n"/>
      <c r="CN15" s="288" t="n"/>
      <c r="CO15" s="288" t="n"/>
      <c r="CP15" s="288" t="n"/>
      <c r="CQ15" s="288" t="n"/>
      <c r="CR15" s="288" t="n"/>
      <c r="CS15" s="288" t="n"/>
      <c r="CT15" s="288" t="n"/>
      <c r="CU15" s="288" t="n"/>
      <c r="CV15" s="269" t="n"/>
      <c r="CW15" s="288" t="n"/>
      <c r="CX15" s="288" t="n"/>
      <c r="CY15" s="288" t="n"/>
      <c r="CZ15" s="288" t="n"/>
      <c r="DA15" s="288" t="n"/>
      <c r="DB15" s="288" t="n"/>
      <c r="DC15" s="288" t="n"/>
      <c r="DD15" s="288" t="n"/>
      <c r="DE15" s="289" t="n"/>
      <c r="DF15" s="289" t="n"/>
      <c r="DG15" s="79" t="n"/>
    </row>
    <row r="16" ht="13" customFormat="1" customHeight="1" s="40">
      <c r="A16" s="330" t="n"/>
      <c r="B16" s="281" t="n"/>
      <c r="C16" s="15" t="n"/>
      <c r="D16" s="15" t="n"/>
      <c r="E16" s="281" t="n"/>
      <c r="F16" s="15" t="n"/>
      <c r="G16" s="15" t="n"/>
      <c r="H16" s="281" t="n"/>
      <c r="I16" s="15" t="n"/>
      <c r="J16" s="15" t="n"/>
      <c r="K16" s="281" t="n"/>
      <c r="L16" s="15" t="n"/>
      <c r="M16" s="15" t="n"/>
      <c r="N16" s="281" t="n"/>
      <c r="O16" s="15" t="n"/>
      <c r="P16" s="15" t="n"/>
      <c r="Q16" s="281" t="n"/>
      <c r="R16" s="15" t="n"/>
      <c r="S16" s="15" t="n"/>
      <c r="T16" s="281" t="n"/>
      <c r="U16" s="15" t="n"/>
      <c r="V16" s="15" t="n"/>
      <c r="W16" s="281" t="n"/>
      <c r="X16" s="15" t="n"/>
      <c r="Y16" s="15" t="n"/>
      <c r="Z16" s="281" t="n"/>
      <c r="AA16" s="15" t="n"/>
      <c r="AB16" s="15" t="n"/>
      <c r="AC16" s="281" t="n"/>
      <c r="AD16" s="15" t="n"/>
      <c r="AE16" s="15" t="n"/>
      <c r="AF16" s="281" t="n"/>
      <c r="AG16" s="15" t="n"/>
      <c r="AH16" s="15" t="n"/>
      <c r="AI16" s="281" t="n"/>
      <c r="AJ16" s="15" t="n"/>
      <c r="AK16" s="15" t="n"/>
      <c r="AL16" s="281" t="n"/>
      <c r="AM16" s="327" t="n"/>
      <c r="AN16" s="15" t="n"/>
      <c r="AO16" s="281" t="n"/>
      <c r="AP16" s="327" t="n"/>
      <c r="AQ16" s="15" t="n"/>
      <c r="AR16" s="281" t="n"/>
      <c r="AS16" s="327" t="n"/>
      <c r="AT16" s="15" t="n"/>
      <c r="AU16" s="281" t="n"/>
      <c r="AV16" s="327" t="n"/>
      <c r="AW16" s="15" t="n"/>
      <c r="AX16" s="281" t="n"/>
      <c r="AY16" s="15" t="n"/>
      <c r="AZ16" s="15" t="n"/>
      <c r="BA16" s="291" t="n"/>
      <c r="BB16" s="37" t="n"/>
      <c r="BC16" s="291" t="n"/>
      <c r="BD16" s="37" t="n"/>
      <c r="BE16" s="291" t="n"/>
      <c r="BF16" s="37" t="n"/>
      <c r="BG16" s="291" t="n"/>
      <c r="BH16" s="37" t="n"/>
      <c r="BI16" s="291" t="n"/>
      <c r="BJ16" s="37" t="n"/>
      <c r="BK16" s="291" t="n"/>
      <c r="BL16" s="37" t="n"/>
      <c r="BM16" s="291" t="n"/>
      <c r="BN16" s="37" t="n"/>
      <c r="BO16" s="291" t="n"/>
      <c r="BP16" s="291" t="n"/>
      <c r="BQ16" s="37" t="n"/>
      <c r="BR16" s="291" t="n"/>
      <c r="BS16" s="37" t="n"/>
      <c r="BT16" s="291" t="n"/>
      <c r="BU16" s="37" t="n"/>
      <c r="BV16" s="291" t="n"/>
      <c r="BW16" s="37" t="n"/>
      <c r="BX16" s="291" t="n"/>
      <c r="BY16" s="37" t="n"/>
      <c r="BZ16" s="291" t="n"/>
      <c r="CA16" s="37" t="n"/>
      <c r="CB16" s="291" t="n"/>
      <c r="CC16" s="37" t="n"/>
      <c r="CD16" s="291" t="n"/>
      <c r="CE16" s="37" t="n"/>
      <c r="CF16" s="291" t="n"/>
      <c r="CG16" s="291" t="n"/>
      <c r="CH16" s="291" t="n"/>
      <c r="CI16" s="291" t="n"/>
      <c r="CJ16" s="291" t="n"/>
      <c r="CK16" s="291" t="n"/>
      <c r="CL16" s="291" t="n"/>
      <c r="CM16" s="291" t="n"/>
      <c r="CN16" s="291" t="n"/>
      <c r="CO16" s="80" t="n"/>
      <c r="CP16" s="291" t="n"/>
      <c r="CQ16" s="80" t="n"/>
      <c r="CR16" s="291" t="n"/>
      <c r="CS16" s="80" t="n"/>
      <c r="CT16" s="291" t="n"/>
      <c r="CU16" s="80" t="n"/>
      <c r="CW16" s="291" t="n"/>
      <c r="CX16" s="37" t="n"/>
      <c r="CY16" s="291" t="n"/>
      <c r="CZ16" s="37" t="n"/>
      <c r="DA16" s="291" t="n"/>
      <c r="DB16" s="37" t="n"/>
      <c r="DC16" s="291" t="n"/>
      <c r="DD16" s="37" t="n"/>
      <c r="DE16" s="311" t="n"/>
      <c r="DF16" s="311" t="n"/>
    </row>
    <row r="17">
      <c r="A17" s="428" t="n"/>
      <c r="B17" s="285" t="n"/>
      <c r="C17" s="15" t="n"/>
      <c r="D17" s="15" t="n"/>
      <c r="E17" s="285" t="n"/>
      <c r="F17" s="15" t="n"/>
      <c r="G17" s="15" t="n"/>
      <c r="H17" s="285" t="n"/>
      <c r="I17" s="15" t="n"/>
      <c r="J17" s="15" t="n"/>
      <c r="K17" s="285" t="n"/>
      <c r="L17" s="15" t="n"/>
      <c r="M17" s="15" t="n"/>
      <c r="N17" s="285" t="n"/>
      <c r="O17" s="15" t="n"/>
      <c r="P17" s="15" t="n"/>
      <c r="Q17" s="285" t="n"/>
      <c r="R17" s="15" t="n"/>
      <c r="S17" s="15" t="n"/>
      <c r="T17" s="285" t="n"/>
      <c r="U17" s="15" t="n"/>
      <c r="V17" s="15" t="n"/>
      <c r="W17" s="285" t="n"/>
      <c r="X17" s="15" t="n"/>
      <c r="Y17" s="15" t="n"/>
      <c r="Z17" s="285" t="n"/>
      <c r="AA17" s="15" t="n"/>
      <c r="AB17" s="15" t="n"/>
      <c r="AC17" s="285" t="n"/>
      <c r="AD17" s="15" t="n"/>
      <c r="AE17" s="15" t="n"/>
      <c r="AF17" s="285" t="n"/>
      <c r="AG17" s="15" t="n"/>
      <c r="AH17" s="15" t="n"/>
      <c r="AI17" s="285" t="n"/>
      <c r="AJ17" s="15" t="n"/>
      <c r="AK17" s="15" t="n"/>
      <c r="AL17" s="285" t="n"/>
      <c r="AM17" s="327" t="n"/>
      <c r="AN17" s="15" t="n"/>
      <c r="AO17" s="285" t="n"/>
      <c r="AP17" s="327" t="n"/>
      <c r="AQ17" s="15" t="n"/>
      <c r="AR17" s="285" t="n"/>
      <c r="AS17" s="327" t="n"/>
      <c r="AT17" s="15" t="n"/>
      <c r="AU17" s="285" t="n"/>
      <c r="AV17" s="327" t="n"/>
      <c r="AW17" s="15" t="n"/>
      <c r="AX17" s="285" t="n"/>
      <c r="AY17" s="15" t="n"/>
      <c r="AZ17" s="15" t="n"/>
      <c r="BA17" s="287" t="n"/>
      <c r="BB17" s="37" t="n"/>
      <c r="BC17" s="287" t="n"/>
      <c r="BD17" s="37" t="n"/>
      <c r="BE17" s="287" t="n"/>
      <c r="BF17" s="37" t="n"/>
      <c r="BG17" s="287" t="n"/>
      <c r="BH17" s="37" t="n"/>
      <c r="BI17" s="288" t="n"/>
      <c r="BJ17" s="37" t="n"/>
      <c r="BK17" s="288" t="n"/>
      <c r="BL17" s="37" t="n"/>
      <c r="BM17" s="288" t="n"/>
      <c r="BN17" s="37" t="n"/>
      <c r="BO17" s="288" t="n"/>
      <c r="BP17" s="288" t="n"/>
      <c r="BQ17" s="37" t="n"/>
      <c r="BR17" s="288" t="n"/>
      <c r="BS17" s="37" t="n"/>
      <c r="BT17" s="288" t="n"/>
      <c r="BU17" s="37" t="n"/>
      <c r="BV17" s="288" t="n"/>
      <c r="BW17" s="37" t="n"/>
      <c r="BX17" s="288" t="n"/>
      <c r="BY17" s="37" t="n"/>
      <c r="BZ17" s="288" t="n"/>
      <c r="CA17" s="37" t="n"/>
      <c r="CB17" s="288" t="n"/>
      <c r="CC17" s="37" t="n"/>
      <c r="CD17" s="288" t="n"/>
      <c r="CE17" s="37" t="n"/>
      <c r="CF17" s="288" t="n"/>
      <c r="CG17" s="291" t="n"/>
      <c r="CH17" s="288" t="n"/>
      <c r="CI17" s="291" t="n"/>
      <c r="CJ17" s="288" t="n"/>
      <c r="CK17" s="291" t="n"/>
      <c r="CL17" s="288" t="n"/>
      <c r="CM17" s="291" t="n"/>
      <c r="CN17" s="288" t="n"/>
      <c r="CO17" s="80" t="n"/>
      <c r="CP17" s="288" t="n"/>
      <c r="CQ17" s="80" t="n"/>
      <c r="CR17" s="288" t="n"/>
      <c r="CS17" s="80" t="n"/>
      <c r="CT17" s="288" t="n"/>
      <c r="CU17" s="80" t="n"/>
      <c r="CV17" s="269" t="n"/>
      <c r="CW17" s="288" t="n"/>
      <c r="CX17" s="37" t="n"/>
      <c r="CY17" s="288" t="n"/>
      <c r="CZ17" s="37" t="n"/>
      <c r="DA17" s="288" t="n"/>
      <c r="DB17" s="37" t="n"/>
      <c r="DC17" s="288" t="n"/>
      <c r="DD17" s="37" t="n"/>
      <c r="DE17" s="289" t="n"/>
      <c r="DF17" s="289" t="n"/>
      <c r="DG17" s="79" t="n"/>
    </row>
    <row r="18">
      <c r="A18" s="428" t="n"/>
      <c r="B18" s="285" t="n"/>
      <c r="C18" s="15" t="n"/>
      <c r="D18" s="15" t="n"/>
      <c r="E18" s="285" t="n"/>
      <c r="F18" s="15" t="n"/>
      <c r="G18" s="15" t="n"/>
      <c r="H18" s="285" t="n"/>
      <c r="I18" s="15" t="n"/>
      <c r="J18" s="15" t="n"/>
      <c r="K18" s="285" t="n"/>
      <c r="L18" s="15" t="n"/>
      <c r="M18" s="15" t="n"/>
      <c r="N18" s="285" t="n"/>
      <c r="O18" s="15" t="n"/>
      <c r="P18" s="15" t="n"/>
      <c r="Q18" s="285" t="n"/>
      <c r="R18" s="15" t="n"/>
      <c r="S18" s="15" t="n"/>
      <c r="T18" s="285" t="n"/>
      <c r="U18" s="15" t="n"/>
      <c r="V18" s="15" t="n"/>
      <c r="W18" s="285" t="n"/>
      <c r="X18" s="15" t="n"/>
      <c r="Y18" s="15" t="n"/>
      <c r="Z18" s="285" t="n"/>
      <c r="AA18" s="15" t="n"/>
      <c r="AB18" s="15" t="n"/>
      <c r="AC18" s="285" t="n"/>
      <c r="AD18" s="15" t="n"/>
      <c r="AE18" s="15" t="n"/>
      <c r="AF18" s="285" t="n"/>
      <c r="AG18" s="15" t="n"/>
      <c r="AH18" s="15" t="n"/>
      <c r="AI18" s="285" t="n"/>
      <c r="AJ18" s="15" t="n"/>
      <c r="AK18" s="15" t="n"/>
      <c r="AL18" s="285" t="n"/>
      <c r="AM18" s="327" t="n"/>
      <c r="AN18" s="15" t="n"/>
      <c r="AO18" s="285" t="n"/>
      <c r="AP18" s="327" t="n"/>
      <c r="AQ18" s="15" t="n"/>
      <c r="AR18" s="285" t="n"/>
      <c r="AS18" s="327" t="n"/>
      <c r="AT18" s="15" t="n"/>
      <c r="AU18" s="285" t="n"/>
      <c r="AV18" s="327" t="n"/>
      <c r="AW18" s="15" t="n"/>
      <c r="AX18" s="285" t="n"/>
      <c r="AY18" s="15" t="n"/>
      <c r="AZ18" s="15" t="n"/>
      <c r="BA18" s="287" t="n"/>
      <c r="BB18" s="37" t="n"/>
      <c r="BC18" s="287" t="n"/>
      <c r="BD18" s="37" t="n"/>
      <c r="BE18" s="287" t="n"/>
      <c r="BF18" s="37" t="n"/>
      <c r="BG18" s="287" t="n"/>
      <c r="BH18" s="37" t="n"/>
      <c r="BI18" s="288" t="n"/>
      <c r="BJ18" s="37" t="n"/>
      <c r="BK18" s="288" t="n"/>
      <c r="BL18" s="37" t="n"/>
      <c r="BM18" s="288" t="n"/>
      <c r="BN18" s="37" t="n"/>
      <c r="BO18" s="288" t="n"/>
      <c r="BP18" s="288" t="n"/>
      <c r="BQ18" s="37" t="n"/>
      <c r="BR18" s="288" t="n"/>
      <c r="BS18" s="37" t="n"/>
      <c r="BT18" s="288" t="n"/>
      <c r="BU18" s="37" t="n"/>
      <c r="BV18" s="288" t="n"/>
      <c r="BW18" s="37" t="n"/>
      <c r="BX18" s="288" t="n"/>
      <c r="BY18" s="37" t="n"/>
      <c r="BZ18" s="288" t="n"/>
      <c r="CA18" s="37" t="n"/>
      <c r="CB18" s="288" t="n"/>
      <c r="CC18" s="37" t="n"/>
      <c r="CD18" s="288" t="n"/>
      <c r="CE18" s="37" t="n"/>
      <c r="CF18" s="288" t="n"/>
      <c r="CG18" s="291" t="n"/>
      <c r="CH18" s="288" t="n"/>
      <c r="CI18" s="291" t="n"/>
      <c r="CJ18" s="288" t="n"/>
      <c r="CK18" s="291" t="n"/>
      <c r="CL18" s="288" t="n"/>
      <c r="CM18" s="291" t="n"/>
      <c r="CN18" s="288" t="n"/>
      <c r="CO18" s="80" t="n"/>
      <c r="CP18" s="288" t="n"/>
      <c r="CQ18" s="80" t="n"/>
      <c r="CR18" s="288" t="n"/>
      <c r="CS18" s="80" t="n"/>
      <c r="CT18" s="288" t="n"/>
      <c r="CU18" s="80" t="n"/>
      <c r="CV18" s="269" t="n"/>
      <c r="CW18" s="288" t="n"/>
      <c r="CX18" s="37" t="n"/>
      <c r="CY18" s="288" t="n"/>
      <c r="CZ18" s="37" t="n"/>
      <c r="DA18" s="288" t="n"/>
      <c r="DB18" s="37" t="n"/>
      <c r="DC18" s="288" t="n"/>
      <c r="DD18" s="37" t="n"/>
      <c r="DE18" s="289" t="n"/>
      <c r="DF18" s="289" t="n"/>
      <c r="DG18" s="79" t="n"/>
    </row>
    <row r="19">
      <c r="A19" s="428" t="n"/>
      <c r="B19" s="285" t="n"/>
      <c r="C19" s="15" t="n"/>
      <c r="D19" s="15" t="n"/>
      <c r="E19" s="285" t="n"/>
      <c r="F19" s="15" t="n"/>
      <c r="G19" s="15" t="n"/>
      <c r="H19" s="285" t="n"/>
      <c r="I19" s="15" t="n"/>
      <c r="J19" s="15" t="n"/>
      <c r="K19" s="285" t="n"/>
      <c r="L19" s="15" t="n"/>
      <c r="M19" s="15" t="n"/>
      <c r="N19" s="285" t="n"/>
      <c r="O19" s="15" t="n"/>
      <c r="P19" s="15" t="n"/>
      <c r="Q19" s="285" t="n"/>
      <c r="R19" s="15" t="n"/>
      <c r="S19" s="15" t="n"/>
      <c r="T19" s="285" t="n"/>
      <c r="U19" s="15" t="n"/>
      <c r="V19" s="15" t="n"/>
      <c r="W19" s="285" t="n"/>
      <c r="X19" s="15" t="n"/>
      <c r="Y19" s="15" t="n"/>
      <c r="Z19" s="285" t="n"/>
      <c r="AA19" s="15" t="n"/>
      <c r="AB19" s="15" t="n"/>
      <c r="AC19" s="285" t="n"/>
      <c r="AD19" s="15" t="n"/>
      <c r="AE19" s="15" t="n"/>
      <c r="AF19" s="285" t="n"/>
      <c r="AG19" s="15" t="n"/>
      <c r="AH19" s="15" t="n"/>
      <c r="AI19" s="285" t="n"/>
      <c r="AJ19" s="15" t="n"/>
      <c r="AK19" s="15" t="n"/>
      <c r="AL19" s="285" t="n"/>
      <c r="AM19" s="327" t="n"/>
      <c r="AN19" s="15" t="n"/>
      <c r="AO19" s="285" t="n"/>
      <c r="AP19" s="327" t="n"/>
      <c r="AQ19" s="15" t="n"/>
      <c r="AR19" s="285" t="n"/>
      <c r="AS19" s="327" t="n"/>
      <c r="AT19" s="15" t="n"/>
      <c r="AU19" s="285" t="n"/>
      <c r="AV19" s="327" t="n"/>
      <c r="AW19" s="15" t="n"/>
      <c r="AX19" s="285" t="n"/>
      <c r="AY19" s="15" t="n"/>
      <c r="AZ19" s="15" t="n"/>
      <c r="BA19" s="287" t="n"/>
      <c r="BB19" s="37" t="n"/>
      <c r="BC19" s="287" t="n"/>
      <c r="BD19" s="37" t="n"/>
      <c r="BE19" s="287" t="n"/>
      <c r="BF19" s="37" t="n"/>
      <c r="BG19" s="287" t="n"/>
      <c r="BH19" s="37" t="n"/>
      <c r="BI19" s="288" t="n"/>
      <c r="BJ19" s="37" t="n"/>
      <c r="BK19" s="288" t="n"/>
      <c r="BL19" s="37" t="n"/>
      <c r="BM19" s="288" t="n"/>
      <c r="BN19" s="37" t="n"/>
      <c r="BO19" s="288" t="n"/>
      <c r="BP19" s="288" t="n"/>
      <c r="BQ19" s="37" t="n"/>
      <c r="BR19" s="288" t="n"/>
      <c r="BS19" s="37" t="n"/>
      <c r="BT19" s="288" t="n"/>
      <c r="BU19" s="37" t="n"/>
      <c r="BV19" s="288" t="n"/>
      <c r="BW19" s="37" t="n"/>
      <c r="BX19" s="288" t="n"/>
      <c r="BY19" s="37" t="n"/>
      <c r="BZ19" s="288" t="n"/>
      <c r="CA19" s="37" t="n"/>
      <c r="CB19" s="288" t="n"/>
      <c r="CC19" s="37" t="n"/>
      <c r="CD19" s="288" t="n"/>
      <c r="CE19" s="37" t="n"/>
      <c r="CF19" s="288" t="n"/>
      <c r="CG19" s="291" t="n"/>
      <c r="CH19" s="288" t="n"/>
      <c r="CI19" s="291" t="n"/>
      <c r="CJ19" s="288" t="n"/>
      <c r="CK19" s="291" t="n"/>
      <c r="CL19" s="288" t="n"/>
      <c r="CM19" s="291" t="n"/>
      <c r="CN19" s="288" t="n"/>
      <c r="CO19" s="80" t="n"/>
      <c r="CP19" s="288" t="n"/>
      <c r="CQ19" s="80" t="n"/>
      <c r="CR19" s="288" t="n"/>
      <c r="CS19" s="80" t="n"/>
      <c r="CT19" s="288" t="n"/>
      <c r="CU19" s="80" t="n"/>
      <c r="CV19" s="269" t="n"/>
      <c r="CW19" s="288" t="n"/>
      <c r="CX19" s="37" t="n"/>
      <c r="CY19" s="288" t="n"/>
      <c r="CZ19" s="37" t="n"/>
      <c r="DA19" s="288" t="n"/>
      <c r="DB19" s="37" t="n"/>
      <c r="DC19" s="288" t="n"/>
      <c r="DD19" s="37" t="n"/>
      <c r="DE19" s="289" t="n"/>
      <c r="DF19" s="289" t="n"/>
      <c r="DG19" s="79" t="n"/>
    </row>
    <row r="20">
      <c r="A20" s="428" t="n"/>
      <c r="B20" s="285" t="n"/>
      <c r="C20" s="15" t="n"/>
      <c r="D20" s="15" t="n"/>
      <c r="E20" s="285" t="n"/>
      <c r="F20" s="15" t="n"/>
      <c r="G20" s="15" t="n"/>
      <c r="H20" s="285" t="n"/>
      <c r="I20" s="15" t="n"/>
      <c r="J20" s="15" t="n"/>
      <c r="K20" s="285" t="n"/>
      <c r="L20" s="15" t="n"/>
      <c r="M20" s="15" t="n"/>
      <c r="N20" s="285" t="n"/>
      <c r="O20" s="15" t="n"/>
      <c r="P20" s="15" t="n"/>
      <c r="Q20" s="285" t="n"/>
      <c r="R20" s="15" t="n"/>
      <c r="S20" s="15" t="n"/>
      <c r="T20" s="285" t="n"/>
      <c r="U20" s="15" t="n"/>
      <c r="V20" s="15" t="n"/>
      <c r="W20" s="285" t="n"/>
      <c r="X20" s="15" t="n"/>
      <c r="Y20" s="15" t="n"/>
      <c r="Z20" s="285" t="n"/>
      <c r="AA20" s="15" t="n"/>
      <c r="AB20" s="15" t="n"/>
      <c r="AC20" s="285" t="n"/>
      <c r="AD20" s="15" t="n"/>
      <c r="AE20" s="15" t="n"/>
      <c r="AF20" s="285" t="n"/>
      <c r="AG20" s="15" t="n"/>
      <c r="AH20" s="15" t="n"/>
      <c r="AI20" s="285" t="n"/>
      <c r="AJ20" s="15" t="n"/>
      <c r="AK20" s="15" t="n"/>
      <c r="AL20" s="285" t="n"/>
      <c r="AM20" s="327" t="n"/>
      <c r="AN20" s="15" t="n"/>
      <c r="AO20" s="285" t="n"/>
      <c r="AP20" s="327" t="n"/>
      <c r="AQ20" s="15" t="n"/>
      <c r="AR20" s="285" t="n"/>
      <c r="AS20" s="327" t="n"/>
      <c r="AT20" s="15" t="n"/>
      <c r="AU20" s="285" t="n"/>
      <c r="AV20" s="327" t="n"/>
      <c r="AW20" s="15" t="n"/>
      <c r="AX20" s="285" t="n"/>
      <c r="AY20" s="15" t="n"/>
      <c r="AZ20" s="15" t="n"/>
      <c r="BA20" s="287" t="n"/>
      <c r="BB20" s="37" t="n"/>
      <c r="BC20" s="287" t="n"/>
      <c r="BD20" s="37" t="n"/>
      <c r="BE20" s="287" t="n"/>
      <c r="BF20" s="37" t="n"/>
      <c r="BG20" s="287" t="n"/>
      <c r="BH20" s="37" t="n"/>
      <c r="BI20" s="288" t="n"/>
      <c r="BJ20" s="37" t="n"/>
      <c r="BK20" s="288" t="n"/>
      <c r="BL20" s="37" t="n"/>
      <c r="BM20" s="288" t="n"/>
      <c r="BN20" s="37" t="n"/>
      <c r="BO20" s="288" t="n"/>
      <c r="BP20" s="288" t="n"/>
      <c r="BQ20" s="37" t="n"/>
      <c r="BR20" s="288" t="n"/>
      <c r="BS20" s="37" t="n"/>
      <c r="BT20" s="288" t="n"/>
      <c r="BU20" s="37" t="n"/>
      <c r="BV20" s="288" t="n"/>
      <c r="BW20" s="37" t="n"/>
      <c r="BX20" s="288" t="n"/>
      <c r="BY20" s="37" t="n"/>
      <c r="BZ20" s="288" t="n"/>
      <c r="CA20" s="37" t="n"/>
      <c r="CB20" s="288" t="n"/>
      <c r="CC20" s="37" t="n"/>
      <c r="CD20" s="288" t="n"/>
      <c r="CE20" s="37" t="n"/>
      <c r="CF20" s="288" t="n"/>
      <c r="CG20" s="291" t="n"/>
      <c r="CH20" s="288" t="n"/>
      <c r="CI20" s="291" t="n"/>
      <c r="CJ20" s="288" t="n"/>
      <c r="CK20" s="291" t="n"/>
      <c r="CL20" s="288" t="n"/>
      <c r="CM20" s="291" t="n"/>
      <c r="CN20" s="288" t="n"/>
      <c r="CO20" s="80" t="n"/>
      <c r="CP20" s="288" t="n"/>
      <c r="CQ20" s="80" t="n"/>
      <c r="CR20" s="288" t="n"/>
      <c r="CS20" s="80" t="n"/>
      <c r="CT20" s="288" t="n"/>
      <c r="CU20" s="80" t="n"/>
      <c r="CV20" s="269" t="n"/>
      <c r="CW20" s="288" t="n"/>
      <c r="CX20" s="37" t="n"/>
      <c r="CY20" s="288" t="n"/>
      <c r="CZ20" s="37" t="n"/>
      <c r="DA20" s="288" t="n"/>
      <c r="DB20" s="37" t="n"/>
      <c r="DC20" s="288" t="n"/>
      <c r="DD20" s="37" t="n"/>
      <c r="DE20" s="289" t="n"/>
      <c r="DF20" s="289" t="n"/>
      <c r="DG20" s="79" t="n"/>
    </row>
    <row r="21">
      <c r="A21" s="428" t="n"/>
      <c r="B21" s="285" t="n"/>
      <c r="C21" s="15" t="n"/>
      <c r="D21" s="15" t="n"/>
      <c r="E21" s="285" t="n"/>
      <c r="F21" s="15" t="n"/>
      <c r="G21" s="15" t="n"/>
      <c r="H21" s="285" t="n"/>
      <c r="I21" s="15" t="n"/>
      <c r="J21" s="15" t="n"/>
      <c r="K21" s="285" t="n"/>
      <c r="L21" s="15" t="n"/>
      <c r="M21" s="15" t="n"/>
      <c r="N21" s="285" t="n"/>
      <c r="O21" s="15" t="n"/>
      <c r="P21" s="15" t="n"/>
      <c r="Q21" s="285" t="n"/>
      <c r="R21" s="15" t="n"/>
      <c r="S21" s="15" t="n"/>
      <c r="T21" s="285" t="n"/>
      <c r="U21" s="15" t="n"/>
      <c r="V21" s="15" t="n"/>
      <c r="W21" s="285" t="n"/>
      <c r="X21" s="15" t="n"/>
      <c r="Y21" s="15" t="n"/>
      <c r="Z21" s="285" t="n"/>
      <c r="AA21" s="15" t="n"/>
      <c r="AB21" s="15" t="n"/>
      <c r="AC21" s="285" t="n"/>
      <c r="AD21" s="15" t="n"/>
      <c r="AE21" s="15" t="n"/>
      <c r="AF21" s="285" t="n"/>
      <c r="AG21" s="15" t="n"/>
      <c r="AH21" s="15" t="n"/>
      <c r="AI21" s="285" t="n"/>
      <c r="AJ21" s="15" t="n"/>
      <c r="AK21" s="15" t="n"/>
      <c r="AL21" s="285" t="n"/>
      <c r="AM21" s="327" t="n"/>
      <c r="AN21" s="15" t="n"/>
      <c r="AO21" s="285" t="n"/>
      <c r="AP21" s="327" t="n"/>
      <c r="AQ21" s="15" t="n"/>
      <c r="AR21" s="285" t="n"/>
      <c r="AS21" s="327" t="n"/>
      <c r="AT21" s="15" t="n"/>
      <c r="AU21" s="285" t="n"/>
      <c r="AV21" s="327" t="n"/>
      <c r="AW21" s="15" t="n"/>
      <c r="AX21" s="285" t="n"/>
      <c r="AY21" s="15" t="n"/>
      <c r="AZ21" s="15" t="n"/>
      <c r="BA21" s="287" t="n"/>
      <c r="BB21" s="37" t="n"/>
      <c r="BC21" s="287" t="n"/>
      <c r="BD21" s="37" t="n"/>
      <c r="BE21" s="287" t="n"/>
      <c r="BF21" s="37" t="n"/>
      <c r="BG21" s="287" t="n"/>
      <c r="BH21" s="37" t="n"/>
      <c r="BI21" s="288" t="n"/>
      <c r="BJ21" s="37" t="n"/>
      <c r="BK21" s="288" t="n"/>
      <c r="BL21" s="37" t="n"/>
      <c r="BM21" s="288" t="n"/>
      <c r="BN21" s="37" t="n"/>
      <c r="BO21" s="288" t="n"/>
      <c r="BP21" s="288" t="n"/>
      <c r="BQ21" s="37" t="n"/>
      <c r="BR21" s="288" t="n"/>
      <c r="BS21" s="37" t="n"/>
      <c r="BT21" s="288" t="n"/>
      <c r="BU21" s="37" t="n"/>
      <c r="BV21" s="288" t="n"/>
      <c r="BW21" s="37" t="n"/>
      <c r="BX21" s="288" t="n"/>
      <c r="BY21" s="37" t="n"/>
      <c r="BZ21" s="288" t="n"/>
      <c r="CA21" s="37" t="n"/>
      <c r="CB21" s="288" t="n"/>
      <c r="CC21" s="37" t="n"/>
      <c r="CD21" s="288" t="n"/>
      <c r="CE21" s="37" t="n"/>
      <c r="CF21" s="288" t="n"/>
      <c r="CG21" s="291" t="n"/>
      <c r="CH21" s="288" t="n"/>
      <c r="CI21" s="291" t="n"/>
      <c r="CJ21" s="288" t="n"/>
      <c r="CK21" s="291" t="n"/>
      <c r="CL21" s="288" t="n"/>
      <c r="CM21" s="291" t="n"/>
      <c r="CN21" s="288" t="n"/>
      <c r="CO21" s="80" t="n"/>
      <c r="CP21" s="288" t="n"/>
      <c r="CQ21" s="80" t="n"/>
      <c r="CR21" s="288" t="n"/>
      <c r="CS21" s="80" t="n"/>
      <c r="CT21" s="288" t="n"/>
      <c r="CU21" s="80" t="n"/>
      <c r="CV21" s="269" t="n"/>
      <c r="CW21" s="288" t="n"/>
      <c r="CX21" s="37" t="n"/>
      <c r="CY21" s="288" t="n"/>
      <c r="CZ21" s="37" t="n"/>
      <c r="DA21" s="288" t="n"/>
      <c r="DB21" s="37" t="n"/>
      <c r="DC21" s="288" t="n"/>
      <c r="DD21" s="37" t="n"/>
      <c r="DE21" s="289" t="n"/>
      <c r="DF21" s="289" t="n"/>
      <c r="DG21" s="79" t="n"/>
    </row>
    <row r="22">
      <c r="A22" s="428" t="n"/>
      <c r="B22" s="285" t="n"/>
      <c r="C22" s="15" t="n"/>
      <c r="D22" s="15" t="n"/>
      <c r="E22" s="285" t="n"/>
      <c r="F22" s="15" t="n"/>
      <c r="G22" s="15" t="n"/>
      <c r="H22" s="285" t="n"/>
      <c r="I22" s="15" t="n"/>
      <c r="J22" s="15" t="n"/>
      <c r="K22" s="285" t="n"/>
      <c r="L22" s="15" t="n"/>
      <c r="M22" s="15" t="n"/>
      <c r="N22" s="285" t="n"/>
      <c r="O22" s="15" t="n"/>
      <c r="P22" s="15" t="n"/>
      <c r="Q22" s="285" t="n"/>
      <c r="R22" s="15" t="n"/>
      <c r="S22" s="15" t="n"/>
      <c r="T22" s="285" t="n"/>
      <c r="U22" s="15" t="n"/>
      <c r="V22" s="15" t="n"/>
      <c r="W22" s="285" t="n"/>
      <c r="X22" s="15" t="n"/>
      <c r="Y22" s="15" t="n"/>
      <c r="Z22" s="285" t="n"/>
      <c r="AA22" s="15" t="n"/>
      <c r="AB22" s="15" t="n"/>
      <c r="AC22" s="285" t="n"/>
      <c r="AD22" s="15" t="n"/>
      <c r="AE22" s="15" t="n"/>
      <c r="AF22" s="285" t="n"/>
      <c r="AG22" s="15" t="n"/>
      <c r="AH22" s="15" t="n"/>
      <c r="AI22" s="285" t="n"/>
      <c r="AJ22" s="15" t="n"/>
      <c r="AK22" s="15" t="n"/>
      <c r="AL22" s="285" t="n"/>
      <c r="AM22" s="327" t="n"/>
      <c r="AN22" s="15" t="n"/>
      <c r="AO22" s="285" t="n"/>
      <c r="AP22" s="327" t="n"/>
      <c r="AQ22" s="15" t="n"/>
      <c r="AR22" s="285" t="n"/>
      <c r="AS22" s="327" t="n"/>
      <c r="AT22" s="15" t="n"/>
      <c r="AU22" s="285" t="n"/>
      <c r="AV22" s="327" t="n"/>
      <c r="AW22" s="15" t="n"/>
      <c r="AX22" s="285" t="n"/>
      <c r="AY22" s="15" t="n"/>
      <c r="AZ22" s="15" t="n"/>
      <c r="BA22" s="287" t="n"/>
      <c r="BB22" s="37" t="n"/>
      <c r="BC22" s="287" t="n"/>
      <c r="BD22" s="37" t="n"/>
      <c r="BE22" s="287" t="n"/>
      <c r="BF22" s="37" t="n"/>
      <c r="BG22" s="287" t="n"/>
      <c r="BH22" s="37" t="n"/>
      <c r="BI22" s="288" t="n"/>
      <c r="BJ22" s="37" t="n"/>
      <c r="BK22" s="288" t="n"/>
      <c r="BL22" s="37" t="n"/>
      <c r="BM22" s="288" t="n"/>
      <c r="BN22" s="37" t="n"/>
      <c r="BO22" s="288" t="n"/>
      <c r="BP22" s="288" t="n"/>
      <c r="BQ22" s="37" t="n"/>
      <c r="BR22" s="288" t="n"/>
      <c r="BS22" s="37" t="n"/>
      <c r="BT22" s="288" t="n"/>
      <c r="BU22" s="37" t="n"/>
      <c r="BV22" s="288" t="n"/>
      <c r="BW22" s="37" t="n"/>
      <c r="BX22" s="288" t="n"/>
      <c r="BY22" s="37" t="n"/>
      <c r="BZ22" s="288" t="n"/>
      <c r="CA22" s="37" t="n"/>
      <c r="CB22" s="288" t="n"/>
      <c r="CC22" s="37" t="n"/>
      <c r="CD22" s="288" t="n"/>
      <c r="CE22" s="37" t="n"/>
      <c r="CF22" s="288" t="n"/>
      <c r="CG22" s="291" t="n"/>
      <c r="CH22" s="288" t="n"/>
      <c r="CI22" s="291" t="n"/>
      <c r="CJ22" s="288" t="n"/>
      <c r="CK22" s="291" t="n"/>
      <c r="CL22" s="288" t="n"/>
      <c r="CM22" s="291" t="n"/>
      <c r="CN22" s="288" t="n"/>
      <c r="CO22" s="80" t="n"/>
      <c r="CP22" s="288" t="n"/>
      <c r="CQ22" s="80" t="n"/>
      <c r="CR22" s="288" t="n"/>
      <c r="CS22" s="80" t="n"/>
      <c r="CT22" s="288" t="n"/>
      <c r="CU22" s="80" t="n"/>
      <c r="CV22" s="269" t="n"/>
      <c r="CW22" s="288" t="n"/>
      <c r="CX22" s="37" t="n"/>
      <c r="CY22" s="288" t="n"/>
      <c r="CZ22" s="37" t="n"/>
      <c r="DA22" s="288" t="n"/>
      <c r="DB22" s="37" t="n"/>
      <c r="DC22" s="288" t="n"/>
      <c r="DD22" s="37" t="n"/>
      <c r="DE22" s="289" t="n"/>
      <c r="DF22" s="289" t="n"/>
      <c r="DG22" s="79" t="n"/>
    </row>
    <row r="23">
      <c r="A23" s="428" t="n"/>
      <c r="B23" s="285" t="n"/>
      <c r="C23" s="15" t="n"/>
      <c r="D23" s="15" t="n"/>
      <c r="E23" s="285" t="n"/>
      <c r="F23" s="15" t="n"/>
      <c r="G23" s="15" t="n"/>
      <c r="H23" s="285" t="n"/>
      <c r="I23" s="15" t="n"/>
      <c r="J23" s="15" t="n"/>
      <c r="K23" s="285" t="n"/>
      <c r="L23" s="15" t="n"/>
      <c r="M23" s="15" t="n"/>
      <c r="N23" s="285" t="n"/>
      <c r="O23" s="15" t="n"/>
      <c r="P23" s="15" t="n"/>
      <c r="Q23" s="285" t="n"/>
      <c r="R23" s="15" t="n"/>
      <c r="S23" s="15" t="n"/>
      <c r="T23" s="285" t="n"/>
      <c r="U23" s="15" t="n"/>
      <c r="V23" s="15" t="n"/>
      <c r="W23" s="285" t="n"/>
      <c r="X23" s="15" t="n"/>
      <c r="Y23" s="15" t="n"/>
      <c r="Z23" s="285" t="n"/>
      <c r="AA23" s="15" t="n"/>
      <c r="AB23" s="15" t="n"/>
      <c r="AC23" s="285" t="n"/>
      <c r="AD23" s="15" t="n"/>
      <c r="AE23" s="15" t="n"/>
      <c r="AF23" s="285" t="n"/>
      <c r="AG23" s="15" t="n"/>
      <c r="AH23" s="15" t="n"/>
      <c r="AI23" s="285" t="n"/>
      <c r="AJ23" s="15" t="n"/>
      <c r="AK23" s="15" t="n"/>
      <c r="AL23" s="285" t="n"/>
      <c r="AM23" s="327" t="n"/>
      <c r="AN23" s="15" t="n"/>
      <c r="AO23" s="285" t="n"/>
      <c r="AP23" s="327" t="n"/>
      <c r="AQ23" s="15" t="n"/>
      <c r="AR23" s="285" t="n"/>
      <c r="AS23" s="327" t="n"/>
      <c r="AT23" s="15" t="n"/>
      <c r="AU23" s="285" t="n"/>
      <c r="AV23" s="327" t="n"/>
      <c r="AW23" s="15" t="n"/>
      <c r="AX23" s="285" t="n"/>
      <c r="AY23" s="15" t="n"/>
      <c r="AZ23" s="15" t="n"/>
      <c r="BA23" s="287" t="n"/>
      <c r="BB23" s="37" t="n"/>
      <c r="BC23" s="287" t="n"/>
      <c r="BD23" s="37" t="n"/>
      <c r="BE23" s="287" t="n"/>
      <c r="BF23" s="37" t="n"/>
      <c r="BG23" s="287" t="n"/>
      <c r="BH23" s="37" t="n"/>
      <c r="BI23" s="288" t="n"/>
      <c r="BJ23" s="37" t="n"/>
      <c r="BK23" s="288" t="n"/>
      <c r="BL23" s="37" t="n"/>
      <c r="BM23" s="288" t="n"/>
      <c r="BN23" s="37" t="n"/>
      <c r="BO23" s="288" t="n"/>
      <c r="BP23" s="288" t="n"/>
      <c r="BQ23" s="37" t="n"/>
      <c r="BR23" s="288" t="n"/>
      <c r="BS23" s="37" t="n"/>
      <c r="BT23" s="288" t="n"/>
      <c r="BU23" s="37" t="n"/>
      <c r="BV23" s="288" t="n"/>
      <c r="BW23" s="37" t="n"/>
      <c r="BX23" s="288" t="n"/>
      <c r="BY23" s="37" t="n"/>
      <c r="BZ23" s="288" t="n"/>
      <c r="CA23" s="37" t="n"/>
      <c r="CB23" s="288" t="n"/>
      <c r="CC23" s="37" t="n"/>
      <c r="CD23" s="288" t="n"/>
      <c r="CE23" s="37" t="n"/>
      <c r="CF23" s="288" t="n"/>
      <c r="CG23" s="291" t="n"/>
      <c r="CH23" s="288" t="n"/>
      <c r="CI23" s="291" t="n"/>
      <c r="CJ23" s="288" t="n"/>
      <c r="CK23" s="291" t="n"/>
      <c r="CL23" s="288" t="n"/>
      <c r="CM23" s="291" t="n"/>
      <c r="CN23" s="288" t="n"/>
      <c r="CO23" s="80" t="n"/>
      <c r="CP23" s="288" t="n"/>
      <c r="CQ23" s="80" t="n"/>
      <c r="CR23" s="288" t="n"/>
      <c r="CS23" s="80" t="n"/>
      <c r="CT23" s="288" t="n"/>
      <c r="CU23" s="80" t="n"/>
      <c r="CV23" s="269" t="n"/>
      <c r="CW23" s="288" t="n"/>
      <c r="CX23" s="37" t="n"/>
      <c r="CY23" s="288" t="n"/>
      <c r="CZ23" s="37" t="n"/>
      <c r="DA23" s="288" t="n"/>
      <c r="DB23" s="37" t="n"/>
      <c r="DC23" s="288" t="n"/>
      <c r="DD23" s="37" t="n"/>
      <c r="DE23" s="289" t="n"/>
      <c r="DF23" s="289" t="n"/>
      <c r="DG23" s="79" t="n"/>
    </row>
    <row r="24">
      <c r="A24" s="428" t="n"/>
      <c r="B24" s="285" t="n"/>
      <c r="C24" s="15" t="n"/>
      <c r="D24" s="15" t="n"/>
      <c r="E24" s="285" t="n"/>
      <c r="F24" s="15" t="n"/>
      <c r="G24" s="15" t="n"/>
      <c r="H24" s="285" t="n"/>
      <c r="I24" s="15" t="n"/>
      <c r="J24" s="15" t="n"/>
      <c r="K24" s="285" t="n"/>
      <c r="L24" s="15" t="n"/>
      <c r="M24" s="15" t="n"/>
      <c r="N24" s="285" t="n"/>
      <c r="O24" s="15" t="n"/>
      <c r="P24" s="15" t="n"/>
      <c r="Q24" s="285" t="n"/>
      <c r="R24" s="15" t="n"/>
      <c r="S24" s="15" t="n"/>
      <c r="T24" s="285" t="n"/>
      <c r="U24" s="15" t="n"/>
      <c r="V24" s="15" t="n"/>
      <c r="W24" s="285" t="n"/>
      <c r="X24" s="15" t="n"/>
      <c r="Y24" s="15" t="n"/>
      <c r="Z24" s="285" t="n"/>
      <c r="AA24" s="15" t="n"/>
      <c r="AB24" s="15" t="n"/>
      <c r="AC24" s="285" t="n"/>
      <c r="AD24" s="15" t="n"/>
      <c r="AE24" s="15" t="n"/>
      <c r="AF24" s="285" t="n"/>
      <c r="AG24" s="15" t="n"/>
      <c r="AH24" s="15" t="n"/>
      <c r="AI24" s="285" t="n"/>
      <c r="AJ24" s="15" t="n"/>
      <c r="AK24" s="15" t="n"/>
      <c r="AL24" s="285" t="n"/>
      <c r="AM24" s="327" t="n"/>
      <c r="AN24" s="15" t="n"/>
      <c r="AO24" s="285" t="n"/>
      <c r="AP24" s="327" t="n"/>
      <c r="AQ24" s="15" t="n"/>
      <c r="AR24" s="285" t="n"/>
      <c r="AS24" s="327" t="n"/>
      <c r="AT24" s="15" t="n"/>
      <c r="AU24" s="285" t="n"/>
      <c r="AV24" s="327" t="n"/>
      <c r="AW24" s="15" t="n"/>
      <c r="AX24" s="285" t="n"/>
      <c r="AY24" s="15" t="n"/>
      <c r="AZ24" s="15" t="n"/>
      <c r="BA24" s="287" t="n"/>
      <c r="BB24" s="37" t="n"/>
      <c r="BC24" s="287" t="n"/>
      <c r="BD24" s="37" t="n"/>
      <c r="BE24" s="287" t="n"/>
      <c r="BF24" s="37" t="n"/>
      <c r="BG24" s="287" t="n"/>
      <c r="BH24" s="37" t="n"/>
      <c r="BI24" s="288" t="n"/>
      <c r="BJ24" s="37" t="n"/>
      <c r="BK24" s="288" t="n"/>
      <c r="BL24" s="37" t="n"/>
      <c r="BM24" s="288" t="n"/>
      <c r="BN24" s="37" t="n"/>
      <c r="BO24" s="288" t="n"/>
      <c r="BP24" s="288" t="n"/>
      <c r="BQ24" s="37" t="n"/>
      <c r="BR24" s="288" t="n"/>
      <c r="BS24" s="37" t="n"/>
      <c r="BT24" s="288" t="n"/>
      <c r="BU24" s="37" t="n"/>
      <c r="BV24" s="288" t="n"/>
      <c r="BW24" s="37" t="n"/>
      <c r="BX24" s="288" t="n"/>
      <c r="BY24" s="37" t="n"/>
      <c r="BZ24" s="288" t="n"/>
      <c r="CA24" s="37" t="n"/>
      <c r="CB24" s="288" t="n"/>
      <c r="CC24" s="37" t="n"/>
      <c r="CD24" s="288" t="n"/>
      <c r="CE24" s="37" t="n"/>
      <c r="CF24" s="288" t="n"/>
      <c r="CG24" s="291" t="n"/>
      <c r="CH24" s="288" t="n"/>
      <c r="CI24" s="291" t="n"/>
      <c r="CJ24" s="288" t="n"/>
      <c r="CK24" s="291" t="n"/>
      <c r="CL24" s="288" t="n"/>
      <c r="CM24" s="291" t="n"/>
      <c r="CN24" s="288" t="n"/>
      <c r="CO24" s="80" t="n"/>
      <c r="CP24" s="288" t="n"/>
      <c r="CQ24" s="80" t="n"/>
      <c r="CR24" s="288" t="n"/>
      <c r="CS24" s="80" t="n"/>
      <c r="CT24" s="288" t="n"/>
      <c r="CU24" s="80" t="n"/>
      <c r="CV24" s="269" t="n"/>
      <c r="CW24" s="288" t="n"/>
      <c r="CX24" s="37" t="n"/>
      <c r="CY24" s="288" t="n"/>
      <c r="CZ24" s="37" t="n"/>
      <c r="DA24" s="288" t="n"/>
      <c r="DB24" s="37" t="n"/>
      <c r="DC24" s="288" t="n"/>
      <c r="DD24" s="37" t="n"/>
      <c r="DE24" s="289" t="n"/>
      <c r="DF24" s="289" t="n"/>
      <c r="DG24" s="79" t="n"/>
    </row>
    <row r="25">
      <c r="A25" s="428" t="n"/>
      <c r="B25" s="285" t="n"/>
      <c r="C25" s="15" t="n"/>
      <c r="D25" s="15" t="n"/>
      <c r="E25" s="285" t="n"/>
      <c r="F25" s="15" t="n"/>
      <c r="G25" s="15" t="n"/>
      <c r="H25" s="285" t="n"/>
      <c r="I25" s="15" t="n"/>
      <c r="J25" s="15" t="n"/>
      <c r="K25" s="285" t="n"/>
      <c r="L25" s="15" t="n"/>
      <c r="M25" s="15" t="n"/>
      <c r="N25" s="285" t="n"/>
      <c r="O25" s="15" t="n"/>
      <c r="P25" s="15" t="n"/>
      <c r="Q25" s="285" t="n"/>
      <c r="R25" s="15" t="n"/>
      <c r="S25" s="15" t="n"/>
      <c r="T25" s="285" t="n"/>
      <c r="U25" s="15" t="n"/>
      <c r="V25" s="15" t="n"/>
      <c r="W25" s="285" t="n"/>
      <c r="X25" s="15" t="n"/>
      <c r="Y25" s="15" t="n"/>
      <c r="Z25" s="285" t="n"/>
      <c r="AA25" s="15" t="n"/>
      <c r="AB25" s="15" t="n"/>
      <c r="AC25" s="285" t="n"/>
      <c r="AD25" s="15" t="n"/>
      <c r="AE25" s="15" t="n"/>
      <c r="AF25" s="285" t="n"/>
      <c r="AG25" s="15" t="n"/>
      <c r="AH25" s="15" t="n"/>
      <c r="AI25" s="285" t="n"/>
      <c r="AJ25" s="15" t="n"/>
      <c r="AK25" s="15" t="n"/>
      <c r="AL25" s="285" t="n"/>
      <c r="AM25" s="327" t="n"/>
      <c r="AN25" s="15" t="n"/>
      <c r="AO25" s="285" t="n"/>
      <c r="AP25" s="327" t="n"/>
      <c r="AQ25" s="15" t="n"/>
      <c r="AR25" s="285" t="n"/>
      <c r="AS25" s="327" t="n"/>
      <c r="AT25" s="15" t="n"/>
      <c r="AU25" s="285" t="n"/>
      <c r="AV25" s="327" t="n"/>
      <c r="AW25" s="15" t="n"/>
      <c r="AX25" s="285" t="n"/>
      <c r="AY25" s="15" t="n"/>
      <c r="AZ25" s="15" t="n"/>
      <c r="BA25" s="287" t="n"/>
      <c r="BB25" s="37" t="n"/>
      <c r="BC25" s="287" t="n"/>
      <c r="BD25" s="37" t="n"/>
      <c r="BE25" s="287" t="n"/>
      <c r="BF25" s="37" t="n"/>
      <c r="BG25" s="287" t="n"/>
      <c r="BH25" s="37" t="n"/>
      <c r="BI25" s="288" t="n"/>
      <c r="BJ25" s="37" t="n"/>
      <c r="BK25" s="288" t="n"/>
      <c r="BL25" s="37" t="n"/>
      <c r="BM25" s="288" t="n"/>
      <c r="BN25" s="37" t="n"/>
      <c r="BO25" s="288" t="n"/>
      <c r="BP25" s="288" t="n"/>
      <c r="BQ25" s="37" t="n"/>
      <c r="BR25" s="288" t="n"/>
      <c r="BS25" s="37" t="n"/>
      <c r="BT25" s="288" t="n"/>
      <c r="BU25" s="37" t="n"/>
      <c r="BV25" s="288" t="n"/>
      <c r="BW25" s="37" t="n"/>
      <c r="BX25" s="288" t="n"/>
      <c r="BY25" s="37" t="n"/>
      <c r="BZ25" s="288" t="n"/>
      <c r="CA25" s="37" t="n"/>
      <c r="CB25" s="288" t="n"/>
      <c r="CC25" s="37" t="n"/>
      <c r="CD25" s="288" t="n"/>
      <c r="CE25" s="37" t="n"/>
      <c r="CF25" s="288" t="n"/>
      <c r="CG25" s="291" t="n"/>
      <c r="CH25" s="288" t="n"/>
      <c r="CI25" s="291" t="n"/>
      <c r="CJ25" s="288" t="n"/>
      <c r="CK25" s="291" t="n"/>
      <c r="CL25" s="288" t="n"/>
      <c r="CM25" s="291" t="n"/>
      <c r="CN25" s="288" t="n"/>
      <c r="CO25" s="80" t="n"/>
      <c r="CP25" s="288" t="n"/>
      <c r="CQ25" s="80" t="n"/>
      <c r="CR25" s="288" t="n"/>
      <c r="CS25" s="80" t="n"/>
      <c r="CT25" s="288" t="n"/>
      <c r="CU25" s="80" t="n"/>
      <c r="CV25" s="269" t="n"/>
      <c r="CW25" s="288" t="n"/>
      <c r="CX25" s="37" t="n"/>
      <c r="CY25" s="288" t="n"/>
      <c r="CZ25" s="37" t="n"/>
      <c r="DA25" s="288" t="n"/>
      <c r="DB25" s="37" t="n"/>
      <c r="DC25" s="288" t="n"/>
      <c r="DD25" s="37" t="n"/>
      <c r="DE25" s="289" t="n"/>
      <c r="DF25" s="289" t="n"/>
      <c r="DG25" s="79" t="n"/>
    </row>
    <row r="26">
      <c r="A26" s="428" t="n"/>
      <c r="B26" s="285" t="n"/>
      <c r="C26" s="15" t="n"/>
      <c r="D26" s="15" t="n"/>
      <c r="E26" s="285" t="n"/>
      <c r="F26" s="15" t="n"/>
      <c r="G26" s="15" t="n"/>
      <c r="H26" s="285" t="n"/>
      <c r="I26" s="15" t="n"/>
      <c r="J26" s="15" t="n"/>
      <c r="K26" s="285" t="n"/>
      <c r="L26" s="15" t="n"/>
      <c r="M26" s="15" t="n"/>
      <c r="N26" s="285" t="n"/>
      <c r="O26" s="15" t="n"/>
      <c r="P26" s="15" t="n"/>
      <c r="Q26" s="285" t="n"/>
      <c r="R26" s="15" t="n"/>
      <c r="S26" s="15" t="n"/>
      <c r="T26" s="285" t="n"/>
      <c r="U26" s="15" t="n"/>
      <c r="V26" s="15" t="n"/>
      <c r="W26" s="285" t="n"/>
      <c r="X26" s="15" t="n"/>
      <c r="Y26" s="15" t="n"/>
      <c r="Z26" s="285" t="n"/>
      <c r="AA26" s="15" t="n"/>
      <c r="AB26" s="15" t="n"/>
      <c r="AC26" s="285" t="n"/>
      <c r="AD26" s="15" t="n"/>
      <c r="AE26" s="15" t="n"/>
      <c r="AF26" s="285" t="n"/>
      <c r="AG26" s="15" t="n"/>
      <c r="AH26" s="15" t="n"/>
      <c r="AI26" s="285" t="n"/>
      <c r="AJ26" s="15" t="n"/>
      <c r="AK26" s="15" t="n"/>
      <c r="AL26" s="285" t="n"/>
      <c r="AM26" s="327" t="n"/>
      <c r="AN26" s="15" t="n"/>
      <c r="AO26" s="285" t="n"/>
      <c r="AP26" s="327" t="n"/>
      <c r="AQ26" s="15" t="n"/>
      <c r="AR26" s="285" t="n"/>
      <c r="AS26" s="327" t="n"/>
      <c r="AT26" s="15" t="n"/>
      <c r="AU26" s="285" t="n"/>
      <c r="AV26" s="327" t="n"/>
      <c r="AW26" s="15" t="n"/>
      <c r="AX26" s="285" t="n"/>
      <c r="AY26" s="15" t="n"/>
      <c r="AZ26" s="15" t="n"/>
      <c r="BA26" s="287" t="n"/>
      <c r="BB26" s="37" t="n"/>
      <c r="BC26" s="287" t="n"/>
      <c r="BD26" s="37" t="n"/>
      <c r="BE26" s="287" t="n"/>
      <c r="BF26" s="37" t="n"/>
      <c r="BG26" s="287" t="n"/>
      <c r="BH26" s="37" t="n"/>
      <c r="BI26" s="288" t="n"/>
      <c r="BJ26" s="37" t="n"/>
      <c r="BK26" s="288" t="n"/>
      <c r="BL26" s="37" t="n"/>
      <c r="BM26" s="288" t="n"/>
      <c r="BN26" s="37" t="n"/>
      <c r="BO26" s="288" t="n"/>
      <c r="BP26" s="288" t="n"/>
      <c r="BQ26" s="37" t="n"/>
      <c r="BR26" s="288" t="n"/>
      <c r="BS26" s="37" t="n"/>
      <c r="BT26" s="288" t="n"/>
      <c r="BU26" s="37" t="n"/>
      <c r="BV26" s="288" t="n"/>
      <c r="BW26" s="37" t="n"/>
      <c r="BX26" s="288" t="n"/>
      <c r="BY26" s="37" t="n"/>
      <c r="BZ26" s="288" t="n"/>
      <c r="CA26" s="37" t="n"/>
      <c r="CB26" s="288" t="n"/>
      <c r="CC26" s="37" t="n"/>
      <c r="CD26" s="288" t="n"/>
      <c r="CE26" s="37" t="n"/>
      <c r="CF26" s="288" t="n"/>
      <c r="CG26" s="291" t="n"/>
      <c r="CH26" s="288" t="n"/>
      <c r="CI26" s="291" t="n"/>
      <c r="CJ26" s="288" t="n"/>
      <c r="CK26" s="291" t="n"/>
      <c r="CL26" s="288" t="n"/>
      <c r="CM26" s="291" t="n"/>
      <c r="CN26" s="288" t="n"/>
      <c r="CO26" s="80" t="n"/>
      <c r="CP26" s="288" t="n"/>
      <c r="CQ26" s="80" t="n"/>
      <c r="CR26" s="288" t="n"/>
      <c r="CS26" s="80" t="n"/>
      <c r="CT26" s="288" t="n"/>
      <c r="CU26" s="80" t="n"/>
      <c r="CV26" s="269" t="n"/>
      <c r="CW26" s="288" t="n"/>
      <c r="CX26" s="37" t="n"/>
      <c r="CY26" s="288" t="n"/>
      <c r="CZ26" s="37" t="n"/>
      <c r="DA26" s="288" t="n"/>
      <c r="DB26" s="37" t="n"/>
      <c r="DC26" s="288" t="n"/>
      <c r="DD26" s="37" t="n"/>
      <c r="DE26" s="289" t="n"/>
      <c r="DF26" s="289" t="n"/>
      <c r="DG26" s="79" t="n"/>
    </row>
    <row r="27">
      <c r="A27" s="428" t="n"/>
      <c r="B27" s="285" t="n"/>
      <c r="C27" s="15" t="n"/>
      <c r="D27" s="15" t="n"/>
      <c r="E27" s="285" t="n"/>
      <c r="F27" s="15" t="n"/>
      <c r="G27" s="15" t="n"/>
      <c r="H27" s="285" t="n"/>
      <c r="I27" s="15" t="n"/>
      <c r="J27" s="15" t="n"/>
      <c r="K27" s="285" t="n"/>
      <c r="L27" s="15" t="n"/>
      <c r="M27" s="15" t="n"/>
      <c r="N27" s="285" t="n"/>
      <c r="O27" s="15" t="n"/>
      <c r="P27" s="15" t="n"/>
      <c r="Q27" s="285" t="n"/>
      <c r="R27" s="15" t="n"/>
      <c r="S27" s="15" t="n"/>
      <c r="T27" s="285" t="n"/>
      <c r="U27" s="15" t="n"/>
      <c r="V27" s="15" t="n"/>
      <c r="W27" s="285" t="n"/>
      <c r="X27" s="15" t="n"/>
      <c r="Y27" s="15" t="n"/>
      <c r="Z27" s="285" t="n"/>
      <c r="AA27" s="15" t="n"/>
      <c r="AB27" s="15" t="n"/>
      <c r="AC27" s="285" t="n"/>
      <c r="AD27" s="15" t="n"/>
      <c r="AE27" s="15" t="n"/>
      <c r="AF27" s="285" t="n"/>
      <c r="AG27" s="15" t="n"/>
      <c r="AH27" s="15" t="n"/>
      <c r="AI27" s="285" t="n"/>
      <c r="AJ27" s="15" t="n"/>
      <c r="AK27" s="15" t="n"/>
      <c r="AL27" s="285" t="n"/>
      <c r="AM27" s="327" t="n"/>
      <c r="AN27" s="15" t="n"/>
      <c r="AO27" s="285" t="n"/>
      <c r="AP27" s="327" t="n"/>
      <c r="AQ27" s="15" t="n"/>
      <c r="AR27" s="285" t="n"/>
      <c r="AS27" s="327" t="n"/>
      <c r="AT27" s="15" t="n"/>
      <c r="AU27" s="285" t="n"/>
      <c r="AV27" s="327" t="n"/>
      <c r="AW27" s="15" t="n"/>
      <c r="AX27" s="285" t="n"/>
      <c r="AY27" s="15" t="n"/>
      <c r="AZ27" s="15" t="n"/>
      <c r="BA27" s="287" t="n"/>
      <c r="BB27" s="37" t="n"/>
      <c r="BC27" s="287" t="n"/>
      <c r="BD27" s="37" t="n"/>
      <c r="BE27" s="287" t="n"/>
      <c r="BF27" s="37" t="n"/>
      <c r="BG27" s="287" t="n"/>
      <c r="BH27" s="37" t="n"/>
      <c r="BI27" s="288" t="n"/>
      <c r="BJ27" s="37" t="n"/>
      <c r="BK27" s="288" t="n"/>
      <c r="BL27" s="37" t="n"/>
      <c r="BM27" s="288" t="n"/>
      <c r="BN27" s="37" t="n"/>
      <c r="BO27" s="288" t="n"/>
      <c r="BP27" s="288" t="n"/>
      <c r="BQ27" s="37" t="n"/>
      <c r="BR27" s="288" t="n"/>
      <c r="BS27" s="37" t="n"/>
      <c r="BT27" s="288" t="n"/>
      <c r="BU27" s="37" t="n"/>
      <c r="BV27" s="288" t="n"/>
      <c r="BW27" s="37" t="n"/>
      <c r="BX27" s="288" t="n"/>
      <c r="BY27" s="37" t="n"/>
      <c r="BZ27" s="288" t="n"/>
      <c r="CA27" s="37" t="n"/>
      <c r="CB27" s="288" t="n"/>
      <c r="CC27" s="37" t="n"/>
      <c r="CD27" s="288" t="n"/>
      <c r="CE27" s="37" t="n"/>
      <c r="CF27" s="288" t="n"/>
      <c r="CG27" s="291" t="n"/>
      <c r="CH27" s="288" t="n"/>
      <c r="CI27" s="291" t="n"/>
      <c r="CJ27" s="288" t="n"/>
      <c r="CK27" s="291" t="n"/>
      <c r="CL27" s="288" t="n"/>
      <c r="CM27" s="291" t="n"/>
      <c r="CN27" s="288" t="n"/>
      <c r="CO27" s="80" t="n"/>
      <c r="CP27" s="288" t="n"/>
      <c r="CQ27" s="80" t="n"/>
      <c r="CR27" s="288" t="n"/>
      <c r="CS27" s="80" t="n"/>
      <c r="CT27" s="288" t="n"/>
      <c r="CU27" s="80" t="n"/>
      <c r="CV27" s="269" t="n"/>
      <c r="CW27" s="288" t="n"/>
      <c r="CX27" s="37" t="n"/>
      <c r="CY27" s="288" t="n"/>
      <c r="CZ27" s="37" t="n"/>
      <c r="DA27" s="288" t="n"/>
      <c r="DB27" s="37" t="n"/>
      <c r="DC27" s="288" t="n"/>
      <c r="DD27" s="37" t="n"/>
      <c r="DE27" s="289" t="n"/>
      <c r="DF27" s="289" t="n"/>
      <c r="DG27" s="79" t="n"/>
    </row>
    <row r="28" ht="13" customFormat="1" customHeight="1" s="40">
      <c r="A28" s="330" t="n"/>
      <c r="B28" s="292" t="n"/>
      <c r="C28" s="15" t="n"/>
      <c r="D28" s="15" t="n"/>
      <c r="E28" s="292" t="n"/>
      <c r="F28" s="15" t="n"/>
      <c r="G28" s="15" t="n"/>
      <c r="H28" s="292" t="n"/>
      <c r="I28" s="15" t="n"/>
      <c r="J28" s="15" t="n"/>
      <c r="K28" s="292" t="n"/>
      <c r="L28" s="15" t="n"/>
      <c r="M28" s="15" t="n"/>
      <c r="N28" s="292" t="n"/>
      <c r="O28" s="15" t="n"/>
      <c r="P28" s="15" t="n"/>
      <c r="Q28" s="292" t="n"/>
      <c r="R28" s="15" t="n"/>
      <c r="S28" s="15" t="n"/>
      <c r="T28" s="292" t="n"/>
      <c r="U28" s="15" t="n"/>
      <c r="V28" s="15" t="n"/>
      <c r="W28" s="292" t="n"/>
      <c r="X28" s="15" t="n"/>
      <c r="Y28" s="15" t="n"/>
      <c r="Z28" s="292" t="n"/>
      <c r="AA28" s="15" t="n"/>
      <c r="AB28" s="15" t="n"/>
      <c r="AC28" s="292" t="n"/>
      <c r="AD28" s="15" t="n"/>
      <c r="AE28" s="15" t="n"/>
      <c r="AF28" s="292" t="n"/>
      <c r="AG28" s="15" t="n"/>
      <c r="AH28" s="15" t="n"/>
      <c r="AI28" s="292" t="n"/>
      <c r="AJ28" s="15" t="n"/>
      <c r="AK28" s="15" t="n"/>
      <c r="AL28" s="292" t="n"/>
      <c r="AM28" s="327" t="n"/>
      <c r="AN28" s="15" t="n"/>
      <c r="AO28" s="292" t="n"/>
      <c r="AP28" s="327" t="n"/>
      <c r="AQ28" s="15" t="n"/>
      <c r="AR28" s="292" t="n"/>
      <c r="AS28" s="327" t="n"/>
      <c r="AT28" s="15" t="n"/>
      <c r="AU28" s="292" t="n"/>
      <c r="AV28" s="327" t="n"/>
      <c r="AW28" s="15" t="n"/>
      <c r="AX28" s="292" t="n"/>
      <c r="AY28" s="15" t="n"/>
      <c r="AZ28" s="15" t="n"/>
      <c r="BA28" s="291" t="n"/>
      <c r="BB28" s="37" t="n"/>
      <c r="BC28" s="291" t="n"/>
      <c r="BD28" s="37" t="n"/>
      <c r="BE28" s="291" t="n"/>
      <c r="BF28" s="37" t="n"/>
      <c r="BG28" s="291" t="n"/>
      <c r="BH28" s="37" t="n"/>
      <c r="BI28" s="291" t="n"/>
      <c r="BJ28" s="37" t="n"/>
      <c r="BK28" s="291" t="n"/>
      <c r="BL28" s="37" t="n"/>
      <c r="BM28" s="291" t="n"/>
      <c r="BN28" s="37" t="n"/>
      <c r="BO28" s="291" t="n"/>
      <c r="BP28" s="291" t="n"/>
      <c r="BQ28" s="37" t="n"/>
      <c r="BR28" s="291" t="n"/>
      <c r="BS28" s="37" t="n"/>
      <c r="BT28" s="291" t="n"/>
      <c r="BU28" s="37" t="n"/>
      <c r="BV28" s="291" t="n"/>
      <c r="BW28" s="37" t="n"/>
      <c r="BX28" s="291" t="n"/>
      <c r="BY28" s="37" t="n"/>
      <c r="BZ28" s="291" t="n"/>
      <c r="CA28" s="37" t="n"/>
      <c r="CB28" s="291" t="n"/>
      <c r="CC28" s="37" t="n"/>
      <c r="CD28" s="291" t="n"/>
      <c r="CE28" s="37" t="n"/>
      <c r="CF28" s="291" t="n"/>
      <c r="CG28" s="291" t="n"/>
      <c r="CH28" s="291" t="n"/>
      <c r="CI28" s="291" t="n"/>
      <c r="CJ28" s="291" t="n"/>
      <c r="CK28" s="291" t="n"/>
      <c r="CL28" s="291" t="n"/>
      <c r="CM28" s="291" t="n"/>
      <c r="CN28" s="291" t="n"/>
      <c r="CO28" s="80" t="n"/>
      <c r="CP28" s="291" t="n"/>
      <c r="CQ28" s="80" t="n"/>
      <c r="CR28" s="291" t="n"/>
      <c r="CS28" s="80" t="n"/>
      <c r="CT28" s="291" t="n"/>
      <c r="CU28" s="80" t="n"/>
      <c r="CW28" s="291" t="n"/>
      <c r="CX28" s="37" t="n"/>
      <c r="CY28" s="291" t="n"/>
      <c r="CZ28" s="37" t="n"/>
      <c r="DA28" s="291" t="n"/>
      <c r="DB28" s="37" t="n"/>
      <c r="DC28" s="291" t="n"/>
      <c r="DD28" s="37" t="n"/>
      <c r="DE28" s="311" t="n"/>
      <c r="DF28" s="311" t="n"/>
    </row>
    <row r="29">
      <c r="A29" s="428" t="n"/>
      <c r="B29" s="285" t="n"/>
      <c r="C29" s="15" t="n"/>
      <c r="D29" s="15" t="n"/>
      <c r="E29" s="285" t="n"/>
      <c r="F29" s="15" t="n"/>
      <c r="G29" s="15" t="n"/>
      <c r="H29" s="285" t="n"/>
      <c r="I29" s="15" t="n"/>
      <c r="J29" s="15" t="n"/>
      <c r="K29" s="285" t="n"/>
      <c r="L29" s="15" t="n"/>
      <c r="M29" s="15" t="n"/>
      <c r="N29" s="285" t="n"/>
      <c r="O29" s="15" t="n"/>
      <c r="P29" s="15" t="n"/>
      <c r="Q29" s="285" t="n"/>
      <c r="R29" s="15" t="n"/>
      <c r="S29" s="15" t="n"/>
      <c r="T29" s="285" t="n"/>
      <c r="U29" s="15" t="n"/>
      <c r="V29" s="15" t="n"/>
      <c r="W29" s="285" t="n"/>
      <c r="X29" s="15" t="n"/>
      <c r="Y29" s="15" t="n"/>
      <c r="Z29" s="285" t="n"/>
      <c r="AA29" s="15" t="n"/>
      <c r="AB29" s="15" t="n"/>
      <c r="AC29" s="285" t="n"/>
      <c r="AD29" s="15" t="n"/>
      <c r="AE29" s="15" t="n"/>
      <c r="AF29" s="285" t="n"/>
      <c r="AG29" s="15" t="n"/>
      <c r="AH29" s="15" t="n"/>
      <c r="AI29" s="285" t="n"/>
      <c r="AJ29" s="15" t="n"/>
      <c r="AK29" s="15" t="n"/>
      <c r="AL29" s="285" t="n"/>
      <c r="AM29" s="327" t="n"/>
      <c r="AN29" s="15" t="n"/>
      <c r="AO29" s="285" t="n"/>
      <c r="AP29" s="327" t="n"/>
      <c r="AQ29" s="15" t="n"/>
      <c r="AR29" s="285" t="n"/>
      <c r="AS29" s="327" t="n"/>
      <c r="AT29" s="15" t="n"/>
      <c r="AU29" s="285" t="n"/>
      <c r="AV29" s="327" t="n"/>
      <c r="AW29" s="15" t="n"/>
      <c r="AX29" s="285" t="n"/>
      <c r="AY29" s="15" t="n"/>
      <c r="AZ29" s="15" t="n"/>
      <c r="BA29" s="287" t="n"/>
      <c r="BB29" s="37" t="n"/>
      <c r="BC29" s="287" t="n"/>
      <c r="BD29" s="37" t="n"/>
      <c r="BE29" s="287" t="n"/>
      <c r="BF29" s="37" t="n"/>
      <c r="BG29" s="287" t="n"/>
      <c r="BH29" s="37" t="n"/>
      <c r="BI29" s="288" t="n"/>
      <c r="BJ29" s="37" t="n"/>
      <c r="BK29" s="288" t="n"/>
      <c r="BL29" s="37" t="n"/>
      <c r="BM29" s="288" t="n"/>
      <c r="BN29" s="37" t="n"/>
      <c r="BO29" s="288" t="n"/>
      <c r="BP29" s="288" t="n"/>
      <c r="BQ29" s="37" t="n"/>
      <c r="BR29" s="288" t="n"/>
      <c r="BS29" s="37" t="n"/>
      <c r="BT29" s="288" t="n"/>
      <c r="BU29" s="37" t="n"/>
      <c r="BV29" s="288" t="n"/>
      <c r="BW29" s="37" t="n"/>
      <c r="BX29" s="288" t="n"/>
      <c r="BY29" s="37" t="n"/>
      <c r="BZ29" s="288" t="n"/>
      <c r="CA29" s="37" t="n"/>
      <c r="CB29" s="288" t="n"/>
      <c r="CC29" s="37" t="n"/>
      <c r="CD29" s="288" t="n"/>
      <c r="CE29" s="37" t="n"/>
      <c r="CF29" s="288" t="n"/>
      <c r="CG29" s="291" t="n"/>
      <c r="CH29" s="288" t="n"/>
      <c r="CI29" s="291" t="n"/>
      <c r="CJ29" s="288" t="n"/>
      <c r="CK29" s="291" t="n"/>
      <c r="CL29" s="288" t="n"/>
      <c r="CM29" s="291" t="n"/>
      <c r="CN29" s="288" t="n"/>
      <c r="CO29" s="80" t="n"/>
      <c r="CP29" s="288" t="n"/>
      <c r="CQ29" s="80" t="n"/>
      <c r="CR29" s="288" t="n"/>
      <c r="CS29" s="80" t="n"/>
      <c r="CT29" s="288" t="n"/>
      <c r="CU29" s="80" t="n"/>
      <c r="CV29" s="269" t="n"/>
      <c r="CW29" s="288" t="n"/>
      <c r="CX29" s="37" t="n"/>
      <c r="CY29" s="288" t="n"/>
      <c r="CZ29" s="37" t="n"/>
      <c r="DA29" s="288" t="n"/>
      <c r="DB29" s="37" t="n"/>
      <c r="DC29" s="288" t="n"/>
      <c r="DD29" s="37" t="n"/>
      <c r="DE29" s="289" t="n"/>
      <c r="DF29" s="289" t="n"/>
      <c r="DG29" s="79" t="n"/>
    </row>
    <row r="30">
      <c r="A30" s="428" t="n"/>
      <c r="B30" s="285" t="n"/>
      <c r="C30" s="15" t="n"/>
      <c r="D30" s="15" t="n"/>
      <c r="E30" s="285" t="n"/>
      <c r="F30" s="15" t="n"/>
      <c r="G30" s="15" t="n"/>
      <c r="H30" s="285" t="n"/>
      <c r="I30" s="15" t="n"/>
      <c r="J30" s="15" t="n"/>
      <c r="K30" s="285" t="n"/>
      <c r="L30" s="15" t="n"/>
      <c r="M30" s="15" t="n"/>
      <c r="N30" s="285" t="n"/>
      <c r="O30" s="15" t="n"/>
      <c r="P30" s="15" t="n"/>
      <c r="Q30" s="285" t="n"/>
      <c r="R30" s="15" t="n"/>
      <c r="S30" s="15" t="n"/>
      <c r="T30" s="285" t="n"/>
      <c r="U30" s="15" t="n"/>
      <c r="V30" s="15" t="n"/>
      <c r="W30" s="285" t="n"/>
      <c r="X30" s="15" t="n"/>
      <c r="Y30" s="15" t="n"/>
      <c r="Z30" s="285" t="n"/>
      <c r="AA30" s="15" t="n"/>
      <c r="AB30" s="15" t="n"/>
      <c r="AC30" s="285" t="n"/>
      <c r="AD30" s="15" t="n"/>
      <c r="AE30" s="15" t="n"/>
      <c r="AF30" s="285" t="n"/>
      <c r="AG30" s="15" t="n"/>
      <c r="AH30" s="15" t="n"/>
      <c r="AI30" s="285" t="n"/>
      <c r="AJ30" s="15" t="n"/>
      <c r="AK30" s="15" t="n"/>
      <c r="AL30" s="285" t="n"/>
      <c r="AM30" s="327" t="n"/>
      <c r="AN30" s="15" t="n"/>
      <c r="AO30" s="285" t="n"/>
      <c r="AP30" s="327" t="n"/>
      <c r="AQ30" s="15" t="n"/>
      <c r="AR30" s="285" t="n"/>
      <c r="AS30" s="327" t="n"/>
      <c r="AT30" s="15" t="n"/>
      <c r="AU30" s="285" t="n"/>
      <c r="AV30" s="327" t="n"/>
      <c r="AW30" s="15" t="n"/>
      <c r="AX30" s="285" t="n"/>
      <c r="AY30" s="15" t="n"/>
      <c r="AZ30" s="15" t="n"/>
      <c r="BA30" s="287" t="n"/>
      <c r="BB30" s="37" t="n"/>
      <c r="BC30" s="287" t="n"/>
      <c r="BD30" s="37" t="n"/>
      <c r="BE30" s="287" t="n"/>
      <c r="BF30" s="37" t="n"/>
      <c r="BG30" s="287" t="n"/>
      <c r="BH30" s="37" t="n"/>
      <c r="BI30" s="288" t="n"/>
      <c r="BJ30" s="37" t="n"/>
      <c r="BK30" s="288" t="n"/>
      <c r="BL30" s="37" t="n"/>
      <c r="BM30" s="288" t="n"/>
      <c r="BN30" s="37" t="n"/>
      <c r="BO30" s="288" t="n"/>
      <c r="BP30" s="288" t="n"/>
      <c r="BQ30" s="37" t="n"/>
      <c r="BR30" s="288" t="n"/>
      <c r="BS30" s="37" t="n"/>
      <c r="BT30" s="288" t="n"/>
      <c r="BU30" s="37" t="n"/>
      <c r="BV30" s="288" t="n"/>
      <c r="BW30" s="37" t="n"/>
      <c r="BX30" s="288" t="n"/>
      <c r="BY30" s="37" t="n"/>
      <c r="BZ30" s="288" t="n"/>
      <c r="CA30" s="37" t="n"/>
      <c r="CB30" s="288" t="n"/>
      <c r="CC30" s="37" t="n"/>
      <c r="CD30" s="288" t="n"/>
      <c r="CE30" s="37" t="n"/>
      <c r="CF30" s="288" t="n"/>
      <c r="CG30" s="291" t="n"/>
      <c r="CH30" s="288" t="n"/>
      <c r="CI30" s="291" t="n"/>
      <c r="CJ30" s="288" t="n"/>
      <c r="CK30" s="291" t="n"/>
      <c r="CL30" s="288" t="n"/>
      <c r="CM30" s="291" t="n"/>
      <c r="CN30" s="288" t="n"/>
      <c r="CO30" s="80" t="n"/>
      <c r="CP30" s="288" t="n"/>
      <c r="CQ30" s="80" t="n"/>
      <c r="CR30" s="288" t="n"/>
      <c r="CS30" s="80" t="n"/>
      <c r="CT30" s="288" t="n"/>
      <c r="CU30" s="80" t="n"/>
      <c r="CV30" s="269" t="n"/>
      <c r="CW30" s="288" t="n"/>
      <c r="CX30" s="37" t="n"/>
      <c r="CY30" s="288" t="n"/>
      <c r="CZ30" s="37" t="n"/>
      <c r="DA30" s="288" t="n"/>
      <c r="DB30" s="37" t="n"/>
      <c r="DC30" s="288" t="n"/>
      <c r="DD30" s="37" t="n"/>
      <c r="DE30" s="289" t="n"/>
      <c r="DF30" s="289" t="n"/>
      <c r="DG30" s="79" t="n"/>
    </row>
    <row r="31">
      <c r="A31" s="428" t="n"/>
      <c r="B31" s="285" t="n"/>
      <c r="C31" s="15" t="n"/>
      <c r="D31" s="15" t="n"/>
      <c r="E31" s="285" t="n"/>
      <c r="F31" s="15" t="n"/>
      <c r="G31" s="15" t="n"/>
      <c r="H31" s="285" t="n"/>
      <c r="I31" s="15" t="n"/>
      <c r="J31" s="15" t="n"/>
      <c r="K31" s="285" t="n"/>
      <c r="L31" s="15" t="n"/>
      <c r="M31" s="15" t="n"/>
      <c r="N31" s="285" t="n"/>
      <c r="O31" s="15" t="n"/>
      <c r="P31" s="15" t="n"/>
      <c r="Q31" s="285" t="n"/>
      <c r="R31" s="15" t="n"/>
      <c r="S31" s="15" t="n"/>
      <c r="T31" s="285" t="n"/>
      <c r="U31" s="15" t="n"/>
      <c r="V31" s="15" t="n"/>
      <c r="W31" s="285" t="n"/>
      <c r="X31" s="15" t="n"/>
      <c r="Y31" s="15" t="n"/>
      <c r="Z31" s="285" t="n"/>
      <c r="AA31" s="15" t="n"/>
      <c r="AB31" s="15" t="n"/>
      <c r="AC31" s="285" t="n"/>
      <c r="AD31" s="15" t="n"/>
      <c r="AE31" s="15" t="n"/>
      <c r="AF31" s="285" t="n"/>
      <c r="AG31" s="15" t="n"/>
      <c r="AH31" s="15" t="n"/>
      <c r="AI31" s="285" t="n"/>
      <c r="AJ31" s="15" t="n"/>
      <c r="AK31" s="15" t="n"/>
      <c r="AL31" s="285" t="n"/>
      <c r="AM31" s="327" t="n"/>
      <c r="AN31" s="15" t="n"/>
      <c r="AO31" s="285" t="n"/>
      <c r="AP31" s="327" t="n"/>
      <c r="AQ31" s="15" t="n"/>
      <c r="AR31" s="285" t="n"/>
      <c r="AS31" s="327" t="n"/>
      <c r="AT31" s="15" t="n"/>
      <c r="AU31" s="285" t="n"/>
      <c r="AV31" s="327" t="n"/>
      <c r="AW31" s="15" t="n"/>
      <c r="AX31" s="285" t="n"/>
      <c r="AY31" s="15" t="n"/>
      <c r="AZ31" s="15" t="n"/>
      <c r="BA31" s="287" t="n"/>
      <c r="BB31" s="37" t="n"/>
      <c r="BC31" s="287" t="n"/>
      <c r="BD31" s="37" t="n"/>
      <c r="BE31" s="287" t="n"/>
      <c r="BF31" s="37" t="n"/>
      <c r="BG31" s="287" t="n"/>
      <c r="BH31" s="37" t="n"/>
      <c r="BI31" s="288" t="n"/>
      <c r="BJ31" s="37" t="n"/>
      <c r="BK31" s="288" t="n"/>
      <c r="BL31" s="37" t="n"/>
      <c r="BM31" s="288" t="n"/>
      <c r="BN31" s="37" t="n"/>
      <c r="BO31" s="288" t="n"/>
      <c r="BP31" s="288" t="n"/>
      <c r="BQ31" s="37" t="n"/>
      <c r="BR31" s="288" t="n"/>
      <c r="BS31" s="37" t="n"/>
      <c r="BT31" s="288" t="n"/>
      <c r="BU31" s="37" t="n"/>
      <c r="BV31" s="288" t="n"/>
      <c r="BW31" s="37" t="n"/>
      <c r="BX31" s="288" t="n"/>
      <c r="BY31" s="37" t="n"/>
      <c r="BZ31" s="288" t="n"/>
      <c r="CA31" s="37" t="n"/>
      <c r="CB31" s="288" t="n"/>
      <c r="CC31" s="37" t="n"/>
      <c r="CD31" s="288" t="n"/>
      <c r="CE31" s="37" t="n"/>
      <c r="CF31" s="288" t="n"/>
      <c r="CG31" s="291" t="n"/>
      <c r="CH31" s="288" t="n"/>
      <c r="CI31" s="291" t="n"/>
      <c r="CJ31" s="288" t="n"/>
      <c r="CK31" s="291" t="n"/>
      <c r="CL31" s="288" t="n"/>
      <c r="CM31" s="291" t="n"/>
      <c r="CN31" s="288" t="n"/>
      <c r="CO31" s="80" t="n"/>
      <c r="CP31" s="288" t="n"/>
      <c r="CQ31" s="80" t="n"/>
      <c r="CR31" s="288" t="n"/>
      <c r="CS31" s="80" t="n"/>
      <c r="CT31" s="288" t="n"/>
      <c r="CU31" s="80" t="n"/>
      <c r="CV31" s="269" t="n"/>
      <c r="CW31" s="288" t="n"/>
      <c r="CX31" s="37" t="n"/>
      <c r="CY31" s="288" t="n"/>
      <c r="CZ31" s="37" t="n"/>
      <c r="DA31" s="288" t="n"/>
      <c r="DB31" s="37" t="n"/>
      <c r="DC31" s="288" t="n"/>
      <c r="DD31" s="37" t="n"/>
      <c r="DE31" s="289" t="n"/>
      <c r="DF31" s="289" t="n"/>
      <c r="DG31" s="79" t="n"/>
    </row>
    <row r="32">
      <c r="A32" s="428" t="n"/>
      <c r="B32" s="285" t="n"/>
      <c r="C32" s="15" t="n"/>
      <c r="D32" s="15" t="n"/>
      <c r="E32" s="285" t="n"/>
      <c r="F32" s="15" t="n"/>
      <c r="G32" s="15" t="n"/>
      <c r="H32" s="285" t="n"/>
      <c r="I32" s="15" t="n"/>
      <c r="J32" s="15" t="n"/>
      <c r="K32" s="285" t="n"/>
      <c r="L32" s="15" t="n"/>
      <c r="M32" s="15" t="n"/>
      <c r="N32" s="285" t="n"/>
      <c r="O32" s="15" t="n"/>
      <c r="P32" s="15" t="n"/>
      <c r="Q32" s="285" t="n"/>
      <c r="R32" s="15" t="n"/>
      <c r="S32" s="15" t="n"/>
      <c r="T32" s="285" t="n"/>
      <c r="U32" s="15" t="n"/>
      <c r="V32" s="15" t="n"/>
      <c r="W32" s="285" t="n"/>
      <c r="X32" s="15" t="n"/>
      <c r="Y32" s="15" t="n"/>
      <c r="Z32" s="285" t="n"/>
      <c r="AA32" s="15" t="n"/>
      <c r="AB32" s="15" t="n"/>
      <c r="AC32" s="285" t="n"/>
      <c r="AD32" s="15" t="n"/>
      <c r="AE32" s="15" t="n"/>
      <c r="AF32" s="285" t="n"/>
      <c r="AG32" s="15" t="n"/>
      <c r="AH32" s="15" t="n"/>
      <c r="AI32" s="285" t="n"/>
      <c r="AJ32" s="15" t="n"/>
      <c r="AK32" s="15" t="n"/>
      <c r="AL32" s="285" t="n"/>
      <c r="AM32" s="327" t="n"/>
      <c r="AN32" s="15" t="n"/>
      <c r="AO32" s="285" t="n"/>
      <c r="AP32" s="327" t="n"/>
      <c r="AQ32" s="15" t="n"/>
      <c r="AR32" s="285" t="n"/>
      <c r="AS32" s="327" t="n"/>
      <c r="AT32" s="15" t="n"/>
      <c r="AU32" s="285" t="n"/>
      <c r="AV32" s="327" t="n"/>
      <c r="AW32" s="15" t="n"/>
      <c r="AX32" s="285" t="n"/>
      <c r="AY32" s="15" t="n"/>
      <c r="AZ32" s="15" t="n"/>
      <c r="BA32" s="287" t="n"/>
      <c r="BB32" s="37" t="n"/>
      <c r="BC32" s="287" t="n"/>
      <c r="BD32" s="37" t="n"/>
      <c r="BE32" s="287" t="n"/>
      <c r="BF32" s="37" t="n"/>
      <c r="BG32" s="287" t="n"/>
      <c r="BH32" s="37" t="n"/>
      <c r="BI32" s="288" t="n"/>
      <c r="BJ32" s="37" t="n"/>
      <c r="BK32" s="288" t="n"/>
      <c r="BL32" s="37" t="n"/>
      <c r="BM32" s="288" t="n"/>
      <c r="BN32" s="37" t="n"/>
      <c r="BO32" s="288" t="n"/>
      <c r="BP32" s="288" t="n"/>
      <c r="BQ32" s="37" t="n"/>
      <c r="BR32" s="288" t="n"/>
      <c r="BS32" s="37" t="n"/>
      <c r="BT32" s="288" t="n"/>
      <c r="BU32" s="37" t="n"/>
      <c r="BV32" s="288" t="n"/>
      <c r="BW32" s="37" t="n"/>
      <c r="BX32" s="288" t="n"/>
      <c r="BY32" s="37" t="n"/>
      <c r="BZ32" s="288" t="n"/>
      <c r="CA32" s="37" t="n"/>
      <c r="CB32" s="288" t="n"/>
      <c r="CC32" s="37" t="n"/>
      <c r="CD32" s="288" t="n"/>
      <c r="CE32" s="37" t="n"/>
      <c r="CF32" s="288" t="n"/>
      <c r="CG32" s="291" t="n"/>
      <c r="CH32" s="288" t="n"/>
      <c r="CI32" s="291" t="n"/>
      <c r="CJ32" s="288" t="n"/>
      <c r="CK32" s="291" t="n"/>
      <c r="CL32" s="288" t="n"/>
      <c r="CM32" s="291" t="n"/>
      <c r="CN32" s="288" t="n"/>
      <c r="CO32" s="80" t="n"/>
      <c r="CP32" s="288" t="n"/>
      <c r="CQ32" s="80" t="n"/>
      <c r="CR32" s="288" t="n"/>
      <c r="CS32" s="80" t="n"/>
      <c r="CT32" s="288" t="n"/>
      <c r="CU32" s="80" t="n"/>
      <c r="CV32" s="269" t="n"/>
      <c r="CW32" s="288" t="n"/>
      <c r="CX32" s="37" t="n"/>
      <c r="CY32" s="288" t="n"/>
      <c r="CZ32" s="37" t="n"/>
      <c r="DA32" s="288" t="n"/>
      <c r="DB32" s="37" t="n"/>
      <c r="DC32" s="288" t="n"/>
      <c r="DD32" s="37" t="n"/>
      <c r="DE32" s="289" t="n"/>
      <c r="DF32" s="289" t="n"/>
      <c r="DG32" s="79" t="n"/>
    </row>
    <row r="33">
      <c r="A33" s="428" t="n"/>
      <c r="B33" s="285" t="n"/>
      <c r="C33" s="15" t="n"/>
      <c r="D33" s="15" t="n"/>
      <c r="E33" s="285" t="n"/>
      <c r="F33" s="15" t="n"/>
      <c r="G33" s="15" t="n"/>
      <c r="H33" s="285" t="n"/>
      <c r="I33" s="15" t="n"/>
      <c r="J33" s="15" t="n"/>
      <c r="K33" s="285" t="n"/>
      <c r="L33" s="15" t="n"/>
      <c r="M33" s="15" t="n"/>
      <c r="N33" s="285" t="n"/>
      <c r="O33" s="15" t="n"/>
      <c r="P33" s="15" t="n"/>
      <c r="Q33" s="285" t="n"/>
      <c r="R33" s="15" t="n"/>
      <c r="S33" s="15" t="n"/>
      <c r="T33" s="285" t="n"/>
      <c r="U33" s="15" t="n"/>
      <c r="V33" s="15" t="n"/>
      <c r="W33" s="285" t="n"/>
      <c r="X33" s="15" t="n"/>
      <c r="Y33" s="15" t="n"/>
      <c r="Z33" s="285" t="n"/>
      <c r="AA33" s="15" t="n"/>
      <c r="AB33" s="15" t="n"/>
      <c r="AC33" s="285" t="n"/>
      <c r="AD33" s="15" t="n"/>
      <c r="AE33" s="15" t="n"/>
      <c r="AF33" s="285" t="n"/>
      <c r="AG33" s="15" t="n"/>
      <c r="AH33" s="15" t="n"/>
      <c r="AI33" s="285" t="n"/>
      <c r="AJ33" s="15" t="n"/>
      <c r="AK33" s="15" t="n"/>
      <c r="AL33" s="285" t="n"/>
      <c r="AM33" s="327" t="n"/>
      <c r="AN33" s="15" t="n"/>
      <c r="AO33" s="285" t="n"/>
      <c r="AP33" s="327" t="n"/>
      <c r="AQ33" s="15" t="n"/>
      <c r="AR33" s="285" t="n"/>
      <c r="AS33" s="327" t="n"/>
      <c r="AT33" s="15" t="n"/>
      <c r="AU33" s="285" t="n"/>
      <c r="AV33" s="327" t="n"/>
      <c r="AW33" s="15" t="n"/>
      <c r="AX33" s="285" t="n"/>
      <c r="AY33" s="15" t="n"/>
      <c r="AZ33" s="15" t="n"/>
      <c r="BA33" s="287" t="n"/>
      <c r="BB33" s="37" t="n"/>
      <c r="BC33" s="287" t="n"/>
      <c r="BD33" s="37" t="n"/>
      <c r="BE33" s="287" t="n"/>
      <c r="BF33" s="37" t="n"/>
      <c r="BG33" s="287" t="n"/>
      <c r="BH33" s="37" t="n"/>
      <c r="BI33" s="288" t="n"/>
      <c r="BJ33" s="37" t="n"/>
      <c r="BK33" s="288" t="n"/>
      <c r="BL33" s="37" t="n"/>
      <c r="BM33" s="288" t="n"/>
      <c r="BN33" s="37" t="n"/>
      <c r="BO33" s="288" t="n"/>
      <c r="BP33" s="288" t="n"/>
      <c r="BQ33" s="37" t="n"/>
      <c r="BR33" s="288" t="n"/>
      <c r="BS33" s="37" t="n"/>
      <c r="BT33" s="288" t="n"/>
      <c r="BU33" s="37" t="n"/>
      <c r="BV33" s="288" t="n"/>
      <c r="BW33" s="37" t="n"/>
      <c r="BX33" s="288" t="n"/>
      <c r="BY33" s="37" t="n"/>
      <c r="BZ33" s="288" t="n"/>
      <c r="CA33" s="37" t="n"/>
      <c r="CB33" s="288" t="n"/>
      <c r="CC33" s="37" t="n"/>
      <c r="CD33" s="288" t="n"/>
      <c r="CE33" s="37" t="n"/>
      <c r="CF33" s="288" t="n"/>
      <c r="CG33" s="291" t="n"/>
      <c r="CH33" s="288" t="n"/>
      <c r="CI33" s="291" t="n"/>
      <c r="CJ33" s="288" t="n"/>
      <c r="CK33" s="291" t="n"/>
      <c r="CL33" s="288" t="n"/>
      <c r="CM33" s="291" t="n"/>
      <c r="CN33" s="288" t="n"/>
      <c r="CO33" s="80" t="n"/>
      <c r="CP33" s="288" t="n"/>
      <c r="CQ33" s="80" t="n"/>
      <c r="CR33" s="288" t="n"/>
      <c r="CS33" s="80" t="n"/>
      <c r="CT33" s="288" t="n"/>
      <c r="CU33" s="80" t="n"/>
      <c r="CV33" s="269" t="n"/>
      <c r="CW33" s="288" t="n"/>
      <c r="CX33" s="37" t="n"/>
      <c r="CY33" s="288" t="n"/>
      <c r="CZ33" s="37" t="n"/>
      <c r="DA33" s="288" t="n"/>
      <c r="DB33" s="37" t="n"/>
      <c r="DC33" s="288" t="n"/>
      <c r="DD33" s="37" t="n"/>
      <c r="DE33" s="289" t="n"/>
      <c r="DF33" s="289" t="n"/>
      <c r="DG33" s="79" t="n"/>
    </row>
    <row r="34">
      <c r="A34" s="428" t="n"/>
      <c r="B34" s="285" t="n"/>
      <c r="C34" s="15" t="n"/>
      <c r="D34" s="15" t="n"/>
      <c r="E34" s="285" t="n"/>
      <c r="F34" s="15" t="n"/>
      <c r="G34" s="15" t="n"/>
      <c r="H34" s="285" t="n"/>
      <c r="I34" s="15" t="n"/>
      <c r="J34" s="15" t="n"/>
      <c r="K34" s="285" t="n"/>
      <c r="L34" s="15" t="n"/>
      <c r="M34" s="15" t="n"/>
      <c r="N34" s="285" t="n"/>
      <c r="O34" s="15" t="n"/>
      <c r="P34" s="15" t="n"/>
      <c r="Q34" s="285" t="n"/>
      <c r="R34" s="15" t="n"/>
      <c r="S34" s="15" t="n"/>
      <c r="T34" s="285" t="n"/>
      <c r="U34" s="15" t="n"/>
      <c r="V34" s="15" t="n"/>
      <c r="W34" s="285" t="n"/>
      <c r="X34" s="15" t="n"/>
      <c r="Y34" s="15" t="n"/>
      <c r="Z34" s="285" t="n"/>
      <c r="AA34" s="15" t="n"/>
      <c r="AB34" s="15" t="n"/>
      <c r="AC34" s="285" t="n"/>
      <c r="AD34" s="15" t="n"/>
      <c r="AE34" s="15" t="n"/>
      <c r="AF34" s="285" t="n"/>
      <c r="AG34" s="15" t="n"/>
      <c r="AH34" s="15" t="n"/>
      <c r="AI34" s="285" t="n"/>
      <c r="AJ34" s="15" t="n"/>
      <c r="AK34" s="15" t="n"/>
      <c r="AL34" s="285" t="n"/>
      <c r="AM34" s="327" t="n"/>
      <c r="AN34" s="15" t="n"/>
      <c r="AO34" s="285" t="n"/>
      <c r="AP34" s="327" t="n"/>
      <c r="AQ34" s="15" t="n"/>
      <c r="AR34" s="285" t="n"/>
      <c r="AS34" s="327" t="n"/>
      <c r="AT34" s="15" t="n"/>
      <c r="AU34" s="285" t="n"/>
      <c r="AV34" s="327" t="n"/>
      <c r="AW34" s="15" t="n"/>
      <c r="AX34" s="285" t="n"/>
      <c r="AY34" s="15" t="n"/>
      <c r="AZ34" s="15" t="n"/>
      <c r="BA34" s="287" t="n"/>
      <c r="BB34" s="37" t="n"/>
      <c r="BC34" s="287" t="n"/>
      <c r="BD34" s="37" t="n"/>
      <c r="BE34" s="287" t="n"/>
      <c r="BF34" s="37" t="n"/>
      <c r="BG34" s="287" t="n"/>
      <c r="BH34" s="37" t="n"/>
      <c r="BI34" s="288" t="n"/>
      <c r="BJ34" s="37" t="n"/>
      <c r="BK34" s="288" t="n"/>
      <c r="BL34" s="37" t="n"/>
      <c r="BM34" s="288" t="n"/>
      <c r="BN34" s="37" t="n"/>
      <c r="BO34" s="288" t="n"/>
      <c r="BP34" s="288" t="n"/>
      <c r="BQ34" s="37" t="n"/>
      <c r="BR34" s="288" t="n"/>
      <c r="BS34" s="37" t="n"/>
      <c r="BT34" s="288" t="n"/>
      <c r="BU34" s="37" t="n"/>
      <c r="BV34" s="288" t="n"/>
      <c r="BW34" s="37" t="n"/>
      <c r="BX34" s="288" t="n"/>
      <c r="BY34" s="37" t="n"/>
      <c r="BZ34" s="288" t="n"/>
      <c r="CA34" s="37" t="n"/>
      <c r="CB34" s="288" t="n"/>
      <c r="CC34" s="37" t="n"/>
      <c r="CD34" s="288" t="n"/>
      <c r="CE34" s="37" t="n"/>
      <c r="CF34" s="288" t="n"/>
      <c r="CG34" s="291" t="n"/>
      <c r="CH34" s="288" t="n"/>
      <c r="CI34" s="291" t="n"/>
      <c r="CJ34" s="288" t="n"/>
      <c r="CK34" s="291" t="n"/>
      <c r="CL34" s="288" t="n"/>
      <c r="CM34" s="291" t="n"/>
      <c r="CN34" s="288" t="n"/>
      <c r="CO34" s="80" t="n"/>
      <c r="CP34" s="288" t="n"/>
      <c r="CQ34" s="80" t="n"/>
      <c r="CR34" s="288" t="n"/>
      <c r="CS34" s="80" t="n"/>
      <c r="CT34" s="288" t="n"/>
      <c r="CU34" s="80" t="n"/>
      <c r="CV34" s="269" t="n"/>
      <c r="CW34" s="288" t="n"/>
      <c r="CX34" s="37" t="n"/>
      <c r="CY34" s="288" t="n"/>
      <c r="CZ34" s="37" t="n"/>
      <c r="DA34" s="288" t="n"/>
      <c r="DB34" s="37" t="n"/>
      <c r="DC34" s="288" t="n"/>
      <c r="DD34" s="37" t="n"/>
      <c r="DE34" s="289" t="n"/>
      <c r="DF34" s="289" t="n"/>
      <c r="DG34" s="79" t="n"/>
    </row>
    <row r="35">
      <c r="A35" s="428" t="n"/>
      <c r="B35" s="285" t="n"/>
      <c r="C35" s="15" t="n"/>
      <c r="D35" s="15" t="n"/>
      <c r="E35" s="285" t="n"/>
      <c r="F35" s="15" t="n"/>
      <c r="G35" s="15" t="n"/>
      <c r="H35" s="285" t="n"/>
      <c r="I35" s="15" t="n"/>
      <c r="J35" s="15" t="n"/>
      <c r="K35" s="285" t="n"/>
      <c r="L35" s="15" t="n"/>
      <c r="M35" s="15" t="n"/>
      <c r="N35" s="285" t="n"/>
      <c r="O35" s="15" t="n"/>
      <c r="P35" s="15" t="n"/>
      <c r="Q35" s="285" t="n"/>
      <c r="R35" s="15" t="n"/>
      <c r="S35" s="15" t="n"/>
      <c r="T35" s="285" t="n"/>
      <c r="U35" s="15" t="n"/>
      <c r="V35" s="15" t="n"/>
      <c r="W35" s="285" t="n"/>
      <c r="X35" s="15" t="n"/>
      <c r="Y35" s="15" t="n"/>
      <c r="Z35" s="285" t="n"/>
      <c r="AA35" s="15" t="n"/>
      <c r="AB35" s="15" t="n"/>
      <c r="AC35" s="285" t="n"/>
      <c r="AD35" s="15" t="n"/>
      <c r="AE35" s="15" t="n"/>
      <c r="AF35" s="285" t="n"/>
      <c r="AG35" s="15" t="n"/>
      <c r="AH35" s="15" t="n"/>
      <c r="AI35" s="285" t="n"/>
      <c r="AJ35" s="15" t="n"/>
      <c r="AK35" s="15" t="n"/>
      <c r="AL35" s="285" t="n"/>
      <c r="AM35" s="327" t="n"/>
      <c r="AN35" s="15" t="n"/>
      <c r="AO35" s="285" t="n"/>
      <c r="AP35" s="327" t="n"/>
      <c r="AQ35" s="15" t="n"/>
      <c r="AR35" s="285" t="n"/>
      <c r="AS35" s="327" t="n"/>
      <c r="AT35" s="15" t="n"/>
      <c r="AU35" s="285" t="n"/>
      <c r="AV35" s="327" t="n"/>
      <c r="AW35" s="15" t="n"/>
      <c r="AX35" s="285" t="n"/>
      <c r="AY35" s="15" t="n"/>
      <c r="AZ35" s="15" t="n"/>
      <c r="BA35" s="287" t="n"/>
      <c r="BB35" s="37" t="n"/>
      <c r="BC35" s="287" t="n"/>
      <c r="BD35" s="37" t="n"/>
      <c r="BE35" s="287" t="n"/>
      <c r="BF35" s="37" t="n"/>
      <c r="BG35" s="287" t="n"/>
      <c r="BH35" s="37" t="n"/>
      <c r="BI35" s="288" t="n"/>
      <c r="BJ35" s="37" t="n"/>
      <c r="BK35" s="288" t="n"/>
      <c r="BL35" s="37" t="n"/>
      <c r="BM35" s="288" t="n"/>
      <c r="BN35" s="37" t="n"/>
      <c r="BO35" s="288" t="n"/>
      <c r="BP35" s="288" t="n"/>
      <c r="BQ35" s="37" t="n"/>
      <c r="BR35" s="288" t="n"/>
      <c r="BS35" s="37" t="n"/>
      <c r="BT35" s="288" t="n"/>
      <c r="BU35" s="37" t="n"/>
      <c r="BV35" s="288" t="n"/>
      <c r="BW35" s="37" t="n"/>
      <c r="BX35" s="288" t="n"/>
      <c r="BY35" s="37" t="n"/>
      <c r="BZ35" s="288" t="n"/>
      <c r="CA35" s="37" t="n"/>
      <c r="CB35" s="288" t="n"/>
      <c r="CC35" s="37" t="n"/>
      <c r="CD35" s="288" t="n"/>
      <c r="CE35" s="37" t="n"/>
      <c r="CF35" s="288" t="n"/>
      <c r="CG35" s="291" t="n"/>
      <c r="CH35" s="288" t="n"/>
      <c r="CI35" s="291" t="n"/>
      <c r="CJ35" s="288" t="n"/>
      <c r="CK35" s="291" t="n"/>
      <c r="CL35" s="288" t="n"/>
      <c r="CM35" s="291" t="n"/>
      <c r="CN35" s="288" t="n"/>
      <c r="CO35" s="80" t="n"/>
      <c r="CP35" s="288" t="n"/>
      <c r="CQ35" s="80" t="n"/>
      <c r="CR35" s="288" t="n"/>
      <c r="CS35" s="80" t="n"/>
      <c r="CT35" s="288" t="n"/>
      <c r="CU35" s="80" t="n"/>
      <c r="CV35" s="269" t="n"/>
      <c r="CW35" s="288" t="n"/>
      <c r="CX35" s="37" t="n"/>
      <c r="CY35" s="288" t="n"/>
      <c r="CZ35" s="37" t="n"/>
      <c r="DA35" s="288" t="n"/>
      <c r="DB35" s="37" t="n"/>
      <c r="DC35" s="288" t="n"/>
      <c r="DD35" s="37" t="n"/>
      <c r="DE35" s="289" t="n"/>
      <c r="DF35" s="289" t="n"/>
      <c r="DG35" s="79" t="n"/>
    </row>
    <row r="36">
      <c r="A36" s="428" t="n"/>
      <c r="B36" s="285" t="n"/>
      <c r="C36" s="15" t="n"/>
      <c r="D36" s="15" t="n"/>
      <c r="E36" s="285" t="n"/>
      <c r="F36" s="15" t="n"/>
      <c r="G36" s="15" t="n"/>
      <c r="H36" s="285" t="n"/>
      <c r="I36" s="15" t="n"/>
      <c r="J36" s="15" t="n"/>
      <c r="K36" s="285" t="n"/>
      <c r="L36" s="15" t="n"/>
      <c r="M36" s="15" t="n"/>
      <c r="N36" s="285" t="n"/>
      <c r="O36" s="15" t="n"/>
      <c r="P36" s="15" t="n"/>
      <c r="Q36" s="285" t="n"/>
      <c r="R36" s="15" t="n"/>
      <c r="S36" s="15" t="n"/>
      <c r="T36" s="285" t="n"/>
      <c r="U36" s="15" t="n"/>
      <c r="V36" s="15" t="n"/>
      <c r="W36" s="285" t="n"/>
      <c r="X36" s="15" t="n"/>
      <c r="Y36" s="15" t="n"/>
      <c r="Z36" s="285" t="n"/>
      <c r="AA36" s="15" t="n"/>
      <c r="AB36" s="15" t="n"/>
      <c r="AC36" s="285" t="n"/>
      <c r="AD36" s="15" t="n"/>
      <c r="AE36" s="15" t="n"/>
      <c r="AF36" s="285" t="n"/>
      <c r="AG36" s="15" t="n"/>
      <c r="AH36" s="15" t="n"/>
      <c r="AI36" s="285" t="n"/>
      <c r="AJ36" s="15" t="n"/>
      <c r="AK36" s="15" t="n"/>
      <c r="AL36" s="285" t="n"/>
      <c r="AM36" s="327" t="n"/>
      <c r="AN36" s="15" t="n"/>
      <c r="AO36" s="285" t="n"/>
      <c r="AP36" s="327" t="n"/>
      <c r="AQ36" s="15" t="n"/>
      <c r="AR36" s="285" t="n"/>
      <c r="AS36" s="327" t="n"/>
      <c r="AT36" s="15" t="n"/>
      <c r="AU36" s="285" t="n"/>
      <c r="AV36" s="327" t="n"/>
      <c r="AW36" s="15" t="n"/>
      <c r="AX36" s="285" t="n"/>
      <c r="AY36" s="15" t="n"/>
      <c r="AZ36" s="15" t="n"/>
      <c r="BA36" s="287" t="n"/>
      <c r="BB36" s="37" t="n"/>
      <c r="BC36" s="287" t="n"/>
      <c r="BD36" s="37" t="n"/>
      <c r="BE36" s="287" t="n"/>
      <c r="BF36" s="37" t="n"/>
      <c r="BG36" s="287" t="n"/>
      <c r="BH36" s="37" t="n"/>
      <c r="BI36" s="288" t="n"/>
      <c r="BJ36" s="37" t="n"/>
      <c r="BK36" s="288" t="n"/>
      <c r="BL36" s="37" t="n"/>
      <c r="BM36" s="288" t="n"/>
      <c r="BN36" s="37" t="n"/>
      <c r="BO36" s="288" t="n"/>
      <c r="BP36" s="288" t="n"/>
      <c r="BQ36" s="37" t="n"/>
      <c r="BR36" s="288" t="n"/>
      <c r="BS36" s="37" t="n"/>
      <c r="BT36" s="288" t="n"/>
      <c r="BU36" s="37" t="n"/>
      <c r="BV36" s="288" t="n"/>
      <c r="BW36" s="37" t="n"/>
      <c r="BX36" s="288" t="n"/>
      <c r="BY36" s="37" t="n"/>
      <c r="BZ36" s="288" t="n"/>
      <c r="CA36" s="37" t="n"/>
      <c r="CB36" s="288" t="n"/>
      <c r="CC36" s="37" t="n"/>
      <c r="CD36" s="288" t="n"/>
      <c r="CE36" s="37" t="n"/>
      <c r="CF36" s="288" t="n"/>
      <c r="CG36" s="291" t="n"/>
      <c r="CH36" s="288" t="n"/>
      <c r="CI36" s="291" t="n"/>
      <c r="CJ36" s="288" t="n"/>
      <c r="CK36" s="291" t="n"/>
      <c r="CL36" s="288" t="n"/>
      <c r="CM36" s="291" t="n"/>
      <c r="CN36" s="288" t="n"/>
      <c r="CO36" s="80" t="n"/>
      <c r="CP36" s="288" t="n"/>
      <c r="CQ36" s="80" t="n"/>
      <c r="CR36" s="288" t="n"/>
      <c r="CS36" s="80" t="n"/>
      <c r="CT36" s="288" t="n"/>
      <c r="CU36" s="80" t="n"/>
      <c r="CV36" s="269" t="n"/>
      <c r="CW36" s="288" t="n"/>
      <c r="CX36" s="37" t="n"/>
      <c r="CY36" s="288" t="n"/>
      <c r="CZ36" s="37" t="n"/>
      <c r="DA36" s="288" t="n"/>
      <c r="DB36" s="37" t="n"/>
      <c r="DC36" s="288" t="n"/>
      <c r="DD36" s="37" t="n"/>
      <c r="DE36" s="289" t="n"/>
      <c r="DF36" s="289" t="n"/>
      <c r="DG36" s="79" t="n"/>
    </row>
    <row r="37">
      <c r="A37" s="428" t="n"/>
      <c r="B37" s="285" t="n"/>
      <c r="C37" s="15" t="n"/>
      <c r="D37" s="15" t="n"/>
      <c r="E37" s="285" t="n"/>
      <c r="F37" s="15" t="n"/>
      <c r="G37" s="15" t="n"/>
      <c r="H37" s="285" t="n"/>
      <c r="I37" s="15" t="n"/>
      <c r="J37" s="15" t="n"/>
      <c r="K37" s="285" t="n"/>
      <c r="L37" s="15" t="n"/>
      <c r="M37" s="15" t="n"/>
      <c r="N37" s="285" t="n"/>
      <c r="O37" s="15" t="n"/>
      <c r="P37" s="15" t="n"/>
      <c r="Q37" s="285" t="n"/>
      <c r="R37" s="15" t="n"/>
      <c r="S37" s="15" t="n"/>
      <c r="T37" s="285" t="n"/>
      <c r="U37" s="15" t="n"/>
      <c r="V37" s="15" t="n"/>
      <c r="W37" s="285" t="n"/>
      <c r="X37" s="15" t="n"/>
      <c r="Y37" s="15" t="n"/>
      <c r="Z37" s="285" t="n"/>
      <c r="AA37" s="15" t="n"/>
      <c r="AB37" s="15" t="n"/>
      <c r="AC37" s="285" t="n"/>
      <c r="AD37" s="15" t="n"/>
      <c r="AE37" s="15" t="n"/>
      <c r="AF37" s="285" t="n"/>
      <c r="AG37" s="15" t="n"/>
      <c r="AH37" s="15" t="n"/>
      <c r="AI37" s="285" t="n"/>
      <c r="AJ37" s="15" t="n"/>
      <c r="AK37" s="15" t="n"/>
      <c r="AL37" s="285" t="n"/>
      <c r="AM37" s="327" t="n"/>
      <c r="AN37" s="15" t="n"/>
      <c r="AO37" s="285" t="n"/>
      <c r="AP37" s="327" t="n"/>
      <c r="AQ37" s="15" t="n"/>
      <c r="AR37" s="285" t="n"/>
      <c r="AS37" s="327" t="n"/>
      <c r="AT37" s="15" t="n"/>
      <c r="AU37" s="285" t="n"/>
      <c r="AV37" s="327" t="n"/>
      <c r="AW37" s="15" t="n"/>
      <c r="AX37" s="285" t="n"/>
      <c r="AY37" s="15" t="n"/>
      <c r="AZ37" s="15" t="n"/>
      <c r="BA37" s="287" t="n"/>
      <c r="BB37" s="37" t="n"/>
      <c r="BC37" s="287" t="n"/>
      <c r="BD37" s="37" t="n"/>
      <c r="BE37" s="287" t="n"/>
      <c r="BF37" s="37" t="n"/>
      <c r="BG37" s="287" t="n"/>
      <c r="BH37" s="37" t="n"/>
      <c r="BI37" s="288" t="n"/>
      <c r="BJ37" s="37" t="n"/>
      <c r="BK37" s="288" t="n"/>
      <c r="BL37" s="37" t="n"/>
      <c r="BM37" s="288" t="n"/>
      <c r="BN37" s="37" t="n"/>
      <c r="BO37" s="288" t="n"/>
      <c r="BP37" s="288" t="n"/>
      <c r="BQ37" s="37" t="n"/>
      <c r="BR37" s="288" t="n"/>
      <c r="BS37" s="37" t="n"/>
      <c r="BT37" s="288" t="n"/>
      <c r="BU37" s="37" t="n"/>
      <c r="BV37" s="288" t="n"/>
      <c r="BW37" s="37" t="n"/>
      <c r="BX37" s="288" t="n"/>
      <c r="BY37" s="37" t="n"/>
      <c r="BZ37" s="288" t="n"/>
      <c r="CA37" s="37" t="n"/>
      <c r="CB37" s="288" t="n"/>
      <c r="CC37" s="37" t="n"/>
      <c r="CD37" s="288" t="n"/>
      <c r="CE37" s="37" t="n"/>
      <c r="CF37" s="288" t="n"/>
      <c r="CG37" s="291" t="n"/>
      <c r="CH37" s="288" t="n"/>
      <c r="CI37" s="291" t="n"/>
      <c r="CJ37" s="288" t="n"/>
      <c r="CK37" s="291" t="n"/>
      <c r="CL37" s="288" t="n"/>
      <c r="CM37" s="291" t="n"/>
      <c r="CN37" s="288" t="n"/>
      <c r="CO37" s="80" t="n"/>
      <c r="CP37" s="288" t="n"/>
      <c r="CQ37" s="80" t="n"/>
      <c r="CR37" s="288" t="n"/>
      <c r="CS37" s="80" t="n"/>
      <c r="CT37" s="288" t="n"/>
      <c r="CU37" s="80" t="n"/>
      <c r="CV37" s="269" t="n"/>
      <c r="CW37" s="288" t="n"/>
      <c r="CX37" s="37" t="n"/>
      <c r="CY37" s="288" t="n"/>
      <c r="CZ37" s="37" t="n"/>
      <c r="DA37" s="288" t="n"/>
      <c r="DB37" s="37" t="n"/>
      <c r="DC37" s="288" t="n"/>
      <c r="DD37" s="37" t="n"/>
      <c r="DE37" s="289" t="n"/>
      <c r="DF37" s="289" t="n"/>
      <c r="DG37" s="79" t="n"/>
    </row>
    <row r="38">
      <c r="A38" s="428" t="n"/>
      <c r="B38" s="285" t="n"/>
      <c r="C38" s="15" t="n"/>
      <c r="D38" s="15" t="n"/>
      <c r="E38" s="285" t="n"/>
      <c r="F38" s="15" t="n"/>
      <c r="G38" s="15" t="n"/>
      <c r="H38" s="285" t="n"/>
      <c r="I38" s="15" t="n"/>
      <c r="J38" s="15" t="n"/>
      <c r="K38" s="285" t="n"/>
      <c r="L38" s="15" t="n"/>
      <c r="M38" s="15" t="n"/>
      <c r="N38" s="285" t="n"/>
      <c r="O38" s="15" t="n"/>
      <c r="P38" s="15" t="n"/>
      <c r="Q38" s="285" t="n"/>
      <c r="R38" s="15" t="n"/>
      <c r="S38" s="15" t="n"/>
      <c r="T38" s="285" t="n"/>
      <c r="U38" s="15" t="n"/>
      <c r="V38" s="15" t="n"/>
      <c r="W38" s="285" t="n"/>
      <c r="X38" s="15" t="n"/>
      <c r="Y38" s="15" t="n"/>
      <c r="Z38" s="285" t="n"/>
      <c r="AA38" s="15" t="n"/>
      <c r="AB38" s="15" t="n"/>
      <c r="AC38" s="285" t="n"/>
      <c r="AD38" s="15" t="n"/>
      <c r="AE38" s="15" t="n"/>
      <c r="AF38" s="285" t="n"/>
      <c r="AG38" s="15" t="n"/>
      <c r="AH38" s="15" t="n"/>
      <c r="AI38" s="285" t="n"/>
      <c r="AJ38" s="15" t="n"/>
      <c r="AK38" s="15" t="n"/>
      <c r="AL38" s="285" t="n"/>
      <c r="AM38" s="327" t="n"/>
      <c r="AN38" s="15" t="n"/>
      <c r="AO38" s="285" t="n"/>
      <c r="AP38" s="327" t="n"/>
      <c r="AQ38" s="15" t="n"/>
      <c r="AR38" s="285" t="n"/>
      <c r="AS38" s="327" t="n"/>
      <c r="AT38" s="15" t="n"/>
      <c r="AU38" s="285" t="n"/>
      <c r="AV38" s="327" t="n"/>
      <c r="AW38" s="15" t="n"/>
      <c r="AX38" s="285" t="n"/>
      <c r="AY38" s="15" t="n"/>
      <c r="AZ38" s="15" t="n"/>
      <c r="BA38" s="287" t="n"/>
      <c r="BB38" s="37" t="n"/>
      <c r="BC38" s="287" t="n"/>
      <c r="BD38" s="37" t="n"/>
      <c r="BE38" s="287" t="n"/>
      <c r="BF38" s="37" t="n"/>
      <c r="BG38" s="287" t="n"/>
      <c r="BH38" s="37" t="n"/>
      <c r="BI38" s="288" t="n"/>
      <c r="BJ38" s="37" t="n"/>
      <c r="BK38" s="288" t="n"/>
      <c r="BL38" s="37" t="n"/>
      <c r="BM38" s="288" t="n"/>
      <c r="BN38" s="37" t="n"/>
      <c r="BO38" s="288" t="n"/>
      <c r="BP38" s="288" t="n"/>
      <c r="BQ38" s="37" t="n"/>
      <c r="BR38" s="288" t="n"/>
      <c r="BS38" s="37" t="n"/>
      <c r="BT38" s="288" t="n"/>
      <c r="BU38" s="37" t="n"/>
      <c r="BV38" s="288" t="n"/>
      <c r="BW38" s="37" t="n"/>
      <c r="BX38" s="288" t="n"/>
      <c r="BY38" s="37" t="n"/>
      <c r="BZ38" s="288" t="n"/>
      <c r="CA38" s="37" t="n"/>
      <c r="CB38" s="288" t="n"/>
      <c r="CC38" s="37" t="n"/>
      <c r="CD38" s="288" t="n"/>
      <c r="CE38" s="37" t="n"/>
      <c r="CF38" s="288" t="n"/>
      <c r="CG38" s="291" t="n"/>
      <c r="CH38" s="288" t="n"/>
      <c r="CI38" s="291" t="n"/>
      <c r="CJ38" s="288" t="n"/>
      <c r="CK38" s="291" t="n"/>
      <c r="CL38" s="288" t="n"/>
      <c r="CM38" s="291" t="n"/>
      <c r="CN38" s="288" t="n"/>
      <c r="CO38" s="80" t="n"/>
      <c r="CP38" s="288" t="n"/>
      <c r="CQ38" s="80" t="n"/>
      <c r="CR38" s="288" t="n"/>
      <c r="CS38" s="80" t="n"/>
      <c r="CT38" s="288" t="n"/>
      <c r="CU38" s="80" t="n"/>
      <c r="CV38" s="269" t="n"/>
      <c r="CW38" s="288" t="n"/>
      <c r="CX38" s="37" t="n"/>
      <c r="CY38" s="288" t="n"/>
      <c r="CZ38" s="37" t="n"/>
      <c r="DA38" s="288" t="n"/>
      <c r="DB38" s="37" t="n"/>
      <c r="DC38" s="288" t="n"/>
      <c r="DD38" s="37" t="n"/>
      <c r="DE38" s="289" t="n"/>
      <c r="DF38" s="289" t="n"/>
      <c r="DG38" s="79" t="n"/>
    </row>
    <row r="39">
      <c r="A39" s="428" t="n"/>
      <c r="B39" s="285" t="n"/>
      <c r="C39" s="15" t="n"/>
      <c r="D39" s="15" t="n"/>
      <c r="E39" s="285" t="n"/>
      <c r="F39" s="15" t="n"/>
      <c r="G39" s="15" t="n"/>
      <c r="H39" s="285" t="n"/>
      <c r="I39" s="15" t="n"/>
      <c r="J39" s="15" t="n"/>
      <c r="K39" s="285" t="n"/>
      <c r="L39" s="15" t="n"/>
      <c r="M39" s="15" t="n"/>
      <c r="N39" s="285" t="n"/>
      <c r="O39" s="15" t="n"/>
      <c r="P39" s="15" t="n"/>
      <c r="Q39" s="285" t="n"/>
      <c r="R39" s="15" t="n"/>
      <c r="S39" s="15" t="n"/>
      <c r="T39" s="285" t="n"/>
      <c r="U39" s="15" t="n"/>
      <c r="V39" s="15" t="n"/>
      <c r="W39" s="285" t="n"/>
      <c r="X39" s="15" t="n"/>
      <c r="Y39" s="15" t="n"/>
      <c r="Z39" s="285" t="n"/>
      <c r="AA39" s="15" t="n"/>
      <c r="AB39" s="15" t="n"/>
      <c r="AC39" s="285" t="n"/>
      <c r="AD39" s="15" t="n"/>
      <c r="AE39" s="15" t="n"/>
      <c r="AF39" s="285" t="n"/>
      <c r="AG39" s="15" t="n"/>
      <c r="AH39" s="15" t="n"/>
      <c r="AI39" s="285" t="n"/>
      <c r="AJ39" s="15" t="n"/>
      <c r="AK39" s="15" t="n"/>
      <c r="AL39" s="285" t="n"/>
      <c r="AM39" s="327" t="n"/>
      <c r="AN39" s="15" t="n"/>
      <c r="AO39" s="285" t="n"/>
      <c r="AP39" s="327" t="n"/>
      <c r="AQ39" s="15" t="n"/>
      <c r="AR39" s="285" t="n"/>
      <c r="AS39" s="327" t="n"/>
      <c r="AT39" s="15" t="n"/>
      <c r="AU39" s="285" t="n"/>
      <c r="AV39" s="327" t="n"/>
      <c r="AW39" s="15" t="n"/>
      <c r="AX39" s="285" t="n"/>
      <c r="AY39" s="15" t="n"/>
      <c r="AZ39" s="15" t="n"/>
      <c r="BA39" s="287" t="n"/>
      <c r="BB39" s="37" t="n"/>
      <c r="BC39" s="287" t="n"/>
      <c r="BD39" s="37" t="n"/>
      <c r="BE39" s="287" t="n"/>
      <c r="BF39" s="37" t="n"/>
      <c r="BG39" s="287" t="n"/>
      <c r="BH39" s="37" t="n"/>
      <c r="BI39" s="288" t="n"/>
      <c r="BJ39" s="37" t="n"/>
      <c r="BK39" s="288" t="n"/>
      <c r="BL39" s="37" t="n"/>
      <c r="BM39" s="288" t="n"/>
      <c r="BN39" s="37" t="n"/>
      <c r="BO39" s="288" t="n"/>
      <c r="BP39" s="288" t="n"/>
      <c r="BQ39" s="37" t="n"/>
      <c r="BR39" s="288" t="n"/>
      <c r="BS39" s="37" t="n"/>
      <c r="BT39" s="288" t="n"/>
      <c r="BU39" s="37" t="n"/>
      <c r="BV39" s="288" t="n"/>
      <c r="BW39" s="37" t="n"/>
      <c r="BX39" s="288" t="n"/>
      <c r="BY39" s="37" t="n"/>
      <c r="BZ39" s="288" t="n"/>
      <c r="CA39" s="37" t="n"/>
      <c r="CB39" s="288" t="n"/>
      <c r="CC39" s="37" t="n"/>
      <c r="CD39" s="288" t="n"/>
      <c r="CE39" s="37" t="n"/>
      <c r="CF39" s="288" t="n"/>
      <c r="CG39" s="291" t="n"/>
      <c r="CH39" s="288" t="n"/>
      <c r="CI39" s="291" t="n"/>
      <c r="CJ39" s="288" t="n"/>
      <c r="CK39" s="291" t="n"/>
      <c r="CL39" s="288" t="n"/>
      <c r="CM39" s="291" t="n"/>
      <c r="CN39" s="288" t="n"/>
      <c r="CO39" s="80" t="n"/>
      <c r="CP39" s="288" t="n"/>
      <c r="CQ39" s="80" t="n"/>
      <c r="CR39" s="288" t="n"/>
      <c r="CS39" s="80" t="n"/>
      <c r="CT39" s="288" t="n"/>
      <c r="CU39" s="80" t="n"/>
      <c r="CV39" s="269" t="n"/>
      <c r="CW39" s="288" t="n"/>
      <c r="CX39" s="37" t="n"/>
      <c r="CY39" s="288" t="n"/>
      <c r="CZ39" s="37" t="n"/>
      <c r="DA39" s="288" t="n"/>
      <c r="DB39" s="37" t="n"/>
      <c r="DC39" s="288" t="n"/>
      <c r="DD39" s="37" t="n"/>
      <c r="DE39" s="289" t="n"/>
      <c r="DF39" s="289" t="n"/>
      <c r="DG39" s="79" t="n"/>
    </row>
    <row r="40" ht="13" customFormat="1" customHeight="1" s="40">
      <c r="A40" s="330" t="n"/>
      <c r="B40" s="292" t="n"/>
      <c r="C40" s="15" t="n"/>
      <c r="D40" s="15" t="n"/>
      <c r="E40" s="292" t="n"/>
      <c r="F40" s="15" t="n"/>
      <c r="G40" s="15" t="n"/>
      <c r="H40" s="292" t="n"/>
      <c r="I40" s="15" t="n"/>
      <c r="J40" s="15" t="n"/>
      <c r="K40" s="292" t="n"/>
      <c r="L40" s="15" t="n"/>
      <c r="M40" s="15" t="n"/>
      <c r="N40" s="292" t="n"/>
      <c r="O40" s="15" t="n"/>
      <c r="P40" s="15" t="n"/>
      <c r="Q40" s="292" t="n"/>
      <c r="R40" s="15" t="n"/>
      <c r="S40" s="15" t="n"/>
      <c r="T40" s="292" t="n"/>
      <c r="U40" s="15" t="n"/>
      <c r="V40" s="15" t="n"/>
      <c r="W40" s="292" t="n"/>
      <c r="X40" s="15" t="n"/>
      <c r="Y40" s="15" t="n"/>
      <c r="Z40" s="292" t="n"/>
      <c r="AA40" s="15" t="n"/>
      <c r="AB40" s="15" t="n"/>
      <c r="AC40" s="292" t="n"/>
      <c r="AD40" s="15" t="n"/>
      <c r="AE40" s="15" t="n"/>
      <c r="AF40" s="292" t="n"/>
      <c r="AG40" s="15" t="n"/>
      <c r="AH40" s="15" t="n"/>
      <c r="AI40" s="292" t="n"/>
      <c r="AJ40" s="15" t="n"/>
      <c r="AK40" s="15" t="n"/>
      <c r="AL40" s="292" t="n"/>
      <c r="AM40" s="327" t="n"/>
      <c r="AN40" s="15" t="n"/>
      <c r="AO40" s="292" t="n"/>
      <c r="AP40" s="327" t="n"/>
      <c r="AQ40" s="15" t="n"/>
      <c r="AR40" s="292" t="n"/>
      <c r="AS40" s="327" t="n"/>
      <c r="AT40" s="15" t="n"/>
      <c r="AU40" s="292" t="n"/>
      <c r="AV40" s="327" t="n"/>
      <c r="AW40" s="15" t="n"/>
      <c r="AX40" s="292" t="n"/>
      <c r="AY40" s="15" t="n"/>
      <c r="AZ40" s="15" t="n"/>
      <c r="BA40" s="291" t="n"/>
      <c r="BB40" s="37" t="n"/>
      <c r="BC40" s="291" t="n"/>
      <c r="BD40" s="37" t="n"/>
      <c r="BE40" s="291" t="n"/>
      <c r="BF40" s="37" t="n"/>
      <c r="BG40" s="291" t="n"/>
      <c r="BH40" s="37" t="n"/>
      <c r="BI40" s="291" t="n"/>
      <c r="BJ40" s="37" t="n"/>
      <c r="BK40" s="291" t="n"/>
      <c r="BL40" s="37" t="n"/>
      <c r="BM40" s="291" t="n"/>
      <c r="BN40" s="37" t="n"/>
      <c r="BO40" s="291" t="n"/>
      <c r="BP40" s="291" t="n"/>
      <c r="BQ40" s="37" t="n"/>
      <c r="BR40" s="291" t="n"/>
      <c r="BS40" s="37" t="n"/>
      <c r="BT40" s="291" t="n"/>
      <c r="BU40" s="37" t="n"/>
      <c r="BV40" s="291" t="n"/>
      <c r="BW40" s="37" t="n"/>
      <c r="BX40" s="291" t="n"/>
      <c r="BY40" s="37" t="n"/>
      <c r="BZ40" s="291" t="n"/>
      <c r="CA40" s="37" t="n"/>
      <c r="CB40" s="291" t="n"/>
      <c r="CC40" s="37" t="n"/>
      <c r="CD40" s="291" t="n"/>
      <c r="CE40" s="37" t="n"/>
      <c r="CF40" s="291" t="n"/>
      <c r="CG40" s="291" t="n"/>
      <c r="CH40" s="291" t="n"/>
      <c r="CI40" s="291" t="n"/>
      <c r="CJ40" s="291" t="n"/>
      <c r="CK40" s="291" t="n"/>
      <c r="CL40" s="291" t="n"/>
      <c r="CM40" s="291" t="n"/>
      <c r="CN40" s="291" t="n"/>
      <c r="CO40" s="80" t="n"/>
      <c r="CP40" s="291" t="n"/>
      <c r="CQ40" s="80" t="n"/>
      <c r="CR40" s="291" t="n"/>
      <c r="CS40" s="80" t="n"/>
      <c r="CT40" s="291" t="n"/>
      <c r="CU40" s="80" t="n"/>
      <c r="CW40" s="291" t="n"/>
      <c r="CX40" s="37" t="n"/>
      <c r="CY40" s="291" t="n"/>
      <c r="CZ40" s="37" t="n"/>
      <c r="DA40" s="291" t="n"/>
      <c r="DB40" s="37" t="n"/>
      <c r="DC40" s="291" t="n"/>
      <c r="DD40" s="37" t="n"/>
      <c r="DE40" s="311" t="n"/>
      <c r="DF40" s="311" t="n"/>
    </row>
    <row r="41">
      <c r="A41" s="428" t="n"/>
      <c r="B41" s="285" t="n"/>
      <c r="C41" s="15" t="n"/>
      <c r="D41" s="15" t="n"/>
      <c r="E41" s="285" t="n"/>
      <c r="F41" s="15" t="n"/>
      <c r="G41" s="15" t="n"/>
      <c r="H41" s="285" t="n"/>
      <c r="I41" s="15" t="n"/>
      <c r="J41" s="15" t="n"/>
      <c r="K41" s="285" t="n"/>
      <c r="L41" s="15" t="n"/>
      <c r="M41" s="15" t="n"/>
      <c r="N41" s="285" t="n"/>
      <c r="O41" s="15" t="n"/>
      <c r="P41" s="15" t="n"/>
      <c r="Q41" s="285" t="n"/>
      <c r="R41" s="15" t="n"/>
      <c r="S41" s="15" t="n"/>
      <c r="T41" s="285" t="n"/>
      <c r="U41" s="15" t="n"/>
      <c r="V41" s="15" t="n"/>
      <c r="W41" s="285" t="n"/>
      <c r="X41" s="15" t="n"/>
      <c r="Y41" s="15" t="n"/>
      <c r="Z41" s="285" t="n"/>
      <c r="AA41" s="15" t="n"/>
      <c r="AB41" s="15" t="n"/>
      <c r="AC41" s="285" t="n"/>
      <c r="AD41" s="15" t="n"/>
      <c r="AE41" s="15" t="n"/>
      <c r="AF41" s="285" t="n"/>
      <c r="AG41" s="15" t="n"/>
      <c r="AH41" s="15" t="n"/>
      <c r="AI41" s="285" t="n"/>
      <c r="AJ41" s="15" t="n"/>
      <c r="AK41" s="15" t="n"/>
      <c r="AL41" s="285" t="n"/>
      <c r="AM41" s="327" t="n"/>
      <c r="AN41" s="15" t="n"/>
      <c r="AO41" s="285" t="n"/>
      <c r="AP41" s="327" t="n"/>
      <c r="AQ41" s="15" t="n"/>
      <c r="AR41" s="285" t="n"/>
      <c r="AS41" s="327" t="n"/>
      <c r="AT41" s="15" t="n"/>
      <c r="AU41" s="285" t="n"/>
      <c r="AV41" s="327" t="n"/>
      <c r="AW41" s="15" t="n"/>
      <c r="AX41" s="285" t="n"/>
      <c r="AY41" s="15" t="n"/>
      <c r="AZ41" s="15" t="n"/>
      <c r="BA41" s="287" t="n"/>
      <c r="BB41" s="37" t="n"/>
      <c r="BC41" s="287" t="n"/>
      <c r="BD41" s="37" t="n"/>
      <c r="BE41" s="287" t="n"/>
      <c r="BF41" s="37" t="n"/>
      <c r="BG41" s="287" t="n"/>
      <c r="BH41" s="37" t="n"/>
      <c r="BI41" s="288" t="n"/>
      <c r="BJ41" s="37" t="n"/>
      <c r="BK41" s="288" t="n"/>
      <c r="BL41" s="37" t="n"/>
      <c r="BM41" s="288" t="n"/>
      <c r="BN41" s="37" t="n"/>
      <c r="BO41" s="288" t="n"/>
      <c r="BP41" s="288" t="n"/>
      <c r="BQ41" s="37" t="n"/>
      <c r="BR41" s="288" t="n"/>
      <c r="BS41" s="37" t="n"/>
      <c r="BT41" s="288" t="n"/>
      <c r="BU41" s="37" t="n"/>
      <c r="BV41" s="288" t="n"/>
      <c r="BW41" s="37" t="n"/>
      <c r="BX41" s="288" t="n"/>
      <c r="BY41" s="37" t="n"/>
      <c r="BZ41" s="288" t="n"/>
      <c r="CA41" s="37" t="n"/>
      <c r="CB41" s="288" t="n"/>
      <c r="CC41" s="37" t="n"/>
      <c r="CD41" s="288" t="n"/>
      <c r="CE41" s="37" t="n"/>
      <c r="CF41" s="288" t="n"/>
      <c r="CG41" s="291" t="n"/>
      <c r="CH41" s="288" t="n"/>
      <c r="CI41" s="291" t="n"/>
      <c r="CJ41" s="288" t="n"/>
      <c r="CK41" s="291" t="n"/>
      <c r="CL41" s="288" t="n"/>
      <c r="CM41" s="291" t="n"/>
      <c r="CN41" s="288" t="n"/>
      <c r="CO41" s="80" t="n"/>
      <c r="CP41" s="288" t="n"/>
      <c r="CQ41" s="80" t="n"/>
      <c r="CR41" s="288" t="n"/>
      <c r="CS41" s="80" t="n"/>
      <c r="CT41" s="288" t="n"/>
      <c r="CU41" s="80" t="n"/>
      <c r="CV41" s="269" t="n"/>
      <c r="CW41" s="288" t="n"/>
      <c r="CX41" s="37" t="n"/>
      <c r="CY41" s="288" t="n"/>
      <c r="CZ41" s="37" t="n"/>
      <c r="DA41" s="288" t="n"/>
      <c r="DB41" s="37" t="n"/>
      <c r="DC41" s="288" t="n"/>
      <c r="DD41" s="37" t="n"/>
      <c r="DE41" s="289" t="n"/>
      <c r="DF41" s="289" t="n"/>
      <c r="DG41" s="79" t="n"/>
    </row>
    <row r="42">
      <c r="A42" s="428" t="n"/>
      <c r="B42" s="285" t="n"/>
      <c r="C42" s="15" t="n"/>
      <c r="D42" s="15" t="n"/>
      <c r="E42" s="285" t="n"/>
      <c r="F42" s="15" t="n"/>
      <c r="G42" s="15" t="n"/>
      <c r="H42" s="285" t="n"/>
      <c r="I42" s="15" t="n"/>
      <c r="J42" s="15" t="n"/>
      <c r="K42" s="285" t="n"/>
      <c r="L42" s="15" t="n"/>
      <c r="M42" s="15" t="n"/>
      <c r="N42" s="285" t="n"/>
      <c r="O42" s="15" t="n"/>
      <c r="P42" s="15" t="n"/>
      <c r="Q42" s="285" t="n"/>
      <c r="R42" s="15" t="n"/>
      <c r="S42" s="15" t="n"/>
      <c r="T42" s="285" t="n"/>
      <c r="U42" s="15" t="n"/>
      <c r="V42" s="15" t="n"/>
      <c r="W42" s="285" t="n"/>
      <c r="X42" s="15" t="n"/>
      <c r="Y42" s="15" t="n"/>
      <c r="Z42" s="285" t="n"/>
      <c r="AA42" s="15" t="n"/>
      <c r="AB42" s="15" t="n"/>
      <c r="AC42" s="285" t="n"/>
      <c r="AD42" s="15" t="n"/>
      <c r="AE42" s="15" t="n"/>
      <c r="AF42" s="285" t="n"/>
      <c r="AG42" s="15" t="n"/>
      <c r="AH42" s="15" t="n"/>
      <c r="AI42" s="285" t="n"/>
      <c r="AJ42" s="15" t="n"/>
      <c r="AK42" s="15" t="n"/>
      <c r="AL42" s="285" t="n"/>
      <c r="AM42" s="327" t="n"/>
      <c r="AN42" s="15" t="n"/>
      <c r="AO42" s="285" t="n"/>
      <c r="AP42" s="327" t="n"/>
      <c r="AQ42" s="15" t="n"/>
      <c r="AR42" s="285" t="n"/>
      <c r="AS42" s="327" t="n"/>
      <c r="AT42" s="15" t="n"/>
      <c r="AU42" s="285" t="n"/>
      <c r="AV42" s="327" t="n"/>
      <c r="AW42" s="15" t="n"/>
      <c r="AX42" s="285" t="n"/>
      <c r="AY42" s="15" t="n"/>
      <c r="AZ42" s="15" t="n"/>
      <c r="BA42" s="287" t="n"/>
      <c r="BB42" s="37" t="n"/>
      <c r="BC42" s="287" t="n"/>
      <c r="BD42" s="37" t="n"/>
      <c r="BE42" s="287" t="n"/>
      <c r="BF42" s="37" t="n"/>
      <c r="BG42" s="287" t="n"/>
      <c r="BH42" s="37" t="n"/>
      <c r="BI42" s="288" t="n"/>
      <c r="BJ42" s="37" t="n"/>
      <c r="BK42" s="288" t="n"/>
      <c r="BL42" s="37" t="n"/>
      <c r="BM42" s="288" t="n"/>
      <c r="BN42" s="37" t="n"/>
      <c r="BO42" s="288" t="n"/>
      <c r="BP42" s="288" t="n"/>
      <c r="BQ42" s="37" t="n"/>
      <c r="BR42" s="288" t="n"/>
      <c r="BS42" s="37" t="n"/>
      <c r="BT42" s="288" t="n"/>
      <c r="BU42" s="37" t="n"/>
      <c r="BV42" s="288" t="n"/>
      <c r="BW42" s="37" t="n"/>
      <c r="BX42" s="288" t="n"/>
      <c r="BY42" s="37" t="n"/>
      <c r="BZ42" s="288" t="n"/>
      <c r="CA42" s="37" t="n"/>
      <c r="CB42" s="288" t="n"/>
      <c r="CC42" s="37" t="n"/>
      <c r="CD42" s="288" t="n"/>
      <c r="CE42" s="37" t="n"/>
      <c r="CF42" s="288" t="n"/>
      <c r="CG42" s="291" t="n"/>
      <c r="CH42" s="288" t="n"/>
      <c r="CI42" s="291" t="n"/>
      <c r="CJ42" s="288" t="n"/>
      <c r="CK42" s="291" t="n"/>
      <c r="CL42" s="288" t="n"/>
      <c r="CM42" s="291" t="n"/>
      <c r="CN42" s="288" t="n"/>
      <c r="CO42" s="80" t="n"/>
      <c r="CP42" s="288" t="n"/>
      <c r="CQ42" s="80" t="n"/>
      <c r="CR42" s="288" t="n"/>
      <c r="CS42" s="80" t="n"/>
      <c r="CT42" s="288" t="n"/>
      <c r="CU42" s="80" t="n"/>
      <c r="CV42" s="269" t="n"/>
      <c r="CW42" s="288" t="n"/>
      <c r="CX42" s="37" t="n"/>
      <c r="CY42" s="288" t="n"/>
      <c r="CZ42" s="37" t="n"/>
      <c r="DA42" s="288" t="n"/>
      <c r="DB42" s="37" t="n"/>
      <c r="DC42" s="288" t="n"/>
      <c r="DD42" s="37" t="n"/>
      <c r="DE42" s="289" t="n"/>
      <c r="DF42" s="289" t="n"/>
      <c r="DG42" s="79" t="n"/>
    </row>
    <row r="43">
      <c r="A43" s="428" t="n"/>
      <c r="B43" s="285" t="n"/>
      <c r="C43" s="15" t="n"/>
      <c r="D43" s="15" t="n"/>
      <c r="E43" s="285" t="n"/>
      <c r="F43" s="15" t="n"/>
      <c r="G43" s="15" t="n"/>
      <c r="H43" s="285" t="n"/>
      <c r="I43" s="15" t="n"/>
      <c r="J43" s="15" t="n"/>
      <c r="K43" s="285" t="n"/>
      <c r="L43" s="15" t="n"/>
      <c r="M43" s="15" t="n"/>
      <c r="N43" s="285" t="n"/>
      <c r="O43" s="15" t="n"/>
      <c r="P43" s="15" t="n"/>
      <c r="Q43" s="285" t="n"/>
      <c r="R43" s="15" t="n"/>
      <c r="S43" s="15" t="n"/>
      <c r="T43" s="285" t="n"/>
      <c r="U43" s="15" t="n"/>
      <c r="V43" s="15" t="n"/>
      <c r="W43" s="285" t="n"/>
      <c r="X43" s="15" t="n"/>
      <c r="Y43" s="15" t="n"/>
      <c r="Z43" s="285" t="n"/>
      <c r="AA43" s="15" t="n"/>
      <c r="AB43" s="15" t="n"/>
      <c r="AC43" s="285" t="n"/>
      <c r="AD43" s="15" t="n"/>
      <c r="AE43" s="15" t="n"/>
      <c r="AF43" s="285" t="n"/>
      <c r="AG43" s="15" t="n"/>
      <c r="AH43" s="15" t="n"/>
      <c r="AI43" s="285" t="n"/>
      <c r="AJ43" s="15" t="n"/>
      <c r="AK43" s="15" t="n"/>
      <c r="AL43" s="285" t="n"/>
      <c r="AM43" s="327" t="n"/>
      <c r="AN43" s="15" t="n"/>
      <c r="AO43" s="285" t="n"/>
      <c r="AP43" s="327" t="n"/>
      <c r="AQ43" s="15" t="n"/>
      <c r="AR43" s="285" t="n"/>
      <c r="AS43" s="327" t="n"/>
      <c r="AT43" s="15" t="n"/>
      <c r="AU43" s="285" t="n"/>
      <c r="AV43" s="327" t="n"/>
      <c r="AW43" s="15" t="n"/>
      <c r="AX43" s="285" t="n"/>
      <c r="AY43" s="15" t="n"/>
      <c r="AZ43" s="15" t="n"/>
      <c r="BA43" s="287" t="n"/>
      <c r="BB43" s="37" t="n"/>
      <c r="BC43" s="287" t="n"/>
      <c r="BD43" s="37" t="n"/>
      <c r="BE43" s="287" t="n"/>
      <c r="BF43" s="37" t="n"/>
      <c r="BG43" s="287" t="n"/>
      <c r="BH43" s="37" t="n"/>
      <c r="BI43" s="288" t="n"/>
      <c r="BJ43" s="37" t="n"/>
      <c r="BK43" s="288" t="n"/>
      <c r="BL43" s="37" t="n"/>
      <c r="BM43" s="288" t="n"/>
      <c r="BN43" s="37" t="n"/>
      <c r="BO43" s="288" t="n"/>
      <c r="BP43" s="288" t="n"/>
      <c r="BQ43" s="37" t="n"/>
      <c r="BR43" s="288" t="n"/>
      <c r="BS43" s="37" t="n"/>
      <c r="BT43" s="288" t="n"/>
      <c r="BU43" s="37" t="n"/>
      <c r="BV43" s="288" t="n"/>
      <c r="BW43" s="37" t="n"/>
      <c r="BX43" s="288" t="n"/>
      <c r="BY43" s="37" t="n"/>
      <c r="BZ43" s="288" t="n"/>
      <c r="CA43" s="37" t="n"/>
      <c r="CB43" s="288" t="n"/>
      <c r="CC43" s="37" t="n"/>
      <c r="CD43" s="288" t="n"/>
      <c r="CE43" s="37" t="n"/>
      <c r="CF43" s="288" t="n"/>
      <c r="CG43" s="291" t="n"/>
      <c r="CH43" s="288" t="n"/>
      <c r="CI43" s="291" t="n"/>
      <c r="CJ43" s="288" t="n"/>
      <c r="CK43" s="291" t="n"/>
      <c r="CL43" s="288" t="n"/>
      <c r="CM43" s="291" t="n"/>
      <c r="CN43" s="288" t="n"/>
      <c r="CO43" s="80" t="n"/>
      <c r="CP43" s="288" t="n"/>
      <c r="CQ43" s="80" t="n"/>
      <c r="CR43" s="288" t="n"/>
      <c r="CS43" s="80" t="n"/>
      <c r="CT43" s="288" t="n"/>
      <c r="CU43" s="80" t="n"/>
      <c r="CV43" s="269" t="n"/>
      <c r="CW43" s="288" t="n"/>
      <c r="CX43" s="37" t="n"/>
      <c r="CY43" s="288" t="n"/>
      <c r="CZ43" s="37" t="n"/>
      <c r="DA43" s="288" t="n"/>
      <c r="DB43" s="37" t="n"/>
      <c r="DC43" s="288" t="n"/>
      <c r="DD43" s="37" t="n"/>
      <c r="DE43" s="289" t="n"/>
      <c r="DF43" s="289" t="n"/>
      <c r="DG43" s="79" t="n"/>
    </row>
    <row r="44">
      <c r="A44" s="428" t="n"/>
      <c r="B44" s="285" t="n"/>
      <c r="C44" s="15" t="n"/>
      <c r="D44" s="15" t="n"/>
      <c r="E44" s="285" t="n"/>
      <c r="F44" s="15" t="n"/>
      <c r="G44" s="15" t="n"/>
      <c r="H44" s="285" t="n"/>
      <c r="I44" s="15" t="n"/>
      <c r="J44" s="15" t="n"/>
      <c r="K44" s="285" t="n"/>
      <c r="L44" s="15" t="n"/>
      <c r="M44" s="15" t="n"/>
      <c r="N44" s="285" t="n"/>
      <c r="O44" s="15" t="n"/>
      <c r="P44" s="15" t="n"/>
      <c r="Q44" s="285" t="n"/>
      <c r="R44" s="15" t="n"/>
      <c r="S44" s="15" t="n"/>
      <c r="T44" s="285" t="n"/>
      <c r="U44" s="15" t="n"/>
      <c r="V44" s="15" t="n"/>
      <c r="W44" s="285" t="n"/>
      <c r="X44" s="15" t="n"/>
      <c r="Y44" s="15" t="n"/>
      <c r="Z44" s="285" t="n"/>
      <c r="AA44" s="15" t="n"/>
      <c r="AB44" s="15" t="n"/>
      <c r="AC44" s="285" t="n"/>
      <c r="AD44" s="15" t="n"/>
      <c r="AE44" s="15" t="n"/>
      <c r="AF44" s="285" t="n"/>
      <c r="AG44" s="15" t="n"/>
      <c r="AH44" s="15" t="n"/>
      <c r="AI44" s="285" t="n"/>
      <c r="AJ44" s="15" t="n"/>
      <c r="AK44" s="15" t="n"/>
      <c r="AL44" s="285" t="n"/>
      <c r="AM44" s="327" t="n"/>
      <c r="AN44" s="15" t="n"/>
      <c r="AO44" s="285" t="n"/>
      <c r="AP44" s="327" t="n"/>
      <c r="AQ44" s="15" t="n"/>
      <c r="AR44" s="285" t="n"/>
      <c r="AS44" s="327" t="n"/>
      <c r="AT44" s="15" t="n"/>
      <c r="AU44" s="285" t="n"/>
      <c r="AV44" s="327" t="n"/>
      <c r="AW44" s="15" t="n"/>
      <c r="AX44" s="285" t="n"/>
      <c r="AY44" s="15" t="n"/>
      <c r="AZ44" s="15" t="n"/>
      <c r="BA44" s="287" t="n"/>
      <c r="BB44" s="37" t="n"/>
      <c r="BC44" s="287" t="n"/>
      <c r="BD44" s="37" t="n"/>
      <c r="BE44" s="287" t="n"/>
      <c r="BF44" s="37" t="n"/>
      <c r="BG44" s="287" t="n"/>
      <c r="BH44" s="37" t="n"/>
      <c r="BI44" s="288" t="n"/>
      <c r="BJ44" s="37" t="n"/>
      <c r="BK44" s="288" t="n"/>
      <c r="BL44" s="37" t="n"/>
      <c r="BM44" s="288" t="n"/>
      <c r="BN44" s="37" t="n"/>
      <c r="BO44" s="288" t="n"/>
      <c r="BP44" s="288" t="n"/>
      <c r="BQ44" s="37" t="n"/>
      <c r="BR44" s="288" t="n"/>
      <c r="BS44" s="37" t="n"/>
      <c r="BT44" s="288" t="n"/>
      <c r="BU44" s="37" t="n"/>
      <c r="BV44" s="288" t="n"/>
      <c r="BW44" s="37" t="n"/>
      <c r="BX44" s="288" t="n"/>
      <c r="BY44" s="37" t="n"/>
      <c r="BZ44" s="288" t="n"/>
      <c r="CA44" s="37" t="n"/>
      <c r="CB44" s="288" t="n"/>
      <c r="CC44" s="37" t="n"/>
      <c r="CD44" s="288" t="n"/>
      <c r="CE44" s="37" t="n"/>
      <c r="CF44" s="288" t="n"/>
      <c r="CG44" s="291" t="n"/>
      <c r="CH44" s="288" t="n"/>
      <c r="CI44" s="291" t="n"/>
      <c r="CJ44" s="288" t="n"/>
      <c r="CK44" s="291" t="n"/>
      <c r="CL44" s="288" t="n"/>
      <c r="CM44" s="291" t="n"/>
      <c r="CN44" s="288" t="n"/>
      <c r="CO44" s="80" t="n"/>
      <c r="CP44" s="288" t="n"/>
      <c r="CQ44" s="80" t="n"/>
      <c r="CR44" s="288" t="n"/>
      <c r="CS44" s="80" t="n"/>
      <c r="CT44" s="288" t="n"/>
      <c r="CU44" s="80" t="n"/>
      <c r="CV44" s="269" t="n"/>
      <c r="CW44" s="288" t="n"/>
      <c r="CX44" s="37" t="n"/>
      <c r="CY44" s="288" t="n"/>
      <c r="CZ44" s="37" t="n"/>
      <c r="DA44" s="288" t="n"/>
      <c r="DB44" s="37" t="n"/>
      <c r="DC44" s="288" t="n"/>
      <c r="DD44" s="37" t="n"/>
      <c r="DE44" s="289" t="n"/>
      <c r="DF44" s="289" t="n"/>
      <c r="DG44" s="79" t="n"/>
    </row>
    <row r="45">
      <c r="A45" s="428" t="n"/>
      <c r="B45" s="285" t="n"/>
      <c r="C45" s="15" t="n"/>
      <c r="D45" s="15" t="n"/>
      <c r="E45" s="285" t="n"/>
      <c r="F45" s="15" t="n"/>
      <c r="G45" s="15" t="n"/>
      <c r="H45" s="285" t="n"/>
      <c r="I45" s="15" t="n"/>
      <c r="J45" s="15" t="n"/>
      <c r="K45" s="285" t="n"/>
      <c r="L45" s="15" t="n"/>
      <c r="M45" s="15" t="n"/>
      <c r="N45" s="285" t="n"/>
      <c r="O45" s="15" t="n"/>
      <c r="P45" s="15" t="n"/>
      <c r="Q45" s="285" t="n"/>
      <c r="R45" s="15" t="n"/>
      <c r="S45" s="15" t="n"/>
      <c r="T45" s="285" t="n"/>
      <c r="U45" s="15" t="n"/>
      <c r="V45" s="15" t="n"/>
      <c r="W45" s="285" t="n"/>
      <c r="X45" s="15" t="n"/>
      <c r="Y45" s="15" t="n"/>
      <c r="Z45" s="285" t="n"/>
      <c r="AA45" s="15" t="n"/>
      <c r="AB45" s="15" t="n"/>
      <c r="AC45" s="285" t="n"/>
      <c r="AD45" s="15" t="n"/>
      <c r="AE45" s="15" t="n"/>
      <c r="AF45" s="285" t="n"/>
      <c r="AG45" s="15" t="n"/>
      <c r="AH45" s="15" t="n"/>
      <c r="AI45" s="285" t="n"/>
      <c r="AJ45" s="15" t="n"/>
      <c r="AK45" s="15" t="n"/>
      <c r="AL45" s="285" t="n"/>
      <c r="AM45" s="327" t="n"/>
      <c r="AN45" s="15" t="n"/>
      <c r="AO45" s="285" t="n"/>
      <c r="AP45" s="327" t="n"/>
      <c r="AQ45" s="15" t="n"/>
      <c r="AR45" s="285" t="n"/>
      <c r="AS45" s="327" t="n"/>
      <c r="AT45" s="15" t="n"/>
      <c r="AU45" s="285" t="n"/>
      <c r="AV45" s="327" t="n"/>
      <c r="AW45" s="15" t="n"/>
      <c r="AX45" s="285" t="n"/>
      <c r="AY45" s="15" t="n"/>
      <c r="AZ45" s="15" t="n"/>
      <c r="BA45" s="287" t="n"/>
      <c r="BB45" s="37" t="n"/>
      <c r="BC45" s="287" t="n"/>
      <c r="BD45" s="37" t="n"/>
      <c r="BE45" s="287" t="n"/>
      <c r="BF45" s="37" t="n"/>
      <c r="BG45" s="287" t="n"/>
      <c r="BH45" s="37" t="n"/>
      <c r="BI45" s="288" t="n"/>
      <c r="BJ45" s="37" t="n"/>
      <c r="BK45" s="288" t="n"/>
      <c r="BL45" s="37" t="n"/>
      <c r="BM45" s="288" t="n"/>
      <c r="BN45" s="37" t="n"/>
      <c r="BO45" s="288" t="n"/>
      <c r="BP45" s="288" t="n"/>
      <c r="BQ45" s="37" t="n"/>
      <c r="BR45" s="288" t="n"/>
      <c r="BS45" s="37" t="n"/>
      <c r="BT45" s="288" t="n"/>
      <c r="BU45" s="37" t="n"/>
      <c r="BV45" s="288" t="n"/>
      <c r="BW45" s="37" t="n"/>
      <c r="BX45" s="288" t="n"/>
      <c r="BY45" s="37" t="n"/>
      <c r="BZ45" s="288" t="n"/>
      <c r="CA45" s="37" t="n"/>
      <c r="CB45" s="288" t="n"/>
      <c r="CC45" s="37" t="n"/>
      <c r="CD45" s="288" t="n"/>
      <c r="CE45" s="37" t="n"/>
      <c r="CF45" s="288" t="n"/>
      <c r="CG45" s="291" t="n"/>
      <c r="CH45" s="288" t="n"/>
      <c r="CI45" s="291" t="n"/>
      <c r="CJ45" s="288" t="n"/>
      <c r="CK45" s="291" t="n"/>
      <c r="CL45" s="288" t="n"/>
      <c r="CM45" s="291" t="n"/>
      <c r="CN45" s="288" t="n"/>
      <c r="CO45" s="80" t="n"/>
      <c r="CP45" s="288" t="n"/>
      <c r="CQ45" s="80" t="n"/>
      <c r="CR45" s="288" t="n"/>
      <c r="CS45" s="80" t="n"/>
      <c r="CT45" s="288" t="n"/>
      <c r="CU45" s="80" t="n"/>
      <c r="CV45" s="269" t="n"/>
      <c r="CW45" s="288" t="n"/>
      <c r="CX45" s="37" t="n"/>
      <c r="CY45" s="288" t="n"/>
      <c r="CZ45" s="37" t="n"/>
      <c r="DA45" s="288" t="n"/>
      <c r="DB45" s="37" t="n"/>
      <c r="DC45" s="288" t="n"/>
      <c r="DD45" s="37" t="n"/>
      <c r="DE45" s="289" t="n"/>
      <c r="DF45" s="289" t="n"/>
      <c r="DG45" s="79" t="n"/>
    </row>
    <row r="46">
      <c r="A46" s="428" t="n"/>
      <c r="B46" s="285" t="n"/>
      <c r="C46" s="15" t="n"/>
      <c r="D46" s="15" t="n"/>
      <c r="E46" s="285" t="n"/>
      <c r="F46" s="15" t="n"/>
      <c r="G46" s="15" t="n"/>
      <c r="H46" s="285" t="n"/>
      <c r="I46" s="15" t="n"/>
      <c r="J46" s="15" t="n"/>
      <c r="K46" s="285" t="n"/>
      <c r="L46" s="15" t="n"/>
      <c r="M46" s="15" t="n"/>
      <c r="N46" s="285" t="n"/>
      <c r="O46" s="15" t="n"/>
      <c r="P46" s="15" t="n"/>
      <c r="Q46" s="285" t="n"/>
      <c r="R46" s="15" t="n"/>
      <c r="S46" s="15" t="n"/>
      <c r="T46" s="285" t="n"/>
      <c r="U46" s="15" t="n"/>
      <c r="V46" s="15" t="n"/>
      <c r="W46" s="285" t="n"/>
      <c r="X46" s="15" t="n"/>
      <c r="Y46" s="15" t="n"/>
      <c r="Z46" s="285" t="n"/>
      <c r="AA46" s="15" t="n"/>
      <c r="AB46" s="15" t="n"/>
      <c r="AC46" s="285" t="n"/>
      <c r="AD46" s="15" t="n"/>
      <c r="AE46" s="15" t="n"/>
      <c r="AF46" s="285" t="n"/>
      <c r="AG46" s="15" t="n"/>
      <c r="AH46" s="15" t="n"/>
      <c r="AI46" s="285" t="n"/>
      <c r="AJ46" s="15" t="n"/>
      <c r="AK46" s="15" t="n"/>
      <c r="AL46" s="285" t="n"/>
      <c r="AM46" s="327" t="n"/>
      <c r="AN46" s="15" t="n"/>
      <c r="AO46" s="285" t="n"/>
      <c r="AP46" s="327" t="n"/>
      <c r="AQ46" s="15" t="n"/>
      <c r="AR46" s="285" t="n"/>
      <c r="AS46" s="327" t="n"/>
      <c r="AT46" s="15" t="n"/>
      <c r="AU46" s="285" t="n"/>
      <c r="AV46" s="327" t="n"/>
      <c r="AW46" s="15" t="n"/>
      <c r="AX46" s="285" t="n"/>
      <c r="AY46" s="15" t="n"/>
      <c r="AZ46" s="15" t="n"/>
      <c r="BA46" s="287" t="n"/>
      <c r="BB46" s="37" t="n"/>
      <c r="BC46" s="287" t="n"/>
      <c r="BD46" s="37" t="n"/>
      <c r="BE46" s="287" t="n"/>
      <c r="BF46" s="37" t="n"/>
      <c r="BG46" s="287" t="n"/>
      <c r="BH46" s="37" t="n"/>
      <c r="BI46" s="288" t="n"/>
      <c r="BJ46" s="37" t="n"/>
      <c r="BK46" s="288" t="n"/>
      <c r="BL46" s="37" t="n"/>
      <c r="BM46" s="288" t="n"/>
      <c r="BN46" s="37" t="n"/>
      <c r="BO46" s="288" t="n"/>
      <c r="BP46" s="288" t="n"/>
      <c r="BQ46" s="37" t="n"/>
      <c r="BR46" s="288" t="n"/>
      <c r="BS46" s="37" t="n"/>
      <c r="BT46" s="288" t="n"/>
      <c r="BU46" s="37" t="n"/>
      <c r="BV46" s="288" t="n"/>
      <c r="BW46" s="37" t="n"/>
      <c r="BX46" s="288" t="n"/>
      <c r="BY46" s="37" t="n"/>
      <c r="BZ46" s="288" t="n"/>
      <c r="CA46" s="37" t="n"/>
      <c r="CB46" s="288" t="n"/>
      <c r="CC46" s="37" t="n"/>
      <c r="CD46" s="288" t="n"/>
      <c r="CE46" s="37" t="n"/>
      <c r="CF46" s="288" t="n"/>
      <c r="CG46" s="291" t="n"/>
      <c r="CH46" s="288" t="n"/>
      <c r="CI46" s="291" t="n"/>
      <c r="CJ46" s="288" t="n"/>
      <c r="CK46" s="291" t="n"/>
      <c r="CL46" s="288" t="n"/>
      <c r="CM46" s="291" t="n"/>
      <c r="CN46" s="288" t="n"/>
      <c r="CO46" s="80" t="n"/>
      <c r="CP46" s="288" t="n"/>
      <c r="CQ46" s="80" t="n"/>
      <c r="CR46" s="288" t="n"/>
      <c r="CS46" s="80" t="n"/>
      <c r="CT46" s="288" t="n"/>
      <c r="CU46" s="80" t="n"/>
      <c r="CV46" s="269" t="n"/>
      <c r="CW46" s="288" t="n"/>
      <c r="CX46" s="37" t="n"/>
      <c r="CY46" s="288" t="n"/>
      <c r="CZ46" s="37" t="n"/>
      <c r="DA46" s="288" t="n"/>
      <c r="DB46" s="37" t="n"/>
      <c r="DC46" s="288" t="n"/>
      <c r="DD46" s="37" t="n"/>
      <c r="DE46" s="289" t="n"/>
      <c r="DF46" s="289" t="n"/>
      <c r="DG46" s="79" t="n"/>
    </row>
    <row r="47">
      <c r="A47" s="428" t="n"/>
      <c r="B47" s="285" t="n"/>
      <c r="C47" s="15" t="n"/>
      <c r="D47" s="15" t="n"/>
      <c r="E47" s="285" t="n"/>
      <c r="F47" s="15" t="n"/>
      <c r="G47" s="15" t="n"/>
      <c r="H47" s="285" t="n"/>
      <c r="I47" s="15" t="n"/>
      <c r="J47" s="15" t="n"/>
      <c r="K47" s="285" t="n"/>
      <c r="L47" s="15" t="n"/>
      <c r="M47" s="15" t="n"/>
      <c r="N47" s="285" t="n"/>
      <c r="O47" s="15" t="n"/>
      <c r="P47" s="15" t="n"/>
      <c r="Q47" s="285" t="n"/>
      <c r="R47" s="15" t="n"/>
      <c r="S47" s="15" t="n"/>
      <c r="T47" s="285" t="n"/>
      <c r="U47" s="15" t="n"/>
      <c r="V47" s="15" t="n"/>
      <c r="W47" s="285" t="n"/>
      <c r="X47" s="15" t="n"/>
      <c r="Y47" s="15" t="n"/>
      <c r="Z47" s="285" t="n"/>
      <c r="AA47" s="15" t="n"/>
      <c r="AB47" s="15" t="n"/>
      <c r="AC47" s="285" t="n"/>
      <c r="AD47" s="15" t="n"/>
      <c r="AE47" s="15" t="n"/>
      <c r="AF47" s="285" t="n"/>
      <c r="AG47" s="15" t="n"/>
      <c r="AH47" s="15" t="n"/>
      <c r="AI47" s="285" t="n"/>
      <c r="AJ47" s="15" t="n"/>
      <c r="AK47" s="15" t="n"/>
      <c r="AL47" s="285" t="n"/>
      <c r="AM47" s="327" t="n"/>
      <c r="AN47" s="15" t="n"/>
      <c r="AO47" s="285" t="n"/>
      <c r="AP47" s="327" t="n"/>
      <c r="AQ47" s="15" t="n"/>
      <c r="AR47" s="285" t="n"/>
      <c r="AS47" s="327" t="n"/>
      <c r="AT47" s="15" t="n"/>
      <c r="AU47" s="285" t="n"/>
      <c r="AV47" s="327" t="n"/>
      <c r="AW47" s="15" t="n"/>
      <c r="AX47" s="285" t="n"/>
      <c r="AY47" s="15" t="n"/>
      <c r="AZ47" s="15" t="n"/>
      <c r="BA47" s="287" t="n"/>
      <c r="BB47" s="37" t="n"/>
      <c r="BC47" s="287" t="n"/>
      <c r="BD47" s="37" t="n"/>
      <c r="BE47" s="287" t="n"/>
      <c r="BF47" s="37" t="n"/>
      <c r="BG47" s="287" t="n"/>
      <c r="BH47" s="37" t="n"/>
      <c r="BI47" s="288" t="n"/>
      <c r="BJ47" s="37" t="n"/>
      <c r="BK47" s="288" t="n"/>
      <c r="BL47" s="37" t="n"/>
      <c r="BM47" s="288" t="n"/>
      <c r="BN47" s="37" t="n"/>
      <c r="BO47" s="288" t="n"/>
      <c r="BP47" s="288" t="n"/>
      <c r="BQ47" s="37" t="n"/>
      <c r="BR47" s="288" t="n"/>
      <c r="BS47" s="37" t="n"/>
      <c r="BT47" s="288" t="n"/>
      <c r="BU47" s="37" t="n"/>
      <c r="BV47" s="288" t="n"/>
      <c r="BW47" s="37" t="n"/>
      <c r="BX47" s="288" t="n"/>
      <c r="BY47" s="37" t="n"/>
      <c r="BZ47" s="288" t="n"/>
      <c r="CA47" s="37" t="n"/>
      <c r="CB47" s="288" t="n"/>
      <c r="CC47" s="37" t="n"/>
      <c r="CD47" s="288" t="n"/>
      <c r="CE47" s="37" t="n"/>
      <c r="CF47" s="288" t="n"/>
      <c r="CG47" s="291" t="n"/>
      <c r="CH47" s="288" t="n"/>
      <c r="CI47" s="291" t="n"/>
      <c r="CJ47" s="288" t="n"/>
      <c r="CK47" s="291" t="n"/>
      <c r="CL47" s="288" t="n"/>
      <c r="CM47" s="291" t="n"/>
      <c r="CN47" s="288" t="n"/>
      <c r="CO47" s="80" t="n"/>
      <c r="CP47" s="288" t="n"/>
      <c r="CQ47" s="80" t="n"/>
      <c r="CR47" s="288" t="n"/>
      <c r="CS47" s="80" t="n"/>
      <c r="CT47" s="288" t="n"/>
      <c r="CU47" s="80" t="n"/>
      <c r="CV47" s="269" t="n"/>
      <c r="CW47" s="288" t="n"/>
      <c r="CX47" s="37" t="n"/>
      <c r="CY47" s="288" t="n"/>
      <c r="CZ47" s="37" t="n"/>
      <c r="DA47" s="288" t="n"/>
      <c r="DB47" s="37" t="n"/>
      <c r="DC47" s="288" t="n"/>
      <c r="DD47" s="37" t="n"/>
      <c r="DE47" s="289" t="n"/>
      <c r="DF47" s="289" t="n"/>
      <c r="DG47" s="79" t="n"/>
    </row>
    <row r="48">
      <c r="A48" s="428" t="n"/>
      <c r="B48" s="285" t="n"/>
      <c r="C48" s="15" t="n"/>
      <c r="D48" s="15" t="n"/>
      <c r="E48" s="285" t="n"/>
      <c r="F48" s="15" t="n"/>
      <c r="G48" s="15" t="n"/>
      <c r="H48" s="285" t="n"/>
      <c r="I48" s="15" t="n"/>
      <c r="J48" s="15" t="n"/>
      <c r="K48" s="285" t="n"/>
      <c r="L48" s="15" t="n"/>
      <c r="M48" s="15" t="n"/>
      <c r="N48" s="285" t="n"/>
      <c r="O48" s="15" t="n"/>
      <c r="P48" s="15" t="n"/>
      <c r="Q48" s="285" t="n"/>
      <c r="R48" s="15" t="n"/>
      <c r="S48" s="15" t="n"/>
      <c r="T48" s="285" t="n"/>
      <c r="U48" s="15" t="n"/>
      <c r="V48" s="15" t="n"/>
      <c r="W48" s="285" t="n"/>
      <c r="X48" s="15" t="n"/>
      <c r="Y48" s="15" t="n"/>
      <c r="Z48" s="285" t="n"/>
      <c r="AA48" s="15" t="n"/>
      <c r="AB48" s="15" t="n"/>
      <c r="AC48" s="285" t="n"/>
      <c r="AD48" s="15" t="n"/>
      <c r="AE48" s="15" t="n"/>
      <c r="AF48" s="285" t="n"/>
      <c r="AG48" s="15" t="n"/>
      <c r="AH48" s="15" t="n"/>
      <c r="AI48" s="285" t="n"/>
      <c r="AJ48" s="15" t="n"/>
      <c r="AK48" s="15" t="n"/>
      <c r="AL48" s="285" t="n"/>
      <c r="AM48" s="327" t="n"/>
      <c r="AN48" s="15" t="n"/>
      <c r="AO48" s="285" t="n"/>
      <c r="AP48" s="327" t="n"/>
      <c r="AQ48" s="15" t="n"/>
      <c r="AR48" s="285" t="n"/>
      <c r="AS48" s="327" t="n"/>
      <c r="AT48" s="15" t="n"/>
      <c r="AU48" s="285" t="n"/>
      <c r="AV48" s="327" t="n"/>
      <c r="AW48" s="15" t="n"/>
      <c r="AX48" s="285" t="n"/>
      <c r="AY48" s="15" t="n"/>
      <c r="AZ48" s="15" t="n"/>
      <c r="BA48" s="287" t="n"/>
      <c r="BB48" s="37" t="n"/>
      <c r="BC48" s="287" t="n"/>
      <c r="BD48" s="37" t="n"/>
      <c r="BE48" s="287" t="n"/>
      <c r="BF48" s="37" t="n"/>
      <c r="BG48" s="287" t="n"/>
      <c r="BH48" s="37" t="n"/>
      <c r="BI48" s="288" t="n"/>
      <c r="BJ48" s="37" t="n"/>
      <c r="BK48" s="288" t="n"/>
      <c r="BL48" s="37" t="n"/>
      <c r="BM48" s="288" t="n"/>
      <c r="BN48" s="37" t="n"/>
      <c r="BO48" s="288" t="n"/>
      <c r="BP48" s="288" t="n"/>
      <c r="BQ48" s="37" t="n"/>
      <c r="BR48" s="288" t="n"/>
      <c r="BS48" s="37" t="n"/>
      <c r="BT48" s="288" t="n"/>
      <c r="BU48" s="37" t="n"/>
      <c r="BV48" s="288" t="n"/>
      <c r="BW48" s="37" t="n"/>
      <c r="BX48" s="288" t="n"/>
      <c r="BY48" s="37" t="n"/>
      <c r="BZ48" s="288" t="n"/>
      <c r="CA48" s="37" t="n"/>
      <c r="CB48" s="288" t="n"/>
      <c r="CC48" s="37" t="n"/>
      <c r="CD48" s="288" t="n"/>
      <c r="CE48" s="37" t="n"/>
      <c r="CF48" s="288" t="n"/>
      <c r="CG48" s="291" t="n"/>
      <c r="CH48" s="288" t="n"/>
      <c r="CI48" s="291" t="n"/>
      <c r="CJ48" s="288" t="n"/>
      <c r="CK48" s="291" t="n"/>
      <c r="CL48" s="288" t="n"/>
      <c r="CM48" s="291" t="n"/>
      <c r="CN48" s="288" t="n"/>
      <c r="CO48" s="80" t="n"/>
      <c r="CP48" s="288" t="n"/>
      <c r="CQ48" s="80" t="n"/>
      <c r="CR48" s="288" t="n"/>
      <c r="CS48" s="80" t="n"/>
      <c r="CT48" s="288" t="n"/>
      <c r="CU48" s="80" t="n"/>
      <c r="CV48" s="269" t="n"/>
      <c r="CW48" s="288" t="n"/>
      <c r="CX48" s="37" t="n"/>
      <c r="CY48" s="288" t="n"/>
      <c r="CZ48" s="37" t="n"/>
      <c r="DA48" s="288" t="n"/>
      <c r="DB48" s="37" t="n"/>
      <c r="DC48" s="288" t="n"/>
      <c r="DD48" s="37" t="n"/>
      <c r="DE48" s="295" t="n"/>
      <c r="DF48" s="295" t="n"/>
      <c r="DG48" s="79" t="n"/>
    </row>
    <row r="49">
      <c r="A49" s="428" t="n"/>
      <c r="B49" s="285" t="n"/>
      <c r="C49" s="15" t="n"/>
      <c r="D49" s="15" t="n"/>
      <c r="E49" s="285" t="n"/>
      <c r="F49" s="15" t="n"/>
      <c r="G49" s="15" t="n"/>
      <c r="H49" s="285" t="n"/>
      <c r="I49" s="15" t="n"/>
      <c r="J49" s="15" t="n"/>
      <c r="K49" s="285" t="n"/>
      <c r="L49" s="15" t="n"/>
      <c r="M49" s="15" t="n"/>
      <c r="N49" s="285" t="n"/>
      <c r="O49" s="15" t="n"/>
      <c r="P49" s="15" t="n"/>
      <c r="Q49" s="285" t="n"/>
      <c r="R49" s="15" t="n"/>
      <c r="S49" s="15" t="n"/>
      <c r="T49" s="285" t="n"/>
      <c r="U49" s="15" t="n"/>
      <c r="V49" s="15" t="n"/>
      <c r="W49" s="285" t="n"/>
      <c r="X49" s="15" t="n"/>
      <c r="Y49" s="15" t="n"/>
      <c r="Z49" s="285" t="n"/>
      <c r="AA49" s="15" t="n"/>
      <c r="AB49" s="15" t="n"/>
      <c r="AC49" s="285" t="n"/>
      <c r="AD49" s="15" t="n"/>
      <c r="AE49" s="15" t="n"/>
      <c r="AF49" s="285" t="n"/>
      <c r="AG49" s="15" t="n"/>
      <c r="AH49" s="15" t="n"/>
      <c r="AI49" s="285" t="n"/>
      <c r="AJ49" s="15" t="n"/>
      <c r="AK49" s="15" t="n"/>
      <c r="AL49" s="285" t="n"/>
      <c r="AM49" s="327" t="n"/>
      <c r="AN49" s="15" t="n"/>
      <c r="AO49" s="285" t="n"/>
      <c r="AP49" s="327" t="n"/>
      <c r="AQ49" s="15" t="n"/>
      <c r="AR49" s="285" t="n"/>
      <c r="AS49" s="327" t="n"/>
      <c r="AT49" s="15" t="n"/>
      <c r="AU49" s="285" t="n"/>
      <c r="AV49" s="327" t="n"/>
      <c r="AW49" s="15" t="n"/>
      <c r="AX49" s="285" t="n"/>
      <c r="AY49" s="15" t="n"/>
      <c r="AZ49" s="15" t="n"/>
      <c r="BA49" s="287" t="n"/>
      <c r="BB49" s="37" t="n"/>
      <c r="BC49" s="287" t="n"/>
      <c r="BD49" s="37" t="n"/>
      <c r="BE49" s="287" t="n"/>
      <c r="BF49" s="37" t="n"/>
      <c r="BG49" s="287" t="n"/>
      <c r="BH49" s="37" t="n"/>
      <c r="BI49" s="288" t="n"/>
      <c r="BJ49" s="37" t="n"/>
      <c r="BK49" s="288" t="n"/>
      <c r="BL49" s="37" t="n"/>
      <c r="BM49" s="288" t="n"/>
      <c r="BN49" s="37" t="n"/>
      <c r="BO49" s="288" t="n"/>
      <c r="BP49" s="288" t="n"/>
      <c r="BQ49" s="37" t="n"/>
      <c r="BR49" s="288" t="n"/>
      <c r="BS49" s="37" t="n"/>
      <c r="BT49" s="288" t="n"/>
      <c r="BU49" s="37" t="n"/>
      <c r="BV49" s="288" t="n"/>
      <c r="BW49" s="37" t="n"/>
      <c r="BX49" s="288" t="n"/>
      <c r="BY49" s="37" t="n"/>
      <c r="BZ49" s="288" t="n"/>
      <c r="CA49" s="37" t="n"/>
      <c r="CB49" s="288" t="n"/>
      <c r="CC49" s="37" t="n"/>
      <c r="CD49" s="288" t="n"/>
      <c r="CE49" s="37" t="n"/>
      <c r="CF49" s="288" t="n"/>
      <c r="CG49" s="291" t="n"/>
      <c r="CH49" s="288" t="n"/>
      <c r="CI49" s="291" t="n"/>
      <c r="CJ49" s="288" t="n"/>
      <c r="CK49" s="291" t="n"/>
      <c r="CL49" s="288" t="n"/>
      <c r="CM49" s="291" t="n"/>
      <c r="CN49" s="288" t="n"/>
      <c r="CO49" s="80" t="n"/>
      <c r="CP49" s="288" t="n"/>
      <c r="CQ49" s="80" t="n"/>
      <c r="CR49" s="288" t="n"/>
      <c r="CS49" s="80" t="n"/>
      <c r="CT49" s="288" t="n"/>
      <c r="CU49" s="80" t="n"/>
      <c r="CV49" s="269" t="n"/>
      <c r="CW49" s="288" t="n"/>
      <c r="CX49" s="37" t="n"/>
      <c r="CY49" s="288" t="n"/>
      <c r="CZ49" s="37" t="n"/>
      <c r="DA49" s="288" t="n"/>
      <c r="DB49" s="37" t="n"/>
      <c r="DC49" s="288" t="n"/>
      <c r="DD49" s="37" t="n"/>
      <c r="DE49" s="295" t="n"/>
      <c r="DF49" s="295" t="n"/>
      <c r="DG49" s="79" t="n"/>
    </row>
    <row r="50">
      <c r="A50" s="428" t="n"/>
      <c r="B50" s="285" t="n"/>
      <c r="C50" s="15" t="n"/>
      <c r="D50" s="15" t="n"/>
      <c r="E50" s="285" t="n"/>
      <c r="F50" s="15" t="n"/>
      <c r="G50" s="15" t="n"/>
      <c r="H50" s="285" t="n"/>
      <c r="I50" s="15" t="n"/>
      <c r="J50" s="15" t="n"/>
      <c r="K50" s="285" t="n"/>
      <c r="L50" s="15" t="n"/>
      <c r="M50" s="15" t="n"/>
      <c r="N50" s="285" t="n"/>
      <c r="O50" s="15" t="n"/>
      <c r="P50" s="15" t="n"/>
      <c r="Q50" s="285" t="n"/>
      <c r="R50" s="15" t="n"/>
      <c r="S50" s="15" t="n"/>
      <c r="T50" s="285" t="n"/>
      <c r="U50" s="15" t="n"/>
      <c r="V50" s="15" t="n"/>
      <c r="W50" s="285" t="n"/>
      <c r="X50" s="15" t="n"/>
      <c r="Y50" s="15" t="n"/>
      <c r="Z50" s="285" t="n"/>
      <c r="AA50" s="15" t="n"/>
      <c r="AB50" s="15" t="n"/>
      <c r="AC50" s="285" t="n"/>
      <c r="AD50" s="15" t="n"/>
      <c r="AE50" s="15" t="n"/>
      <c r="AF50" s="285" t="n"/>
      <c r="AG50" s="15" t="n"/>
      <c r="AH50" s="15" t="n"/>
      <c r="AI50" s="285" t="n"/>
      <c r="AJ50" s="15" t="n"/>
      <c r="AK50" s="15" t="n"/>
      <c r="AL50" s="285" t="n"/>
      <c r="AM50" s="327" t="n"/>
      <c r="AN50" s="15" t="n"/>
      <c r="AO50" s="285" t="n"/>
      <c r="AP50" s="327" t="n"/>
      <c r="AQ50" s="15" t="n"/>
      <c r="AR50" s="285" t="n"/>
      <c r="AS50" s="327" t="n"/>
      <c r="AT50" s="15" t="n"/>
      <c r="AU50" s="285" t="n"/>
      <c r="AV50" s="327" t="n"/>
      <c r="AW50" s="15" t="n"/>
      <c r="AX50" s="285" t="n"/>
      <c r="AY50" s="15" t="n"/>
      <c r="AZ50" s="15" t="n"/>
      <c r="BA50" s="287" t="n"/>
      <c r="BB50" s="37" t="n"/>
      <c r="BC50" s="287" t="n"/>
      <c r="BD50" s="37" t="n"/>
      <c r="BE50" s="287" t="n"/>
      <c r="BF50" s="37" t="n"/>
      <c r="BG50" s="287" t="n"/>
      <c r="BH50" s="37" t="n"/>
      <c r="BI50" s="288" t="n"/>
      <c r="BJ50" s="37" t="n"/>
      <c r="BK50" s="288" t="n"/>
      <c r="BL50" s="37" t="n"/>
      <c r="BM50" s="288" t="n"/>
      <c r="BN50" s="37" t="n"/>
      <c r="BO50" s="288" t="n"/>
      <c r="BP50" s="288" t="n"/>
      <c r="BQ50" s="37" t="n"/>
      <c r="BR50" s="288" t="n"/>
      <c r="BS50" s="37" t="n"/>
      <c r="BT50" s="288" t="n"/>
      <c r="BU50" s="37" t="n"/>
      <c r="BV50" s="288" t="n"/>
      <c r="BW50" s="37" t="n"/>
      <c r="BX50" s="288" t="n"/>
      <c r="BY50" s="37" t="n"/>
      <c r="BZ50" s="288" t="n"/>
      <c r="CA50" s="37" t="n"/>
      <c r="CB50" s="288" t="n"/>
      <c r="CC50" s="37" t="n"/>
      <c r="CD50" s="288" t="n"/>
      <c r="CE50" s="37" t="n"/>
      <c r="CF50" s="288" t="n"/>
      <c r="CG50" s="291" t="n"/>
      <c r="CH50" s="288" t="n"/>
      <c r="CI50" s="291" t="n"/>
      <c r="CJ50" s="288" t="n"/>
      <c r="CK50" s="291" t="n"/>
      <c r="CL50" s="288" t="n"/>
      <c r="CM50" s="291" t="n"/>
      <c r="CN50" s="288" t="n"/>
      <c r="CO50" s="80" t="n"/>
      <c r="CP50" s="288" t="n"/>
      <c r="CQ50" s="80" t="n"/>
      <c r="CR50" s="288" t="n"/>
      <c r="CS50" s="80" t="n"/>
      <c r="CT50" s="288" t="n"/>
      <c r="CU50" s="80" t="n"/>
      <c r="CV50" s="269" t="n"/>
      <c r="CW50" s="288" t="n"/>
      <c r="CX50" s="37" t="n"/>
      <c r="CY50" s="288" t="n"/>
      <c r="CZ50" s="37" t="n"/>
      <c r="DA50" s="288" t="n"/>
      <c r="DB50" s="37" t="n"/>
      <c r="DC50" s="288" t="n"/>
      <c r="DD50" s="37" t="n"/>
      <c r="DE50" s="295" t="n"/>
      <c r="DF50" s="295" t="n"/>
      <c r="DG50" s="79" t="n"/>
    </row>
    <row r="51">
      <c r="A51" s="428" t="n"/>
      <c r="B51" s="285" t="n"/>
      <c r="C51" s="15" t="n"/>
      <c r="D51" s="15" t="n"/>
      <c r="E51" s="285" t="n"/>
      <c r="F51" s="15" t="n"/>
      <c r="G51" s="15" t="n"/>
      <c r="H51" s="285" t="n"/>
      <c r="I51" s="15" t="n"/>
      <c r="J51" s="15" t="n"/>
      <c r="K51" s="285" t="n"/>
      <c r="L51" s="15" t="n"/>
      <c r="M51" s="15" t="n"/>
      <c r="N51" s="285" t="n"/>
      <c r="O51" s="15" t="n"/>
      <c r="P51" s="15" t="n"/>
      <c r="Q51" s="285" t="n"/>
      <c r="R51" s="15" t="n"/>
      <c r="S51" s="15" t="n"/>
      <c r="T51" s="285" t="n"/>
      <c r="U51" s="15" t="n"/>
      <c r="V51" s="15" t="n"/>
      <c r="W51" s="285" t="n"/>
      <c r="X51" s="15" t="n"/>
      <c r="Y51" s="15" t="n"/>
      <c r="Z51" s="285" t="n"/>
      <c r="AA51" s="15" t="n"/>
      <c r="AB51" s="15" t="n"/>
      <c r="AC51" s="285" t="n"/>
      <c r="AD51" s="15" t="n"/>
      <c r="AE51" s="15" t="n"/>
      <c r="AF51" s="285" t="n"/>
      <c r="AG51" s="15" t="n"/>
      <c r="AH51" s="15" t="n"/>
      <c r="AI51" s="285" t="n"/>
      <c r="AJ51" s="15" t="n"/>
      <c r="AK51" s="15" t="n"/>
      <c r="AL51" s="285" t="n"/>
      <c r="AM51" s="327" t="n"/>
      <c r="AN51" s="15" t="n"/>
      <c r="AO51" s="285" t="n"/>
      <c r="AP51" s="327" t="n"/>
      <c r="AQ51" s="15" t="n"/>
      <c r="AR51" s="285" t="n"/>
      <c r="AS51" s="327" t="n"/>
      <c r="AT51" s="15" t="n"/>
      <c r="AU51" s="285" t="n"/>
      <c r="AV51" s="327" t="n"/>
      <c r="AW51" s="15" t="n"/>
      <c r="AX51" s="285" t="n"/>
      <c r="AY51" s="15" t="n"/>
      <c r="AZ51" s="15" t="n"/>
      <c r="BA51" s="287" t="n"/>
      <c r="BB51" s="37" t="n"/>
      <c r="BC51" s="287" t="n"/>
      <c r="BD51" s="37" t="n"/>
      <c r="BE51" s="287" t="n"/>
      <c r="BF51" s="37" t="n"/>
      <c r="BG51" s="287" t="n"/>
      <c r="BH51" s="37" t="n"/>
      <c r="BI51" s="288" t="n"/>
      <c r="BJ51" s="37" t="n"/>
      <c r="BK51" s="288" t="n"/>
      <c r="BL51" s="37" t="n"/>
      <c r="BM51" s="288" t="n"/>
      <c r="BN51" s="37" t="n"/>
      <c r="BO51" s="288" t="n"/>
      <c r="BP51" s="288" t="n"/>
      <c r="BQ51" s="37" t="n"/>
      <c r="BR51" s="288" t="n"/>
      <c r="BS51" s="37" t="n"/>
      <c r="BT51" s="288" t="n"/>
      <c r="BU51" s="37" t="n"/>
      <c r="BV51" s="288" t="n"/>
      <c r="BW51" s="37" t="n"/>
      <c r="BX51" s="288" t="n"/>
      <c r="BY51" s="37" t="n"/>
      <c r="BZ51" s="288" t="n"/>
      <c r="CA51" s="37" t="n"/>
      <c r="CB51" s="288" t="n"/>
      <c r="CC51" s="37" t="n"/>
      <c r="CD51" s="288" t="n"/>
      <c r="CE51" s="37" t="n"/>
      <c r="CF51" s="288" t="n"/>
      <c r="CG51" s="291" t="n"/>
      <c r="CH51" s="288" t="n"/>
      <c r="CI51" s="291" t="n"/>
      <c r="CJ51" s="288" t="n"/>
      <c r="CK51" s="291" t="n"/>
      <c r="CL51" s="288" t="n"/>
      <c r="CM51" s="291" t="n"/>
      <c r="CN51" s="288" t="n"/>
      <c r="CO51" s="80" t="n"/>
      <c r="CP51" s="288" t="n"/>
      <c r="CQ51" s="80" t="n"/>
      <c r="CR51" s="288" t="n"/>
      <c r="CS51" s="80" t="n"/>
      <c r="CT51" s="288" t="n"/>
      <c r="CU51" s="80" t="n"/>
      <c r="CV51" s="269" t="n"/>
      <c r="CW51" s="288" t="n"/>
      <c r="CX51" s="37" t="n"/>
      <c r="CY51" s="288" t="n"/>
      <c r="CZ51" s="37" t="n"/>
      <c r="DA51" s="288" t="n"/>
      <c r="DB51" s="37" t="n"/>
      <c r="DC51" s="288" t="n"/>
      <c r="DD51" s="37" t="n"/>
      <c r="DE51" s="295" t="n"/>
      <c r="DF51" s="295" t="n"/>
      <c r="DG51" s="79" t="n"/>
    </row>
    <row r="52" ht="13" customFormat="1" customHeight="1" s="40">
      <c r="A52" s="330" t="n"/>
      <c r="B52" s="292" t="n"/>
      <c r="C52" s="15" t="n"/>
      <c r="D52" s="15" t="n"/>
      <c r="E52" s="292" t="n"/>
      <c r="F52" s="15" t="n"/>
      <c r="G52" s="15" t="n"/>
      <c r="H52" s="292" t="n"/>
      <c r="I52" s="15" t="n"/>
      <c r="J52" s="15" t="n"/>
      <c r="K52" s="292" t="n"/>
      <c r="L52" s="15" t="n"/>
      <c r="M52" s="15" t="n"/>
      <c r="N52" s="292" t="n"/>
      <c r="O52" s="15" t="n"/>
      <c r="P52" s="15" t="n"/>
      <c r="Q52" s="292" t="n"/>
      <c r="R52" s="15" t="n"/>
      <c r="S52" s="15" t="n"/>
      <c r="T52" s="292" t="n"/>
      <c r="U52" s="15" t="n"/>
      <c r="V52" s="15" t="n"/>
      <c r="W52" s="292" t="n"/>
      <c r="X52" s="15" t="n"/>
      <c r="Y52" s="15" t="n"/>
      <c r="Z52" s="292" t="n"/>
      <c r="AA52" s="15" t="n"/>
      <c r="AB52" s="15" t="n"/>
      <c r="AC52" s="292" t="n"/>
      <c r="AD52" s="15" t="n"/>
      <c r="AE52" s="15" t="n"/>
      <c r="AF52" s="292" t="n"/>
      <c r="AG52" s="15" t="n"/>
      <c r="AH52" s="15" t="n"/>
      <c r="AI52" s="292" t="n"/>
      <c r="AJ52" s="15" t="n"/>
      <c r="AK52" s="15" t="n"/>
      <c r="AL52" s="292" t="n"/>
      <c r="AM52" s="327" t="n"/>
      <c r="AN52" s="15" t="n"/>
      <c r="AO52" s="292" t="n"/>
      <c r="AP52" s="327" t="n"/>
      <c r="AQ52" s="15" t="n"/>
      <c r="AR52" s="292" t="n"/>
      <c r="AS52" s="327" t="n"/>
      <c r="AT52" s="15" t="n"/>
      <c r="AU52" s="292" t="n"/>
      <c r="AV52" s="327" t="n"/>
      <c r="AW52" s="15" t="n"/>
      <c r="AX52" s="292" t="n"/>
      <c r="AY52" s="15" t="n"/>
      <c r="AZ52" s="15" t="n"/>
      <c r="BA52" s="291" t="n"/>
      <c r="BB52" s="37" t="n"/>
      <c r="BC52" s="291" t="n"/>
      <c r="BD52" s="37" t="n"/>
      <c r="BE52" s="291" t="n"/>
      <c r="BF52" s="37" t="n"/>
      <c r="BG52" s="291" t="n"/>
      <c r="BH52" s="37" t="n"/>
      <c r="BI52" s="291" t="n"/>
      <c r="BJ52" s="37" t="n"/>
      <c r="BK52" s="291" t="n"/>
      <c r="BL52" s="37" t="n"/>
      <c r="BM52" s="291" t="n"/>
      <c r="BN52" s="37" t="n"/>
      <c r="BO52" s="291" t="n"/>
      <c r="BP52" s="291" t="n"/>
      <c r="BQ52" s="37" t="n"/>
      <c r="BR52" s="291" t="n"/>
      <c r="BS52" s="37" t="n"/>
      <c r="BT52" s="291" t="n"/>
      <c r="BU52" s="37" t="n"/>
      <c r="BV52" s="291" t="n"/>
      <c r="BW52" s="37" t="n"/>
      <c r="BX52" s="291" t="n"/>
      <c r="BY52" s="37" t="n"/>
      <c r="BZ52" s="291" t="n"/>
      <c r="CA52" s="37" t="n"/>
      <c r="CB52" s="291" t="n"/>
      <c r="CC52" s="37" t="n"/>
      <c r="CD52" s="291" t="n"/>
      <c r="CE52" s="37" t="n"/>
      <c r="CF52" s="291" t="n"/>
      <c r="CG52" s="291" t="n"/>
      <c r="CH52" s="291" t="n"/>
      <c r="CI52" s="291" t="n"/>
      <c r="CJ52" s="291" t="n"/>
      <c r="CK52" s="291" t="n"/>
      <c r="CL52" s="291" t="n"/>
      <c r="CM52" s="291" t="n"/>
      <c r="CN52" s="291" t="n"/>
      <c r="CO52" s="80" t="n"/>
      <c r="CP52" s="291" t="n"/>
      <c r="CQ52" s="80" t="n"/>
      <c r="CR52" s="291" t="n"/>
      <c r="CS52" s="80" t="n"/>
      <c r="CT52" s="291" t="n"/>
      <c r="CU52" s="80" t="n"/>
      <c r="CW52" s="291" t="n"/>
      <c r="CX52" s="37" t="n"/>
      <c r="CY52" s="291" t="n"/>
      <c r="CZ52" s="37" t="n"/>
      <c r="DA52" s="291" t="n"/>
      <c r="DB52" s="37" t="n"/>
      <c r="DC52" s="291" t="n"/>
      <c r="DD52" s="37" t="n"/>
      <c r="DE52" s="311" t="n"/>
      <c r="DF52" s="311" t="n"/>
    </row>
    <row r="53">
      <c r="A53" s="428" t="n"/>
      <c r="B53" s="285" t="n"/>
      <c r="C53" s="15" t="n"/>
      <c r="D53" s="15" t="n"/>
      <c r="E53" s="285" t="n"/>
      <c r="F53" s="15" t="n"/>
      <c r="G53" s="15" t="n"/>
      <c r="H53" s="285" t="n"/>
      <c r="I53" s="15" t="n"/>
      <c r="J53" s="15" t="n"/>
      <c r="K53" s="285" t="n"/>
      <c r="L53" s="15" t="n"/>
      <c r="M53" s="15" t="n"/>
      <c r="N53" s="285" t="n"/>
      <c r="O53" s="15" t="n"/>
      <c r="P53" s="15" t="n"/>
      <c r="Q53" s="285" t="n"/>
      <c r="R53" s="15" t="n"/>
      <c r="S53" s="15" t="n"/>
      <c r="T53" s="285" t="n"/>
      <c r="U53" s="15" t="n"/>
      <c r="V53" s="15" t="n"/>
      <c r="W53" s="285" t="n"/>
      <c r="X53" s="15" t="n"/>
      <c r="Y53" s="15" t="n"/>
      <c r="Z53" s="285" t="n"/>
      <c r="AA53" s="15" t="n"/>
      <c r="AB53" s="15" t="n"/>
      <c r="AC53" s="285" t="n"/>
      <c r="AD53" s="15" t="n"/>
      <c r="AE53" s="15" t="n"/>
      <c r="AF53" s="285" t="n"/>
      <c r="AG53" s="15" t="n"/>
      <c r="AH53" s="15" t="n"/>
      <c r="AI53" s="285" t="n"/>
      <c r="AJ53" s="15" t="n"/>
      <c r="AK53" s="15" t="n"/>
      <c r="AL53" s="285" t="n"/>
      <c r="AM53" s="327" t="n"/>
      <c r="AN53" s="15" t="n"/>
      <c r="AO53" s="285" t="n"/>
      <c r="AP53" s="327" t="n"/>
      <c r="AQ53" s="15" t="n"/>
      <c r="AR53" s="285" t="n"/>
      <c r="AS53" s="327" t="n"/>
      <c r="AT53" s="15" t="n"/>
      <c r="AU53" s="285" t="n"/>
      <c r="AV53" s="327" t="n"/>
      <c r="AW53" s="15" t="n"/>
      <c r="AX53" s="285" t="n"/>
      <c r="AY53" s="15" t="n"/>
      <c r="AZ53" s="15" t="n"/>
      <c r="BA53" s="287" t="n"/>
      <c r="BB53" s="37" t="n"/>
      <c r="BC53" s="287" t="n"/>
      <c r="BD53" s="37" t="n"/>
      <c r="BE53" s="287" t="n"/>
      <c r="BF53" s="37" t="n"/>
      <c r="BG53" s="287" t="n"/>
      <c r="BH53" s="37" t="n"/>
      <c r="BI53" s="288" t="n"/>
      <c r="BJ53" s="37" t="n"/>
      <c r="BK53" s="288" t="n"/>
      <c r="BL53" s="37" t="n"/>
      <c r="BM53" s="288" t="n"/>
      <c r="BN53" s="37" t="n"/>
      <c r="BO53" s="288" t="n"/>
      <c r="BP53" s="288" t="n"/>
      <c r="BQ53" s="37" t="n"/>
      <c r="BR53" s="288" t="n"/>
      <c r="BS53" s="37" t="n"/>
      <c r="BT53" s="288" t="n"/>
      <c r="BU53" s="37" t="n"/>
      <c r="BV53" s="288" t="n"/>
      <c r="BW53" s="37" t="n"/>
      <c r="BX53" s="288" t="n"/>
      <c r="BY53" s="37" t="n"/>
      <c r="BZ53" s="288" t="n"/>
      <c r="CA53" s="37" t="n"/>
      <c r="CB53" s="288" t="n"/>
      <c r="CC53" s="37" t="n"/>
      <c r="CD53" s="288" t="n"/>
      <c r="CE53" s="37" t="n"/>
      <c r="CF53" s="288" t="n"/>
      <c r="CG53" s="291" t="n"/>
      <c r="CH53" s="288" t="n"/>
      <c r="CI53" s="291" t="n"/>
      <c r="CJ53" s="288" t="n"/>
      <c r="CK53" s="291" t="n"/>
      <c r="CL53" s="288" t="n"/>
      <c r="CM53" s="291" t="n"/>
      <c r="CN53" s="288" t="n"/>
      <c r="CO53" s="80" t="n"/>
      <c r="CP53" s="288" t="n"/>
      <c r="CQ53" s="80" t="n"/>
      <c r="CR53" s="288" t="n"/>
      <c r="CS53" s="80" t="n"/>
      <c r="CT53" s="288" t="n"/>
      <c r="CU53" s="80" t="n"/>
      <c r="CV53" s="269" t="n"/>
      <c r="CW53" s="288" t="n"/>
      <c r="CX53" s="37" t="n"/>
      <c r="CY53" s="288" t="n"/>
      <c r="CZ53" s="37" t="n"/>
      <c r="DA53" s="288" t="n"/>
      <c r="DB53" s="37" t="n"/>
      <c r="DC53" s="288" t="n"/>
      <c r="DD53" s="37" t="n"/>
      <c r="DE53" s="295" t="n"/>
      <c r="DF53" s="295" t="n"/>
      <c r="DG53" s="79" t="n"/>
    </row>
    <row r="54">
      <c r="A54" s="428" t="n"/>
      <c r="B54" s="285" t="n"/>
      <c r="C54" s="15" t="n"/>
      <c r="D54" s="15" t="n"/>
      <c r="E54" s="285" t="n"/>
      <c r="F54" s="15" t="n"/>
      <c r="G54" s="15" t="n"/>
      <c r="H54" s="285" t="n"/>
      <c r="I54" s="15" t="n"/>
      <c r="J54" s="15" t="n"/>
      <c r="K54" s="285" t="n"/>
      <c r="L54" s="15" t="n"/>
      <c r="M54" s="15" t="n"/>
      <c r="N54" s="285" t="n"/>
      <c r="O54" s="15" t="n"/>
      <c r="P54" s="15" t="n"/>
      <c r="Q54" s="285" t="n"/>
      <c r="R54" s="15" t="n"/>
      <c r="S54" s="15" t="n"/>
      <c r="T54" s="285" t="n"/>
      <c r="U54" s="15" t="n"/>
      <c r="V54" s="15" t="n"/>
      <c r="W54" s="285" t="n"/>
      <c r="X54" s="15" t="n"/>
      <c r="Y54" s="15" t="n"/>
      <c r="Z54" s="285" t="n"/>
      <c r="AA54" s="15" t="n"/>
      <c r="AB54" s="15" t="n"/>
      <c r="AC54" s="285" t="n"/>
      <c r="AD54" s="15" t="n"/>
      <c r="AE54" s="15" t="n"/>
      <c r="AF54" s="285" t="n"/>
      <c r="AG54" s="15" t="n"/>
      <c r="AH54" s="15" t="n"/>
      <c r="AI54" s="285" t="n"/>
      <c r="AJ54" s="15" t="n"/>
      <c r="AK54" s="15" t="n"/>
      <c r="AL54" s="285" t="n"/>
      <c r="AM54" s="327" t="n"/>
      <c r="AN54" s="15" t="n"/>
      <c r="AO54" s="285" t="n"/>
      <c r="AP54" s="327" t="n"/>
      <c r="AQ54" s="15" t="n"/>
      <c r="AR54" s="285" t="n"/>
      <c r="AS54" s="327" t="n"/>
      <c r="AT54" s="15" t="n"/>
      <c r="AU54" s="285" t="n"/>
      <c r="AV54" s="327" t="n"/>
      <c r="AW54" s="15" t="n"/>
      <c r="AX54" s="285" t="n"/>
      <c r="AY54" s="15" t="n"/>
      <c r="AZ54" s="15" t="n"/>
      <c r="BA54" s="287" t="n"/>
      <c r="BB54" s="37" t="n"/>
      <c r="BC54" s="287" t="n"/>
      <c r="BD54" s="37" t="n"/>
      <c r="BE54" s="287" t="n"/>
      <c r="BF54" s="37" t="n"/>
      <c r="BG54" s="287" t="n"/>
      <c r="BH54" s="37" t="n"/>
      <c r="BI54" s="288" t="n"/>
      <c r="BJ54" s="37" t="n"/>
      <c r="BK54" s="288" t="n"/>
      <c r="BL54" s="37" t="n"/>
      <c r="BM54" s="288" t="n"/>
      <c r="BN54" s="37" t="n"/>
      <c r="BO54" s="288" t="n"/>
      <c r="BP54" s="288" t="n"/>
      <c r="BQ54" s="37" t="n"/>
      <c r="BR54" s="288" t="n"/>
      <c r="BS54" s="37" t="n"/>
      <c r="BT54" s="288" t="n"/>
      <c r="BU54" s="37" t="n"/>
      <c r="BV54" s="288" t="n"/>
      <c r="BW54" s="37" t="n"/>
      <c r="BX54" s="288" t="n"/>
      <c r="BY54" s="37" t="n"/>
      <c r="BZ54" s="288" t="n"/>
      <c r="CA54" s="37" t="n"/>
      <c r="CB54" s="288" t="n"/>
      <c r="CC54" s="37" t="n"/>
      <c r="CD54" s="288" t="n"/>
      <c r="CE54" s="37" t="n"/>
      <c r="CF54" s="288" t="n"/>
      <c r="CG54" s="291" t="n"/>
      <c r="CH54" s="288" t="n"/>
      <c r="CI54" s="291" t="n"/>
      <c r="CJ54" s="288" t="n"/>
      <c r="CK54" s="291" t="n"/>
      <c r="CL54" s="288" t="n"/>
      <c r="CM54" s="291" t="n"/>
      <c r="CN54" s="288" t="n"/>
      <c r="CO54" s="80" t="n"/>
      <c r="CP54" s="288" t="n"/>
      <c r="CQ54" s="80" t="n"/>
      <c r="CR54" s="288" t="n"/>
      <c r="CS54" s="80" t="n"/>
      <c r="CT54" s="288" t="n"/>
      <c r="CU54" s="80" t="n"/>
      <c r="CV54" s="269" t="n"/>
      <c r="CW54" s="288" t="n"/>
      <c r="CX54" s="37" t="n"/>
      <c r="CY54" s="288" t="n"/>
      <c r="CZ54" s="37" t="n"/>
      <c r="DA54" s="288" t="n"/>
      <c r="DB54" s="37" t="n"/>
      <c r="DC54" s="288" t="n"/>
      <c r="DD54" s="37" t="n"/>
      <c r="DE54" s="295" t="n"/>
      <c r="DF54" s="295" t="n"/>
      <c r="DG54" s="79" t="n"/>
    </row>
    <row r="55">
      <c r="A55" s="428" t="n"/>
      <c r="B55" s="285" t="n"/>
      <c r="C55" s="15" t="n"/>
      <c r="D55" s="15" t="n"/>
      <c r="E55" s="285" t="n"/>
      <c r="F55" s="15" t="n"/>
      <c r="G55" s="15" t="n"/>
      <c r="H55" s="285" t="n"/>
      <c r="I55" s="15" t="n"/>
      <c r="J55" s="15" t="n"/>
      <c r="K55" s="285" t="n"/>
      <c r="L55" s="15" t="n"/>
      <c r="M55" s="15" t="n"/>
      <c r="N55" s="285" t="n"/>
      <c r="O55" s="15" t="n"/>
      <c r="P55" s="15" t="n"/>
      <c r="Q55" s="285" t="n"/>
      <c r="R55" s="15" t="n"/>
      <c r="S55" s="15" t="n"/>
      <c r="T55" s="285" t="n"/>
      <c r="U55" s="15" t="n"/>
      <c r="V55" s="15" t="n"/>
      <c r="W55" s="285" t="n"/>
      <c r="X55" s="15" t="n"/>
      <c r="Y55" s="15" t="n"/>
      <c r="Z55" s="285" t="n"/>
      <c r="AA55" s="15" t="n"/>
      <c r="AB55" s="15" t="n"/>
      <c r="AC55" s="285" t="n"/>
      <c r="AD55" s="15" t="n"/>
      <c r="AE55" s="15" t="n"/>
      <c r="AF55" s="285" t="n"/>
      <c r="AG55" s="15" t="n"/>
      <c r="AH55" s="15" t="n"/>
      <c r="AI55" s="285" t="n"/>
      <c r="AJ55" s="15" t="n"/>
      <c r="AK55" s="15" t="n"/>
      <c r="AL55" s="285" t="n"/>
      <c r="AM55" s="327" t="n"/>
      <c r="AN55" s="15" t="n"/>
      <c r="AO55" s="285" t="n"/>
      <c r="AP55" s="327" t="n"/>
      <c r="AQ55" s="15" t="n"/>
      <c r="AR55" s="285" t="n"/>
      <c r="AS55" s="327" t="n"/>
      <c r="AT55" s="15" t="n"/>
      <c r="AU55" s="285" t="n"/>
      <c r="AV55" s="327" t="n"/>
      <c r="AW55" s="15" t="n"/>
      <c r="AX55" s="285" t="n"/>
      <c r="AY55" s="15" t="n"/>
      <c r="AZ55" s="15" t="n"/>
      <c r="BA55" s="287" t="n"/>
      <c r="BB55" s="37" t="n"/>
      <c r="BC55" s="287" t="n"/>
      <c r="BD55" s="37" t="n"/>
      <c r="BE55" s="287" t="n"/>
      <c r="BF55" s="37" t="n"/>
      <c r="BG55" s="287" t="n"/>
      <c r="BH55" s="37" t="n"/>
      <c r="BI55" s="288" t="n"/>
      <c r="BJ55" s="37" t="n"/>
      <c r="BK55" s="288" t="n"/>
      <c r="BL55" s="37" t="n"/>
      <c r="BM55" s="288" t="n"/>
      <c r="BN55" s="37" t="n"/>
      <c r="BO55" s="288" t="n"/>
      <c r="BP55" s="288" t="n"/>
      <c r="BQ55" s="37" t="n"/>
      <c r="BR55" s="288" t="n"/>
      <c r="BS55" s="37" t="n"/>
      <c r="BT55" s="288" t="n"/>
      <c r="BU55" s="37" t="n"/>
      <c r="BV55" s="288" t="n"/>
      <c r="BW55" s="37" t="n"/>
      <c r="BX55" s="288" t="n"/>
      <c r="BY55" s="37" t="n"/>
      <c r="BZ55" s="288" t="n"/>
      <c r="CA55" s="37" t="n"/>
      <c r="CB55" s="288" t="n"/>
      <c r="CC55" s="37" t="n"/>
      <c r="CD55" s="288" t="n"/>
      <c r="CE55" s="37" t="n"/>
      <c r="CF55" s="288" t="n"/>
      <c r="CG55" s="291" t="n"/>
      <c r="CH55" s="288" t="n"/>
      <c r="CI55" s="291" t="n"/>
      <c r="CJ55" s="288" t="n"/>
      <c r="CK55" s="291" t="n"/>
      <c r="CL55" s="288" t="n"/>
      <c r="CM55" s="291" t="n"/>
      <c r="CN55" s="288" t="n"/>
      <c r="CO55" s="80" t="n"/>
      <c r="CP55" s="288" t="n"/>
      <c r="CQ55" s="80" t="n"/>
      <c r="CR55" s="288" t="n"/>
      <c r="CS55" s="80" t="n"/>
      <c r="CT55" s="288" t="n"/>
      <c r="CU55" s="80" t="n"/>
      <c r="CV55" s="269" t="n"/>
      <c r="CW55" s="288" t="n"/>
      <c r="CX55" s="37" t="n"/>
      <c r="CY55" s="288" t="n"/>
      <c r="CZ55" s="37" t="n"/>
      <c r="DA55" s="288" t="n"/>
      <c r="DB55" s="37" t="n"/>
      <c r="DC55" s="288" t="n"/>
      <c r="DD55" s="37" t="n"/>
      <c r="DE55" s="295" t="n"/>
      <c r="DF55" s="295" t="n"/>
      <c r="DG55" s="79" t="n"/>
    </row>
    <row r="56">
      <c r="A56" s="428" t="n"/>
      <c r="B56" s="285" t="n"/>
      <c r="C56" s="15" t="n"/>
      <c r="D56" s="15" t="n"/>
      <c r="E56" s="285" t="n"/>
      <c r="F56" s="15" t="n"/>
      <c r="G56" s="15" t="n"/>
      <c r="H56" s="285" t="n"/>
      <c r="I56" s="15" t="n"/>
      <c r="J56" s="15" t="n"/>
      <c r="K56" s="285" t="n"/>
      <c r="L56" s="15" t="n"/>
      <c r="M56" s="15" t="n"/>
      <c r="N56" s="285" t="n"/>
      <c r="O56" s="15" t="n"/>
      <c r="P56" s="15" t="n"/>
      <c r="Q56" s="285" t="n"/>
      <c r="R56" s="15" t="n"/>
      <c r="S56" s="15" t="n"/>
      <c r="T56" s="285" t="n"/>
      <c r="U56" s="15" t="n"/>
      <c r="V56" s="15" t="n"/>
      <c r="W56" s="285" t="n"/>
      <c r="X56" s="15" t="n"/>
      <c r="Y56" s="15" t="n"/>
      <c r="Z56" s="285" t="n"/>
      <c r="AA56" s="15" t="n"/>
      <c r="AB56" s="15" t="n"/>
      <c r="AC56" s="285" t="n"/>
      <c r="AD56" s="15" t="n"/>
      <c r="AE56" s="15" t="n"/>
      <c r="AF56" s="285" t="n"/>
      <c r="AG56" s="15" t="n"/>
      <c r="AH56" s="15" t="n"/>
      <c r="AI56" s="285" t="n"/>
      <c r="AJ56" s="15" t="n"/>
      <c r="AK56" s="15" t="n"/>
      <c r="AL56" s="285" t="n"/>
      <c r="AM56" s="327" t="n"/>
      <c r="AN56" s="15" t="n"/>
      <c r="AO56" s="285" t="n"/>
      <c r="AP56" s="327" t="n"/>
      <c r="AQ56" s="15" t="n"/>
      <c r="AR56" s="285" t="n"/>
      <c r="AS56" s="327" t="n"/>
      <c r="AT56" s="15" t="n"/>
      <c r="AU56" s="285" t="n"/>
      <c r="AV56" s="327" t="n"/>
      <c r="AW56" s="15" t="n"/>
      <c r="AX56" s="285" t="n"/>
      <c r="AY56" s="15" t="n"/>
      <c r="AZ56" s="15" t="n"/>
      <c r="BA56" s="287" t="n"/>
      <c r="BB56" s="37" t="n"/>
      <c r="BC56" s="287" t="n"/>
      <c r="BD56" s="37" t="n"/>
      <c r="BE56" s="287" t="n"/>
      <c r="BF56" s="37" t="n"/>
      <c r="BG56" s="287" t="n"/>
      <c r="BH56" s="37" t="n"/>
      <c r="BI56" s="288" t="n"/>
      <c r="BJ56" s="37" t="n"/>
      <c r="BK56" s="288" t="n"/>
      <c r="BL56" s="37" t="n"/>
      <c r="BM56" s="288" t="n"/>
      <c r="BN56" s="37" t="n"/>
      <c r="BO56" s="288" t="n"/>
      <c r="BP56" s="288" t="n"/>
      <c r="BQ56" s="37" t="n"/>
      <c r="BR56" s="288" t="n"/>
      <c r="BS56" s="37" t="n"/>
      <c r="BT56" s="288" t="n"/>
      <c r="BU56" s="37" t="n"/>
      <c r="BV56" s="288" t="n"/>
      <c r="BW56" s="37" t="n"/>
      <c r="BX56" s="288" t="n"/>
      <c r="BY56" s="37" t="n"/>
      <c r="BZ56" s="288" t="n"/>
      <c r="CA56" s="37" t="n"/>
      <c r="CB56" s="288" t="n"/>
      <c r="CC56" s="37" t="n"/>
      <c r="CD56" s="288" t="n"/>
      <c r="CE56" s="37" t="n"/>
      <c r="CF56" s="288" t="n"/>
      <c r="CG56" s="291" t="n"/>
      <c r="CH56" s="288" t="n"/>
      <c r="CI56" s="291" t="n"/>
      <c r="CJ56" s="288" t="n"/>
      <c r="CK56" s="291" t="n"/>
      <c r="CL56" s="288" t="n"/>
      <c r="CM56" s="291" t="n"/>
      <c r="CN56" s="288" t="n"/>
      <c r="CO56" s="80" t="n"/>
      <c r="CP56" s="288" t="n"/>
      <c r="CQ56" s="80" t="n"/>
      <c r="CR56" s="288" t="n"/>
      <c r="CS56" s="80" t="n"/>
      <c r="CT56" s="288" t="n"/>
      <c r="CU56" s="80" t="n"/>
      <c r="CV56" s="269" t="n"/>
      <c r="CW56" s="288" t="n"/>
      <c r="CX56" s="37" t="n"/>
      <c r="CY56" s="288" t="n"/>
      <c r="CZ56" s="37" t="n"/>
      <c r="DA56" s="288" t="n"/>
      <c r="DB56" s="37" t="n"/>
      <c r="DC56" s="288" t="n"/>
      <c r="DD56" s="37" t="n"/>
      <c r="DE56" s="295" t="n"/>
      <c r="DF56" s="295" t="n"/>
      <c r="DG56" s="79" t="n"/>
    </row>
    <row r="57">
      <c r="A57" s="428" t="n"/>
      <c r="B57" s="285" t="n"/>
      <c r="C57" s="15" t="n"/>
      <c r="D57" s="15" t="n"/>
      <c r="E57" s="285" t="n"/>
      <c r="F57" s="15" t="n"/>
      <c r="G57" s="15" t="n"/>
      <c r="H57" s="285" t="n"/>
      <c r="I57" s="15" t="n"/>
      <c r="J57" s="15" t="n"/>
      <c r="K57" s="285" t="n"/>
      <c r="L57" s="15" t="n"/>
      <c r="M57" s="15" t="n"/>
      <c r="N57" s="285" t="n"/>
      <c r="O57" s="15" t="n"/>
      <c r="P57" s="15" t="n"/>
      <c r="Q57" s="285" t="n"/>
      <c r="R57" s="15" t="n"/>
      <c r="S57" s="15" t="n"/>
      <c r="T57" s="285" t="n"/>
      <c r="U57" s="15" t="n"/>
      <c r="V57" s="15" t="n"/>
      <c r="W57" s="285" t="n"/>
      <c r="X57" s="15" t="n"/>
      <c r="Y57" s="15" t="n"/>
      <c r="Z57" s="285" t="n"/>
      <c r="AA57" s="15" t="n"/>
      <c r="AB57" s="15" t="n"/>
      <c r="AC57" s="285" t="n"/>
      <c r="AD57" s="15" t="n"/>
      <c r="AE57" s="15" t="n"/>
      <c r="AF57" s="285" t="n"/>
      <c r="AG57" s="15" t="n"/>
      <c r="AH57" s="15" t="n"/>
      <c r="AI57" s="285" t="n"/>
      <c r="AJ57" s="15" t="n"/>
      <c r="AK57" s="15" t="n"/>
      <c r="AL57" s="285" t="n"/>
      <c r="AM57" s="327" t="n"/>
      <c r="AN57" s="15" t="n"/>
      <c r="AO57" s="285" t="n"/>
      <c r="AP57" s="327" t="n"/>
      <c r="AQ57" s="15" t="n"/>
      <c r="AR57" s="285" t="n"/>
      <c r="AS57" s="327" t="n"/>
      <c r="AT57" s="15" t="n"/>
      <c r="AU57" s="285" t="n"/>
      <c r="AV57" s="327" t="n"/>
      <c r="AW57" s="15" t="n"/>
      <c r="AX57" s="285" t="n"/>
      <c r="AY57" s="15" t="n"/>
      <c r="AZ57" s="15" t="n"/>
      <c r="BA57" s="287" t="n"/>
      <c r="BB57" s="37" t="n"/>
      <c r="BC57" s="287" t="n"/>
      <c r="BD57" s="37" t="n"/>
      <c r="BE57" s="287" t="n"/>
      <c r="BF57" s="37" t="n"/>
      <c r="BG57" s="287" t="n"/>
      <c r="BH57" s="37" t="n"/>
      <c r="BI57" s="288" t="n"/>
      <c r="BJ57" s="37" t="n"/>
      <c r="BK57" s="288" t="n"/>
      <c r="BL57" s="37" t="n"/>
      <c r="BM57" s="288" t="n"/>
      <c r="BN57" s="37" t="n"/>
      <c r="BO57" s="288" t="n"/>
      <c r="BP57" s="288" t="n"/>
      <c r="BQ57" s="37" t="n"/>
      <c r="BR57" s="288" t="n"/>
      <c r="BS57" s="37" t="n"/>
      <c r="BT57" s="288" t="n"/>
      <c r="BU57" s="37" t="n"/>
      <c r="BV57" s="288" t="n"/>
      <c r="BW57" s="37" t="n"/>
      <c r="BX57" s="288" t="n"/>
      <c r="BY57" s="37" t="n"/>
      <c r="BZ57" s="288" t="n"/>
      <c r="CA57" s="37" t="n"/>
      <c r="CB57" s="288" t="n"/>
      <c r="CC57" s="37" t="n"/>
      <c r="CD57" s="288" t="n"/>
      <c r="CE57" s="37" t="n"/>
      <c r="CF57" s="288" t="n"/>
      <c r="CG57" s="291" t="n"/>
      <c r="CH57" s="288" t="n"/>
      <c r="CI57" s="291" t="n"/>
      <c r="CJ57" s="288" t="n"/>
      <c r="CK57" s="291" t="n"/>
      <c r="CL57" s="288" t="n"/>
      <c r="CM57" s="291" t="n"/>
      <c r="CN57" s="288" t="n"/>
      <c r="CO57" s="80" t="n"/>
      <c r="CP57" s="288" t="n"/>
      <c r="CQ57" s="80" t="n"/>
      <c r="CR57" s="288" t="n"/>
      <c r="CS57" s="80" t="n"/>
      <c r="CT57" s="288" t="n"/>
      <c r="CU57" s="80" t="n"/>
      <c r="CV57" s="269" t="n"/>
      <c r="CW57" s="288" t="n"/>
      <c r="CX57" s="37" t="n"/>
      <c r="CY57" s="288" t="n"/>
      <c r="CZ57" s="37" t="n"/>
      <c r="DA57" s="288" t="n"/>
      <c r="DB57" s="37" t="n"/>
      <c r="DC57" s="288" t="n"/>
      <c r="DD57" s="37" t="n"/>
      <c r="DE57" s="295" t="n"/>
      <c r="DF57" s="295" t="n"/>
      <c r="DG57" s="79" t="n"/>
    </row>
    <row r="58">
      <c r="A58" s="428" t="n"/>
      <c r="B58" s="285" t="n"/>
      <c r="C58" s="15" t="n"/>
      <c r="D58" s="15" t="n"/>
      <c r="E58" s="285" t="n"/>
      <c r="F58" s="15" t="n"/>
      <c r="G58" s="15" t="n"/>
      <c r="H58" s="285" t="n"/>
      <c r="I58" s="15" t="n"/>
      <c r="J58" s="15" t="n"/>
      <c r="K58" s="285" t="n"/>
      <c r="L58" s="15" t="n"/>
      <c r="M58" s="15" t="n"/>
      <c r="N58" s="285" t="n"/>
      <c r="O58" s="15" t="n"/>
      <c r="P58" s="15" t="n"/>
      <c r="Q58" s="285" t="n"/>
      <c r="R58" s="15" t="n"/>
      <c r="S58" s="15" t="n"/>
      <c r="T58" s="285" t="n"/>
      <c r="U58" s="15" t="n"/>
      <c r="V58" s="15" t="n"/>
      <c r="W58" s="285" t="n"/>
      <c r="X58" s="15" t="n"/>
      <c r="Y58" s="15" t="n"/>
      <c r="Z58" s="285" t="n"/>
      <c r="AA58" s="15" t="n"/>
      <c r="AB58" s="15" t="n"/>
      <c r="AC58" s="285" t="n"/>
      <c r="AD58" s="15" t="n"/>
      <c r="AE58" s="15" t="n"/>
      <c r="AF58" s="285" t="n"/>
      <c r="AG58" s="15" t="n"/>
      <c r="AH58" s="15" t="n"/>
      <c r="AI58" s="285" t="n"/>
      <c r="AJ58" s="15" t="n"/>
      <c r="AK58" s="15" t="n"/>
      <c r="AL58" s="285" t="n"/>
      <c r="AM58" s="327" t="n"/>
      <c r="AN58" s="15" t="n"/>
      <c r="AO58" s="285" t="n"/>
      <c r="AP58" s="327" t="n"/>
      <c r="AQ58" s="15" t="n"/>
      <c r="AR58" s="285" t="n"/>
      <c r="AS58" s="327" t="n"/>
      <c r="AT58" s="15" t="n"/>
      <c r="AU58" s="285" t="n"/>
      <c r="AV58" s="327" t="n"/>
      <c r="AW58" s="15" t="n"/>
      <c r="AX58" s="285" t="n"/>
      <c r="AY58" s="15" t="n"/>
      <c r="AZ58" s="15" t="n"/>
      <c r="BA58" s="287" t="n"/>
      <c r="BB58" s="37" t="n"/>
      <c r="BC58" s="287" t="n"/>
      <c r="BD58" s="37" t="n"/>
      <c r="BE58" s="287" t="n"/>
      <c r="BF58" s="37" t="n"/>
      <c r="BG58" s="287" t="n"/>
      <c r="BH58" s="37" t="n"/>
      <c r="BI58" s="288" t="n"/>
      <c r="BJ58" s="37" t="n"/>
      <c r="BK58" s="288" t="n"/>
      <c r="BL58" s="37" t="n"/>
      <c r="BM58" s="288" t="n"/>
      <c r="BN58" s="37" t="n"/>
      <c r="BO58" s="288" t="n"/>
      <c r="BP58" s="288" t="n"/>
      <c r="BQ58" s="37" t="n"/>
      <c r="BR58" s="288" t="n"/>
      <c r="BS58" s="37" t="n"/>
      <c r="BT58" s="288" t="n"/>
      <c r="BU58" s="37" t="n"/>
      <c r="BV58" s="288" t="n"/>
      <c r="BW58" s="37" t="n"/>
      <c r="BX58" s="288" t="n"/>
      <c r="BY58" s="37" t="n"/>
      <c r="BZ58" s="288" t="n"/>
      <c r="CA58" s="37" t="n"/>
      <c r="CB58" s="288" t="n"/>
      <c r="CC58" s="37" t="n"/>
      <c r="CD58" s="288" t="n"/>
      <c r="CE58" s="37" t="n"/>
      <c r="CF58" s="288" t="n"/>
      <c r="CG58" s="291" t="n"/>
      <c r="CH58" s="288" t="n"/>
      <c r="CI58" s="291" t="n"/>
      <c r="CJ58" s="288" t="n"/>
      <c r="CK58" s="291" t="n"/>
      <c r="CL58" s="288" t="n"/>
      <c r="CM58" s="291" t="n"/>
      <c r="CN58" s="288" t="n"/>
      <c r="CO58" s="80" t="n"/>
      <c r="CP58" s="288" t="n"/>
      <c r="CQ58" s="80" t="n"/>
      <c r="CR58" s="288" t="n"/>
      <c r="CS58" s="80" t="n"/>
      <c r="CT58" s="288" t="n"/>
      <c r="CU58" s="80" t="n"/>
      <c r="CV58" s="269" t="n"/>
      <c r="CW58" s="288" t="n"/>
      <c r="CX58" s="37" t="n"/>
      <c r="CY58" s="288" t="n"/>
      <c r="CZ58" s="37" t="n"/>
      <c r="DA58" s="288" t="n"/>
      <c r="DB58" s="37" t="n"/>
      <c r="DC58" s="288" t="n"/>
      <c r="DD58" s="37" t="n"/>
      <c r="DE58" s="295" t="n"/>
      <c r="DF58" s="295" t="n"/>
      <c r="DG58" s="79" t="n"/>
    </row>
    <row r="59">
      <c r="A59" s="428" t="n"/>
      <c r="B59" s="285" t="n"/>
      <c r="C59" s="15" t="n"/>
      <c r="D59" s="15" t="n"/>
      <c r="E59" s="285" t="n"/>
      <c r="F59" s="15" t="n"/>
      <c r="G59" s="15" t="n"/>
      <c r="H59" s="285" t="n"/>
      <c r="I59" s="15" t="n"/>
      <c r="J59" s="15" t="n"/>
      <c r="K59" s="285" t="n"/>
      <c r="L59" s="15" t="n"/>
      <c r="M59" s="15" t="n"/>
      <c r="N59" s="285" t="n"/>
      <c r="O59" s="15" t="n"/>
      <c r="P59" s="15" t="n"/>
      <c r="Q59" s="285" t="n"/>
      <c r="R59" s="15" t="n"/>
      <c r="S59" s="15" t="n"/>
      <c r="T59" s="285" t="n"/>
      <c r="U59" s="15" t="n"/>
      <c r="V59" s="15" t="n"/>
      <c r="W59" s="285" t="n"/>
      <c r="X59" s="15" t="n"/>
      <c r="Y59" s="15" t="n"/>
      <c r="Z59" s="285" t="n"/>
      <c r="AA59" s="15" t="n"/>
      <c r="AB59" s="15" t="n"/>
      <c r="AC59" s="285" t="n"/>
      <c r="AD59" s="15" t="n"/>
      <c r="AE59" s="15" t="n"/>
      <c r="AF59" s="285" t="n"/>
      <c r="AG59" s="15" t="n"/>
      <c r="AH59" s="15" t="n"/>
      <c r="AI59" s="285" t="n"/>
      <c r="AJ59" s="15" t="n"/>
      <c r="AK59" s="15" t="n"/>
      <c r="AL59" s="285" t="n"/>
      <c r="AM59" s="327" t="n"/>
      <c r="AN59" s="15" t="n"/>
      <c r="AO59" s="285" t="n"/>
      <c r="AP59" s="327" t="n"/>
      <c r="AQ59" s="15" t="n"/>
      <c r="AR59" s="285" t="n"/>
      <c r="AS59" s="327" t="n"/>
      <c r="AT59" s="15" t="n"/>
      <c r="AU59" s="285" t="n"/>
      <c r="AV59" s="327" t="n"/>
      <c r="AW59" s="15" t="n"/>
      <c r="AX59" s="285" t="n"/>
      <c r="AY59" s="15" t="n"/>
      <c r="AZ59" s="15" t="n"/>
      <c r="BA59" s="287" t="n"/>
      <c r="BB59" s="37" t="n"/>
      <c r="BC59" s="287" t="n"/>
      <c r="BD59" s="37" t="n"/>
      <c r="BE59" s="287" t="n"/>
      <c r="BF59" s="37" t="n"/>
      <c r="BG59" s="287" t="n"/>
      <c r="BH59" s="37" t="n"/>
      <c r="BI59" s="288" t="n"/>
      <c r="BJ59" s="37" t="n"/>
      <c r="BK59" s="288" t="n"/>
      <c r="BL59" s="37" t="n"/>
      <c r="BM59" s="288" t="n"/>
      <c r="BN59" s="37" t="n"/>
      <c r="BO59" s="288" t="n"/>
      <c r="BP59" s="288" t="n"/>
      <c r="BQ59" s="37" t="n"/>
      <c r="BR59" s="288" t="n"/>
      <c r="BS59" s="37" t="n"/>
      <c r="BT59" s="288" t="n"/>
      <c r="BU59" s="37" t="n"/>
      <c r="BV59" s="288" t="n"/>
      <c r="BW59" s="37" t="n"/>
      <c r="BX59" s="288" t="n"/>
      <c r="BY59" s="37" t="n"/>
      <c r="BZ59" s="288" t="n"/>
      <c r="CA59" s="37" t="n"/>
      <c r="CB59" s="288" t="n"/>
      <c r="CC59" s="37" t="n"/>
      <c r="CD59" s="288" t="n"/>
      <c r="CE59" s="37" t="n"/>
      <c r="CF59" s="288" t="n"/>
      <c r="CG59" s="291" t="n"/>
      <c r="CH59" s="288" t="n"/>
      <c r="CI59" s="291" t="n"/>
      <c r="CJ59" s="288" t="n"/>
      <c r="CK59" s="291" t="n"/>
      <c r="CL59" s="288" t="n"/>
      <c r="CM59" s="291" t="n"/>
      <c r="CN59" s="288" t="n"/>
      <c r="CO59" s="80" t="n"/>
      <c r="CP59" s="288" t="n"/>
      <c r="CQ59" s="80" t="n"/>
      <c r="CR59" s="288" t="n"/>
      <c r="CS59" s="80" t="n"/>
      <c r="CT59" s="288" t="n"/>
      <c r="CU59" s="80" t="n"/>
      <c r="CV59" s="269" t="n"/>
      <c r="CW59" s="288" t="n"/>
      <c r="CX59" s="37" t="n"/>
      <c r="CY59" s="288" t="n"/>
      <c r="CZ59" s="37" t="n"/>
      <c r="DA59" s="288" t="n"/>
      <c r="DB59" s="37" t="n"/>
      <c r="DC59" s="288" t="n"/>
      <c r="DD59" s="37" t="n"/>
      <c r="DE59" s="295" t="n"/>
      <c r="DF59" s="295" t="n"/>
      <c r="DG59" s="296" t="n"/>
    </row>
    <row r="60">
      <c r="A60" s="428" t="n"/>
      <c r="B60" s="285" t="n"/>
      <c r="C60" s="15" t="n"/>
      <c r="D60" s="15" t="n"/>
      <c r="E60" s="285" t="n"/>
      <c r="F60" s="15" t="n"/>
      <c r="G60" s="15" t="n"/>
      <c r="H60" s="285" t="n"/>
      <c r="I60" s="15" t="n"/>
      <c r="J60" s="15" t="n"/>
      <c r="K60" s="285" t="n"/>
      <c r="L60" s="15" t="n"/>
      <c r="M60" s="15" t="n"/>
      <c r="N60" s="285" t="n"/>
      <c r="O60" s="15" t="n"/>
      <c r="P60" s="15" t="n"/>
      <c r="Q60" s="285" t="n"/>
      <c r="R60" s="15" t="n"/>
      <c r="S60" s="15" t="n"/>
      <c r="T60" s="285" t="n"/>
      <c r="U60" s="15" t="n"/>
      <c r="V60" s="15" t="n"/>
      <c r="W60" s="285" t="n"/>
      <c r="X60" s="15" t="n"/>
      <c r="Y60" s="15" t="n"/>
      <c r="Z60" s="285" t="n"/>
      <c r="AA60" s="15" t="n"/>
      <c r="AB60" s="15" t="n"/>
      <c r="AC60" s="285" t="n"/>
      <c r="AD60" s="15" t="n"/>
      <c r="AE60" s="15" t="n"/>
      <c r="AF60" s="285" t="n"/>
      <c r="AG60" s="15" t="n"/>
      <c r="AH60" s="15" t="n"/>
      <c r="AI60" s="285" t="n"/>
      <c r="AJ60" s="15" t="n"/>
      <c r="AK60" s="15" t="n"/>
      <c r="AL60" s="285" t="n"/>
      <c r="AM60" s="327" t="n"/>
      <c r="AN60" s="15" t="n"/>
      <c r="AO60" s="285" t="n"/>
      <c r="AP60" s="327" t="n"/>
      <c r="AQ60" s="15" t="n"/>
      <c r="AR60" s="285" t="n"/>
      <c r="AS60" s="327" t="n"/>
      <c r="AT60" s="15" t="n"/>
      <c r="AU60" s="285" t="n"/>
      <c r="AV60" s="327" t="n"/>
      <c r="AW60" s="15" t="n"/>
      <c r="AX60" s="285" t="n"/>
      <c r="AY60" s="15" t="n"/>
      <c r="AZ60" s="15" t="n"/>
      <c r="BA60" s="287" t="n"/>
      <c r="BB60" s="37" t="n"/>
      <c r="BC60" s="287" t="n"/>
      <c r="BD60" s="37" t="n"/>
      <c r="BE60" s="287" t="n"/>
      <c r="BF60" s="37" t="n"/>
      <c r="BG60" s="287" t="n"/>
      <c r="BH60" s="37" t="n"/>
      <c r="BI60" s="288" t="n"/>
      <c r="BJ60" s="37" t="n"/>
      <c r="BK60" s="288" t="n"/>
      <c r="BL60" s="37" t="n"/>
      <c r="BM60" s="288" t="n"/>
      <c r="BN60" s="37" t="n"/>
      <c r="BO60" s="288" t="n"/>
      <c r="BP60" s="288" t="n"/>
      <c r="BQ60" s="37" t="n"/>
      <c r="BR60" s="288" t="n"/>
      <c r="BS60" s="37" t="n"/>
      <c r="BT60" s="288" t="n"/>
      <c r="BU60" s="37" t="n"/>
      <c r="BV60" s="288" t="n"/>
      <c r="BW60" s="37" t="n"/>
      <c r="BX60" s="288" t="n"/>
      <c r="BY60" s="37" t="n"/>
      <c r="BZ60" s="288" t="n"/>
      <c r="CA60" s="37" t="n"/>
      <c r="CB60" s="288" t="n"/>
      <c r="CC60" s="37" t="n"/>
      <c r="CD60" s="288" t="n"/>
      <c r="CE60" s="37" t="n"/>
      <c r="CF60" s="288" t="n"/>
      <c r="CG60" s="291" t="n"/>
      <c r="CH60" s="288" t="n"/>
      <c r="CI60" s="291" t="n"/>
      <c r="CJ60" s="288" t="n"/>
      <c r="CK60" s="291" t="n"/>
      <c r="CL60" s="288" t="n"/>
      <c r="CM60" s="291" t="n"/>
      <c r="CN60" s="288" t="n"/>
      <c r="CO60" s="80" t="n"/>
      <c r="CP60" s="288" t="n"/>
      <c r="CQ60" s="80" t="n"/>
      <c r="CR60" s="288" t="n"/>
      <c r="CS60" s="80" t="n"/>
      <c r="CT60" s="288" t="n"/>
      <c r="CU60" s="80" t="n"/>
      <c r="CV60" s="269" t="n"/>
      <c r="CW60" s="288" t="n"/>
      <c r="CX60" s="37" t="n"/>
      <c r="CY60" s="288" t="n"/>
      <c r="CZ60" s="37" t="n"/>
      <c r="DA60" s="288" t="n"/>
      <c r="DB60" s="37" t="n"/>
      <c r="DC60" s="288" t="n"/>
      <c r="DD60" s="37" t="n"/>
      <c r="DE60" s="295" t="n"/>
      <c r="DF60" s="295" t="n"/>
      <c r="DG60" s="288" t="n"/>
    </row>
    <row r="61">
      <c r="A61" s="428" t="n"/>
      <c r="B61" s="285" t="n"/>
      <c r="C61" s="15" t="n"/>
      <c r="D61" s="15" t="n"/>
      <c r="E61" s="285" t="n"/>
      <c r="F61" s="15" t="n"/>
      <c r="G61" s="15" t="n"/>
      <c r="H61" s="285" t="n"/>
      <c r="I61" s="15" t="n"/>
      <c r="J61" s="15" t="n"/>
      <c r="K61" s="285" t="n"/>
      <c r="L61" s="15" t="n"/>
      <c r="M61" s="15" t="n"/>
      <c r="N61" s="285" t="n"/>
      <c r="O61" s="15" t="n"/>
      <c r="P61" s="15" t="n"/>
      <c r="Q61" s="285" t="n"/>
      <c r="R61" s="15" t="n"/>
      <c r="S61" s="15" t="n"/>
      <c r="T61" s="285" t="n"/>
      <c r="U61" s="15" t="n"/>
      <c r="V61" s="15" t="n"/>
      <c r="W61" s="285" t="n"/>
      <c r="X61" s="15" t="n"/>
      <c r="Y61" s="15" t="n"/>
      <c r="Z61" s="285" t="n"/>
      <c r="AA61" s="15" t="n"/>
      <c r="AB61" s="15" t="n"/>
      <c r="AC61" s="285" t="n"/>
      <c r="AD61" s="15" t="n"/>
      <c r="AE61" s="15" t="n"/>
      <c r="AF61" s="285" t="n"/>
      <c r="AG61" s="15" t="n"/>
      <c r="AH61" s="15" t="n"/>
      <c r="AI61" s="285" t="n"/>
      <c r="AJ61" s="15" t="n"/>
      <c r="AK61" s="15" t="n"/>
      <c r="AL61" s="285" t="n"/>
      <c r="AM61" s="327" t="n"/>
      <c r="AN61" s="15" t="n"/>
      <c r="AO61" s="285" t="n"/>
      <c r="AP61" s="327" t="n"/>
      <c r="AQ61" s="15" t="n"/>
      <c r="AR61" s="285" t="n"/>
      <c r="AS61" s="327" t="n"/>
      <c r="AT61" s="15" t="n"/>
      <c r="AU61" s="285" t="n"/>
      <c r="AV61" s="327" t="n"/>
      <c r="AW61" s="15" t="n"/>
      <c r="AX61" s="285" t="n"/>
      <c r="AY61" s="15" t="n"/>
      <c r="AZ61" s="15" t="n"/>
      <c r="BA61" s="287" t="n"/>
      <c r="BB61" s="37" t="n"/>
      <c r="BC61" s="287" t="n"/>
      <c r="BD61" s="37" t="n"/>
      <c r="BE61" s="287" t="n"/>
      <c r="BF61" s="37" t="n"/>
      <c r="BG61" s="287" t="n"/>
      <c r="BH61" s="37" t="n"/>
      <c r="BI61" s="288" t="n"/>
      <c r="BJ61" s="37" t="n"/>
      <c r="BK61" s="288" t="n"/>
      <c r="BL61" s="37" t="n"/>
      <c r="BM61" s="288" t="n"/>
      <c r="BN61" s="37" t="n"/>
      <c r="BO61" s="288" t="n"/>
      <c r="BP61" s="288" t="n"/>
      <c r="BQ61" s="37" t="n"/>
      <c r="BR61" s="288" t="n"/>
      <c r="BS61" s="37" t="n"/>
      <c r="BT61" s="288" t="n"/>
      <c r="BU61" s="37" t="n"/>
      <c r="BV61" s="288" t="n"/>
      <c r="BW61" s="37" t="n"/>
      <c r="BX61" s="288" t="n"/>
      <c r="BY61" s="37" t="n"/>
      <c r="BZ61" s="288" t="n"/>
      <c r="CA61" s="37" t="n"/>
      <c r="CB61" s="288" t="n"/>
      <c r="CC61" s="37" t="n"/>
      <c r="CD61" s="288" t="n"/>
      <c r="CE61" s="37" t="n"/>
      <c r="CF61" s="288" t="n"/>
      <c r="CG61" s="291" t="n"/>
      <c r="CH61" s="288" t="n"/>
      <c r="CI61" s="291" t="n"/>
      <c r="CJ61" s="288" t="n"/>
      <c r="CK61" s="291" t="n"/>
      <c r="CL61" s="288" t="n"/>
      <c r="CM61" s="291" t="n"/>
      <c r="CN61" s="288" t="n"/>
      <c r="CO61" s="80" t="n"/>
      <c r="CP61" s="288" t="n"/>
      <c r="CQ61" s="80" t="n"/>
      <c r="CR61" s="288" t="n"/>
      <c r="CS61" s="80" t="n"/>
      <c r="CT61" s="288" t="n"/>
      <c r="CU61" s="80" t="n"/>
      <c r="CV61" s="269" t="n"/>
      <c r="CW61" s="288" t="n"/>
      <c r="CX61" s="37" t="n"/>
      <c r="CY61" s="288" t="n"/>
      <c r="CZ61" s="37" t="n"/>
      <c r="DA61" s="288" t="n"/>
      <c r="DB61" s="37" t="n"/>
      <c r="DC61" s="288" t="n"/>
      <c r="DD61" s="37" t="n"/>
      <c r="DE61" s="295" t="n"/>
      <c r="DF61" s="295" t="n"/>
      <c r="DG61" s="296" t="n"/>
    </row>
    <row r="62">
      <c r="A62" s="428" t="n"/>
      <c r="B62" s="285" t="n"/>
      <c r="C62" s="15" t="n"/>
      <c r="D62" s="15" t="n"/>
      <c r="E62" s="285" t="n"/>
      <c r="F62" s="15" t="n"/>
      <c r="G62" s="15" t="n"/>
      <c r="H62" s="285" t="n"/>
      <c r="I62" s="15" t="n"/>
      <c r="J62" s="15" t="n"/>
      <c r="K62" s="285" t="n"/>
      <c r="L62" s="15" t="n"/>
      <c r="M62" s="15" t="n"/>
      <c r="N62" s="285" t="n"/>
      <c r="O62" s="15" t="n"/>
      <c r="P62" s="15" t="n"/>
      <c r="Q62" s="285" t="n"/>
      <c r="R62" s="15" t="n"/>
      <c r="S62" s="15" t="n"/>
      <c r="T62" s="285" t="n"/>
      <c r="U62" s="15" t="n"/>
      <c r="V62" s="15" t="n"/>
      <c r="W62" s="285" t="n"/>
      <c r="X62" s="15" t="n"/>
      <c r="Y62" s="15" t="n"/>
      <c r="Z62" s="285" t="n"/>
      <c r="AA62" s="15" t="n"/>
      <c r="AB62" s="15" t="n"/>
      <c r="AC62" s="285" t="n"/>
      <c r="AD62" s="15" t="n"/>
      <c r="AE62" s="15" t="n"/>
      <c r="AF62" s="285" t="n"/>
      <c r="AG62" s="15" t="n"/>
      <c r="AH62" s="15" t="n"/>
      <c r="AI62" s="285" t="n"/>
      <c r="AJ62" s="15" t="n"/>
      <c r="AK62" s="15" t="n"/>
      <c r="AL62" s="285" t="n"/>
      <c r="AM62" s="327" t="n"/>
      <c r="AN62" s="15" t="n"/>
      <c r="AO62" s="285" t="n"/>
      <c r="AP62" s="327" t="n"/>
      <c r="AQ62" s="15" t="n"/>
      <c r="AR62" s="285" t="n"/>
      <c r="AS62" s="327" t="n"/>
      <c r="AT62" s="15" t="n"/>
      <c r="AU62" s="285" t="n"/>
      <c r="AV62" s="327" t="n"/>
      <c r="AW62" s="15" t="n"/>
      <c r="AX62" s="285" t="n"/>
      <c r="AY62" s="15" t="n"/>
      <c r="AZ62" s="15" t="n"/>
      <c r="BA62" s="287" t="n"/>
      <c r="BB62" s="37" t="n"/>
      <c r="BC62" s="287" t="n"/>
      <c r="BD62" s="37" t="n"/>
      <c r="BE62" s="287" t="n"/>
      <c r="BF62" s="37" t="n"/>
      <c r="BG62" s="287" t="n"/>
      <c r="BH62" s="37" t="n"/>
      <c r="BI62" s="288" t="n"/>
      <c r="BJ62" s="37" t="n"/>
      <c r="BK62" s="288" t="n"/>
      <c r="BL62" s="37" t="n"/>
      <c r="BM62" s="288" t="n"/>
      <c r="BN62" s="37" t="n"/>
      <c r="BO62" s="288" t="n"/>
      <c r="BP62" s="288" t="n"/>
      <c r="BQ62" s="37" t="n"/>
      <c r="BR62" s="288" t="n"/>
      <c r="BS62" s="37" t="n"/>
      <c r="BT62" s="288" t="n"/>
      <c r="BU62" s="37" t="n"/>
      <c r="BV62" s="288" t="n"/>
      <c r="BW62" s="37" t="n"/>
      <c r="BX62" s="288" t="n"/>
      <c r="BY62" s="37" t="n"/>
      <c r="BZ62" s="288" t="n"/>
      <c r="CA62" s="37" t="n"/>
      <c r="CB62" s="288" t="n"/>
      <c r="CC62" s="37" t="n"/>
      <c r="CD62" s="288" t="n"/>
      <c r="CE62" s="37" t="n"/>
      <c r="CF62" s="288" t="n"/>
      <c r="CG62" s="291" t="n"/>
      <c r="CH62" s="288" t="n"/>
      <c r="CI62" s="291" t="n"/>
      <c r="CJ62" s="288" t="n"/>
      <c r="CK62" s="291" t="n"/>
      <c r="CL62" s="288" t="n"/>
      <c r="CM62" s="291" t="n"/>
      <c r="CN62" s="288" t="n"/>
      <c r="CO62" s="80" t="n"/>
      <c r="CP62" s="288" t="n"/>
      <c r="CQ62" s="80" t="n"/>
      <c r="CR62" s="288" t="n"/>
      <c r="CS62" s="80" t="n"/>
      <c r="CT62" s="288" t="n"/>
      <c r="CU62" s="80" t="n"/>
      <c r="CV62" s="269" t="n"/>
      <c r="CW62" s="288" t="n"/>
      <c r="CX62" s="37" t="n"/>
      <c r="CY62" s="288" t="n"/>
      <c r="CZ62" s="37" t="n"/>
      <c r="DA62" s="288" t="n"/>
      <c r="DB62" s="37" t="n"/>
      <c r="DC62" s="288" t="n"/>
      <c r="DD62" s="37" t="n"/>
      <c r="DE62" s="295" t="n"/>
      <c r="DF62" s="295" t="n"/>
      <c r="DG62" s="288" t="n"/>
    </row>
    <row r="63">
      <c r="A63" s="428" t="n"/>
      <c r="B63" s="285" t="n"/>
      <c r="C63" s="15" t="n"/>
      <c r="D63" s="15" t="n"/>
      <c r="E63" s="285" t="n"/>
      <c r="F63" s="15" t="n"/>
      <c r="G63" s="15" t="n"/>
      <c r="H63" s="285" t="n"/>
      <c r="I63" s="15" t="n"/>
      <c r="J63" s="15" t="n"/>
      <c r="K63" s="285" t="n"/>
      <c r="L63" s="15" t="n"/>
      <c r="M63" s="15" t="n"/>
      <c r="N63" s="285" t="n"/>
      <c r="O63" s="15" t="n"/>
      <c r="P63" s="15" t="n"/>
      <c r="Q63" s="285" t="n"/>
      <c r="R63" s="15" t="n"/>
      <c r="S63" s="15" t="n"/>
      <c r="T63" s="285" t="n"/>
      <c r="U63" s="15" t="n"/>
      <c r="V63" s="15" t="n"/>
      <c r="W63" s="285" t="n"/>
      <c r="X63" s="15" t="n"/>
      <c r="Y63" s="15" t="n"/>
      <c r="Z63" s="285" t="n"/>
      <c r="AA63" s="15" t="n"/>
      <c r="AB63" s="15" t="n"/>
      <c r="AC63" s="285" t="n"/>
      <c r="AD63" s="15" t="n"/>
      <c r="AE63" s="15" t="n"/>
      <c r="AF63" s="285" t="n"/>
      <c r="AG63" s="15" t="n"/>
      <c r="AH63" s="15" t="n"/>
      <c r="AI63" s="285" t="n"/>
      <c r="AJ63" s="15" t="n"/>
      <c r="AK63" s="15" t="n"/>
      <c r="AL63" s="285" t="n"/>
      <c r="AM63" s="327" t="n"/>
      <c r="AN63" s="15" t="n"/>
      <c r="AO63" s="285" t="n"/>
      <c r="AP63" s="327" t="n"/>
      <c r="AQ63" s="15" t="n"/>
      <c r="AR63" s="285" t="n"/>
      <c r="AS63" s="327" t="n"/>
      <c r="AT63" s="15" t="n"/>
      <c r="AU63" s="285" t="n"/>
      <c r="AV63" s="327" t="n"/>
      <c r="AW63" s="15" t="n"/>
      <c r="AX63" s="285" t="n"/>
      <c r="AY63" s="15" t="n"/>
      <c r="AZ63" s="15" t="n"/>
      <c r="BA63" s="287" t="n"/>
      <c r="BB63" s="37" t="n"/>
      <c r="BC63" s="287" t="n"/>
      <c r="BD63" s="37" t="n"/>
      <c r="BE63" s="287" t="n"/>
      <c r="BF63" s="37" t="n"/>
      <c r="BG63" s="287" t="n"/>
      <c r="BH63" s="37" t="n"/>
      <c r="BI63" s="288" t="n"/>
      <c r="BJ63" s="37" t="n"/>
      <c r="BK63" s="288" t="n"/>
      <c r="BL63" s="37" t="n"/>
      <c r="BM63" s="288" t="n"/>
      <c r="BN63" s="37" t="n"/>
      <c r="BO63" s="288" t="n"/>
      <c r="BP63" s="288" t="n"/>
      <c r="BQ63" s="37" t="n"/>
      <c r="BR63" s="288" t="n"/>
      <c r="BS63" s="37" t="n"/>
      <c r="BT63" s="288" t="n"/>
      <c r="BU63" s="37" t="n"/>
      <c r="BV63" s="288" t="n"/>
      <c r="BW63" s="37" t="n"/>
      <c r="BX63" s="288" t="n"/>
      <c r="BY63" s="37" t="n"/>
      <c r="BZ63" s="288" t="n"/>
      <c r="CA63" s="37" t="n"/>
      <c r="CB63" s="288" t="n"/>
      <c r="CC63" s="37" t="n"/>
      <c r="CD63" s="288" t="n"/>
      <c r="CE63" s="37" t="n"/>
      <c r="CF63" s="288" t="n"/>
      <c r="CG63" s="291" t="n"/>
      <c r="CH63" s="288" t="n"/>
      <c r="CI63" s="291" t="n"/>
      <c r="CJ63" s="288" t="n"/>
      <c r="CK63" s="291" t="n"/>
      <c r="CL63" s="288" t="n"/>
      <c r="CM63" s="291" t="n"/>
      <c r="CN63" s="288" t="n"/>
      <c r="CO63" s="80" t="n"/>
      <c r="CP63" s="288" t="n"/>
      <c r="CQ63" s="80" t="n"/>
      <c r="CR63" s="288" t="n"/>
      <c r="CS63" s="80" t="n"/>
      <c r="CT63" s="288" t="n"/>
      <c r="CU63" s="80" t="n"/>
      <c r="CV63" s="269" t="n"/>
      <c r="CW63" s="288" t="n"/>
      <c r="CX63" s="37" t="n"/>
      <c r="CY63" s="288" t="n"/>
      <c r="CZ63" s="37" t="n"/>
      <c r="DA63" s="288" t="n"/>
      <c r="DB63" s="37" t="n"/>
      <c r="DC63" s="288" t="n"/>
      <c r="DD63" s="37" t="n"/>
      <c r="DE63" s="295" t="n"/>
      <c r="DF63" s="295" t="n"/>
      <c r="DG63" s="288" t="n"/>
    </row>
    <row r="64" ht="13" customFormat="1" customHeight="1" s="40">
      <c r="A64" s="330" t="n"/>
      <c r="B64" s="292" t="n"/>
      <c r="C64" s="15" t="n"/>
      <c r="D64" s="15" t="n"/>
      <c r="E64" s="292" t="n"/>
      <c r="F64" s="15" t="n"/>
      <c r="G64" s="15" t="n"/>
      <c r="H64" s="292" t="n"/>
      <c r="I64" s="15" t="n"/>
      <c r="J64" s="15" t="n"/>
      <c r="K64" s="292" t="n"/>
      <c r="L64" s="15" t="n"/>
      <c r="M64" s="15" t="n"/>
      <c r="N64" s="292" t="n"/>
      <c r="O64" s="15" t="n"/>
      <c r="P64" s="15" t="n"/>
      <c r="Q64" s="292" t="n"/>
      <c r="R64" s="15" t="n"/>
      <c r="S64" s="15" t="n"/>
      <c r="T64" s="292" t="n"/>
      <c r="U64" s="15" t="n"/>
      <c r="V64" s="15" t="n"/>
      <c r="W64" s="292" t="n"/>
      <c r="X64" s="15" t="n"/>
      <c r="Y64" s="15" t="n"/>
      <c r="Z64" s="292" t="n"/>
      <c r="AA64" s="15" t="n"/>
      <c r="AB64" s="15" t="n"/>
      <c r="AC64" s="292" t="n"/>
      <c r="AD64" s="15" t="n"/>
      <c r="AE64" s="15" t="n"/>
      <c r="AF64" s="292" t="n"/>
      <c r="AG64" s="15" t="n"/>
      <c r="AH64" s="15" t="n"/>
      <c r="AI64" s="292" t="n"/>
      <c r="AJ64" s="15" t="n"/>
      <c r="AK64" s="15" t="n"/>
      <c r="AL64" s="292" t="n"/>
      <c r="AM64" s="327" t="n"/>
      <c r="AN64" s="15" t="n"/>
      <c r="AO64" s="292" t="n"/>
      <c r="AP64" s="327" t="n"/>
      <c r="AQ64" s="15" t="n"/>
      <c r="AR64" s="292" t="n"/>
      <c r="AS64" s="327" t="n"/>
      <c r="AT64" s="15" t="n"/>
      <c r="AU64" s="292" t="n"/>
      <c r="AV64" s="327" t="n"/>
      <c r="AW64" s="15" t="n"/>
      <c r="AX64" s="292" t="n"/>
      <c r="AY64" s="15" t="n"/>
      <c r="AZ64" s="15" t="n"/>
      <c r="BA64" s="291" t="n"/>
      <c r="BB64" s="37" t="n"/>
      <c r="BC64" s="291" t="n"/>
      <c r="BD64" s="37" t="n"/>
      <c r="BE64" s="291" t="n"/>
      <c r="BF64" s="37" t="n"/>
      <c r="BG64" s="291" t="n"/>
      <c r="BH64" s="37" t="n"/>
      <c r="BI64" s="291" t="n"/>
      <c r="BJ64" s="37" t="n"/>
      <c r="BK64" s="291" t="n"/>
      <c r="BL64" s="37" t="n"/>
      <c r="BM64" s="291" t="n"/>
      <c r="BN64" s="37" t="n"/>
      <c r="BO64" s="291" t="n"/>
      <c r="BP64" s="291" t="n"/>
      <c r="BQ64" s="37" t="n"/>
      <c r="BR64" s="291" t="n"/>
      <c r="BS64" s="37" t="n"/>
      <c r="BT64" s="291" t="n"/>
      <c r="BU64" s="37" t="n"/>
      <c r="BV64" s="291" t="n"/>
      <c r="BW64" s="37" t="n"/>
      <c r="BX64" s="291" t="n"/>
      <c r="BY64" s="37" t="n"/>
      <c r="BZ64" s="291" t="n"/>
      <c r="CA64" s="37" t="n"/>
      <c r="CB64" s="291" t="n"/>
      <c r="CC64" s="37" t="n"/>
      <c r="CD64" s="291" t="n"/>
      <c r="CE64" s="37" t="n"/>
      <c r="CF64" s="291" t="n"/>
      <c r="CG64" s="291" t="n"/>
      <c r="CH64" s="291" t="n"/>
      <c r="CI64" s="291" t="n"/>
      <c r="CJ64" s="291" t="n"/>
      <c r="CK64" s="291" t="n"/>
      <c r="CL64" s="291" t="n"/>
      <c r="CM64" s="291" t="n"/>
      <c r="CN64" s="291" t="n"/>
      <c r="CO64" s="80" t="n"/>
      <c r="CP64" s="291" t="n"/>
      <c r="CQ64" s="80" t="n"/>
      <c r="CR64" s="291" t="n"/>
      <c r="CS64" s="80" t="n"/>
      <c r="CT64" s="291" t="n"/>
      <c r="CU64" s="80" t="n"/>
      <c r="CW64" s="291" t="n"/>
      <c r="CX64" s="37" t="n"/>
      <c r="CY64" s="291" t="n"/>
      <c r="CZ64" s="37" t="n"/>
      <c r="DA64" s="291" t="n"/>
      <c r="DB64" s="37" t="n"/>
      <c r="DC64" s="291" t="n"/>
      <c r="DD64" s="37" t="n"/>
      <c r="DE64" s="311" t="n"/>
      <c r="DF64" s="311" t="n"/>
    </row>
    <row r="65">
      <c r="A65" s="428" t="n"/>
      <c r="B65" s="285" t="n"/>
      <c r="C65" s="15" t="n"/>
      <c r="D65" s="15" t="n"/>
      <c r="E65" s="285" t="n"/>
      <c r="F65" s="15" t="n"/>
      <c r="G65" s="15" t="n"/>
      <c r="H65" s="285" t="n"/>
      <c r="I65" s="15" t="n"/>
      <c r="J65" s="15" t="n"/>
      <c r="K65" s="285" t="n"/>
      <c r="L65" s="15" t="n"/>
      <c r="M65" s="15" t="n"/>
      <c r="N65" s="285" t="n"/>
      <c r="O65" s="15" t="n"/>
      <c r="P65" s="15" t="n"/>
      <c r="Q65" s="285" t="n"/>
      <c r="R65" s="15" t="n"/>
      <c r="S65" s="15" t="n"/>
      <c r="T65" s="285" t="n"/>
      <c r="U65" s="15" t="n"/>
      <c r="V65" s="15" t="n"/>
      <c r="W65" s="285" t="n"/>
      <c r="X65" s="15" t="n"/>
      <c r="Y65" s="15" t="n"/>
      <c r="Z65" s="285" t="n"/>
      <c r="AA65" s="15" t="n"/>
      <c r="AB65" s="15" t="n"/>
      <c r="AC65" s="285" t="n"/>
      <c r="AD65" s="15" t="n"/>
      <c r="AE65" s="15" t="n"/>
      <c r="AF65" s="285" t="n"/>
      <c r="AG65" s="15" t="n"/>
      <c r="AH65" s="15" t="n"/>
      <c r="AI65" s="285" t="n"/>
      <c r="AJ65" s="15" t="n"/>
      <c r="AK65" s="15" t="n"/>
      <c r="AL65" s="285" t="n"/>
      <c r="AM65" s="327" t="n"/>
      <c r="AN65" s="15" t="n"/>
      <c r="AO65" s="285" t="n"/>
      <c r="AP65" s="327" t="n"/>
      <c r="AQ65" s="15" t="n"/>
      <c r="AR65" s="285" t="n"/>
      <c r="AS65" s="327" t="n"/>
      <c r="AT65" s="15" t="n"/>
      <c r="AU65" s="285" t="n"/>
      <c r="AV65" s="327" t="n"/>
      <c r="AW65" s="15" t="n"/>
      <c r="AX65" s="285" t="n"/>
      <c r="AY65" s="15" t="n"/>
      <c r="AZ65" s="15" t="n"/>
      <c r="BA65" s="287" t="n"/>
      <c r="BB65" s="37" t="n"/>
      <c r="BC65" s="287" t="n"/>
      <c r="BD65" s="37" t="n"/>
      <c r="BE65" s="287" t="n"/>
      <c r="BF65" s="37" t="n"/>
      <c r="BG65" s="287" t="n"/>
      <c r="BH65" s="37" t="n"/>
      <c r="BI65" s="288" t="n"/>
      <c r="BJ65" s="37" t="n"/>
      <c r="BK65" s="288" t="n"/>
      <c r="BL65" s="37" t="n"/>
      <c r="BM65" s="288" t="n"/>
      <c r="BN65" s="37" t="n"/>
      <c r="BO65" s="288" t="n"/>
      <c r="BP65" s="288" t="n"/>
      <c r="BQ65" s="37" t="n"/>
      <c r="BR65" s="288" t="n"/>
      <c r="BS65" s="37" t="n"/>
      <c r="BT65" s="288" t="n"/>
      <c r="BU65" s="37" t="n"/>
      <c r="BV65" s="288" t="n"/>
      <c r="BW65" s="37" t="n"/>
      <c r="BX65" s="288" t="n"/>
      <c r="BY65" s="37" t="n"/>
      <c r="BZ65" s="288" t="n"/>
      <c r="CA65" s="37" t="n"/>
      <c r="CB65" s="288" t="n"/>
      <c r="CC65" s="37" t="n"/>
      <c r="CD65" s="288" t="n"/>
      <c r="CE65" s="37" t="n"/>
      <c r="CF65" s="288" t="n"/>
      <c r="CG65" s="291" t="n"/>
      <c r="CH65" s="288" t="n"/>
      <c r="CI65" s="291" t="n"/>
      <c r="CJ65" s="288" t="n"/>
      <c r="CK65" s="291" t="n"/>
      <c r="CL65" s="288" t="n"/>
      <c r="CM65" s="291" t="n"/>
      <c r="CN65" s="288" t="n"/>
      <c r="CO65" s="80" t="n"/>
      <c r="CP65" s="288" t="n"/>
      <c r="CQ65" s="80" t="n"/>
      <c r="CR65" s="288" t="n"/>
      <c r="CS65" s="80" t="n"/>
      <c r="CT65" s="288" t="n"/>
      <c r="CU65" s="80" t="n"/>
      <c r="CV65" s="269" t="n"/>
      <c r="CW65" s="288" t="n"/>
      <c r="CX65" s="37" t="n"/>
      <c r="CY65" s="288" t="n"/>
      <c r="CZ65" s="37" t="n"/>
      <c r="DA65" s="288" t="n"/>
      <c r="DB65" s="37" t="n"/>
      <c r="DC65" s="288" t="n"/>
      <c r="DD65" s="37" t="n"/>
      <c r="DE65" s="295" t="n"/>
      <c r="DF65" s="295" t="n"/>
      <c r="DG65" s="288" t="n"/>
    </row>
    <row r="66">
      <c r="A66" s="428" t="n"/>
      <c r="B66" s="285" t="n"/>
      <c r="C66" s="15" t="n"/>
      <c r="D66" s="15" t="n"/>
      <c r="E66" s="285" t="n"/>
      <c r="F66" s="15" t="n"/>
      <c r="G66" s="15" t="n"/>
      <c r="H66" s="285" t="n"/>
      <c r="I66" s="15" t="n"/>
      <c r="J66" s="15" t="n"/>
      <c r="K66" s="285" t="n"/>
      <c r="L66" s="15" t="n"/>
      <c r="M66" s="15" t="n"/>
      <c r="N66" s="285" t="n"/>
      <c r="O66" s="15" t="n"/>
      <c r="P66" s="15" t="n"/>
      <c r="Q66" s="285" t="n"/>
      <c r="R66" s="15" t="n"/>
      <c r="S66" s="15" t="n"/>
      <c r="T66" s="285" t="n"/>
      <c r="U66" s="15" t="n"/>
      <c r="V66" s="15" t="n"/>
      <c r="W66" s="285" t="n"/>
      <c r="X66" s="15" t="n"/>
      <c r="Y66" s="15" t="n"/>
      <c r="Z66" s="285" t="n"/>
      <c r="AA66" s="15" t="n"/>
      <c r="AB66" s="15" t="n"/>
      <c r="AC66" s="285" t="n"/>
      <c r="AD66" s="15" t="n"/>
      <c r="AE66" s="15" t="n"/>
      <c r="AF66" s="285" t="n"/>
      <c r="AG66" s="15" t="n"/>
      <c r="AH66" s="15" t="n"/>
      <c r="AI66" s="285" t="n"/>
      <c r="AJ66" s="15" t="n"/>
      <c r="AK66" s="15" t="n"/>
      <c r="AL66" s="285" t="n"/>
      <c r="AM66" s="327" t="n"/>
      <c r="AN66" s="15" t="n"/>
      <c r="AO66" s="285" t="n"/>
      <c r="AP66" s="327" t="n"/>
      <c r="AQ66" s="15" t="n"/>
      <c r="AR66" s="285" t="n"/>
      <c r="AS66" s="327" t="n"/>
      <c r="AT66" s="15" t="n"/>
      <c r="AU66" s="285" t="n"/>
      <c r="AV66" s="327" t="n"/>
      <c r="AW66" s="15" t="n"/>
      <c r="AX66" s="285" t="n"/>
      <c r="AY66" s="15" t="n"/>
      <c r="AZ66" s="15" t="n"/>
      <c r="BA66" s="287" t="n"/>
      <c r="BB66" s="37" t="n"/>
      <c r="BC66" s="287" t="n"/>
      <c r="BD66" s="37" t="n"/>
      <c r="BE66" s="287" t="n"/>
      <c r="BF66" s="37" t="n"/>
      <c r="BG66" s="287" t="n"/>
      <c r="BH66" s="37" t="n"/>
      <c r="BI66" s="288" t="n"/>
      <c r="BJ66" s="37" t="n"/>
      <c r="BK66" s="288" t="n"/>
      <c r="BL66" s="37" t="n"/>
      <c r="BM66" s="288" t="n"/>
      <c r="BN66" s="37" t="n"/>
      <c r="BO66" s="288" t="n"/>
      <c r="BP66" s="288" t="n"/>
      <c r="BQ66" s="37" t="n"/>
      <c r="BR66" s="288" t="n"/>
      <c r="BS66" s="37" t="n"/>
      <c r="BT66" s="288" t="n"/>
      <c r="BU66" s="37" t="n"/>
      <c r="BV66" s="288" t="n"/>
      <c r="BW66" s="37" t="n"/>
      <c r="BX66" s="288" t="n"/>
      <c r="BY66" s="37" t="n"/>
      <c r="BZ66" s="288" t="n"/>
      <c r="CA66" s="37" t="n"/>
      <c r="CB66" s="288" t="n"/>
      <c r="CC66" s="37" t="n"/>
      <c r="CD66" s="288" t="n"/>
      <c r="CE66" s="37" t="n"/>
      <c r="CF66" s="288" t="n"/>
      <c r="CG66" s="291" t="n"/>
      <c r="CH66" s="288" t="n"/>
      <c r="CI66" s="291" t="n"/>
      <c r="CJ66" s="288" t="n"/>
      <c r="CK66" s="291" t="n"/>
      <c r="CL66" s="288" t="n"/>
      <c r="CM66" s="291" t="n"/>
      <c r="CN66" s="288" t="n"/>
      <c r="CO66" s="80" t="n"/>
      <c r="CP66" s="288" t="n"/>
      <c r="CQ66" s="80" t="n"/>
      <c r="CR66" s="288" t="n"/>
      <c r="CS66" s="80" t="n"/>
      <c r="CT66" s="288" t="n"/>
      <c r="CU66" s="80" t="n"/>
      <c r="CV66" s="269" t="n"/>
      <c r="CW66" s="288" t="n"/>
      <c r="CX66" s="37" t="n"/>
      <c r="CY66" s="288" t="n"/>
      <c r="CZ66" s="37" t="n"/>
      <c r="DA66" s="288" t="n"/>
      <c r="DB66" s="37" t="n"/>
      <c r="DC66" s="288" t="n"/>
      <c r="DD66" s="37" t="n"/>
      <c r="DE66" s="295" t="n"/>
      <c r="DF66" s="295" t="n"/>
      <c r="DG66" s="288" t="n"/>
    </row>
    <row r="67">
      <c r="A67" s="428" t="n"/>
      <c r="B67" s="285" t="n"/>
      <c r="C67" s="15" t="n"/>
      <c r="D67" s="15" t="n"/>
      <c r="E67" s="285" t="n"/>
      <c r="F67" s="15" t="n"/>
      <c r="G67" s="15" t="n"/>
      <c r="H67" s="285" t="n"/>
      <c r="I67" s="15" t="n"/>
      <c r="J67" s="15" t="n"/>
      <c r="K67" s="285" t="n"/>
      <c r="L67" s="15" t="n"/>
      <c r="M67" s="15" t="n"/>
      <c r="N67" s="285" t="n"/>
      <c r="O67" s="15" t="n"/>
      <c r="P67" s="15" t="n"/>
      <c r="Q67" s="285" t="n"/>
      <c r="R67" s="15" t="n"/>
      <c r="S67" s="15" t="n"/>
      <c r="T67" s="285" t="n"/>
      <c r="U67" s="15" t="n"/>
      <c r="V67" s="15" t="n"/>
      <c r="W67" s="285" t="n"/>
      <c r="X67" s="15" t="n"/>
      <c r="Y67" s="15" t="n"/>
      <c r="Z67" s="285" t="n"/>
      <c r="AA67" s="15" t="n"/>
      <c r="AB67" s="15" t="n"/>
      <c r="AC67" s="285" t="n"/>
      <c r="AD67" s="15" t="n"/>
      <c r="AE67" s="15" t="n"/>
      <c r="AF67" s="285" t="n"/>
      <c r="AG67" s="15" t="n"/>
      <c r="AH67" s="15" t="n"/>
      <c r="AI67" s="285" t="n"/>
      <c r="AJ67" s="15" t="n"/>
      <c r="AK67" s="15" t="n"/>
      <c r="AL67" s="285" t="n"/>
      <c r="AM67" s="327" t="n"/>
      <c r="AN67" s="15" t="n"/>
      <c r="AO67" s="285" t="n"/>
      <c r="AP67" s="327" t="n"/>
      <c r="AQ67" s="15" t="n"/>
      <c r="AR67" s="285" t="n"/>
      <c r="AS67" s="327" t="n"/>
      <c r="AT67" s="15" t="n"/>
      <c r="AU67" s="285" t="n"/>
      <c r="AV67" s="327" t="n"/>
      <c r="AW67" s="15" t="n"/>
      <c r="AX67" s="285" t="n"/>
      <c r="AY67" s="15" t="n"/>
      <c r="AZ67" s="15" t="n"/>
      <c r="BA67" s="287" t="n"/>
      <c r="BB67" s="37" t="n"/>
      <c r="BC67" s="287" t="n"/>
      <c r="BD67" s="37" t="n"/>
      <c r="BE67" s="287" t="n"/>
      <c r="BF67" s="37" t="n"/>
      <c r="BG67" s="287" t="n"/>
      <c r="BH67" s="37" t="n"/>
      <c r="BI67" s="288" t="n"/>
      <c r="BJ67" s="37" t="n"/>
      <c r="BK67" s="288" t="n"/>
      <c r="BL67" s="37" t="n"/>
      <c r="BM67" s="288" t="n"/>
      <c r="BN67" s="37" t="n"/>
      <c r="BO67" s="288" t="n"/>
      <c r="BP67" s="288" t="n"/>
      <c r="BQ67" s="37" t="n"/>
      <c r="BR67" s="288" t="n"/>
      <c r="BS67" s="37" t="n"/>
      <c r="BT67" s="288" t="n"/>
      <c r="BU67" s="37" t="n"/>
      <c r="BV67" s="288" t="n"/>
      <c r="BW67" s="37" t="n"/>
      <c r="BX67" s="288" t="n"/>
      <c r="BY67" s="37" t="n"/>
      <c r="BZ67" s="288" t="n"/>
      <c r="CA67" s="37" t="n"/>
      <c r="CB67" s="288" t="n"/>
      <c r="CC67" s="37" t="n"/>
      <c r="CD67" s="288" t="n"/>
      <c r="CE67" s="37" t="n"/>
      <c r="CF67" s="288" t="n"/>
      <c r="CG67" s="291" t="n"/>
      <c r="CH67" s="288" t="n"/>
      <c r="CI67" s="291" t="n"/>
      <c r="CJ67" s="288" t="n"/>
      <c r="CK67" s="291" t="n"/>
      <c r="CL67" s="288" t="n"/>
      <c r="CM67" s="291" t="n"/>
      <c r="CN67" s="288" t="n"/>
      <c r="CO67" s="80" t="n"/>
      <c r="CP67" s="288" t="n"/>
      <c r="CQ67" s="80" t="n"/>
      <c r="CR67" s="288" t="n"/>
      <c r="CS67" s="80" t="n"/>
      <c r="CT67" s="288" t="n"/>
      <c r="CU67" s="80" t="n"/>
      <c r="CV67" s="269" t="n"/>
      <c r="CW67" s="288" t="n"/>
      <c r="CX67" s="37" t="n"/>
      <c r="CY67" s="288" t="n"/>
      <c r="CZ67" s="37" t="n"/>
      <c r="DA67" s="288" t="n"/>
      <c r="DB67" s="37" t="n"/>
      <c r="DC67" s="288" t="n"/>
      <c r="DD67" s="37" t="n"/>
      <c r="DE67" s="295" t="n"/>
      <c r="DF67" s="295" t="n"/>
      <c r="DG67" s="288" t="n"/>
    </row>
    <row r="68">
      <c r="A68" s="428" t="n"/>
      <c r="B68" s="285" t="n"/>
      <c r="C68" s="15" t="n"/>
      <c r="D68" s="15" t="n"/>
      <c r="E68" s="285" t="n"/>
      <c r="F68" s="15" t="n"/>
      <c r="G68" s="15" t="n"/>
      <c r="H68" s="285" t="n"/>
      <c r="I68" s="15" t="n"/>
      <c r="J68" s="15" t="n"/>
      <c r="K68" s="285" t="n"/>
      <c r="L68" s="15" t="n"/>
      <c r="M68" s="15" t="n"/>
      <c r="N68" s="285" t="n"/>
      <c r="O68" s="15" t="n"/>
      <c r="P68" s="15" t="n"/>
      <c r="Q68" s="285" t="n"/>
      <c r="R68" s="15" t="n"/>
      <c r="S68" s="15" t="n"/>
      <c r="T68" s="285" t="n"/>
      <c r="U68" s="15" t="n"/>
      <c r="V68" s="15" t="n"/>
      <c r="W68" s="285" t="n"/>
      <c r="X68" s="15" t="n"/>
      <c r="Y68" s="15" t="n"/>
      <c r="Z68" s="285" t="n"/>
      <c r="AA68" s="15" t="n"/>
      <c r="AB68" s="15" t="n"/>
      <c r="AC68" s="285" t="n"/>
      <c r="AD68" s="15" t="n"/>
      <c r="AE68" s="15" t="n"/>
      <c r="AF68" s="285" t="n"/>
      <c r="AG68" s="15" t="n"/>
      <c r="AH68" s="15" t="n"/>
      <c r="AI68" s="285" t="n"/>
      <c r="AJ68" s="15" t="n"/>
      <c r="AK68" s="15" t="n"/>
      <c r="AL68" s="285" t="n"/>
      <c r="AM68" s="327" t="n"/>
      <c r="AN68" s="15" t="n"/>
      <c r="AO68" s="285" t="n"/>
      <c r="AP68" s="327" t="n"/>
      <c r="AQ68" s="15" t="n"/>
      <c r="AR68" s="285" t="n"/>
      <c r="AS68" s="327" t="n"/>
      <c r="AT68" s="15" t="n"/>
      <c r="AU68" s="285" t="n"/>
      <c r="AV68" s="327" t="n"/>
      <c r="AW68" s="15" t="n"/>
      <c r="AX68" s="285" t="n"/>
      <c r="AY68" s="15" t="n"/>
      <c r="AZ68" s="15" t="n"/>
      <c r="BA68" s="287" t="n"/>
      <c r="BB68" s="37" t="n"/>
      <c r="BC68" s="287" t="n"/>
      <c r="BD68" s="37" t="n"/>
      <c r="BE68" s="287" t="n"/>
      <c r="BF68" s="37" t="n"/>
      <c r="BG68" s="287" t="n"/>
      <c r="BH68" s="37" t="n"/>
      <c r="BI68" s="288" t="n"/>
      <c r="BJ68" s="37" t="n"/>
      <c r="BK68" s="288" t="n"/>
      <c r="BL68" s="37" t="n"/>
      <c r="BM68" s="288" t="n"/>
      <c r="BN68" s="37" t="n"/>
      <c r="BO68" s="288" t="n"/>
      <c r="BP68" s="288" t="n"/>
      <c r="BQ68" s="37" t="n"/>
      <c r="BR68" s="288" t="n"/>
      <c r="BS68" s="37" t="n"/>
      <c r="BT68" s="288" t="n"/>
      <c r="BU68" s="37" t="n"/>
      <c r="BV68" s="288" t="n"/>
      <c r="BW68" s="37" t="n"/>
      <c r="BX68" s="288" t="n"/>
      <c r="BY68" s="37" t="n"/>
      <c r="BZ68" s="288" t="n"/>
      <c r="CA68" s="37" t="n"/>
      <c r="CB68" s="288" t="n"/>
      <c r="CC68" s="37" t="n"/>
      <c r="CD68" s="288" t="n"/>
      <c r="CE68" s="37" t="n"/>
      <c r="CF68" s="288" t="n"/>
      <c r="CG68" s="291" t="n"/>
      <c r="CH68" s="288" t="n"/>
      <c r="CI68" s="291" t="n"/>
      <c r="CJ68" s="288" t="n"/>
      <c r="CK68" s="291" t="n"/>
      <c r="CL68" s="288" t="n"/>
      <c r="CM68" s="291" t="n"/>
      <c r="CN68" s="288" t="n"/>
      <c r="CO68" s="80" t="n"/>
      <c r="CP68" s="288" t="n"/>
      <c r="CQ68" s="80" t="n"/>
      <c r="CR68" s="288" t="n"/>
      <c r="CS68" s="80" t="n"/>
      <c r="CT68" s="288" t="n"/>
      <c r="CU68" s="80" t="n"/>
      <c r="CV68" s="269" t="n"/>
      <c r="CW68" s="288" t="n"/>
      <c r="CX68" s="37" t="n"/>
      <c r="CY68" s="288" t="n"/>
      <c r="CZ68" s="37" t="n"/>
      <c r="DA68" s="288" t="n"/>
      <c r="DB68" s="37" t="n"/>
      <c r="DC68" s="288" t="n"/>
      <c r="DD68" s="37" t="n"/>
      <c r="DE68" s="295" t="n"/>
      <c r="DF68" s="295" t="n"/>
      <c r="DG68" s="288" t="n"/>
    </row>
    <row r="69">
      <c r="A69" s="428" t="n"/>
      <c r="B69" s="285" t="n"/>
      <c r="C69" s="15" t="n"/>
      <c r="D69" s="15" t="n"/>
      <c r="E69" s="285" t="n"/>
      <c r="F69" s="15" t="n"/>
      <c r="G69" s="15" t="n"/>
      <c r="H69" s="285" t="n"/>
      <c r="I69" s="15" t="n"/>
      <c r="J69" s="15" t="n"/>
      <c r="K69" s="285" t="n"/>
      <c r="L69" s="15" t="n"/>
      <c r="M69" s="15" t="n"/>
      <c r="N69" s="285" t="n"/>
      <c r="O69" s="15" t="n"/>
      <c r="P69" s="15" t="n"/>
      <c r="Q69" s="285" t="n"/>
      <c r="R69" s="15" t="n"/>
      <c r="S69" s="15" t="n"/>
      <c r="T69" s="285" t="n"/>
      <c r="U69" s="15" t="n"/>
      <c r="V69" s="15" t="n"/>
      <c r="W69" s="285" t="n"/>
      <c r="X69" s="15" t="n"/>
      <c r="Y69" s="15" t="n"/>
      <c r="Z69" s="285" t="n"/>
      <c r="AA69" s="15" t="n"/>
      <c r="AB69" s="15" t="n"/>
      <c r="AC69" s="285" t="n"/>
      <c r="AD69" s="15" t="n"/>
      <c r="AE69" s="15" t="n"/>
      <c r="AF69" s="285" t="n"/>
      <c r="AG69" s="15" t="n"/>
      <c r="AH69" s="15" t="n"/>
      <c r="AI69" s="285" t="n"/>
      <c r="AJ69" s="15" t="n"/>
      <c r="AK69" s="15" t="n"/>
      <c r="AL69" s="285" t="n"/>
      <c r="AM69" s="327" t="n"/>
      <c r="AN69" s="15" t="n"/>
      <c r="AO69" s="285" t="n"/>
      <c r="AP69" s="327" t="n"/>
      <c r="AQ69" s="15" t="n"/>
      <c r="AR69" s="285" t="n"/>
      <c r="AS69" s="327" t="n"/>
      <c r="AT69" s="15" t="n"/>
      <c r="AU69" s="285" t="n"/>
      <c r="AV69" s="327" t="n"/>
      <c r="AW69" s="15" t="n"/>
      <c r="AX69" s="285" t="n"/>
      <c r="AY69" s="15" t="n"/>
      <c r="AZ69" s="15" t="n"/>
      <c r="BA69" s="287" t="n"/>
      <c r="BB69" s="37" t="n"/>
      <c r="BC69" s="287" t="n"/>
      <c r="BD69" s="37" t="n"/>
      <c r="BE69" s="287" t="n"/>
      <c r="BF69" s="37" t="n"/>
      <c r="BG69" s="287" t="n"/>
      <c r="BH69" s="37" t="n"/>
      <c r="BI69" s="288" t="n"/>
      <c r="BJ69" s="37" t="n"/>
      <c r="BK69" s="288" t="n"/>
      <c r="BL69" s="37" t="n"/>
      <c r="BM69" s="288" t="n"/>
      <c r="BN69" s="37" t="n"/>
      <c r="BO69" s="288" t="n"/>
      <c r="BP69" s="288" t="n"/>
      <c r="BQ69" s="37" t="n"/>
      <c r="BR69" s="288" t="n"/>
      <c r="BS69" s="37" t="n"/>
      <c r="BT69" s="288" t="n"/>
      <c r="BU69" s="37" t="n"/>
      <c r="BV69" s="288" t="n"/>
      <c r="BW69" s="37" t="n"/>
      <c r="BX69" s="288" t="n"/>
      <c r="BY69" s="37" t="n"/>
      <c r="BZ69" s="288" t="n"/>
      <c r="CA69" s="37" t="n"/>
      <c r="CB69" s="288" t="n"/>
      <c r="CC69" s="37" t="n"/>
      <c r="CD69" s="288" t="n"/>
      <c r="CE69" s="37" t="n"/>
      <c r="CF69" s="288" t="n"/>
      <c r="CG69" s="291" t="n"/>
      <c r="CH69" s="288" t="n"/>
      <c r="CI69" s="291" t="n"/>
      <c r="CJ69" s="288" t="n"/>
      <c r="CK69" s="291" t="n"/>
      <c r="CL69" s="288" t="n"/>
      <c r="CM69" s="291" t="n"/>
      <c r="CN69" s="288" t="n"/>
      <c r="CO69" s="80" t="n"/>
      <c r="CP69" s="288" t="n"/>
      <c r="CQ69" s="80" t="n"/>
      <c r="CR69" s="288" t="n"/>
      <c r="CS69" s="80" t="n"/>
      <c r="CT69" s="288" t="n"/>
      <c r="CU69" s="80" t="n"/>
      <c r="CV69" s="269" t="n"/>
      <c r="CW69" s="288" t="n"/>
      <c r="CX69" s="37" t="n"/>
      <c r="CY69" s="288" t="n"/>
      <c r="CZ69" s="37" t="n"/>
      <c r="DA69" s="288" t="n"/>
      <c r="DB69" s="37" t="n"/>
      <c r="DC69" s="288" t="n"/>
      <c r="DD69" s="37" t="n"/>
      <c r="DE69" s="295" t="n"/>
      <c r="DF69" s="295" t="n"/>
      <c r="DG69" s="288" t="n"/>
    </row>
    <row r="70" ht="15" customHeight="1">
      <c r="A70" s="428" t="n"/>
      <c r="B70" s="285" t="n"/>
      <c r="C70" s="15" t="n"/>
      <c r="D70" s="15" t="n"/>
      <c r="E70" s="285" t="n"/>
      <c r="F70" s="15" t="n"/>
      <c r="G70" s="15" t="n"/>
      <c r="H70" s="285" t="n"/>
      <c r="I70" s="15" t="n"/>
      <c r="J70" s="15" t="n"/>
      <c r="K70" s="285" t="n"/>
      <c r="L70" s="15" t="n"/>
      <c r="M70" s="15" t="n"/>
      <c r="N70" s="285" t="n"/>
      <c r="O70" s="15" t="n"/>
      <c r="P70" s="15" t="n"/>
      <c r="Q70" s="285" t="n"/>
      <c r="R70" s="15" t="n"/>
      <c r="S70" s="15" t="n"/>
      <c r="T70" s="285" t="n"/>
      <c r="U70" s="15" t="n"/>
      <c r="V70" s="15" t="n"/>
      <c r="W70" s="285" t="n"/>
      <c r="X70" s="15" t="n"/>
      <c r="Y70" s="15" t="n"/>
      <c r="Z70" s="285" t="n"/>
      <c r="AA70" s="15" t="n"/>
      <c r="AB70" s="15" t="n"/>
      <c r="AC70" s="285" t="n"/>
      <c r="AD70" s="15" t="n"/>
      <c r="AE70" s="15" t="n"/>
      <c r="AF70" s="285" t="n"/>
      <c r="AG70" s="15" t="n"/>
      <c r="AH70" s="15" t="n"/>
      <c r="AI70" s="285" t="n"/>
      <c r="AJ70" s="15" t="n"/>
      <c r="AK70" s="15" t="n"/>
      <c r="AL70" s="285" t="n"/>
      <c r="AM70" s="327" t="n"/>
      <c r="AN70" s="15" t="n"/>
      <c r="AO70" s="285" t="n"/>
      <c r="AP70" s="327" t="n"/>
      <c r="AQ70" s="15" t="n"/>
      <c r="AR70" s="285" t="n"/>
      <c r="AS70" s="327" t="n"/>
      <c r="AT70" s="15" t="n"/>
      <c r="AU70" s="285" t="n"/>
      <c r="AV70" s="327" t="n"/>
      <c r="AW70" s="15" t="n"/>
      <c r="AX70" s="285" t="n"/>
      <c r="AY70" s="15" t="n"/>
      <c r="AZ70" s="15" t="n"/>
      <c r="BA70" s="287" t="n"/>
      <c r="BB70" s="37" t="n"/>
      <c r="BC70" s="287" t="n"/>
      <c r="BD70" s="37" t="n"/>
      <c r="BE70" s="287" t="n"/>
      <c r="BF70" s="37" t="n"/>
      <c r="BG70" s="287" t="n"/>
      <c r="BH70" s="37" t="n"/>
      <c r="BI70" s="288" t="n"/>
      <c r="BJ70" s="37" t="n"/>
      <c r="BK70" s="288" t="n"/>
      <c r="BL70" s="37" t="n"/>
      <c r="BM70" s="288" t="n"/>
      <c r="BN70" s="37" t="n"/>
      <c r="BO70" s="288" t="n"/>
      <c r="BP70" s="288" t="n"/>
      <c r="BQ70" s="37" t="n"/>
      <c r="BR70" s="288" t="n"/>
      <c r="BS70" s="37" t="n"/>
      <c r="BT70" s="288" t="n"/>
      <c r="BU70" s="37" t="n"/>
      <c r="BV70" s="288" t="n"/>
      <c r="BW70" s="37" t="n"/>
      <c r="BX70" s="288" t="n"/>
      <c r="BY70" s="37" t="n"/>
      <c r="BZ70" s="288" t="n"/>
      <c r="CA70" s="37" t="n"/>
      <c r="CB70" s="288" t="n"/>
      <c r="CC70" s="37" t="n"/>
      <c r="CD70" s="288" t="n"/>
      <c r="CE70" s="37" t="n"/>
      <c r="CF70" s="288" t="n"/>
      <c r="CG70" s="291" t="n"/>
      <c r="CH70" s="288" t="n"/>
      <c r="CI70" s="291" t="n"/>
      <c r="CJ70" s="288" t="n"/>
      <c r="CK70" s="291" t="n"/>
      <c r="CL70" s="288" t="n"/>
      <c r="CM70" s="291" t="n"/>
      <c r="CN70" s="288" t="n"/>
      <c r="CO70" s="80" t="n"/>
      <c r="CP70" s="288" t="n"/>
      <c r="CQ70" s="80" t="n"/>
      <c r="CR70" s="288" t="n"/>
      <c r="CS70" s="80" t="n"/>
      <c r="CT70" s="288" t="n"/>
      <c r="CU70" s="80" t="n"/>
      <c r="CV70" s="269" t="n"/>
      <c r="CW70" s="288" t="n"/>
      <c r="CX70" s="37" t="n"/>
      <c r="CY70" s="288" t="n"/>
      <c r="CZ70" s="37" t="n"/>
      <c r="DA70" s="288" t="n"/>
      <c r="DB70" s="37" t="n"/>
      <c r="DC70" s="288" t="n"/>
      <c r="DD70" s="37" t="n"/>
      <c r="DE70" s="295" t="n"/>
      <c r="DF70" s="295" t="n"/>
      <c r="DG70" s="288" t="n"/>
    </row>
    <row r="71">
      <c r="A71" s="428" t="n"/>
      <c r="B71" s="285" t="n"/>
      <c r="C71" s="15" t="n"/>
      <c r="D71" s="15" t="n"/>
      <c r="E71" s="285" t="n"/>
      <c r="F71" s="15" t="n"/>
      <c r="G71" s="15" t="n"/>
      <c r="H71" s="285" t="n"/>
      <c r="I71" s="15" t="n"/>
      <c r="J71" s="15" t="n"/>
      <c r="K71" s="285" t="n"/>
      <c r="L71" s="15" t="n"/>
      <c r="M71" s="15" t="n"/>
      <c r="N71" s="285" t="n"/>
      <c r="O71" s="15" t="n"/>
      <c r="P71" s="15" t="n"/>
      <c r="Q71" s="285" t="n"/>
      <c r="R71" s="15" t="n"/>
      <c r="S71" s="15" t="n"/>
      <c r="T71" s="285" t="n"/>
      <c r="U71" s="15" t="n"/>
      <c r="V71" s="15" t="n"/>
      <c r="W71" s="285" t="n"/>
      <c r="X71" s="15" t="n"/>
      <c r="Y71" s="15" t="n"/>
      <c r="Z71" s="285" t="n"/>
      <c r="AA71" s="15" t="n"/>
      <c r="AB71" s="15" t="n"/>
      <c r="AC71" s="285" t="n"/>
      <c r="AD71" s="15" t="n"/>
      <c r="AE71" s="15" t="n"/>
      <c r="AF71" s="285" t="n"/>
      <c r="AG71" s="15" t="n"/>
      <c r="AH71" s="15" t="n"/>
      <c r="AI71" s="285" t="n"/>
      <c r="AJ71" s="15" t="n"/>
      <c r="AK71" s="15" t="n"/>
      <c r="AL71" s="285" t="n"/>
      <c r="AM71" s="327" t="n"/>
      <c r="AN71" s="15" t="n"/>
      <c r="AO71" s="285" t="n"/>
      <c r="AP71" s="327" t="n"/>
      <c r="AQ71" s="15" t="n"/>
      <c r="AR71" s="285" t="n"/>
      <c r="AS71" s="327" t="n"/>
      <c r="AT71" s="15" t="n"/>
      <c r="AU71" s="285" t="n"/>
      <c r="AV71" s="327" t="n"/>
      <c r="AW71" s="15" t="n"/>
      <c r="AX71" s="285" t="n"/>
      <c r="AY71" s="15" t="n"/>
      <c r="AZ71" s="15" t="n"/>
      <c r="BA71" s="287" t="n"/>
      <c r="BB71" s="37" t="n"/>
      <c r="BC71" s="287" t="n"/>
      <c r="BD71" s="37" t="n"/>
      <c r="BE71" s="287" t="n"/>
      <c r="BF71" s="37" t="n"/>
      <c r="BG71" s="287" t="n"/>
      <c r="BH71" s="37" t="n"/>
      <c r="BI71" s="288" t="n"/>
      <c r="BJ71" s="37" t="n"/>
      <c r="BK71" s="288" t="n"/>
      <c r="BL71" s="37" t="n"/>
      <c r="BM71" s="288" t="n"/>
      <c r="BN71" s="37" t="n"/>
      <c r="BO71" s="288" t="n"/>
      <c r="BP71" s="288" t="n"/>
      <c r="BQ71" s="37" t="n"/>
      <c r="BR71" s="288" t="n"/>
      <c r="BS71" s="37" t="n"/>
      <c r="BT71" s="288" t="n"/>
      <c r="BU71" s="37" t="n"/>
      <c r="BV71" s="288" t="n"/>
      <c r="BW71" s="37" t="n"/>
      <c r="BX71" s="288" t="n"/>
      <c r="BY71" s="37" t="n"/>
      <c r="BZ71" s="288" t="n"/>
      <c r="CA71" s="37" t="n"/>
      <c r="CB71" s="288" t="n"/>
      <c r="CC71" s="37" t="n"/>
      <c r="CD71" s="288" t="n"/>
      <c r="CE71" s="37" t="n"/>
      <c r="CF71" s="288" t="n"/>
      <c r="CG71" s="291" t="n"/>
      <c r="CH71" s="288" t="n"/>
      <c r="CI71" s="291" t="n"/>
      <c r="CJ71" s="288" t="n"/>
      <c r="CK71" s="291" t="n"/>
      <c r="CL71" s="288" t="n"/>
      <c r="CM71" s="291" t="n"/>
      <c r="CN71" s="288" t="n"/>
      <c r="CO71" s="80" t="n"/>
      <c r="CP71" s="288" t="n"/>
      <c r="CQ71" s="80" t="n"/>
      <c r="CR71" s="288" t="n"/>
      <c r="CS71" s="80" t="n"/>
      <c r="CT71" s="288" t="n"/>
      <c r="CU71" s="80" t="n"/>
      <c r="CV71" s="269" t="n"/>
      <c r="CW71" s="288" t="n"/>
      <c r="CX71" s="37" t="n"/>
      <c r="CY71" s="288" t="n"/>
      <c r="CZ71" s="37" t="n"/>
      <c r="DA71" s="288" t="n"/>
      <c r="DB71" s="37" t="n"/>
      <c r="DC71" s="288" t="n"/>
      <c r="DD71" s="37" t="n"/>
      <c r="DE71" s="295" t="n"/>
      <c r="DF71" s="295" t="n"/>
      <c r="DG71" s="288" t="n"/>
    </row>
    <row r="72">
      <c r="A72" s="428" t="n"/>
      <c r="B72" s="285" t="n"/>
      <c r="C72" s="15" t="n"/>
      <c r="D72" s="15" t="n"/>
      <c r="E72" s="285" t="n"/>
      <c r="F72" s="15" t="n"/>
      <c r="G72" s="15" t="n"/>
      <c r="H72" s="285" t="n"/>
      <c r="I72" s="15" t="n"/>
      <c r="J72" s="15" t="n"/>
      <c r="K72" s="285" t="n"/>
      <c r="L72" s="15" t="n"/>
      <c r="M72" s="15" t="n"/>
      <c r="N72" s="285" t="n"/>
      <c r="O72" s="15" t="n"/>
      <c r="P72" s="15" t="n"/>
      <c r="Q72" s="285" t="n"/>
      <c r="R72" s="15" t="n"/>
      <c r="S72" s="15" t="n"/>
      <c r="T72" s="285" t="n"/>
      <c r="U72" s="15" t="n"/>
      <c r="V72" s="15" t="n"/>
      <c r="W72" s="285" t="n"/>
      <c r="X72" s="15" t="n"/>
      <c r="Y72" s="15" t="n"/>
      <c r="Z72" s="285" t="n"/>
      <c r="AA72" s="15" t="n"/>
      <c r="AB72" s="15" t="n"/>
      <c r="AC72" s="285" t="n"/>
      <c r="AD72" s="15" t="n"/>
      <c r="AE72" s="15" t="n"/>
      <c r="AF72" s="285" t="n"/>
      <c r="AG72" s="15" t="n"/>
      <c r="AH72" s="15" t="n"/>
      <c r="AI72" s="285" t="n"/>
      <c r="AJ72" s="15" t="n"/>
      <c r="AK72" s="15" t="n"/>
      <c r="AL72" s="285" t="n"/>
      <c r="AM72" s="327" t="n"/>
      <c r="AN72" s="15" t="n"/>
      <c r="AO72" s="285" t="n"/>
      <c r="AP72" s="327" t="n"/>
      <c r="AQ72" s="15" t="n"/>
      <c r="AR72" s="285" t="n"/>
      <c r="AS72" s="327" t="n"/>
      <c r="AT72" s="15" t="n"/>
      <c r="AU72" s="285" t="n"/>
      <c r="AV72" s="327" t="n"/>
      <c r="AW72" s="15" t="n"/>
      <c r="AX72" s="285" t="n"/>
      <c r="AY72" s="15" t="n"/>
      <c r="AZ72" s="15" t="n"/>
      <c r="BA72" s="287" t="n"/>
      <c r="BB72" s="37" t="n"/>
      <c r="BC72" s="287" t="n"/>
      <c r="BD72" s="37" t="n"/>
      <c r="BE72" s="287" t="n"/>
      <c r="BF72" s="37" t="n"/>
      <c r="BG72" s="287" t="n"/>
      <c r="BH72" s="37" t="n"/>
      <c r="BI72" s="288" t="n"/>
      <c r="BJ72" s="37" t="n"/>
      <c r="BK72" s="288" t="n"/>
      <c r="BL72" s="37" t="n"/>
      <c r="BM72" s="288" t="n"/>
      <c r="BN72" s="37" t="n"/>
      <c r="BO72" s="288" t="n"/>
      <c r="BP72" s="288" t="n"/>
      <c r="BQ72" s="37" t="n"/>
      <c r="BR72" s="288" t="n"/>
      <c r="BS72" s="37" t="n"/>
      <c r="BT72" s="288" t="n"/>
      <c r="BU72" s="37" t="n"/>
      <c r="BV72" s="288" t="n"/>
      <c r="BW72" s="37" t="n"/>
      <c r="BX72" s="288" t="n"/>
      <c r="BY72" s="37" t="n"/>
      <c r="BZ72" s="288" t="n"/>
      <c r="CA72" s="37" t="n"/>
      <c r="CB72" s="288" t="n"/>
      <c r="CC72" s="37" t="n"/>
      <c r="CD72" s="288" t="n"/>
      <c r="CE72" s="37" t="n"/>
      <c r="CF72" s="288" t="n"/>
      <c r="CG72" s="291" t="n"/>
      <c r="CH72" s="288" t="n"/>
      <c r="CI72" s="291" t="n"/>
      <c r="CJ72" s="288" t="n"/>
      <c r="CK72" s="291" t="n"/>
      <c r="CL72" s="288" t="n"/>
      <c r="CM72" s="291" t="n"/>
      <c r="CN72" s="288" t="n"/>
      <c r="CO72" s="80" t="n"/>
      <c r="CP72" s="288" t="n"/>
      <c r="CQ72" s="80" t="n"/>
      <c r="CR72" s="288" t="n"/>
      <c r="CS72" s="80" t="n"/>
      <c r="CT72" s="288" t="n"/>
      <c r="CU72" s="80" t="n"/>
      <c r="CV72" s="269" t="n"/>
      <c r="CW72" s="288" t="n"/>
      <c r="CX72" s="37" t="n"/>
      <c r="CY72" s="288" t="n"/>
      <c r="CZ72" s="37" t="n"/>
      <c r="DA72" s="288" t="n"/>
      <c r="DB72" s="37" t="n"/>
      <c r="DC72" s="288" t="n"/>
      <c r="DD72" s="37" t="n"/>
      <c r="DE72" s="295" t="n"/>
      <c r="DF72" s="295" t="n"/>
      <c r="DG72" s="288" t="n"/>
    </row>
    <row r="73">
      <c r="A73" s="428" t="n"/>
      <c r="B73" s="285" t="n"/>
      <c r="C73" s="15" t="n"/>
      <c r="D73" s="15" t="n"/>
      <c r="E73" s="285" t="n"/>
      <c r="F73" s="15" t="n"/>
      <c r="G73" s="15" t="n"/>
      <c r="H73" s="285" t="n"/>
      <c r="I73" s="15" t="n"/>
      <c r="J73" s="15" t="n"/>
      <c r="K73" s="285" t="n"/>
      <c r="L73" s="15" t="n"/>
      <c r="M73" s="15" t="n"/>
      <c r="N73" s="285" t="n"/>
      <c r="O73" s="15" t="n"/>
      <c r="P73" s="15" t="n"/>
      <c r="Q73" s="285" t="n"/>
      <c r="R73" s="15" t="n"/>
      <c r="S73" s="15" t="n"/>
      <c r="T73" s="285" t="n"/>
      <c r="U73" s="15" t="n"/>
      <c r="V73" s="15" t="n"/>
      <c r="W73" s="285" t="n"/>
      <c r="X73" s="15" t="n"/>
      <c r="Y73" s="15" t="n"/>
      <c r="Z73" s="285" t="n"/>
      <c r="AA73" s="15" t="n"/>
      <c r="AB73" s="15" t="n"/>
      <c r="AC73" s="285" t="n"/>
      <c r="AD73" s="15" t="n"/>
      <c r="AE73" s="15" t="n"/>
      <c r="AF73" s="285" t="n"/>
      <c r="AG73" s="15" t="n"/>
      <c r="AH73" s="15" t="n"/>
      <c r="AI73" s="285" t="n"/>
      <c r="AJ73" s="15" t="n"/>
      <c r="AK73" s="15" t="n"/>
      <c r="AL73" s="285" t="n"/>
      <c r="AM73" s="327" t="n"/>
      <c r="AN73" s="15" t="n"/>
      <c r="AO73" s="285" t="n"/>
      <c r="AP73" s="327" t="n"/>
      <c r="AQ73" s="15" t="n"/>
      <c r="AR73" s="285" t="n"/>
      <c r="AS73" s="327" t="n"/>
      <c r="AT73" s="15" t="n"/>
      <c r="AU73" s="285" t="n"/>
      <c r="AV73" s="327" t="n"/>
      <c r="AW73" s="15" t="n"/>
      <c r="AX73" s="285" t="n"/>
      <c r="AY73" s="15" t="n"/>
      <c r="AZ73" s="15" t="n"/>
      <c r="BA73" s="287" t="n"/>
      <c r="BB73" s="37" t="n"/>
      <c r="BC73" s="287" t="n"/>
      <c r="BD73" s="37" t="n"/>
      <c r="BE73" s="287" t="n"/>
      <c r="BF73" s="37" t="n"/>
      <c r="BG73" s="287" t="n"/>
      <c r="BH73" s="37" t="n"/>
      <c r="BI73" s="288" t="n"/>
      <c r="BJ73" s="37" t="n"/>
      <c r="BK73" s="288" t="n"/>
      <c r="BL73" s="37" t="n"/>
      <c r="BM73" s="288" t="n"/>
      <c r="BN73" s="37" t="n"/>
      <c r="BO73" s="288" t="n"/>
      <c r="BP73" s="288" t="n"/>
      <c r="BQ73" s="37" t="n"/>
      <c r="BR73" s="288" t="n"/>
      <c r="BS73" s="37" t="n"/>
      <c r="BT73" s="288" t="n"/>
      <c r="BU73" s="37" t="n"/>
      <c r="BV73" s="288" t="n"/>
      <c r="BW73" s="37" t="n"/>
      <c r="BX73" s="288" t="n"/>
      <c r="BY73" s="37" t="n"/>
      <c r="BZ73" s="288" t="n"/>
      <c r="CA73" s="37" t="n"/>
      <c r="CB73" s="288" t="n"/>
      <c r="CC73" s="37" t="n"/>
      <c r="CD73" s="288" t="n"/>
      <c r="CE73" s="37" t="n"/>
      <c r="CF73" s="288" t="n"/>
      <c r="CG73" s="291" t="n"/>
      <c r="CH73" s="288" t="n"/>
      <c r="CI73" s="291" t="n"/>
      <c r="CJ73" s="288" t="n"/>
      <c r="CK73" s="291" t="n"/>
      <c r="CL73" s="288" t="n"/>
      <c r="CM73" s="291" t="n"/>
      <c r="CN73" s="288" t="n"/>
      <c r="CO73" s="80" t="n"/>
      <c r="CP73" s="288" t="n"/>
      <c r="CQ73" s="80" t="n"/>
      <c r="CR73" s="288" t="n"/>
      <c r="CS73" s="80" t="n"/>
      <c r="CT73" s="288" t="n"/>
      <c r="CU73" s="80" t="n"/>
      <c r="CV73" s="269" t="n"/>
      <c r="CW73" s="288" t="n"/>
      <c r="CX73" s="37" t="n"/>
      <c r="CY73" s="288" t="n"/>
      <c r="CZ73" s="37" t="n"/>
      <c r="DA73" s="288" t="n"/>
      <c r="DB73" s="37" t="n"/>
      <c r="DC73" s="288" t="n"/>
      <c r="DD73" s="37" t="n"/>
      <c r="DE73" s="295" t="n"/>
      <c r="DF73" s="295" t="n"/>
      <c r="DG73" s="288" t="n"/>
    </row>
    <row r="74">
      <c r="A74" s="428" t="n"/>
      <c r="B74" s="285" t="n"/>
      <c r="C74" s="15" t="n"/>
      <c r="D74" s="15" t="n"/>
      <c r="E74" s="285" t="n"/>
      <c r="F74" s="15" t="n"/>
      <c r="G74" s="15" t="n"/>
      <c r="H74" s="285" t="n"/>
      <c r="I74" s="15" t="n"/>
      <c r="J74" s="15" t="n"/>
      <c r="K74" s="285" t="n"/>
      <c r="L74" s="15" t="n"/>
      <c r="M74" s="15" t="n"/>
      <c r="N74" s="285" t="n"/>
      <c r="O74" s="15" t="n"/>
      <c r="P74" s="15" t="n"/>
      <c r="Q74" s="285" t="n"/>
      <c r="R74" s="15" t="n"/>
      <c r="S74" s="15" t="n"/>
      <c r="T74" s="285" t="n"/>
      <c r="U74" s="15" t="n"/>
      <c r="V74" s="15" t="n"/>
      <c r="W74" s="285" t="n"/>
      <c r="X74" s="15" t="n"/>
      <c r="Y74" s="15" t="n"/>
      <c r="Z74" s="285" t="n"/>
      <c r="AA74" s="15" t="n"/>
      <c r="AB74" s="15" t="n"/>
      <c r="AC74" s="285" t="n"/>
      <c r="AD74" s="15" t="n"/>
      <c r="AE74" s="15" t="n"/>
      <c r="AF74" s="285" t="n"/>
      <c r="AG74" s="15" t="n"/>
      <c r="AH74" s="15" t="n"/>
      <c r="AI74" s="285" t="n"/>
      <c r="AJ74" s="15" t="n"/>
      <c r="AK74" s="15" t="n"/>
      <c r="AL74" s="285" t="n"/>
      <c r="AM74" s="327" t="n"/>
      <c r="AN74" s="15" t="n"/>
      <c r="AO74" s="285" t="n"/>
      <c r="AP74" s="327" t="n"/>
      <c r="AQ74" s="15" t="n"/>
      <c r="AR74" s="285" t="n"/>
      <c r="AS74" s="327" t="n"/>
      <c r="AT74" s="15" t="n"/>
      <c r="AU74" s="285" t="n"/>
      <c r="AV74" s="327" t="n"/>
      <c r="AW74" s="15" t="n"/>
      <c r="AX74" s="285" t="n"/>
      <c r="AY74" s="15" t="n"/>
      <c r="AZ74" s="15" t="n"/>
      <c r="BA74" s="287" t="n"/>
      <c r="BB74" s="37" t="n"/>
      <c r="BC74" s="287" t="n"/>
      <c r="BD74" s="37" t="n"/>
      <c r="BE74" s="287" t="n"/>
      <c r="BF74" s="37" t="n"/>
      <c r="BG74" s="287" t="n"/>
      <c r="BH74" s="37" t="n"/>
      <c r="BI74" s="288" t="n"/>
      <c r="BJ74" s="37" t="n"/>
      <c r="BK74" s="288" t="n"/>
      <c r="BL74" s="37" t="n"/>
      <c r="BM74" s="288" t="n"/>
      <c r="BN74" s="37" t="n"/>
      <c r="BO74" s="288" t="n"/>
      <c r="BP74" s="288" t="n"/>
      <c r="BQ74" s="37" t="n"/>
      <c r="BR74" s="288" t="n"/>
      <c r="BS74" s="37" t="n"/>
      <c r="BT74" s="288" t="n"/>
      <c r="BU74" s="37" t="n"/>
      <c r="BV74" s="288" t="n"/>
      <c r="BW74" s="37" t="n"/>
      <c r="BX74" s="288" t="n"/>
      <c r="BY74" s="37" t="n"/>
      <c r="BZ74" s="288" t="n"/>
      <c r="CA74" s="37" t="n"/>
      <c r="CB74" s="288" t="n"/>
      <c r="CC74" s="37" t="n"/>
      <c r="CD74" s="288" t="n"/>
      <c r="CE74" s="37" t="n"/>
      <c r="CF74" s="288" t="n"/>
      <c r="CG74" s="291" t="n"/>
      <c r="CH74" s="288" t="n"/>
      <c r="CI74" s="291" t="n"/>
      <c r="CJ74" s="288" t="n"/>
      <c r="CK74" s="291" t="n"/>
      <c r="CL74" s="288" t="n"/>
      <c r="CM74" s="291" t="n"/>
      <c r="CN74" s="288" t="n"/>
      <c r="CO74" s="80" t="n"/>
      <c r="CP74" s="288" t="n"/>
      <c r="CQ74" s="80" t="n"/>
      <c r="CR74" s="288" t="n"/>
      <c r="CS74" s="80" t="n"/>
      <c r="CT74" s="288" t="n"/>
      <c r="CU74" s="80" t="n"/>
      <c r="CV74" s="269" t="n"/>
      <c r="CW74" s="288" t="n"/>
      <c r="CX74" s="37" t="n"/>
      <c r="CY74" s="288" t="n"/>
      <c r="CZ74" s="37" t="n"/>
      <c r="DA74" s="288" t="n"/>
      <c r="DB74" s="37" t="n"/>
      <c r="DC74" s="288" t="n"/>
      <c r="DD74" s="37" t="n"/>
      <c r="DE74" s="295" t="n"/>
      <c r="DF74" s="295" t="n"/>
      <c r="DG74" s="288" t="n"/>
    </row>
    <row r="75">
      <c r="A75" s="428" t="n"/>
      <c r="B75" s="285" t="n"/>
      <c r="C75" s="15" t="n"/>
      <c r="D75" s="15" t="n"/>
      <c r="E75" s="285" t="n"/>
      <c r="F75" s="15" t="n"/>
      <c r="G75" s="15" t="n"/>
      <c r="H75" s="285" t="n"/>
      <c r="I75" s="15" t="n"/>
      <c r="J75" s="15" t="n"/>
      <c r="K75" s="285" t="n"/>
      <c r="L75" s="15" t="n"/>
      <c r="M75" s="15" t="n"/>
      <c r="N75" s="285" t="n"/>
      <c r="O75" s="15" t="n"/>
      <c r="P75" s="15" t="n"/>
      <c r="Q75" s="285" t="n"/>
      <c r="R75" s="15" t="n"/>
      <c r="S75" s="15" t="n"/>
      <c r="T75" s="285" t="n"/>
      <c r="U75" s="15" t="n"/>
      <c r="V75" s="15" t="n"/>
      <c r="W75" s="285" t="n"/>
      <c r="X75" s="15" t="n"/>
      <c r="Y75" s="15" t="n"/>
      <c r="Z75" s="285" t="n"/>
      <c r="AA75" s="15" t="n"/>
      <c r="AB75" s="15" t="n"/>
      <c r="AC75" s="285" t="n"/>
      <c r="AD75" s="15" t="n"/>
      <c r="AE75" s="15" t="n"/>
      <c r="AF75" s="285" t="n"/>
      <c r="AG75" s="15" t="n"/>
      <c r="AH75" s="15" t="n"/>
      <c r="AI75" s="285" t="n"/>
      <c r="AJ75" s="15" t="n"/>
      <c r="AK75" s="15" t="n"/>
      <c r="AL75" s="285" t="n"/>
      <c r="AM75" s="327" t="n"/>
      <c r="AN75" s="15" t="n"/>
      <c r="AO75" s="285" t="n"/>
      <c r="AP75" s="327" t="n"/>
      <c r="AQ75" s="15" t="n"/>
      <c r="AR75" s="285" t="n"/>
      <c r="AS75" s="327" t="n"/>
      <c r="AT75" s="15" t="n"/>
      <c r="AU75" s="285" t="n"/>
      <c r="AV75" s="327" t="n"/>
      <c r="AW75" s="15" t="n"/>
      <c r="AX75" s="285" t="n"/>
      <c r="AY75" s="15" t="n"/>
      <c r="AZ75" s="15" t="n"/>
      <c r="BA75" s="287" t="n"/>
      <c r="BB75" s="37" t="n"/>
      <c r="BC75" s="287" t="n"/>
      <c r="BD75" s="37" t="n"/>
      <c r="BE75" s="287" t="n"/>
      <c r="BF75" s="37" t="n"/>
      <c r="BG75" s="287" t="n"/>
      <c r="BH75" s="37" t="n"/>
      <c r="BI75" s="288" t="n"/>
      <c r="BJ75" s="37" t="n"/>
      <c r="BK75" s="288" t="n"/>
      <c r="BL75" s="37" t="n"/>
      <c r="BM75" s="288" t="n"/>
      <c r="BN75" s="37" t="n"/>
      <c r="BO75" s="288" t="n"/>
      <c r="BP75" s="288" t="n"/>
      <c r="BQ75" s="37" t="n"/>
      <c r="BR75" s="288" t="n"/>
      <c r="BS75" s="37" t="n"/>
      <c r="BT75" s="288" t="n"/>
      <c r="BU75" s="37" t="n"/>
      <c r="BV75" s="288" t="n"/>
      <c r="BW75" s="37" t="n"/>
      <c r="BX75" s="288" t="n"/>
      <c r="BY75" s="37" t="n"/>
      <c r="BZ75" s="288" t="n"/>
      <c r="CA75" s="37" t="n"/>
      <c r="CB75" s="288" t="n"/>
      <c r="CC75" s="37" t="n"/>
      <c r="CD75" s="288" t="n"/>
      <c r="CE75" s="37" t="n"/>
      <c r="CF75" s="288" t="n"/>
      <c r="CG75" s="291" t="n"/>
      <c r="CH75" s="288" t="n"/>
      <c r="CI75" s="291" t="n"/>
      <c r="CJ75" s="288" t="n"/>
      <c r="CK75" s="291" t="n"/>
      <c r="CL75" s="288" t="n"/>
      <c r="CM75" s="291" t="n"/>
      <c r="CN75" s="288" t="n"/>
      <c r="CO75" s="80" t="n"/>
      <c r="CP75" s="288" t="n"/>
      <c r="CQ75" s="80" t="n"/>
      <c r="CR75" s="288" t="n"/>
      <c r="CS75" s="80" t="n"/>
      <c r="CT75" s="288" t="n"/>
      <c r="CU75" s="80" t="n"/>
      <c r="CV75" s="269" t="n"/>
      <c r="CW75" s="288" t="n"/>
      <c r="CX75" s="37" t="n"/>
      <c r="CY75" s="288" t="n"/>
      <c r="CZ75" s="37" t="n"/>
      <c r="DA75" s="288" t="n"/>
      <c r="DB75" s="37" t="n"/>
      <c r="DC75" s="288" t="n"/>
      <c r="DD75" s="37" t="n"/>
      <c r="DE75" s="295" t="n"/>
      <c r="DF75" s="295" t="n"/>
      <c r="DG75" s="288" t="n"/>
    </row>
    <row r="76" ht="13" customFormat="1" customHeight="1" s="40">
      <c r="A76" s="330" t="n"/>
      <c r="B76" s="292" t="n"/>
      <c r="C76" s="15" t="n"/>
      <c r="D76" s="15" t="n"/>
      <c r="E76" s="292" t="n"/>
      <c r="F76" s="15" t="n"/>
      <c r="G76" s="15" t="n"/>
      <c r="H76" s="292" t="n"/>
      <c r="I76" s="15" t="n"/>
      <c r="J76" s="15" t="n"/>
      <c r="K76" s="292" t="n"/>
      <c r="L76" s="15" t="n"/>
      <c r="M76" s="15" t="n"/>
      <c r="N76" s="292" t="n"/>
      <c r="O76" s="15" t="n"/>
      <c r="P76" s="15" t="n"/>
      <c r="Q76" s="292" t="n"/>
      <c r="R76" s="15" t="n"/>
      <c r="S76" s="15" t="n"/>
      <c r="T76" s="292" t="n"/>
      <c r="U76" s="15" t="n"/>
      <c r="V76" s="15" t="n"/>
      <c r="W76" s="292" t="n"/>
      <c r="X76" s="15" t="n"/>
      <c r="Y76" s="15" t="n"/>
      <c r="Z76" s="292" t="n"/>
      <c r="AA76" s="15" t="n"/>
      <c r="AB76" s="15" t="n"/>
      <c r="AC76" s="292" t="n"/>
      <c r="AD76" s="15" t="n"/>
      <c r="AE76" s="15" t="n"/>
      <c r="AF76" s="292" t="n"/>
      <c r="AG76" s="15" t="n"/>
      <c r="AH76" s="15" t="n"/>
      <c r="AI76" s="292" t="n"/>
      <c r="AJ76" s="15" t="n"/>
      <c r="AK76" s="15" t="n"/>
      <c r="AL76" s="292" t="n"/>
      <c r="AM76" s="327" t="n"/>
      <c r="AN76" s="15" t="n"/>
      <c r="AO76" s="292" t="n"/>
      <c r="AP76" s="327" t="n"/>
      <c r="AQ76" s="15" t="n"/>
      <c r="AR76" s="292" t="n"/>
      <c r="AS76" s="327" t="n"/>
      <c r="AT76" s="15" t="n"/>
      <c r="AU76" s="292" t="n"/>
      <c r="AV76" s="327" t="n"/>
      <c r="AW76" s="15" t="n"/>
      <c r="AX76" s="292" t="n"/>
      <c r="AY76" s="15" t="n"/>
      <c r="AZ76" s="15" t="n"/>
      <c r="BA76" s="291" t="n"/>
      <c r="BB76" s="37" t="n"/>
      <c r="BC76" s="291" t="n"/>
      <c r="BD76" s="37" t="n"/>
      <c r="BE76" s="291" t="n"/>
      <c r="BF76" s="37" t="n"/>
      <c r="BG76" s="291" t="n"/>
      <c r="BH76" s="37" t="n"/>
      <c r="BI76" s="291" t="n"/>
      <c r="BJ76" s="37" t="n"/>
      <c r="BK76" s="291" t="n"/>
      <c r="BL76" s="37" t="n"/>
      <c r="BM76" s="291" t="n"/>
      <c r="BN76" s="37" t="n"/>
      <c r="BO76" s="291" t="n"/>
      <c r="BP76" s="291" t="n"/>
      <c r="BQ76" s="37" t="n"/>
      <c r="BR76" s="291" t="n"/>
      <c r="BS76" s="37" t="n"/>
      <c r="BT76" s="291" t="n"/>
      <c r="BU76" s="37" t="n"/>
      <c r="BV76" s="291" t="n"/>
      <c r="BW76" s="37" t="n"/>
      <c r="BX76" s="291" t="n"/>
      <c r="BY76" s="37" t="n"/>
      <c r="BZ76" s="291" t="n"/>
      <c r="CA76" s="37" t="n"/>
      <c r="CB76" s="291" t="n"/>
      <c r="CC76" s="37" t="n"/>
      <c r="CD76" s="291" t="n"/>
      <c r="CE76" s="37" t="n"/>
      <c r="CF76" s="291" t="n"/>
      <c r="CG76" s="291" t="n"/>
      <c r="CH76" s="291" t="n"/>
      <c r="CI76" s="291" t="n"/>
      <c r="CJ76" s="291" t="n"/>
      <c r="CK76" s="291" t="n"/>
      <c r="CL76" s="291" t="n"/>
      <c r="CM76" s="291" t="n"/>
      <c r="CN76" s="291" t="n"/>
      <c r="CO76" s="80" t="n"/>
      <c r="CP76" s="291" t="n"/>
      <c r="CQ76" s="80" t="n"/>
      <c r="CR76" s="291" t="n"/>
      <c r="CS76" s="80" t="n"/>
      <c r="CT76" s="291" t="n"/>
      <c r="CU76" s="80" t="n"/>
      <c r="CW76" s="291" t="n"/>
      <c r="CX76" s="37" t="n"/>
      <c r="CY76" s="291" t="n"/>
      <c r="CZ76" s="37" t="n"/>
      <c r="DA76" s="291" t="n"/>
      <c r="DB76" s="37" t="n"/>
      <c r="DC76" s="291" t="n"/>
      <c r="DD76" s="37" t="n"/>
      <c r="DE76" s="311" t="n"/>
      <c r="DF76" s="311" t="n"/>
    </row>
    <row r="77">
      <c r="A77" s="428" t="n"/>
      <c r="B77" s="285" t="n"/>
      <c r="C77" s="15" t="n"/>
      <c r="D77" s="15" t="n"/>
      <c r="E77" s="285" t="n"/>
      <c r="F77" s="15" t="n"/>
      <c r="G77" s="15" t="n"/>
      <c r="H77" s="285" t="n"/>
      <c r="I77" s="15" t="n"/>
      <c r="J77" s="15" t="n"/>
      <c r="K77" s="285" t="n"/>
      <c r="L77" s="15" t="n"/>
      <c r="M77" s="15" t="n"/>
      <c r="N77" s="285" t="n"/>
      <c r="O77" s="15" t="n"/>
      <c r="P77" s="15" t="n"/>
      <c r="Q77" s="285" t="n"/>
      <c r="R77" s="15" t="n"/>
      <c r="S77" s="15" t="n"/>
      <c r="T77" s="285" t="n"/>
      <c r="U77" s="15" t="n"/>
      <c r="V77" s="15" t="n"/>
      <c r="W77" s="285" t="n"/>
      <c r="X77" s="15" t="n"/>
      <c r="Y77" s="15" t="n"/>
      <c r="Z77" s="285" t="n"/>
      <c r="AA77" s="15" t="n"/>
      <c r="AB77" s="15" t="n"/>
      <c r="AC77" s="285" t="n"/>
      <c r="AD77" s="15" t="n"/>
      <c r="AE77" s="15" t="n"/>
      <c r="AF77" s="285" t="n"/>
      <c r="AG77" s="15" t="n"/>
      <c r="AH77" s="15" t="n"/>
      <c r="AI77" s="285" t="n"/>
      <c r="AJ77" s="15" t="n"/>
      <c r="AK77" s="15" t="n"/>
      <c r="AL77" s="285" t="n"/>
      <c r="AM77" s="327" t="n"/>
      <c r="AN77" s="15" t="n"/>
      <c r="AO77" s="285" t="n"/>
      <c r="AP77" s="327" t="n"/>
      <c r="AQ77" s="15" t="n"/>
      <c r="AR77" s="285" t="n"/>
      <c r="AS77" s="327" t="n"/>
      <c r="AT77" s="15" t="n"/>
      <c r="AU77" s="285" t="n"/>
      <c r="AV77" s="327" t="n"/>
      <c r="AW77" s="15" t="n"/>
      <c r="AX77" s="285" t="n"/>
      <c r="AY77" s="15" t="n"/>
      <c r="AZ77" s="15" t="n"/>
      <c r="BA77" s="287" t="n"/>
      <c r="BB77" s="37" t="n"/>
      <c r="BC77" s="287" t="n"/>
      <c r="BD77" s="37" t="n"/>
      <c r="BE77" s="287" t="n"/>
      <c r="BF77" s="37" t="n"/>
      <c r="BG77" s="287" t="n"/>
      <c r="BH77" s="37" t="n"/>
      <c r="BI77" s="288" t="n"/>
      <c r="BJ77" s="37" t="n"/>
      <c r="BK77" s="288" t="n"/>
      <c r="BL77" s="37" t="n"/>
      <c r="BM77" s="288" t="n"/>
      <c r="BN77" s="37" t="n"/>
      <c r="BO77" s="288" t="n"/>
      <c r="BP77" s="288" t="n"/>
      <c r="BQ77" s="37" t="n"/>
      <c r="BR77" s="288" t="n"/>
      <c r="BS77" s="37" t="n"/>
      <c r="BT77" s="288" t="n"/>
      <c r="BU77" s="37" t="n"/>
      <c r="BV77" s="288" t="n"/>
      <c r="BW77" s="37" t="n"/>
      <c r="BX77" s="288" t="n"/>
      <c r="BY77" s="37" t="n"/>
      <c r="BZ77" s="288" t="n"/>
      <c r="CA77" s="37" t="n"/>
      <c r="CB77" s="288" t="n"/>
      <c r="CC77" s="37" t="n"/>
      <c r="CD77" s="288" t="n"/>
      <c r="CE77" s="37" t="n"/>
      <c r="CF77" s="288" t="n"/>
      <c r="CG77" s="291" t="n"/>
      <c r="CH77" s="288" t="n"/>
      <c r="CI77" s="291" t="n"/>
      <c r="CJ77" s="288" t="n"/>
      <c r="CK77" s="291" t="n"/>
      <c r="CL77" s="288" t="n"/>
      <c r="CM77" s="291" t="n"/>
      <c r="CN77" s="288" t="n"/>
      <c r="CO77" s="80" t="n"/>
      <c r="CP77" s="288" t="n"/>
      <c r="CQ77" s="80" t="n"/>
      <c r="CR77" s="288" t="n"/>
      <c r="CS77" s="80" t="n"/>
      <c r="CT77" s="288" t="n"/>
      <c r="CU77" s="80" t="n"/>
      <c r="CV77" s="269" t="n"/>
      <c r="CW77" s="288" t="n"/>
      <c r="CX77" s="37" t="n"/>
      <c r="CY77" s="288" t="n"/>
      <c r="CZ77" s="37" t="n"/>
      <c r="DA77" s="288" t="n"/>
      <c r="DB77" s="37" t="n"/>
      <c r="DC77" s="288" t="n"/>
      <c r="DD77" s="37" t="n"/>
      <c r="DE77" s="295" t="n"/>
      <c r="DF77" s="295" t="n"/>
      <c r="DG77" s="288" t="n"/>
    </row>
    <row r="78">
      <c r="A78" s="428" t="n"/>
      <c r="B78" s="285" t="n"/>
      <c r="C78" s="15" t="n"/>
      <c r="D78" s="15" t="n"/>
      <c r="E78" s="285" t="n"/>
      <c r="F78" s="15" t="n"/>
      <c r="G78" s="15" t="n"/>
      <c r="H78" s="285" t="n"/>
      <c r="I78" s="15" t="n"/>
      <c r="J78" s="15" t="n"/>
      <c r="K78" s="285" t="n"/>
      <c r="L78" s="15" t="n"/>
      <c r="M78" s="15" t="n"/>
      <c r="N78" s="285" t="n"/>
      <c r="O78" s="15" t="n"/>
      <c r="P78" s="15" t="n"/>
      <c r="Q78" s="285" t="n"/>
      <c r="R78" s="15" t="n"/>
      <c r="S78" s="15" t="n"/>
      <c r="T78" s="285" t="n"/>
      <c r="U78" s="15" t="n"/>
      <c r="V78" s="15" t="n"/>
      <c r="W78" s="285" t="n"/>
      <c r="X78" s="15" t="n"/>
      <c r="Y78" s="15" t="n"/>
      <c r="Z78" s="285" t="n"/>
      <c r="AA78" s="15" t="n"/>
      <c r="AB78" s="15" t="n"/>
      <c r="AC78" s="285" t="n"/>
      <c r="AD78" s="15" t="n"/>
      <c r="AE78" s="15" t="n"/>
      <c r="AF78" s="285" t="n"/>
      <c r="AG78" s="15" t="n"/>
      <c r="AH78" s="15" t="n"/>
      <c r="AI78" s="285" t="n"/>
      <c r="AJ78" s="15" t="n"/>
      <c r="AK78" s="15" t="n"/>
      <c r="AL78" s="285" t="n"/>
      <c r="AM78" s="327" t="n"/>
      <c r="AN78" s="15" t="n"/>
      <c r="AO78" s="285" t="n"/>
      <c r="AP78" s="327" t="n"/>
      <c r="AQ78" s="15" t="n"/>
      <c r="AR78" s="285" t="n"/>
      <c r="AS78" s="327" t="n"/>
      <c r="AT78" s="15" t="n"/>
      <c r="AU78" s="285" t="n"/>
      <c r="AV78" s="327" t="n"/>
      <c r="AW78" s="15" t="n"/>
      <c r="AX78" s="285" t="n"/>
      <c r="AY78" s="15" t="n"/>
      <c r="AZ78" s="15" t="n"/>
      <c r="BA78" s="287" t="n"/>
      <c r="BB78" s="37" t="n"/>
      <c r="BC78" s="287" t="n"/>
      <c r="BD78" s="37" t="n"/>
      <c r="BE78" s="287" t="n"/>
      <c r="BF78" s="37" t="n"/>
      <c r="BG78" s="287" t="n"/>
      <c r="BH78" s="37" t="n"/>
      <c r="BI78" s="288" t="n"/>
      <c r="BJ78" s="37" t="n"/>
      <c r="BK78" s="288" t="n"/>
      <c r="BL78" s="37" t="n"/>
      <c r="BM78" s="288" t="n"/>
      <c r="BN78" s="37" t="n"/>
      <c r="BO78" s="288" t="n"/>
      <c r="BP78" s="288" t="n"/>
      <c r="BQ78" s="37" t="n"/>
      <c r="BR78" s="288" t="n"/>
      <c r="BS78" s="37" t="n"/>
      <c r="BT78" s="288" t="n"/>
      <c r="BU78" s="37" t="n"/>
      <c r="BV78" s="288" t="n"/>
      <c r="BW78" s="37" t="n"/>
      <c r="BX78" s="288" t="n"/>
      <c r="BY78" s="37" t="n"/>
      <c r="BZ78" s="288" t="n"/>
      <c r="CA78" s="37" t="n"/>
      <c r="CB78" s="288" t="n"/>
      <c r="CC78" s="37" t="n"/>
      <c r="CD78" s="288" t="n"/>
      <c r="CE78" s="37" t="n"/>
      <c r="CF78" s="288" t="n"/>
      <c r="CG78" s="291" t="n"/>
      <c r="CH78" s="288" t="n"/>
      <c r="CI78" s="291" t="n"/>
      <c r="CJ78" s="288" t="n"/>
      <c r="CK78" s="291" t="n"/>
      <c r="CL78" s="288" t="n"/>
      <c r="CM78" s="291" t="n"/>
      <c r="CN78" s="288" t="n"/>
      <c r="CO78" s="80" t="n"/>
      <c r="CP78" s="288" t="n"/>
      <c r="CQ78" s="80" t="n"/>
      <c r="CR78" s="288" t="n"/>
      <c r="CS78" s="80" t="n"/>
      <c r="CT78" s="288" t="n"/>
      <c r="CU78" s="80" t="n"/>
      <c r="CV78" s="269" t="n"/>
      <c r="CW78" s="288" t="n"/>
      <c r="CX78" s="37" t="n"/>
      <c r="CY78" s="288" t="n"/>
      <c r="CZ78" s="37" t="n"/>
      <c r="DA78" s="288" t="n"/>
      <c r="DB78" s="37" t="n"/>
      <c r="DC78" s="288" t="n"/>
      <c r="DD78" s="37" t="n"/>
      <c r="DE78" s="295" t="n"/>
      <c r="DF78" s="295" t="n"/>
      <c r="DG78" s="288" t="n"/>
    </row>
    <row r="79">
      <c r="A79" s="428" t="n"/>
      <c r="B79" s="285" t="n"/>
      <c r="C79" s="15" t="n"/>
      <c r="D79" s="15" t="n"/>
      <c r="E79" s="285" t="n"/>
      <c r="F79" s="15" t="n"/>
      <c r="G79" s="15" t="n"/>
      <c r="H79" s="285" t="n"/>
      <c r="I79" s="15" t="n"/>
      <c r="J79" s="15" t="n"/>
      <c r="K79" s="285" t="n"/>
      <c r="L79" s="15" t="n"/>
      <c r="M79" s="15" t="n"/>
      <c r="N79" s="285" t="n"/>
      <c r="O79" s="15" t="n"/>
      <c r="P79" s="15" t="n"/>
      <c r="Q79" s="285" t="n"/>
      <c r="R79" s="15" t="n"/>
      <c r="S79" s="15" t="n"/>
      <c r="T79" s="285" t="n"/>
      <c r="U79" s="15" t="n"/>
      <c r="V79" s="15" t="n"/>
      <c r="W79" s="285" t="n"/>
      <c r="X79" s="15" t="n"/>
      <c r="Y79" s="15" t="n"/>
      <c r="Z79" s="285" t="n"/>
      <c r="AA79" s="15" t="n"/>
      <c r="AB79" s="15" t="n"/>
      <c r="AC79" s="285" t="n"/>
      <c r="AD79" s="15" t="n"/>
      <c r="AE79" s="15" t="n"/>
      <c r="AF79" s="285" t="n"/>
      <c r="AG79" s="15" t="n"/>
      <c r="AH79" s="15" t="n"/>
      <c r="AI79" s="285" t="n"/>
      <c r="AJ79" s="15" t="n"/>
      <c r="AK79" s="15" t="n"/>
      <c r="AL79" s="285" t="n"/>
      <c r="AM79" s="327" t="n"/>
      <c r="AN79" s="15" t="n"/>
      <c r="AO79" s="285" t="n"/>
      <c r="AP79" s="327" t="n"/>
      <c r="AQ79" s="15" t="n"/>
      <c r="AR79" s="285" t="n"/>
      <c r="AS79" s="327" t="n"/>
      <c r="AT79" s="15" t="n"/>
      <c r="AU79" s="285" t="n"/>
      <c r="AV79" s="327" t="n"/>
      <c r="AW79" s="15" t="n"/>
      <c r="AX79" s="285" t="n"/>
      <c r="AY79" s="15" t="n"/>
      <c r="AZ79" s="15" t="n"/>
      <c r="BA79" s="287" t="n"/>
      <c r="BB79" s="37" t="n"/>
      <c r="BC79" s="287" t="n"/>
      <c r="BD79" s="37" t="n"/>
      <c r="BE79" s="287" t="n"/>
      <c r="BF79" s="37" t="n"/>
      <c r="BG79" s="287" t="n"/>
      <c r="BH79" s="37" t="n"/>
      <c r="BI79" s="288" t="n"/>
      <c r="BJ79" s="37" t="n"/>
      <c r="BK79" s="288" t="n"/>
      <c r="BL79" s="37" t="n"/>
      <c r="BM79" s="288" t="n"/>
      <c r="BN79" s="37" t="n"/>
      <c r="BO79" s="288" t="n"/>
      <c r="BP79" s="288" t="n"/>
      <c r="BQ79" s="37" t="n"/>
      <c r="BR79" s="288" t="n"/>
      <c r="BS79" s="37" t="n"/>
      <c r="BT79" s="288" t="n"/>
      <c r="BU79" s="37" t="n"/>
      <c r="BV79" s="288" t="n"/>
      <c r="BW79" s="37" t="n"/>
      <c r="BX79" s="288" t="n"/>
      <c r="BY79" s="37" t="n"/>
      <c r="BZ79" s="288" t="n"/>
      <c r="CA79" s="37" t="n"/>
      <c r="CB79" s="288" t="n"/>
      <c r="CC79" s="37" t="n"/>
      <c r="CD79" s="288" t="n"/>
      <c r="CE79" s="37" t="n"/>
      <c r="CF79" s="288" t="n"/>
      <c r="CG79" s="291" t="n"/>
      <c r="CH79" s="288" t="n"/>
      <c r="CI79" s="291" t="n"/>
      <c r="CJ79" s="288" t="n"/>
      <c r="CK79" s="291" t="n"/>
      <c r="CL79" s="288" t="n"/>
      <c r="CM79" s="291" t="n"/>
      <c r="CN79" s="288" t="n"/>
      <c r="CO79" s="80" t="n"/>
      <c r="CP79" s="288" t="n"/>
      <c r="CQ79" s="80" t="n"/>
      <c r="CR79" s="288" t="n"/>
      <c r="CS79" s="80" t="n"/>
      <c r="CT79" s="288" t="n"/>
      <c r="CU79" s="80" t="n"/>
      <c r="CV79" s="269" t="n"/>
      <c r="CW79" s="288" t="n"/>
      <c r="CX79" s="37" t="n"/>
      <c r="CY79" s="288" t="n"/>
      <c r="CZ79" s="37" t="n"/>
      <c r="DA79" s="288" t="n"/>
      <c r="DB79" s="37" t="n"/>
      <c r="DC79" s="288" t="n"/>
      <c r="DD79" s="37" t="n"/>
      <c r="DE79" s="295" t="n"/>
      <c r="DF79" s="295" t="n"/>
      <c r="DG79" s="288" t="n"/>
    </row>
    <row r="80">
      <c r="A80" s="428" t="n"/>
      <c r="B80" s="285" t="n"/>
      <c r="C80" s="15" t="n"/>
      <c r="D80" s="15" t="n"/>
      <c r="E80" s="285" t="n"/>
      <c r="F80" s="15" t="n"/>
      <c r="G80" s="15" t="n"/>
      <c r="H80" s="285" t="n"/>
      <c r="I80" s="15" t="n"/>
      <c r="J80" s="15" t="n"/>
      <c r="K80" s="285" t="n"/>
      <c r="L80" s="15" t="n"/>
      <c r="M80" s="15" t="n"/>
      <c r="N80" s="285" t="n"/>
      <c r="O80" s="15" t="n"/>
      <c r="P80" s="15" t="n"/>
      <c r="Q80" s="285" t="n"/>
      <c r="R80" s="15" t="n"/>
      <c r="S80" s="15" t="n"/>
      <c r="T80" s="285" t="n"/>
      <c r="U80" s="15" t="n"/>
      <c r="V80" s="15" t="n"/>
      <c r="W80" s="285" t="n"/>
      <c r="X80" s="15" t="n"/>
      <c r="Y80" s="15" t="n"/>
      <c r="Z80" s="285" t="n"/>
      <c r="AA80" s="15" t="n"/>
      <c r="AB80" s="15" t="n"/>
      <c r="AC80" s="285" t="n"/>
      <c r="AD80" s="15" t="n"/>
      <c r="AE80" s="15" t="n"/>
      <c r="AF80" s="285" t="n"/>
      <c r="AG80" s="15" t="n"/>
      <c r="AH80" s="15" t="n"/>
      <c r="AI80" s="285" t="n"/>
      <c r="AJ80" s="15" t="n"/>
      <c r="AK80" s="15" t="n"/>
      <c r="AL80" s="285" t="n"/>
      <c r="AM80" s="327" t="n"/>
      <c r="AN80" s="15" t="n"/>
      <c r="AO80" s="285" t="n"/>
      <c r="AP80" s="327" t="n"/>
      <c r="AQ80" s="15" t="n"/>
      <c r="AR80" s="285" t="n"/>
      <c r="AS80" s="327" t="n"/>
      <c r="AT80" s="15" t="n"/>
      <c r="AU80" s="285" t="n"/>
      <c r="AV80" s="327" t="n"/>
      <c r="AW80" s="15" t="n"/>
      <c r="AX80" s="285" t="n"/>
      <c r="AY80" s="15" t="n"/>
      <c r="AZ80" s="15" t="n"/>
      <c r="BA80" s="287" t="n"/>
      <c r="BB80" s="37" t="n"/>
      <c r="BC80" s="287" t="n"/>
      <c r="BD80" s="37" t="n"/>
      <c r="BE80" s="287" t="n"/>
      <c r="BF80" s="37" t="n"/>
      <c r="BG80" s="287" t="n"/>
      <c r="BH80" s="37" t="n"/>
      <c r="BI80" s="288" t="n"/>
      <c r="BJ80" s="37" t="n"/>
      <c r="BK80" s="288" t="n"/>
      <c r="BL80" s="37" t="n"/>
      <c r="BM80" s="288" t="n"/>
      <c r="BN80" s="37" t="n"/>
      <c r="BO80" s="288" t="n"/>
      <c r="BP80" s="288" t="n"/>
      <c r="BQ80" s="37" t="n"/>
      <c r="BR80" s="288" t="n"/>
      <c r="BS80" s="37" t="n"/>
      <c r="BT80" s="288" t="n"/>
      <c r="BU80" s="37" t="n"/>
      <c r="BV80" s="288" t="n"/>
      <c r="BW80" s="37" t="n"/>
      <c r="BX80" s="288" t="n"/>
      <c r="BY80" s="37" t="n"/>
      <c r="BZ80" s="288" t="n"/>
      <c r="CA80" s="37" t="n"/>
      <c r="CB80" s="288" t="n"/>
      <c r="CC80" s="37" t="n"/>
      <c r="CD80" s="288" t="n"/>
      <c r="CE80" s="37" t="n"/>
      <c r="CF80" s="288" t="n"/>
      <c r="CG80" s="291" t="n"/>
      <c r="CH80" s="288" t="n"/>
      <c r="CI80" s="291" t="n"/>
      <c r="CJ80" s="288" t="n"/>
      <c r="CK80" s="291" t="n"/>
      <c r="CL80" s="288" t="n"/>
      <c r="CM80" s="291" t="n"/>
      <c r="CN80" s="288" t="n"/>
      <c r="CO80" s="80" t="n"/>
      <c r="CP80" s="288" t="n"/>
      <c r="CQ80" s="80" t="n"/>
      <c r="CR80" s="288" t="n"/>
      <c r="CS80" s="80" t="n"/>
      <c r="CT80" s="288" t="n"/>
      <c r="CU80" s="80" t="n"/>
      <c r="CV80" s="269" t="n"/>
      <c r="CW80" s="288" t="n"/>
      <c r="CX80" s="37" t="n"/>
      <c r="CY80" s="288" t="n"/>
      <c r="CZ80" s="37" t="n"/>
      <c r="DA80" s="288" t="n"/>
      <c r="DB80" s="37" t="n"/>
      <c r="DC80" s="288" t="n"/>
      <c r="DD80" s="37" t="n"/>
      <c r="DE80" s="295" t="n"/>
      <c r="DF80" s="295" t="n"/>
      <c r="DG80" s="288" t="n"/>
    </row>
    <row r="81">
      <c r="A81" s="428" t="n"/>
      <c r="B81" s="285" t="n"/>
      <c r="C81" s="15" t="n"/>
      <c r="D81" s="15" t="n"/>
      <c r="E81" s="285" t="n"/>
      <c r="F81" s="15" t="n"/>
      <c r="G81" s="15" t="n"/>
      <c r="H81" s="285" t="n"/>
      <c r="I81" s="15" t="n"/>
      <c r="J81" s="15" t="n"/>
      <c r="K81" s="285" t="n"/>
      <c r="L81" s="15" t="n"/>
      <c r="M81" s="15" t="n"/>
      <c r="N81" s="285" t="n"/>
      <c r="O81" s="15" t="n"/>
      <c r="P81" s="15" t="n"/>
      <c r="Q81" s="285" t="n"/>
      <c r="R81" s="15" t="n"/>
      <c r="S81" s="15" t="n"/>
      <c r="T81" s="285" t="n"/>
      <c r="U81" s="15" t="n"/>
      <c r="V81" s="15" t="n"/>
      <c r="W81" s="285" t="n"/>
      <c r="X81" s="15" t="n"/>
      <c r="Y81" s="15" t="n"/>
      <c r="Z81" s="285" t="n"/>
      <c r="AA81" s="15" t="n"/>
      <c r="AB81" s="15" t="n"/>
      <c r="AC81" s="285" t="n"/>
      <c r="AD81" s="15" t="n"/>
      <c r="AE81" s="15" t="n"/>
      <c r="AF81" s="285" t="n"/>
      <c r="AG81" s="15" t="n"/>
      <c r="AH81" s="15" t="n"/>
      <c r="AI81" s="285" t="n"/>
      <c r="AJ81" s="15" t="n"/>
      <c r="AK81" s="15" t="n"/>
      <c r="AL81" s="285" t="n"/>
      <c r="AM81" s="327" t="n"/>
      <c r="AN81" s="15" t="n"/>
      <c r="AO81" s="285" t="n"/>
      <c r="AP81" s="327" t="n"/>
      <c r="AQ81" s="15" t="n"/>
      <c r="AR81" s="285" t="n"/>
      <c r="AS81" s="327" t="n"/>
      <c r="AT81" s="15" t="n"/>
      <c r="AU81" s="285" t="n"/>
      <c r="AV81" s="327" t="n"/>
      <c r="AW81" s="15" t="n"/>
      <c r="AX81" s="285" t="n"/>
      <c r="AY81" s="15" t="n"/>
      <c r="AZ81" s="15" t="n"/>
      <c r="BA81" s="287" t="n"/>
      <c r="BB81" s="37" t="n"/>
      <c r="BC81" s="287" t="n"/>
      <c r="BD81" s="37" t="n"/>
      <c r="BE81" s="287" t="n"/>
      <c r="BF81" s="37" t="n"/>
      <c r="BG81" s="287" t="n"/>
      <c r="BH81" s="37" t="n"/>
      <c r="BI81" s="288" t="n"/>
      <c r="BJ81" s="37" t="n"/>
      <c r="BK81" s="288" t="n"/>
      <c r="BL81" s="37" t="n"/>
      <c r="BM81" s="288" t="n"/>
      <c r="BN81" s="37" t="n"/>
      <c r="BO81" s="288" t="n"/>
      <c r="BP81" s="288" t="n"/>
      <c r="BQ81" s="37" t="n"/>
      <c r="BR81" s="288" t="n"/>
      <c r="BS81" s="37" t="n"/>
      <c r="BT81" s="288" t="n"/>
      <c r="BU81" s="37" t="n"/>
      <c r="BV81" s="288" t="n"/>
      <c r="BW81" s="37" t="n"/>
      <c r="BX81" s="288" t="n"/>
      <c r="BY81" s="37" t="n"/>
      <c r="BZ81" s="288" t="n"/>
      <c r="CA81" s="37" t="n"/>
      <c r="CB81" s="288" t="n"/>
      <c r="CC81" s="37" t="n"/>
      <c r="CD81" s="288" t="n"/>
      <c r="CE81" s="37" t="n"/>
      <c r="CF81" s="288" t="n"/>
      <c r="CG81" s="291" t="n"/>
      <c r="CH81" s="288" t="n"/>
      <c r="CI81" s="291" t="n"/>
      <c r="CJ81" s="288" t="n"/>
      <c r="CK81" s="291" t="n"/>
      <c r="CL81" s="288" t="n"/>
      <c r="CM81" s="291" t="n"/>
      <c r="CN81" s="288" t="n"/>
      <c r="CO81" s="80" t="n"/>
      <c r="CP81" s="288" t="n"/>
      <c r="CQ81" s="80" t="n"/>
      <c r="CR81" s="288" t="n"/>
      <c r="CS81" s="80" t="n"/>
      <c r="CT81" s="288" t="n"/>
      <c r="CU81" s="80" t="n"/>
      <c r="CV81" s="269" t="n"/>
      <c r="CW81" s="288" t="n"/>
      <c r="CX81" s="37" t="n"/>
      <c r="CY81" s="288" t="n"/>
      <c r="CZ81" s="37" t="n"/>
      <c r="DA81" s="288" t="n"/>
      <c r="DB81" s="37" t="n"/>
      <c r="DC81" s="288" t="n"/>
      <c r="DD81" s="37" t="n"/>
      <c r="DE81" s="295" t="n"/>
      <c r="DF81" s="295" t="n"/>
      <c r="DG81" s="288" t="n"/>
    </row>
    <row r="82">
      <c r="A82" s="428" t="n"/>
      <c r="B82" s="285" t="n"/>
      <c r="C82" s="15" t="n"/>
      <c r="D82" s="15" t="n"/>
      <c r="E82" s="285" t="n"/>
      <c r="F82" s="15" t="n"/>
      <c r="G82" s="15" t="n"/>
      <c r="H82" s="285" t="n"/>
      <c r="I82" s="15" t="n"/>
      <c r="J82" s="15" t="n"/>
      <c r="K82" s="285" t="n"/>
      <c r="L82" s="15" t="n"/>
      <c r="M82" s="15" t="n"/>
      <c r="N82" s="285" t="n"/>
      <c r="O82" s="15" t="n"/>
      <c r="P82" s="15" t="n"/>
      <c r="Q82" s="285" t="n"/>
      <c r="R82" s="15" t="n"/>
      <c r="S82" s="15" t="n"/>
      <c r="T82" s="285" t="n"/>
      <c r="U82" s="15" t="n"/>
      <c r="V82" s="15" t="n"/>
      <c r="W82" s="285" t="n"/>
      <c r="X82" s="15" t="n"/>
      <c r="Y82" s="15" t="n"/>
      <c r="Z82" s="285" t="n"/>
      <c r="AA82" s="15" t="n"/>
      <c r="AB82" s="15" t="n"/>
      <c r="AC82" s="285" t="n"/>
      <c r="AD82" s="15" t="n"/>
      <c r="AE82" s="15" t="n"/>
      <c r="AF82" s="285" t="n"/>
      <c r="AG82" s="15" t="n"/>
      <c r="AH82" s="15" t="n"/>
      <c r="AI82" s="285" t="n"/>
      <c r="AJ82" s="15" t="n"/>
      <c r="AK82" s="15" t="n"/>
      <c r="AL82" s="285" t="n"/>
      <c r="AM82" s="327" t="n"/>
      <c r="AN82" s="15" t="n"/>
      <c r="AO82" s="285" t="n"/>
      <c r="AP82" s="327" t="n"/>
      <c r="AQ82" s="15" t="n"/>
      <c r="AR82" s="285" t="n"/>
      <c r="AS82" s="327" t="n"/>
      <c r="AT82" s="15" t="n"/>
      <c r="AU82" s="285" t="n"/>
      <c r="AV82" s="327" t="n"/>
      <c r="AW82" s="15" t="n"/>
      <c r="AX82" s="285" t="n"/>
      <c r="AY82" s="15" t="n"/>
      <c r="AZ82" s="15" t="n"/>
      <c r="BA82" s="287" t="n"/>
      <c r="BB82" s="37" t="n"/>
      <c r="BC82" s="287" t="n"/>
      <c r="BD82" s="37" t="n"/>
      <c r="BE82" s="287" t="n"/>
      <c r="BF82" s="37" t="n"/>
      <c r="BG82" s="287" t="n"/>
      <c r="BH82" s="37" t="n"/>
      <c r="BI82" s="288" t="n"/>
      <c r="BJ82" s="37" t="n"/>
      <c r="BK82" s="288" t="n"/>
      <c r="BL82" s="37" t="n"/>
      <c r="BM82" s="288" t="n"/>
      <c r="BN82" s="37" t="n"/>
      <c r="BO82" s="288" t="n"/>
      <c r="BP82" s="288" t="n"/>
      <c r="BQ82" s="37" t="n"/>
      <c r="BR82" s="288" t="n"/>
      <c r="BS82" s="37" t="n"/>
      <c r="BT82" s="288" t="n"/>
      <c r="BU82" s="37" t="n"/>
      <c r="BV82" s="288" t="n"/>
      <c r="BW82" s="37" t="n"/>
      <c r="BX82" s="288" t="n"/>
      <c r="BY82" s="37" t="n"/>
      <c r="BZ82" s="288" t="n"/>
      <c r="CA82" s="37" t="n"/>
      <c r="CB82" s="288" t="n"/>
      <c r="CC82" s="37" t="n"/>
      <c r="CD82" s="288" t="n"/>
      <c r="CE82" s="37" t="n"/>
      <c r="CF82" s="288" t="n"/>
      <c r="CG82" s="291" t="n"/>
      <c r="CH82" s="288" t="n"/>
      <c r="CI82" s="291" t="n"/>
      <c r="CJ82" s="288" t="n"/>
      <c r="CK82" s="291" t="n"/>
      <c r="CL82" s="288" t="n"/>
      <c r="CM82" s="291" t="n"/>
      <c r="CN82" s="288" t="n"/>
      <c r="CO82" s="80" t="n"/>
      <c r="CP82" s="288" t="n"/>
      <c r="CQ82" s="80" t="n"/>
      <c r="CR82" s="288" t="n"/>
      <c r="CS82" s="80" t="n"/>
      <c r="CT82" s="288" t="n"/>
      <c r="CU82" s="80" t="n"/>
      <c r="CV82" s="269" t="n"/>
      <c r="CW82" s="288" t="n"/>
      <c r="CX82" s="37" t="n"/>
      <c r="CY82" s="288" t="n"/>
      <c r="CZ82" s="37" t="n"/>
      <c r="DA82" s="288" t="n"/>
      <c r="DB82" s="37" t="n"/>
      <c r="DC82" s="288" t="n"/>
      <c r="DD82" s="37" t="n"/>
      <c r="DE82" s="295" t="n"/>
      <c r="DF82" s="295" t="n"/>
      <c r="DG82" s="288" t="n"/>
    </row>
    <row r="83">
      <c r="A83" s="428" t="n"/>
      <c r="B83" s="285" t="n"/>
      <c r="C83" s="15" t="n"/>
      <c r="D83" s="15" t="n"/>
      <c r="E83" s="285" t="n"/>
      <c r="F83" s="15" t="n"/>
      <c r="G83" s="15" t="n"/>
      <c r="H83" s="285" t="n"/>
      <c r="I83" s="15" t="n"/>
      <c r="J83" s="15" t="n"/>
      <c r="K83" s="285" t="n"/>
      <c r="L83" s="15" t="n"/>
      <c r="M83" s="15" t="n"/>
      <c r="N83" s="285" t="n"/>
      <c r="O83" s="15" t="n"/>
      <c r="P83" s="15" t="n"/>
      <c r="Q83" s="285" t="n"/>
      <c r="R83" s="15" t="n"/>
      <c r="S83" s="15" t="n"/>
      <c r="T83" s="285" t="n"/>
      <c r="U83" s="15" t="n"/>
      <c r="V83" s="15" t="n"/>
      <c r="W83" s="285" t="n"/>
      <c r="X83" s="15" t="n"/>
      <c r="Y83" s="15" t="n"/>
      <c r="Z83" s="285" t="n"/>
      <c r="AA83" s="15" t="n"/>
      <c r="AB83" s="15" t="n"/>
      <c r="AC83" s="285" t="n"/>
      <c r="AD83" s="15" t="n"/>
      <c r="AE83" s="15" t="n"/>
      <c r="AF83" s="285" t="n"/>
      <c r="AG83" s="15" t="n"/>
      <c r="AH83" s="15" t="n"/>
      <c r="AI83" s="285" t="n"/>
      <c r="AJ83" s="15" t="n"/>
      <c r="AK83" s="15" t="n"/>
      <c r="AL83" s="285" t="n"/>
      <c r="AM83" s="327" t="n"/>
      <c r="AN83" s="15" t="n"/>
      <c r="AO83" s="285" t="n"/>
      <c r="AP83" s="327" t="n"/>
      <c r="AQ83" s="15" t="n"/>
      <c r="AR83" s="285" t="n"/>
      <c r="AS83" s="327" t="n"/>
      <c r="AT83" s="15" t="n"/>
      <c r="AU83" s="285" t="n"/>
      <c r="AV83" s="327" t="n"/>
      <c r="AW83" s="15" t="n"/>
      <c r="AX83" s="285" t="n"/>
      <c r="AY83" s="15" t="n"/>
      <c r="AZ83" s="15" t="n"/>
      <c r="BA83" s="287" t="n"/>
      <c r="BB83" s="37" t="n"/>
      <c r="BC83" s="287" t="n"/>
      <c r="BD83" s="37" t="n"/>
      <c r="BE83" s="287" t="n"/>
      <c r="BF83" s="37" t="n"/>
      <c r="BG83" s="287" t="n"/>
      <c r="BH83" s="37" t="n"/>
      <c r="BI83" s="288" t="n"/>
      <c r="BJ83" s="37" t="n"/>
      <c r="BK83" s="288" t="n"/>
      <c r="BL83" s="37" t="n"/>
      <c r="BM83" s="288" t="n"/>
      <c r="BN83" s="37" t="n"/>
      <c r="BO83" s="288" t="n"/>
      <c r="BP83" s="288" t="n"/>
      <c r="BQ83" s="37" t="n"/>
      <c r="BR83" s="288" t="n"/>
      <c r="BS83" s="37" t="n"/>
      <c r="BT83" s="288" t="n"/>
      <c r="BU83" s="37" t="n"/>
      <c r="BV83" s="288" t="n"/>
      <c r="BW83" s="37" t="n"/>
      <c r="BX83" s="288" t="n"/>
      <c r="BY83" s="37" t="n"/>
      <c r="BZ83" s="288" t="n"/>
      <c r="CA83" s="37" t="n"/>
      <c r="CB83" s="288" t="n"/>
      <c r="CC83" s="37" t="n"/>
      <c r="CD83" s="288" t="n"/>
      <c r="CE83" s="37" t="n"/>
      <c r="CF83" s="288" t="n"/>
      <c r="CG83" s="291" t="n"/>
      <c r="CH83" s="288" t="n"/>
      <c r="CI83" s="291" t="n"/>
      <c r="CJ83" s="288" t="n"/>
      <c r="CK83" s="291" t="n"/>
      <c r="CL83" s="288" t="n"/>
      <c r="CM83" s="291" t="n"/>
      <c r="CN83" s="288" t="n"/>
      <c r="CO83" s="80" t="n"/>
      <c r="CP83" s="288" t="n"/>
      <c r="CQ83" s="80" t="n"/>
      <c r="CR83" s="288" t="n"/>
      <c r="CS83" s="80" t="n"/>
      <c r="CT83" s="288" t="n"/>
      <c r="CU83" s="80" t="n"/>
      <c r="CV83" s="269" t="n"/>
      <c r="CW83" s="288" t="n"/>
      <c r="CX83" s="37" t="n"/>
      <c r="CY83" s="288" t="n"/>
      <c r="CZ83" s="37" t="n"/>
      <c r="DA83" s="288" t="n"/>
      <c r="DB83" s="37" t="n"/>
      <c r="DC83" s="288" t="n"/>
      <c r="DD83" s="37" t="n"/>
      <c r="DE83" s="295" t="n"/>
      <c r="DF83" s="295" t="n"/>
      <c r="DG83" s="288" t="n"/>
    </row>
    <row r="84">
      <c r="A84" s="428" t="n"/>
      <c r="B84" s="285" t="n"/>
      <c r="C84" s="15" t="n"/>
      <c r="D84" s="15" t="n"/>
      <c r="E84" s="285" t="n"/>
      <c r="F84" s="15" t="n"/>
      <c r="G84" s="15" t="n"/>
      <c r="H84" s="285" t="n"/>
      <c r="I84" s="15" t="n"/>
      <c r="J84" s="15" t="n"/>
      <c r="K84" s="285" t="n"/>
      <c r="L84" s="15" t="n"/>
      <c r="M84" s="15" t="n"/>
      <c r="N84" s="285" t="n"/>
      <c r="O84" s="15" t="n"/>
      <c r="P84" s="15" t="n"/>
      <c r="Q84" s="285" t="n"/>
      <c r="R84" s="15" t="n"/>
      <c r="S84" s="15" t="n"/>
      <c r="T84" s="285" t="n"/>
      <c r="U84" s="15" t="n"/>
      <c r="V84" s="15" t="n"/>
      <c r="W84" s="285" t="n"/>
      <c r="X84" s="15" t="n"/>
      <c r="Y84" s="15" t="n"/>
      <c r="Z84" s="285" t="n"/>
      <c r="AA84" s="15" t="n"/>
      <c r="AB84" s="15" t="n"/>
      <c r="AC84" s="285" t="n"/>
      <c r="AD84" s="15" t="n"/>
      <c r="AE84" s="15" t="n"/>
      <c r="AF84" s="285" t="n"/>
      <c r="AG84" s="15" t="n"/>
      <c r="AH84" s="15" t="n"/>
      <c r="AI84" s="285" t="n"/>
      <c r="AJ84" s="15" t="n"/>
      <c r="AK84" s="15" t="n"/>
      <c r="AL84" s="285" t="n"/>
      <c r="AM84" s="327" t="n"/>
      <c r="AN84" s="15" t="n"/>
      <c r="AO84" s="285" t="n"/>
      <c r="AP84" s="327" t="n"/>
      <c r="AQ84" s="15" t="n"/>
      <c r="AR84" s="285" t="n"/>
      <c r="AS84" s="327" t="n"/>
      <c r="AT84" s="15" t="n"/>
      <c r="AU84" s="285" t="n"/>
      <c r="AV84" s="327" t="n"/>
      <c r="AW84" s="15" t="n"/>
      <c r="AX84" s="285" t="n"/>
      <c r="AY84" s="15" t="n"/>
      <c r="AZ84" s="15" t="n"/>
      <c r="BA84" s="287" t="n"/>
      <c r="BB84" s="37" t="n"/>
      <c r="BC84" s="287" t="n"/>
      <c r="BD84" s="37" t="n"/>
      <c r="BE84" s="287" t="n"/>
      <c r="BF84" s="37" t="n"/>
      <c r="BG84" s="287" t="n"/>
      <c r="BH84" s="37" t="n"/>
      <c r="BI84" s="288" t="n"/>
      <c r="BJ84" s="37" t="n"/>
      <c r="BK84" s="288" t="n"/>
      <c r="BL84" s="37" t="n"/>
      <c r="BM84" s="288" t="n"/>
      <c r="BN84" s="37" t="n"/>
      <c r="BO84" s="288" t="n"/>
      <c r="BP84" s="288" t="n"/>
      <c r="BQ84" s="37" t="n"/>
      <c r="BR84" s="288" t="n"/>
      <c r="BS84" s="37" t="n"/>
      <c r="BT84" s="288" t="n"/>
      <c r="BU84" s="37" t="n"/>
      <c r="BV84" s="288" t="n"/>
      <c r="BW84" s="37" t="n"/>
      <c r="BX84" s="288" t="n"/>
      <c r="BY84" s="37" t="n"/>
      <c r="BZ84" s="288" t="n"/>
      <c r="CA84" s="37" t="n"/>
      <c r="CB84" s="288" t="n"/>
      <c r="CC84" s="37" t="n"/>
      <c r="CD84" s="288" t="n"/>
      <c r="CE84" s="37" t="n"/>
      <c r="CF84" s="288" t="n"/>
      <c r="CG84" s="291" t="n"/>
      <c r="CH84" s="288" t="n"/>
      <c r="CI84" s="291" t="n"/>
      <c r="CJ84" s="288" t="n"/>
      <c r="CK84" s="291" t="n"/>
      <c r="CL84" s="288" t="n"/>
      <c r="CM84" s="291" t="n"/>
      <c r="CN84" s="288" t="n"/>
      <c r="CO84" s="80" t="n"/>
      <c r="CP84" s="288" t="n"/>
      <c r="CQ84" s="80" t="n"/>
      <c r="CR84" s="288" t="n"/>
      <c r="CS84" s="80" t="n"/>
      <c r="CT84" s="288" t="n"/>
      <c r="CU84" s="80" t="n"/>
      <c r="CV84" s="269" t="n"/>
      <c r="CW84" s="288" t="n"/>
      <c r="CX84" s="37" t="n"/>
      <c r="CY84" s="288" t="n"/>
      <c r="CZ84" s="37" t="n"/>
      <c r="DA84" s="288" t="n"/>
      <c r="DB84" s="37" t="n"/>
      <c r="DC84" s="288" t="n"/>
      <c r="DD84" s="37" t="n"/>
      <c r="DE84" s="295" t="n"/>
      <c r="DF84" s="295" t="n"/>
      <c r="DG84" s="288" t="n"/>
    </row>
    <row r="85">
      <c r="A85" s="428" t="n"/>
      <c r="B85" s="285" t="n"/>
      <c r="C85" s="15" t="n"/>
      <c r="D85" s="15" t="n"/>
      <c r="E85" s="285" t="n"/>
      <c r="F85" s="15" t="n"/>
      <c r="G85" s="15" t="n"/>
      <c r="H85" s="285" t="n"/>
      <c r="I85" s="15" t="n"/>
      <c r="J85" s="15" t="n"/>
      <c r="K85" s="285" t="n"/>
      <c r="L85" s="15" t="n"/>
      <c r="M85" s="15" t="n"/>
      <c r="N85" s="285" t="n"/>
      <c r="O85" s="15" t="n"/>
      <c r="P85" s="15" t="n"/>
      <c r="Q85" s="285" t="n"/>
      <c r="R85" s="15" t="n"/>
      <c r="S85" s="15" t="n"/>
      <c r="T85" s="285" t="n"/>
      <c r="U85" s="15" t="n"/>
      <c r="V85" s="15" t="n"/>
      <c r="W85" s="285" t="n"/>
      <c r="X85" s="15" t="n"/>
      <c r="Y85" s="15" t="n"/>
      <c r="Z85" s="285" t="n"/>
      <c r="AA85" s="15" t="n"/>
      <c r="AB85" s="15" t="n"/>
      <c r="AC85" s="285" t="n"/>
      <c r="AD85" s="15" t="n"/>
      <c r="AE85" s="15" t="n"/>
      <c r="AF85" s="285" t="n"/>
      <c r="AG85" s="15" t="n"/>
      <c r="AH85" s="15" t="n"/>
      <c r="AI85" s="285" t="n"/>
      <c r="AJ85" s="15" t="n"/>
      <c r="AK85" s="15" t="n"/>
      <c r="AL85" s="285" t="n"/>
      <c r="AM85" s="327" t="n"/>
      <c r="AN85" s="15" t="n"/>
      <c r="AO85" s="285" t="n"/>
      <c r="AP85" s="327" t="n"/>
      <c r="AQ85" s="15" t="n"/>
      <c r="AR85" s="285" t="n"/>
      <c r="AS85" s="327" t="n"/>
      <c r="AT85" s="15" t="n"/>
      <c r="AU85" s="285" t="n"/>
      <c r="AV85" s="327" t="n"/>
      <c r="AW85" s="15" t="n"/>
      <c r="AX85" s="285" t="n"/>
      <c r="AY85" s="15" t="n"/>
      <c r="AZ85" s="15" t="n"/>
      <c r="BA85" s="287" t="n"/>
      <c r="BB85" s="37" t="n"/>
      <c r="BC85" s="287" t="n"/>
      <c r="BD85" s="37" t="n"/>
      <c r="BE85" s="287" t="n"/>
      <c r="BF85" s="37" t="n"/>
      <c r="BG85" s="287" t="n"/>
      <c r="BH85" s="37" t="n"/>
      <c r="BI85" s="288" t="n"/>
      <c r="BJ85" s="37" t="n"/>
      <c r="BK85" s="288" t="n"/>
      <c r="BL85" s="37" t="n"/>
      <c r="BM85" s="288" t="n"/>
      <c r="BN85" s="37" t="n"/>
      <c r="BO85" s="288" t="n"/>
      <c r="BP85" s="288" t="n"/>
      <c r="BQ85" s="37" t="n"/>
      <c r="BR85" s="288" t="n"/>
      <c r="BS85" s="37" t="n"/>
      <c r="BT85" s="288" t="n"/>
      <c r="BU85" s="37" t="n"/>
      <c r="BV85" s="288" t="n"/>
      <c r="BW85" s="37" t="n"/>
      <c r="BX85" s="288" t="n"/>
      <c r="BY85" s="37" t="n"/>
      <c r="BZ85" s="288" t="n"/>
      <c r="CA85" s="37" t="n"/>
      <c r="CB85" s="288" t="n"/>
      <c r="CC85" s="37" t="n"/>
      <c r="CD85" s="288" t="n"/>
      <c r="CE85" s="37" t="n"/>
      <c r="CF85" s="288" t="n"/>
      <c r="CG85" s="291" t="n"/>
      <c r="CH85" s="288" t="n"/>
      <c r="CI85" s="291" t="n"/>
      <c r="CJ85" s="288" t="n"/>
      <c r="CK85" s="291" t="n"/>
      <c r="CL85" s="288" t="n"/>
      <c r="CM85" s="291" t="n"/>
      <c r="CN85" s="288" t="n"/>
      <c r="CO85" s="80" t="n"/>
      <c r="CP85" s="288" t="n"/>
      <c r="CQ85" s="80" t="n"/>
      <c r="CR85" s="288" t="n"/>
      <c r="CS85" s="80" t="n"/>
      <c r="CT85" s="288" t="n"/>
      <c r="CU85" s="80" t="n"/>
      <c r="CV85" s="269" t="n"/>
      <c r="CW85" s="288" t="n"/>
      <c r="CX85" s="37" t="n"/>
      <c r="CY85" s="288" t="n"/>
      <c r="CZ85" s="37" t="n"/>
      <c r="DA85" s="288" t="n"/>
      <c r="DB85" s="37" t="n"/>
      <c r="DC85" s="288" t="n"/>
      <c r="DD85" s="37" t="n"/>
      <c r="DE85" s="295" t="n"/>
      <c r="DF85" s="295" t="n"/>
      <c r="DG85" s="296" t="n"/>
    </row>
    <row r="86">
      <c r="A86" s="428" t="n"/>
      <c r="B86" s="285" t="n"/>
      <c r="C86" s="15" t="n"/>
      <c r="D86" s="15" t="n"/>
      <c r="E86" s="285" t="n"/>
      <c r="F86" s="15" t="n"/>
      <c r="G86" s="15" t="n"/>
      <c r="H86" s="285" t="n"/>
      <c r="I86" s="15" t="n"/>
      <c r="J86" s="15" t="n"/>
      <c r="K86" s="285" t="n"/>
      <c r="L86" s="15" t="n"/>
      <c r="M86" s="15" t="n"/>
      <c r="N86" s="285" t="n"/>
      <c r="O86" s="15" t="n"/>
      <c r="P86" s="15" t="n"/>
      <c r="Q86" s="285" t="n"/>
      <c r="R86" s="15" t="n"/>
      <c r="S86" s="15" t="n"/>
      <c r="T86" s="285" t="n"/>
      <c r="U86" s="15" t="n"/>
      <c r="V86" s="15" t="n"/>
      <c r="W86" s="285" t="n"/>
      <c r="X86" s="15" t="n"/>
      <c r="Y86" s="15" t="n"/>
      <c r="Z86" s="285" t="n"/>
      <c r="AA86" s="15" t="n"/>
      <c r="AB86" s="15" t="n"/>
      <c r="AC86" s="285" t="n"/>
      <c r="AD86" s="15" t="n"/>
      <c r="AE86" s="15" t="n"/>
      <c r="AF86" s="285" t="n"/>
      <c r="AG86" s="15" t="n"/>
      <c r="AH86" s="15" t="n"/>
      <c r="AI86" s="285" t="n"/>
      <c r="AJ86" s="15" t="n"/>
      <c r="AK86" s="15" t="n"/>
      <c r="AL86" s="285" t="n"/>
      <c r="AM86" s="327" t="n"/>
      <c r="AN86" s="15" t="n"/>
      <c r="AO86" s="285" t="n"/>
      <c r="AP86" s="327" t="n"/>
      <c r="AQ86" s="15" t="n"/>
      <c r="AR86" s="285" t="n"/>
      <c r="AS86" s="327" t="n"/>
      <c r="AT86" s="15" t="n"/>
      <c r="AU86" s="285" t="n"/>
      <c r="AV86" s="327" t="n"/>
      <c r="AW86" s="15" t="n"/>
      <c r="AX86" s="285" t="n"/>
      <c r="AY86" s="15" t="n"/>
      <c r="AZ86" s="15" t="n"/>
      <c r="BA86" s="287" t="n"/>
      <c r="BB86" s="37" t="n"/>
      <c r="BC86" s="287" t="n"/>
      <c r="BD86" s="37" t="n"/>
      <c r="BE86" s="287" t="n"/>
      <c r="BF86" s="37" t="n"/>
      <c r="BG86" s="287" t="n"/>
      <c r="BH86" s="37" t="n"/>
      <c r="BI86" s="288" t="n"/>
      <c r="BJ86" s="37" t="n"/>
      <c r="BK86" s="288" t="n"/>
      <c r="BL86" s="37" t="n"/>
      <c r="BM86" s="288" t="n"/>
      <c r="BN86" s="37" t="n"/>
      <c r="BO86" s="288" t="n"/>
      <c r="BP86" s="288" t="n"/>
      <c r="BQ86" s="37" t="n"/>
      <c r="BR86" s="288" t="n"/>
      <c r="BS86" s="37" t="n"/>
      <c r="BT86" s="288" t="n"/>
      <c r="BU86" s="37" t="n"/>
      <c r="BV86" s="288" t="n"/>
      <c r="BW86" s="37" t="n"/>
      <c r="BX86" s="288" t="n"/>
      <c r="BY86" s="37" t="n"/>
      <c r="BZ86" s="288" t="n"/>
      <c r="CA86" s="37" t="n"/>
      <c r="CB86" s="288" t="n"/>
      <c r="CC86" s="37" t="n"/>
      <c r="CD86" s="288" t="n"/>
      <c r="CE86" s="37" t="n"/>
      <c r="CF86" s="288" t="n"/>
      <c r="CG86" s="291" t="n"/>
      <c r="CH86" s="288" t="n"/>
      <c r="CI86" s="291" t="n"/>
      <c r="CJ86" s="288" t="n"/>
      <c r="CK86" s="291" t="n"/>
      <c r="CL86" s="288" t="n"/>
      <c r="CM86" s="291" t="n"/>
      <c r="CN86" s="288" t="n"/>
      <c r="CO86" s="80" t="n"/>
      <c r="CP86" s="288" t="n"/>
      <c r="CQ86" s="80" t="n"/>
      <c r="CR86" s="288" t="n"/>
      <c r="CS86" s="80" t="n"/>
      <c r="CT86" s="288" t="n"/>
      <c r="CU86" s="80" t="n"/>
      <c r="CV86" s="269" t="n"/>
      <c r="CW86" s="288" t="n"/>
      <c r="CX86" s="37" t="n"/>
      <c r="CY86" s="288" t="n"/>
      <c r="CZ86" s="37" t="n"/>
      <c r="DA86" s="288" t="n"/>
      <c r="DB86" s="37" t="n"/>
      <c r="DC86" s="288" t="n"/>
      <c r="DD86" s="37" t="n"/>
      <c r="DE86" s="295" t="n"/>
      <c r="DF86" s="295" t="n"/>
      <c r="DG86" s="288" t="n"/>
    </row>
    <row r="87">
      <c r="A87" s="428" t="n"/>
      <c r="B87" s="285" t="n"/>
      <c r="C87" s="15" t="n"/>
      <c r="D87" s="15" t="n"/>
      <c r="E87" s="285" t="n"/>
      <c r="F87" s="15" t="n"/>
      <c r="G87" s="15" t="n"/>
      <c r="H87" s="285" t="n"/>
      <c r="I87" s="15" t="n"/>
      <c r="J87" s="15" t="n"/>
      <c r="K87" s="285" t="n"/>
      <c r="L87" s="15" t="n"/>
      <c r="M87" s="15" t="n"/>
      <c r="N87" s="285" t="n"/>
      <c r="O87" s="15" t="n"/>
      <c r="P87" s="15" t="n"/>
      <c r="Q87" s="285" t="n"/>
      <c r="R87" s="15" t="n"/>
      <c r="S87" s="15" t="n"/>
      <c r="T87" s="285" t="n"/>
      <c r="U87" s="15" t="n"/>
      <c r="V87" s="15" t="n"/>
      <c r="W87" s="285" t="n"/>
      <c r="X87" s="15" t="n"/>
      <c r="Y87" s="15" t="n"/>
      <c r="Z87" s="285" t="n"/>
      <c r="AA87" s="15" t="n"/>
      <c r="AB87" s="15" t="n"/>
      <c r="AC87" s="285" t="n"/>
      <c r="AD87" s="15" t="n"/>
      <c r="AE87" s="15" t="n"/>
      <c r="AF87" s="285" t="n"/>
      <c r="AG87" s="15" t="n"/>
      <c r="AH87" s="15" t="n"/>
      <c r="AI87" s="285" t="n"/>
      <c r="AJ87" s="15" t="n"/>
      <c r="AK87" s="15" t="n"/>
      <c r="AL87" s="285" t="n"/>
      <c r="AM87" s="327" t="n"/>
      <c r="AN87" s="15" t="n"/>
      <c r="AO87" s="285" t="n"/>
      <c r="AP87" s="327" t="n"/>
      <c r="AQ87" s="15" t="n"/>
      <c r="AR87" s="285" t="n"/>
      <c r="AS87" s="327" t="n"/>
      <c r="AT87" s="15" t="n"/>
      <c r="AU87" s="285" t="n"/>
      <c r="AV87" s="327" t="n"/>
      <c r="AW87" s="15" t="n"/>
      <c r="AX87" s="285" t="n"/>
      <c r="AY87" s="15" t="n"/>
      <c r="AZ87" s="15" t="n"/>
      <c r="BA87" s="287" t="n"/>
      <c r="BB87" s="37" t="n"/>
      <c r="BC87" s="287" t="n"/>
      <c r="BD87" s="37" t="n"/>
      <c r="BE87" s="287" t="n"/>
      <c r="BF87" s="37" t="n"/>
      <c r="BG87" s="287" t="n"/>
      <c r="BH87" s="37" t="n"/>
      <c r="BI87" s="288" t="n"/>
      <c r="BJ87" s="37" t="n"/>
      <c r="BK87" s="288" t="n"/>
      <c r="BL87" s="37" t="n"/>
      <c r="BM87" s="288" t="n"/>
      <c r="BN87" s="37" t="n"/>
      <c r="BO87" s="288" t="n"/>
      <c r="BP87" s="288" t="n"/>
      <c r="BQ87" s="37" t="n"/>
      <c r="BR87" s="288" t="n"/>
      <c r="BS87" s="37" t="n"/>
      <c r="BT87" s="288" t="n"/>
      <c r="BU87" s="37" t="n"/>
      <c r="BV87" s="288" t="n"/>
      <c r="BW87" s="37" t="n"/>
      <c r="BX87" s="288" t="n"/>
      <c r="BY87" s="37" t="n"/>
      <c r="BZ87" s="288" t="n"/>
      <c r="CA87" s="37" t="n"/>
      <c r="CB87" s="288" t="n"/>
      <c r="CC87" s="37" t="n"/>
      <c r="CD87" s="288" t="n"/>
      <c r="CE87" s="37" t="n"/>
      <c r="CF87" s="288" t="n"/>
      <c r="CG87" s="291" t="n"/>
      <c r="CH87" s="288" t="n"/>
      <c r="CI87" s="291" t="n"/>
      <c r="CJ87" s="288" t="n"/>
      <c r="CK87" s="291" t="n"/>
      <c r="CL87" s="288" t="n"/>
      <c r="CM87" s="291" t="n"/>
      <c r="CN87" s="288" t="n"/>
      <c r="CO87" s="80" t="n"/>
      <c r="CP87" s="288" t="n"/>
      <c r="CQ87" s="80" t="n"/>
      <c r="CR87" s="288" t="n"/>
      <c r="CS87" s="80" t="n"/>
      <c r="CT87" s="288" t="n"/>
      <c r="CU87" s="80" t="n"/>
      <c r="CV87" s="269" t="n"/>
      <c r="CW87" s="288" t="n"/>
      <c r="CX87" s="37" t="n"/>
      <c r="CY87" s="288" t="n"/>
      <c r="CZ87" s="37" t="n"/>
      <c r="DA87" s="288" t="n"/>
      <c r="DB87" s="37" t="n"/>
      <c r="DC87" s="288" t="n"/>
      <c r="DD87" s="37" t="n"/>
      <c r="DE87" s="295" t="n"/>
      <c r="DF87" s="295" t="n"/>
      <c r="DG87" s="288" t="n"/>
    </row>
    <row r="88" customFormat="1" s="40">
      <c r="A88" s="330" t="n"/>
      <c r="B88" s="292" t="n"/>
      <c r="C88" s="15" t="n"/>
      <c r="D88" s="15" t="n"/>
      <c r="E88" s="292" t="n"/>
      <c r="F88" s="15" t="n"/>
      <c r="G88" s="15" t="n"/>
      <c r="H88" s="292" t="n"/>
      <c r="I88" s="15" t="n"/>
      <c r="J88" s="15" t="n"/>
      <c r="K88" s="292" t="n"/>
      <c r="L88" s="15" t="n"/>
      <c r="M88" s="15" t="n"/>
      <c r="N88" s="292" t="n"/>
      <c r="O88" s="15" t="n"/>
      <c r="P88" s="15" t="n"/>
      <c r="Q88" s="292" t="n"/>
      <c r="R88" s="15" t="n"/>
      <c r="S88" s="15" t="n"/>
      <c r="T88" s="292" t="n"/>
      <c r="U88" s="15" t="n"/>
      <c r="V88" s="15" t="n"/>
      <c r="W88" s="292" t="n"/>
      <c r="X88" s="15" t="n"/>
      <c r="Y88" s="15" t="n"/>
      <c r="Z88" s="292" t="n"/>
      <c r="AA88" s="15" t="n"/>
      <c r="AB88" s="15" t="n"/>
      <c r="AC88" s="292" t="n"/>
      <c r="AD88" s="15" t="n"/>
      <c r="AE88" s="15" t="n"/>
      <c r="AF88" s="292" t="n"/>
      <c r="AG88" s="15" t="n"/>
      <c r="AH88" s="15" t="n"/>
      <c r="AI88" s="292" t="n"/>
      <c r="AJ88" s="15" t="n"/>
      <c r="AK88" s="15" t="n"/>
      <c r="AL88" s="292" t="n"/>
      <c r="AM88" s="327" t="n"/>
      <c r="AN88" s="15" t="n"/>
      <c r="AO88" s="292" t="n"/>
      <c r="AP88" s="327" t="n"/>
      <c r="AQ88" s="15" t="n"/>
      <c r="AR88" s="292" t="n"/>
      <c r="AS88" s="327" t="n"/>
      <c r="AT88" s="15" t="n"/>
      <c r="AU88" s="292" t="n"/>
      <c r="AV88" s="327" t="n"/>
      <c r="AW88" s="15" t="n"/>
      <c r="AX88" s="292" t="n"/>
      <c r="AY88" s="15" t="n"/>
      <c r="AZ88" s="15" t="n"/>
      <c r="BA88" s="291" t="n"/>
      <c r="BB88" s="37" t="n"/>
      <c r="BC88" s="291" t="n"/>
      <c r="BD88" s="37" t="n"/>
      <c r="BE88" s="291" t="n"/>
      <c r="BF88" s="37" t="n"/>
      <c r="BG88" s="291" t="n"/>
      <c r="BH88" s="37" t="n"/>
      <c r="BI88" s="291" t="n"/>
      <c r="BJ88" s="37" t="n"/>
      <c r="BK88" s="291" t="n"/>
      <c r="BL88" s="37" t="n"/>
      <c r="BM88" s="291" t="n"/>
      <c r="BN88" s="37" t="n"/>
      <c r="BO88" s="291" t="n"/>
      <c r="BP88" s="291" t="n"/>
      <c r="BQ88" s="37" t="n"/>
      <c r="BR88" s="291" t="n"/>
      <c r="BS88" s="37" t="n"/>
      <c r="BT88" s="291" t="n"/>
      <c r="BU88" s="37" t="n"/>
      <c r="BV88" s="291" t="n"/>
      <c r="BW88" s="37" t="n"/>
      <c r="BX88" s="291" t="n"/>
      <c r="BY88" s="37" t="n"/>
      <c r="BZ88" s="291" t="n"/>
      <c r="CA88" s="37" t="n"/>
      <c r="CB88" s="291" t="n"/>
      <c r="CC88" s="37" t="n"/>
      <c r="CD88" s="291" t="n"/>
      <c r="CE88" s="37" t="n"/>
      <c r="CF88" s="291" t="n"/>
      <c r="CG88" s="291" t="n"/>
      <c r="CH88" s="291" t="n"/>
      <c r="CI88" s="291" t="n"/>
      <c r="CJ88" s="291" t="n"/>
      <c r="CK88" s="291" t="n"/>
      <c r="CL88" s="291" t="n"/>
      <c r="CM88" s="291" t="n"/>
      <c r="CN88" s="291" t="n"/>
      <c r="CO88" s="80" t="n"/>
      <c r="CP88" s="291" t="n"/>
      <c r="CQ88" s="80" t="n"/>
      <c r="CR88" s="288" t="n"/>
      <c r="CS88" s="80" t="n"/>
      <c r="CT88" s="291" t="n"/>
      <c r="CU88" s="80" t="n"/>
      <c r="CW88" s="291" t="n"/>
      <c r="CX88" s="37" t="n"/>
      <c r="CY88" s="291" t="n"/>
      <c r="CZ88" s="37" t="n"/>
      <c r="DA88" s="291" t="n"/>
      <c r="DB88" s="37" t="n"/>
      <c r="DC88" s="291" t="n"/>
      <c r="DD88" s="37" t="n"/>
      <c r="DE88" s="311" t="n"/>
      <c r="DF88" s="311" t="n"/>
    </row>
    <row r="89">
      <c r="A89" s="428" t="n"/>
      <c r="B89" s="285" t="n"/>
      <c r="C89" s="15" t="n"/>
      <c r="D89" s="15" t="n"/>
      <c r="E89" s="285" t="n"/>
      <c r="F89" s="15" t="n"/>
      <c r="G89" s="15" t="n"/>
      <c r="H89" s="285" t="n"/>
      <c r="I89" s="15" t="n"/>
      <c r="J89" s="15" t="n"/>
      <c r="K89" s="285" t="n"/>
      <c r="L89" s="15" t="n"/>
      <c r="M89" s="15" t="n"/>
      <c r="N89" s="285" t="n"/>
      <c r="O89" s="15" t="n"/>
      <c r="P89" s="15" t="n"/>
      <c r="Q89" s="285" t="n"/>
      <c r="R89" s="15" t="n"/>
      <c r="S89" s="15" t="n"/>
      <c r="T89" s="285" t="n"/>
      <c r="U89" s="15" t="n"/>
      <c r="V89" s="15" t="n"/>
      <c r="W89" s="285" t="n"/>
      <c r="X89" s="15" t="n"/>
      <c r="Y89" s="15" t="n"/>
      <c r="Z89" s="285" t="n"/>
      <c r="AA89" s="15" t="n"/>
      <c r="AB89" s="15" t="n"/>
      <c r="AC89" s="285" t="n"/>
      <c r="AD89" s="15" t="n"/>
      <c r="AE89" s="15" t="n"/>
      <c r="AF89" s="285" t="n"/>
      <c r="AG89" s="15" t="n"/>
      <c r="AH89" s="15" t="n"/>
      <c r="AI89" s="285" t="n"/>
      <c r="AJ89" s="15" t="n"/>
      <c r="AK89" s="15" t="n"/>
      <c r="AL89" s="285" t="n"/>
      <c r="AM89" s="327" t="n"/>
      <c r="AN89" s="15" t="n"/>
      <c r="AO89" s="285" t="n"/>
      <c r="AP89" s="327" t="n"/>
      <c r="AQ89" s="15" t="n"/>
      <c r="AR89" s="285" t="n"/>
      <c r="AS89" s="327" t="n"/>
      <c r="AT89" s="15" t="n"/>
      <c r="AU89" s="285" t="n"/>
      <c r="AV89" s="327" t="n"/>
      <c r="AW89" s="15" t="n"/>
      <c r="AX89" s="285" t="n"/>
      <c r="AY89" s="15" t="n"/>
      <c r="AZ89" s="15" t="n"/>
      <c r="BA89" s="287" t="n"/>
      <c r="BB89" s="37" t="n"/>
      <c r="BC89" s="287" t="n"/>
      <c r="BD89" s="37" t="n"/>
      <c r="BE89" s="287" t="n"/>
      <c r="BF89" s="37" t="n"/>
      <c r="BG89" s="287" t="n"/>
      <c r="BH89" s="37" t="n"/>
      <c r="BI89" s="288" t="n"/>
      <c r="BJ89" s="37" t="n"/>
      <c r="BK89" s="288" t="n"/>
      <c r="BL89" s="37" t="n"/>
      <c r="BM89" s="288" t="n"/>
      <c r="BN89" s="37" t="n"/>
      <c r="BO89" s="288" t="n"/>
      <c r="BP89" s="288" t="n"/>
      <c r="BQ89" s="37" t="n"/>
      <c r="BR89" s="288" t="n"/>
      <c r="BS89" s="37" t="n"/>
      <c r="BT89" s="288" t="n"/>
      <c r="BU89" s="37" t="n"/>
      <c r="BV89" s="288" t="n"/>
      <c r="BW89" s="37" t="n"/>
      <c r="BX89" s="288" t="n"/>
      <c r="BY89" s="37" t="n"/>
      <c r="BZ89" s="288" t="n"/>
      <c r="CA89" s="37" t="n"/>
      <c r="CB89" s="288" t="n"/>
      <c r="CC89" s="37" t="n"/>
      <c r="CD89" s="288" t="n"/>
      <c r="CE89" s="37" t="n"/>
      <c r="CF89" s="288" t="n"/>
      <c r="CG89" s="291" t="n"/>
      <c r="CH89" s="288" t="n"/>
      <c r="CI89" s="291" t="n"/>
      <c r="CJ89" s="288" t="n"/>
      <c r="CK89" s="291" t="n"/>
      <c r="CL89" s="288" t="n"/>
      <c r="CM89" s="291" t="n"/>
      <c r="CN89" s="288" t="n"/>
      <c r="CO89" s="80" t="n"/>
      <c r="CP89" s="288" t="n"/>
      <c r="CQ89" s="80" t="n"/>
      <c r="CR89" s="288" t="n"/>
      <c r="CS89" s="80" t="n"/>
      <c r="CT89" s="288" t="n"/>
      <c r="CU89" s="80" t="n"/>
      <c r="CV89" s="269" t="n"/>
      <c r="CW89" s="288" t="n"/>
      <c r="CX89" s="37" t="n"/>
      <c r="CY89" s="288" t="n"/>
      <c r="CZ89" s="37" t="n"/>
      <c r="DA89" s="288" t="n"/>
      <c r="DB89" s="37" t="n"/>
      <c r="DC89" s="288" t="n"/>
      <c r="DD89" s="37" t="n"/>
      <c r="DE89" s="295" t="n"/>
      <c r="DF89" s="295" t="n"/>
      <c r="DG89" s="288" t="n"/>
    </row>
    <row r="90">
      <c r="A90" s="428" t="n"/>
      <c r="B90" s="285" t="n"/>
      <c r="C90" s="15" t="n"/>
      <c r="D90" s="15" t="n"/>
      <c r="E90" s="285" t="n"/>
      <c r="F90" s="15" t="n"/>
      <c r="G90" s="15" t="n"/>
      <c r="H90" s="285" t="n"/>
      <c r="I90" s="15" t="n"/>
      <c r="J90" s="15" t="n"/>
      <c r="K90" s="285" t="n"/>
      <c r="L90" s="15" t="n"/>
      <c r="M90" s="15" t="n"/>
      <c r="N90" s="285" t="n"/>
      <c r="O90" s="15" t="n"/>
      <c r="P90" s="15" t="n"/>
      <c r="Q90" s="285" t="n"/>
      <c r="R90" s="15" t="n"/>
      <c r="S90" s="15" t="n"/>
      <c r="T90" s="285" t="n"/>
      <c r="U90" s="15" t="n"/>
      <c r="V90" s="15" t="n"/>
      <c r="W90" s="285" t="n"/>
      <c r="X90" s="15" t="n"/>
      <c r="Y90" s="15" t="n"/>
      <c r="Z90" s="285" t="n"/>
      <c r="AA90" s="15" t="n"/>
      <c r="AB90" s="15" t="n"/>
      <c r="AC90" s="285" t="n"/>
      <c r="AD90" s="15" t="n"/>
      <c r="AE90" s="15" t="n"/>
      <c r="AF90" s="285" t="n"/>
      <c r="AG90" s="15" t="n"/>
      <c r="AH90" s="15" t="n"/>
      <c r="AI90" s="285" t="n"/>
      <c r="AJ90" s="15" t="n"/>
      <c r="AK90" s="15" t="n"/>
      <c r="AL90" s="285" t="n"/>
      <c r="AM90" s="327" t="n"/>
      <c r="AN90" s="15" t="n"/>
      <c r="AO90" s="285" t="n"/>
      <c r="AP90" s="327" t="n"/>
      <c r="AQ90" s="15" t="n"/>
      <c r="AR90" s="285" t="n"/>
      <c r="AS90" s="327" t="n"/>
      <c r="AT90" s="15" t="n"/>
      <c r="AU90" s="285" t="n"/>
      <c r="AV90" s="327" t="n"/>
      <c r="AW90" s="15" t="n"/>
      <c r="AX90" s="285" t="n"/>
      <c r="AY90" s="15" t="n"/>
      <c r="AZ90" s="15" t="n"/>
      <c r="BA90" s="287" t="n"/>
      <c r="BB90" s="37" t="n"/>
      <c r="BC90" s="287" t="n"/>
      <c r="BD90" s="37" t="n"/>
      <c r="BE90" s="287" t="n"/>
      <c r="BF90" s="37" t="n"/>
      <c r="BG90" s="287" t="n"/>
      <c r="BH90" s="37" t="n"/>
      <c r="BI90" s="288" t="n"/>
      <c r="BJ90" s="37" t="n"/>
      <c r="BK90" s="288" t="n"/>
      <c r="BL90" s="37" t="n"/>
      <c r="BM90" s="288" t="n"/>
      <c r="BN90" s="37" t="n"/>
      <c r="BO90" s="288" t="n"/>
      <c r="BP90" s="288" t="n"/>
      <c r="BQ90" s="37" t="n"/>
      <c r="BR90" s="288" t="n"/>
      <c r="BS90" s="37" t="n"/>
      <c r="BT90" s="288" t="n"/>
      <c r="BU90" s="37" t="n"/>
      <c r="BV90" s="288" t="n"/>
      <c r="BW90" s="37" t="n"/>
      <c r="BX90" s="288" t="n"/>
      <c r="BY90" s="37" t="n"/>
      <c r="BZ90" s="288" t="n"/>
      <c r="CA90" s="37" t="n"/>
      <c r="CB90" s="288" t="n"/>
      <c r="CC90" s="37" t="n"/>
      <c r="CD90" s="288" t="n"/>
      <c r="CE90" s="37" t="n"/>
      <c r="CF90" s="288" t="n"/>
      <c r="CG90" s="291" t="n"/>
      <c r="CH90" s="288" t="n"/>
      <c r="CI90" s="291" t="n"/>
      <c r="CJ90" s="288" t="n"/>
      <c r="CK90" s="291" t="n"/>
      <c r="CL90" s="288" t="n"/>
      <c r="CM90" s="291" t="n"/>
      <c r="CN90" s="288" t="n"/>
      <c r="CO90" s="80" t="n"/>
      <c r="CP90" s="288" t="n"/>
      <c r="CQ90" s="80" t="n"/>
      <c r="CR90" s="288" t="n"/>
      <c r="CS90" s="80" t="n"/>
      <c r="CT90" s="288" t="n"/>
      <c r="CU90" s="80" t="n"/>
      <c r="CV90" s="269" t="n"/>
      <c r="CW90" s="288" t="n"/>
      <c r="CX90" s="37" t="n"/>
      <c r="CY90" s="288" t="n"/>
      <c r="CZ90" s="37" t="n"/>
      <c r="DA90" s="288" t="n"/>
      <c r="DB90" s="37" t="n"/>
      <c r="DC90" s="288" t="n"/>
      <c r="DD90" s="37" t="n"/>
      <c r="DE90" s="295" t="n"/>
      <c r="DF90" s="295" t="n"/>
      <c r="DG90" s="296" t="n"/>
    </row>
    <row r="91">
      <c r="A91" s="428" t="n"/>
      <c r="B91" s="285" t="n"/>
      <c r="C91" s="15" t="n"/>
      <c r="D91" s="15" t="n"/>
      <c r="E91" s="285" t="n"/>
      <c r="F91" s="15" t="n"/>
      <c r="G91" s="15" t="n"/>
      <c r="H91" s="285" t="n"/>
      <c r="I91" s="15" t="n"/>
      <c r="J91" s="15" t="n"/>
      <c r="K91" s="285" t="n"/>
      <c r="L91" s="15" t="n"/>
      <c r="M91" s="15" t="n"/>
      <c r="N91" s="285" t="n"/>
      <c r="O91" s="15" t="n"/>
      <c r="P91" s="15" t="n"/>
      <c r="Q91" s="285" t="n"/>
      <c r="R91" s="15" t="n"/>
      <c r="S91" s="15" t="n"/>
      <c r="T91" s="285" t="n"/>
      <c r="U91" s="15" t="n"/>
      <c r="V91" s="15" t="n"/>
      <c r="W91" s="285" t="n"/>
      <c r="X91" s="15" t="n"/>
      <c r="Y91" s="15" t="n"/>
      <c r="Z91" s="285" t="n"/>
      <c r="AA91" s="15" t="n"/>
      <c r="AB91" s="15" t="n"/>
      <c r="AC91" s="285" t="n"/>
      <c r="AD91" s="15" t="n"/>
      <c r="AE91" s="15" t="n"/>
      <c r="AF91" s="285" t="n"/>
      <c r="AG91" s="15" t="n"/>
      <c r="AH91" s="15" t="n"/>
      <c r="AI91" s="285" t="n"/>
      <c r="AJ91" s="15" t="n"/>
      <c r="AK91" s="15" t="n"/>
      <c r="AL91" s="285" t="n"/>
      <c r="AM91" s="327" t="n"/>
      <c r="AN91" s="15" t="n"/>
      <c r="AO91" s="285" t="n"/>
      <c r="AP91" s="327" t="n"/>
      <c r="AQ91" s="15" t="n"/>
      <c r="AR91" s="285" t="n"/>
      <c r="AS91" s="327" t="n"/>
      <c r="AT91" s="15" t="n"/>
      <c r="AU91" s="285" t="n"/>
      <c r="AV91" s="327" t="n"/>
      <c r="AW91" s="15" t="n"/>
      <c r="AX91" s="285" t="n"/>
      <c r="AY91" s="15" t="n"/>
      <c r="AZ91" s="15" t="n"/>
      <c r="BA91" s="287" t="n"/>
      <c r="BB91" s="37" t="n"/>
      <c r="BC91" s="287" t="n"/>
      <c r="BD91" s="37" t="n"/>
      <c r="BE91" s="287" t="n"/>
      <c r="BF91" s="37" t="n"/>
      <c r="BG91" s="287" t="n"/>
      <c r="BH91" s="37" t="n"/>
      <c r="BI91" s="288" t="n"/>
      <c r="BJ91" s="37" t="n"/>
      <c r="BK91" s="288" t="n"/>
      <c r="BL91" s="37" t="n"/>
      <c r="BM91" s="288" t="n"/>
      <c r="BN91" s="37" t="n"/>
      <c r="BO91" s="288" t="n"/>
      <c r="BP91" s="288" t="n"/>
      <c r="BQ91" s="37" t="n"/>
      <c r="BR91" s="288" t="n"/>
      <c r="BS91" s="37" t="n"/>
      <c r="BT91" s="288" t="n"/>
      <c r="BU91" s="37" t="n"/>
      <c r="BV91" s="288" t="n"/>
      <c r="BW91" s="37" t="n"/>
      <c r="BX91" s="288" t="n"/>
      <c r="BY91" s="37" t="n"/>
      <c r="BZ91" s="288" t="n"/>
      <c r="CA91" s="37" t="n"/>
      <c r="CB91" s="288" t="n"/>
      <c r="CC91" s="37" t="n"/>
      <c r="CD91" s="288" t="n"/>
      <c r="CE91" s="37" t="n"/>
      <c r="CF91" s="288" t="n"/>
      <c r="CG91" s="291" t="n"/>
      <c r="CH91" s="288" t="n"/>
      <c r="CI91" s="291" t="n"/>
      <c r="CJ91" s="288" t="n"/>
      <c r="CK91" s="291" t="n"/>
      <c r="CL91" s="288" t="n"/>
      <c r="CM91" s="291" t="n"/>
      <c r="CN91" s="288" t="n"/>
      <c r="CO91" s="80" t="n"/>
      <c r="CP91" s="288" t="n"/>
      <c r="CQ91" s="80" t="n"/>
      <c r="CR91" s="288" t="n"/>
      <c r="CS91" s="80" t="n"/>
      <c r="CT91" s="288" t="n"/>
      <c r="CU91" s="80" t="n"/>
      <c r="CV91" s="269" t="n"/>
      <c r="CW91" s="288" t="n"/>
      <c r="CX91" s="37" t="n"/>
      <c r="CY91" s="288" t="n"/>
      <c r="CZ91" s="37" t="n"/>
      <c r="DA91" s="288" t="n"/>
      <c r="DB91" s="37" t="n"/>
      <c r="DC91" s="288" t="n"/>
      <c r="DD91" s="37" t="n"/>
      <c r="DE91" s="295" t="n"/>
      <c r="DF91" s="295" t="n"/>
      <c r="DG91" s="296" t="n"/>
    </row>
    <row r="92">
      <c r="A92" s="428" t="n"/>
      <c r="B92" s="285" t="n"/>
      <c r="C92" s="15" t="n"/>
      <c r="D92" s="15" t="n"/>
      <c r="E92" s="285" t="n"/>
      <c r="F92" s="15" t="n"/>
      <c r="G92" s="15" t="n"/>
      <c r="H92" s="285" t="n"/>
      <c r="I92" s="15" t="n"/>
      <c r="J92" s="15" t="n"/>
      <c r="K92" s="285" t="n"/>
      <c r="L92" s="15" t="n"/>
      <c r="M92" s="15" t="n"/>
      <c r="N92" s="285" t="n"/>
      <c r="O92" s="15" t="n"/>
      <c r="P92" s="15" t="n"/>
      <c r="Q92" s="285" t="n"/>
      <c r="R92" s="15" t="n"/>
      <c r="S92" s="15" t="n"/>
      <c r="T92" s="285" t="n"/>
      <c r="U92" s="15" t="n"/>
      <c r="V92" s="15" t="n"/>
      <c r="W92" s="285" t="n"/>
      <c r="X92" s="15" t="n"/>
      <c r="Y92" s="15" t="n"/>
      <c r="Z92" s="285" t="n"/>
      <c r="AA92" s="15" t="n"/>
      <c r="AB92" s="15" t="n"/>
      <c r="AC92" s="285" t="n"/>
      <c r="AD92" s="15" t="n"/>
      <c r="AE92" s="15" t="n"/>
      <c r="AF92" s="285" t="n"/>
      <c r="AG92" s="15" t="n"/>
      <c r="AH92" s="15" t="n"/>
      <c r="AI92" s="285" t="n"/>
      <c r="AJ92" s="15" t="n"/>
      <c r="AK92" s="15" t="n"/>
      <c r="AL92" s="285" t="n"/>
      <c r="AM92" s="327" t="n"/>
      <c r="AN92" s="15" t="n"/>
      <c r="AO92" s="285" t="n"/>
      <c r="AP92" s="327" t="n"/>
      <c r="AQ92" s="15" t="n"/>
      <c r="AR92" s="285" t="n"/>
      <c r="AS92" s="327" t="n"/>
      <c r="AT92" s="15" t="n"/>
      <c r="AU92" s="285" t="n"/>
      <c r="AV92" s="327" t="n"/>
      <c r="AW92" s="15" t="n"/>
      <c r="AX92" s="285" t="n"/>
      <c r="AY92" s="15" t="n"/>
      <c r="AZ92" s="15" t="n"/>
      <c r="BA92" s="287" t="n"/>
      <c r="BB92" s="37" t="n"/>
      <c r="BC92" s="287" t="n"/>
      <c r="BD92" s="37" t="n"/>
      <c r="BE92" s="287" t="n"/>
      <c r="BF92" s="37" t="n"/>
      <c r="BG92" s="287" t="n"/>
      <c r="BH92" s="37" t="n"/>
      <c r="BI92" s="288" t="n"/>
      <c r="BJ92" s="37" t="n"/>
      <c r="BK92" s="288" t="n"/>
      <c r="BL92" s="37" t="n"/>
      <c r="BM92" s="288" t="n"/>
      <c r="BN92" s="37" t="n"/>
      <c r="BO92" s="288" t="n"/>
      <c r="BP92" s="288" t="n"/>
      <c r="BQ92" s="37" t="n"/>
      <c r="BR92" s="288" t="n"/>
      <c r="BS92" s="37" t="n"/>
      <c r="BT92" s="288" t="n"/>
      <c r="BU92" s="37" t="n"/>
      <c r="BV92" s="288" t="n"/>
      <c r="BW92" s="37" t="n"/>
      <c r="BX92" s="288" t="n"/>
      <c r="BY92" s="37" t="n"/>
      <c r="BZ92" s="288" t="n"/>
      <c r="CA92" s="37" t="n"/>
      <c r="CB92" s="288" t="n"/>
      <c r="CC92" s="37" t="n"/>
      <c r="CD92" s="288" t="n"/>
      <c r="CE92" s="37" t="n"/>
      <c r="CF92" s="288" t="n"/>
      <c r="CG92" s="291" t="n"/>
      <c r="CH92" s="288" t="n"/>
      <c r="CI92" s="291" t="n"/>
      <c r="CJ92" s="288" t="n"/>
      <c r="CK92" s="291" t="n"/>
      <c r="CL92" s="288" t="n"/>
      <c r="CM92" s="291" t="n"/>
      <c r="CN92" s="288" t="n"/>
      <c r="CO92" s="80" t="n"/>
      <c r="CP92" s="288" t="n"/>
      <c r="CQ92" s="80" t="n"/>
      <c r="CR92" s="288" t="n"/>
      <c r="CS92" s="80" t="n"/>
      <c r="CT92" s="288" t="n"/>
      <c r="CU92" s="80" t="n"/>
      <c r="CV92" s="269" t="n"/>
      <c r="CW92" s="288" t="n"/>
      <c r="CX92" s="37" t="n"/>
      <c r="CY92" s="288" t="n"/>
      <c r="CZ92" s="37" t="n"/>
      <c r="DA92" s="288" t="n"/>
      <c r="DB92" s="37" t="n"/>
      <c r="DC92" s="288" t="n"/>
      <c r="DD92" s="37" t="n"/>
      <c r="DE92" s="295" t="n"/>
      <c r="DF92" s="295" t="n"/>
      <c r="DG92" s="296" t="n"/>
    </row>
    <row r="93">
      <c r="A93" s="428" t="n"/>
      <c r="B93" s="285" t="n"/>
      <c r="C93" s="15" t="n"/>
      <c r="D93" s="15" t="n"/>
      <c r="E93" s="285" t="n"/>
      <c r="F93" s="15" t="n"/>
      <c r="G93" s="15" t="n"/>
      <c r="H93" s="285" t="n"/>
      <c r="I93" s="15" t="n"/>
      <c r="J93" s="15" t="n"/>
      <c r="K93" s="285" t="n"/>
      <c r="L93" s="15" t="n"/>
      <c r="M93" s="15" t="n"/>
      <c r="N93" s="285" t="n"/>
      <c r="O93" s="15" t="n"/>
      <c r="P93" s="15" t="n"/>
      <c r="Q93" s="285" t="n"/>
      <c r="R93" s="15" t="n"/>
      <c r="S93" s="15" t="n"/>
      <c r="T93" s="285" t="n"/>
      <c r="U93" s="15" t="n"/>
      <c r="V93" s="15" t="n"/>
      <c r="W93" s="285" t="n"/>
      <c r="X93" s="15" t="n"/>
      <c r="Y93" s="15" t="n"/>
      <c r="Z93" s="285" t="n"/>
      <c r="AA93" s="15" t="n"/>
      <c r="AB93" s="15" t="n"/>
      <c r="AC93" s="285" t="n"/>
      <c r="AD93" s="15" t="n"/>
      <c r="AE93" s="15" t="n"/>
      <c r="AF93" s="285" t="n"/>
      <c r="AG93" s="15" t="n"/>
      <c r="AH93" s="15" t="n"/>
      <c r="AI93" s="285" t="n"/>
      <c r="AJ93" s="15" t="n"/>
      <c r="AK93" s="15" t="n"/>
      <c r="AL93" s="285" t="n"/>
      <c r="AM93" s="327" t="n"/>
      <c r="AN93" s="15" t="n"/>
      <c r="AO93" s="285" t="n"/>
      <c r="AP93" s="327" t="n"/>
      <c r="AQ93" s="15" t="n"/>
      <c r="AR93" s="285" t="n"/>
      <c r="AS93" s="327" t="n"/>
      <c r="AT93" s="15" t="n"/>
      <c r="AU93" s="285" t="n"/>
      <c r="AV93" s="327" t="n"/>
      <c r="AW93" s="15" t="n"/>
      <c r="AX93" s="285" t="n"/>
      <c r="AY93" s="15" t="n"/>
      <c r="AZ93" s="15" t="n"/>
      <c r="BA93" s="287" t="n"/>
      <c r="BB93" s="37" t="n"/>
      <c r="BC93" s="287" t="n"/>
      <c r="BD93" s="37" t="n"/>
      <c r="BE93" s="287" t="n"/>
      <c r="BF93" s="37" t="n"/>
      <c r="BG93" s="287" t="n"/>
      <c r="BH93" s="37" t="n"/>
      <c r="BI93" s="288" t="n"/>
      <c r="BJ93" s="37" t="n"/>
      <c r="BK93" s="288" t="n"/>
      <c r="BL93" s="37" t="n"/>
      <c r="BM93" s="288" t="n"/>
      <c r="BN93" s="37" t="n"/>
      <c r="BO93" s="288" t="n"/>
      <c r="BP93" s="288" t="n"/>
      <c r="BQ93" s="37" t="n"/>
      <c r="BR93" s="288" t="n"/>
      <c r="BS93" s="37" t="n"/>
      <c r="BT93" s="288" t="n"/>
      <c r="BU93" s="37" t="n"/>
      <c r="BV93" s="288" t="n"/>
      <c r="BW93" s="37" t="n"/>
      <c r="BX93" s="288" t="n"/>
      <c r="BY93" s="37" t="n"/>
      <c r="BZ93" s="288" t="n"/>
      <c r="CA93" s="37" t="n"/>
      <c r="CB93" s="288" t="n"/>
      <c r="CC93" s="37" t="n"/>
      <c r="CD93" s="288" t="n"/>
      <c r="CE93" s="37" t="n"/>
      <c r="CF93" s="288" t="n"/>
      <c r="CG93" s="291" t="n"/>
      <c r="CH93" s="288" t="n"/>
      <c r="CI93" s="291" t="n"/>
      <c r="CJ93" s="288" t="n"/>
      <c r="CK93" s="291" t="n"/>
      <c r="CL93" s="288" t="n"/>
      <c r="CM93" s="291" t="n"/>
      <c r="CN93" s="288" t="n"/>
      <c r="CO93" s="80" t="n"/>
      <c r="CP93" s="288" t="n"/>
      <c r="CQ93" s="80" t="n"/>
      <c r="CR93" s="288" t="n"/>
      <c r="CS93" s="80" t="n"/>
      <c r="CT93" s="288" t="n"/>
      <c r="CU93" s="80" t="n"/>
      <c r="CV93" s="269" t="n"/>
      <c r="CW93" s="288" t="n"/>
      <c r="CX93" s="37" t="n"/>
      <c r="CY93" s="288" t="n"/>
      <c r="CZ93" s="37" t="n"/>
      <c r="DA93" s="288" t="n"/>
      <c r="DB93" s="37" t="n"/>
      <c r="DC93" s="288" t="n"/>
      <c r="DD93" s="37" t="n"/>
      <c r="DE93" s="295" t="n"/>
      <c r="DF93" s="295" t="n"/>
      <c r="DG93" s="288" t="n"/>
    </row>
    <row r="94">
      <c r="A94" s="428" t="n"/>
      <c r="B94" s="285" t="n"/>
      <c r="C94" s="15" t="n"/>
      <c r="D94" s="15" t="n"/>
      <c r="E94" s="285" t="n"/>
      <c r="F94" s="15" t="n"/>
      <c r="G94" s="15" t="n"/>
      <c r="H94" s="285" t="n"/>
      <c r="I94" s="15" t="n"/>
      <c r="J94" s="15" t="n"/>
      <c r="K94" s="285" t="n"/>
      <c r="L94" s="15" t="n"/>
      <c r="M94" s="15" t="n"/>
      <c r="N94" s="285" t="n"/>
      <c r="O94" s="15" t="n"/>
      <c r="P94" s="15" t="n"/>
      <c r="Q94" s="285" t="n"/>
      <c r="R94" s="15" t="n"/>
      <c r="S94" s="15" t="n"/>
      <c r="T94" s="285" t="n"/>
      <c r="U94" s="15" t="n"/>
      <c r="V94" s="15" t="n"/>
      <c r="W94" s="285" t="n"/>
      <c r="X94" s="15" t="n"/>
      <c r="Y94" s="15" t="n"/>
      <c r="Z94" s="285" t="n"/>
      <c r="AA94" s="15" t="n"/>
      <c r="AB94" s="15" t="n"/>
      <c r="AC94" s="285" t="n"/>
      <c r="AD94" s="15" t="n"/>
      <c r="AE94" s="15" t="n"/>
      <c r="AF94" s="285" t="n"/>
      <c r="AG94" s="15" t="n"/>
      <c r="AH94" s="15" t="n"/>
      <c r="AI94" s="285" t="n"/>
      <c r="AJ94" s="15" t="n"/>
      <c r="AK94" s="15" t="n"/>
      <c r="AL94" s="285" t="n"/>
      <c r="AM94" s="327" t="n"/>
      <c r="AN94" s="15" t="n"/>
      <c r="AO94" s="285" t="n"/>
      <c r="AP94" s="327" t="n"/>
      <c r="AQ94" s="15" t="n"/>
      <c r="AR94" s="285" t="n"/>
      <c r="AS94" s="327" t="n"/>
      <c r="AT94" s="15" t="n"/>
      <c r="AU94" s="285" t="n"/>
      <c r="AV94" s="327" t="n"/>
      <c r="AW94" s="15" t="n"/>
      <c r="AX94" s="285" t="n"/>
      <c r="AY94" s="15" t="n"/>
      <c r="AZ94" s="15" t="n"/>
      <c r="BA94" s="287" t="n"/>
      <c r="BB94" s="37" t="n"/>
      <c r="BC94" s="287" t="n"/>
      <c r="BD94" s="37" t="n"/>
      <c r="BE94" s="287" t="n"/>
      <c r="BF94" s="37" t="n"/>
      <c r="BG94" s="287" t="n"/>
      <c r="BH94" s="37" t="n"/>
      <c r="BI94" s="288" t="n"/>
      <c r="BJ94" s="37" t="n"/>
      <c r="BK94" s="288" t="n"/>
      <c r="BL94" s="37" t="n"/>
      <c r="BM94" s="288" t="n"/>
      <c r="BN94" s="37" t="n"/>
      <c r="BO94" s="288" t="n"/>
      <c r="BP94" s="288" t="n"/>
      <c r="BQ94" s="37" t="n"/>
      <c r="BR94" s="288" t="n"/>
      <c r="BS94" s="37" t="n"/>
      <c r="BT94" s="288" t="n"/>
      <c r="BU94" s="37" t="n"/>
      <c r="BV94" s="288" t="n"/>
      <c r="BW94" s="37" t="n"/>
      <c r="BX94" s="288" t="n"/>
      <c r="BY94" s="37" t="n"/>
      <c r="BZ94" s="288" t="n"/>
      <c r="CA94" s="37" t="n"/>
      <c r="CB94" s="288" t="n"/>
      <c r="CC94" s="37" t="n"/>
      <c r="CD94" s="288" t="n"/>
      <c r="CE94" s="37" t="n"/>
      <c r="CF94" s="288" t="n"/>
      <c r="CG94" s="291" t="n"/>
      <c r="CH94" s="288" t="n"/>
      <c r="CI94" s="291" t="n"/>
      <c r="CJ94" s="288" t="n"/>
      <c r="CK94" s="291" t="n"/>
      <c r="CL94" s="288" t="n"/>
      <c r="CM94" s="291" t="n"/>
      <c r="CN94" s="288" t="n"/>
      <c r="CO94" s="80" t="n"/>
      <c r="CP94" s="288" t="n"/>
      <c r="CQ94" s="80" t="n"/>
      <c r="CR94" s="288" t="n"/>
      <c r="CS94" s="80" t="n"/>
      <c r="CT94" s="288" t="n"/>
      <c r="CU94" s="80" t="n"/>
      <c r="CV94" s="269" t="n"/>
      <c r="CW94" s="288" t="n"/>
      <c r="CX94" s="37" t="n"/>
      <c r="CY94" s="288" t="n"/>
      <c r="CZ94" s="37" t="n"/>
      <c r="DA94" s="288" t="n"/>
      <c r="DB94" s="37" t="n"/>
      <c r="DC94" s="288" t="n"/>
      <c r="DD94" s="37" t="n"/>
      <c r="DE94" s="295" t="n"/>
      <c r="DF94" s="295" t="n"/>
      <c r="DG94" s="288" t="n"/>
    </row>
    <row r="95">
      <c r="A95" s="428" t="n"/>
      <c r="B95" s="285" t="n"/>
      <c r="C95" s="15" t="n"/>
      <c r="D95" s="15" t="n"/>
      <c r="E95" s="285" t="n"/>
      <c r="F95" s="15" t="n"/>
      <c r="G95" s="15" t="n"/>
      <c r="H95" s="285" t="n"/>
      <c r="I95" s="15" t="n"/>
      <c r="J95" s="15" t="n"/>
      <c r="K95" s="285" t="n"/>
      <c r="L95" s="15" t="n"/>
      <c r="M95" s="15" t="n"/>
      <c r="N95" s="285" t="n"/>
      <c r="O95" s="15" t="n"/>
      <c r="P95" s="15" t="n"/>
      <c r="Q95" s="285" t="n"/>
      <c r="R95" s="15" t="n"/>
      <c r="S95" s="15" t="n"/>
      <c r="T95" s="285" t="n"/>
      <c r="U95" s="15" t="n"/>
      <c r="V95" s="15" t="n"/>
      <c r="W95" s="285" t="n"/>
      <c r="X95" s="15" t="n"/>
      <c r="Y95" s="15" t="n"/>
      <c r="Z95" s="285" t="n"/>
      <c r="AA95" s="15" t="n"/>
      <c r="AB95" s="15" t="n"/>
      <c r="AC95" s="285" t="n"/>
      <c r="AD95" s="15" t="n"/>
      <c r="AE95" s="15" t="n"/>
      <c r="AF95" s="285" t="n"/>
      <c r="AG95" s="15" t="n"/>
      <c r="AH95" s="15" t="n"/>
      <c r="AI95" s="285" t="n"/>
      <c r="AJ95" s="15" t="n"/>
      <c r="AK95" s="15" t="n"/>
      <c r="AL95" s="285" t="n"/>
      <c r="AM95" s="327" t="n"/>
      <c r="AN95" s="15" t="n"/>
      <c r="AO95" s="285" t="n"/>
      <c r="AP95" s="327" t="n"/>
      <c r="AQ95" s="15" t="n"/>
      <c r="AR95" s="285" t="n"/>
      <c r="AS95" s="327" t="n"/>
      <c r="AT95" s="15" t="n"/>
      <c r="AU95" s="285" t="n"/>
      <c r="AV95" s="327" t="n"/>
      <c r="AW95" s="15" t="n"/>
      <c r="AX95" s="285" t="n"/>
      <c r="AY95" s="15" t="n"/>
      <c r="AZ95" s="15" t="n"/>
      <c r="BA95" s="287" t="n"/>
      <c r="BB95" s="37" t="n"/>
      <c r="BC95" s="287" t="n"/>
      <c r="BD95" s="37" t="n"/>
      <c r="BE95" s="287" t="n"/>
      <c r="BF95" s="37" t="n"/>
      <c r="BG95" s="287" t="n"/>
      <c r="BH95" s="37" t="n"/>
      <c r="BI95" s="288" t="n"/>
      <c r="BJ95" s="37" t="n"/>
      <c r="BK95" s="288" t="n"/>
      <c r="BL95" s="37" t="n"/>
      <c r="BM95" s="288" t="n"/>
      <c r="BN95" s="37" t="n"/>
      <c r="BO95" s="288" t="n"/>
      <c r="BP95" s="288" t="n"/>
      <c r="BQ95" s="37" t="n"/>
      <c r="BR95" s="288" t="n"/>
      <c r="BS95" s="37" t="n"/>
      <c r="BT95" s="288" t="n"/>
      <c r="BU95" s="37" t="n"/>
      <c r="BV95" s="288" t="n"/>
      <c r="BW95" s="37" t="n"/>
      <c r="BX95" s="288" t="n"/>
      <c r="BY95" s="37" t="n"/>
      <c r="BZ95" s="288" t="n"/>
      <c r="CA95" s="37" t="n"/>
      <c r="CB95" s="288" t="n"/>
      <c r="CC95" s="37" t="n"/>
      <c r="CD95" s="288" t="n"/>
      <c r="CE95" s="37" t="n"/>
      <c r="CF95" s="288" t="n"/>
      <c r="CG95" s="291" t="n"/>
      <c r="CH95" s="288" t="n"/>
      <c r="CI95" s="291" t="n"/>
      <c r="CJ95" s="288" t="n"/>
      <c r="CK95" s="291" t="n"/>
      <c r="CL95" s="288" t="n"/>
      <c r="CM95" s="291" t="n"/>
      <c r="CN95" s="288" t="n"/>
      <c r="CO95" s="80" t="n"/>
      <c r="CP95" s="288" t="n"/>
      <c r="CQ95" s="80" t="n"/>
      <c r="CR95" s="288" t="n"/>
      <c r="CS95" s="80" t="n"/>
      <c r="CT95" s="288" t="n"/>
      <c r="CU95" s="80" t="n"/>
      <c r="CV95" s="269" t="n"/>
      <c r="CW95" s="288" t="n"/>
      <c r="CX95" s="37" t="n"/>
      <c r="CY95" s="288" t="n"/>
      <c r="CZ95" s="37" t="n"/>
      <c r="DA95" s="288" t="n"/>
      <c r="DB95" s="37" t="n"/>
      <c r="DC95" s="288" t="n"/>
      <c r="DD95" s="37" t="n"/>
      <c r="DE95" s="295" t="n"/>
      <c r="DF95" s="295" t="n"/>
      <c r="DG95" s="288" t="n"/>
    </row>
    <row r="96">
      <c r="A96" s="428" t="n"/>
      <c r="B96" s="285" t="n"/>
      <c r="C96" s="15" t="n"/>
      <c r="D96" s="15" t="n"/>
      <c r="E96" s="285" t="n"/>
      <c r="F96" s="15" t="n"/>
      <c r="G96" s="15" t="n"/>
      <c r="H96" s="285" t="n"/>
      <c r="I96" s="15" t="n"/>
      <c r="J96" s="15" t="n"/>
      <c r="K96" s="285" t="n"/>
      <c r="L96" s="15" t="n"/>
      <c r="M96" s="15" t="n"/>
      <c r="N96" s="285" t="n"/>
      <c r="O96" s="15" t="n"/>
      <c r="P96" s="15" t="n"/>
      <c r="Q96" s="285" t="n"/>
      <c r="R96" s="15" t="n"/>
      <c r="S96" s="15" t="n"/>
      <c r="T96" s="285" t="n"/>
      <c r="U96" s="15" t="n"/>
      <c r="V96" s="15" t="n"/>
      <c r="W96" s="285" t="n"/>
      <c r="X96" s="15" t="n"/>
      <c r="Y96" s="15" t="n"/>
      <c r="Z96" s="285" t="n"/>
      <c r="AA96" s="15" t="n"/>
      <c r="AB96" s="15" t="n"/>
      <c r="AC96" s="285" t="n"/>
      <c r="AD96" s="15" t="n"/>
      <c r="AE96" s="15" t="n"/>
      <c r="AF96" s="285" t="n"/>
      <c r="AG96" s="15" t="n"/>
      <c r="AH96" s="15" t="n"/>
      <c r="AI96" s="285" t="n"/>
      <c r="AJ96" s="15" t="n"/>
      <c r="AK96" s="15" t="n"/>
      <c r="AL96" s="285" t="n"/>
      <c r="AM96" s="327" t="n"/>
      <c r="AN96" s="15" t="n"/>
      <c r="AO96" s="285" t="n"/>
      <c r="AP96" s="327" t="n"/>
      <c r="AQ96" s="15" t="n"/>
      <c r="AR96" s="285" t="n"/>
      <c r="AS96" s="327" t="n"/>
      <c r="AT96" s="15" t="n"/>
      <c r="AU96" s="285" t="n"/>
      <c r="AV96" s="327" t="n"/>
      <c r="AW96" s="15" t="n"/>
      <c r="AX96" s="285" t="n"/>
      <c r="AY96" s="15" t="n"/>
      <c r="AZ96" s="15" t="n"/>
      <c r="BA96" s="287" t="n"/>
      <c r="BB96" s="37" t="n"/>
      <c r="BC96" s="287" t="n"/>
      <c r="BD96" s="37" t="n"/>
      <c r="BE96" s="287" t="n"/>
      <c r="BF96" s="37" t="n"/>
      <c r="BG96" s="287" t="n"/>
      <c r="BH96" s="37" t="n"/>
      <c r="BI96" s="288" t="n"/>
      <c r="BJ96" s="37" t="n"/>
      <c r="BK96" s="288" t="n"/>
      <c r="BL96" s="37" t="n"/>
      <c r="BM96" s="288" t="n"/>
      <c r="BN96" s="37" t="n"/>
      <c r="BO96" s="288" t="n"/>
      <c r="BP96" s="288" t="n"/>
      <c r="BQ96" s="37" t="n"/>
      <c r="BR96" s="288" t="n"/>
      <c r="BS96" s="37" t="n"/>
      <c r="BT96" s="288" t="n"/>
      <c r="BU96" s="37" t="n"/>
      <c r="BV96" s="288" t="n"/>
      <c r="BW96" s="37" t="n"/>
      <c r="BX96" s="288" t="n"/>
      <c r="BY96" s="37" t="n"/>
      <c r="BZ96" s="288" t="n"/>
      <c r="CA96" s="37" t="n"/>
      <c r="CB96" s="288" t="n"/>
      <c r="CC96" s="37" t="n"/>
      <c r="CD96" s="288" t="n"/>
      <c r="CE96" s="37" t="n"/>
      <c r="CF96" s="288" t="n"/>
      <c r="CG96" s="291" t="n"/>
      <c r="CH96" s="288" t="n"/>
      <c r="CI96" s="291" t="n"/>
      <c r="CJ96" s="288" t="n"/>
      <c r="CK96" s="291" t="n"/>
      <c r="CL96" s="288" t="n"/>
      <c r="CM96" s="291" t="n"/>
      <c r="CN96" s="288" t="n"/>
      <c r="CO96" s="80" t="n"/>
      <c r="CP96" s="288" t="n"/>
      <c r="CQ96" s="80" t="n"/>
      <c r="CR96" s="288" t="n"/>
      <c r="CS96" s="80" t="n"/>
      <c r="CT96" s="288" t="n"/>
      <c r="CU96" s="80" t="n"/>
      <c r="CV96" s="269" t="n"/>
      <c r="CW96" s="288" t="n"/>
      <c r="CX96" s="37" t="n"/>
      <c r="CY96" s="288" t="n"/>
      <c r="CZ96" s="37" t="n"/>
      <c r="DA96" s="288" t="n"/>
      <c r="DB96" s="37" t="n"/>
      <c r="DC96" s="288" t="n"/>
      <c r="DD96" s="37" t="n"/>
      <c r="DE96" s="295" t="n"/>
      <c r="DF96" s="295" t="n"/>
      <c r="DG96" s="288" t="n"/>
    </row>
    <row r="97">
      <c r="A97" s="428" t="n"/>
      <c r="B97" s="285" t="n"/>
      <c r="C97" s="15" t="n"/>
      <c r="D97" s="15" t="n"/>
      <c r="E97" s="285" t="n"/>
      <c r="F97" s="15" t="n"/>
      <c r="G97" s="15" t="n"/>
      <c r="H97" s="285" t="n"/>
      <c r="I97" s="15" t="n"/>
      <c r="J97" s="15" t="n"/>
      <c r="K97" s="285" t="n"/>
      <c r="L97" s="15" t="n"/>
      <c r="M97" s="15" t="n"/>
      <c r="N97" s="285" t="n"/>
      <c r="O97" s="15" t="n"/>
      <c r="P97" s="15" t="n"/>
      <c r="Q97" s="285" t="n"/>
      <c r="R97" s="15" t="n"/>
      <c r="S97" s="15" t="n"/>
      <c r="T97" s="285" t="n"/>
      <c r="U97" s="15" t="n"/>
      <c r="V97" s="15" t="n"/>
      <c r="W97" s="285" t="n"/>
      <c r="X97" s="15" t="n"/>
      <c r="Y97" s="15" t="n"/>
      <c r="Z97" s="285" t="n"/>
      <c r="AA97" s="15" t="n"/>
      <c r="AB97" s="15" t="n"/>
      <c r="AC97" s="285" t="n"/>
      <c r="AD97" s="15" t="n"/>
      <c r="AE97" s="15" t="n"/>
      <c r="AF97" s="285" t="n"/>
      <c r="AG97" s="15" t="n"/>
      <c r="AH97" s="15" t="n"/>
      <c r="AI97" s="285" t="n"/>
      <c r="AJ97" s="15" t="n"/>
      <c r="AK97" s="15" t="n"/>
      <c r="AL97" s="285" t="n"/>
      <c r="AM97" s="327" t="n"/>
      <c r="AN97" s="15" t="n"/>
      <c r="AO97" s="285" t="n"/>
      <c r="AP97" s="327" t="n"/>
      <c r="AQ97" s="15" t="n"/>
      <c r="AR97" s="285" t="n"/>
      <c r="AS97" s="327" t="n"/>
      <c r="AT97" s="15" t="n"/>
      <c r="AU97" s="285" t="n"/>
      <c r="AV97" s="327" t="n"/>
      <c r="AW97" s="15" t="n"/>
      <c r="AX97" s="285" t="n"/>
      <c r="AY97" s="15" t="n"/>
      <c r="AZ97" s="15" t="n"/>
      <c r="BA97" s="287" t="n"/>
      <c r="BB97" s="37" t="n"/>
      <c r="BC97" s="287" t="n"/>
      <c r="BD97" s="37" t="n"/>
      <c r="BE97" s="287" t="n"/>
      <c r="BF97" s="37" t="n"/>
      <c r="BG97" s="287" t="n"/>
      <c r="BH97" s="37" t="n"/>
      <c r="BI97" s="288" t="n"/>
      <c r="BJ97" s="37" t="n"/>
      <c r="BK97" s="288" t="n"/>
      <c r="BL97" s="37" t="n"/>
      <c r="BM97" s="288" t="n"/>
      <c r="BN97" s="37" t="n"/>
      <c r="BO97" s="288" t="n"/>
      <c r="BP97" s="288" t="n"/>
      <c r="BQ97" s="37" t="n"/>
      <c r="BR97" s="288" t="n"/>
      <c r="BS97" s="37" t="n"/>
      <c r="BT97" s="288" t="n"/>
      <c r="BU97" s="37" t="n"/>
      <c r="BV97" s="288" t="n"/>
      <c r="BW97" s="37" t="n"/>
      <c r="BX97" s="288" t="n"/>
      <c r="BY97" s="37" t="n"/>
      <c r="BZ97" s="288" t="n"/>
      <c r="CA97" s="37" t="n"/>
      <c r="CB97" s="288" t="n"/>
      <c r="CC97" s="37" t="n"/>
      <c r="CD97" s="288" t="n"/>
      <c r="CE97" s="37" t="n"/>
      <c r="CF97" s="288" t="n"/>
      <c r="CG97" s="291" t="n"/>
      <c r="CH97" s="288" t="n"/>
      <c r="CI97" s="291" t="n"/>
      <c r="CJ97" s="288" t="n"/>
      <c r="CK97" s="291" t="n"/>
      <c r="CL97" s="288" t="n"/>
      <c r="CM97" s="291" t="n"/>
      <c r="CN97" s="288" t="n"/>
      <c r="CO97" s="80" t="n"/>
      <c r="CP97" s="288" t="n"/>
      <c r="CQ97" s="80" t="n"/>
      <c r="CR97" s="288" t="n"/>
      <c r="CS97" s="80" t="n"/>
      <c r="CT97" s="288" t="n"/>
      <c r="CU97" s="80" t="n"/>
      <c r="CV97" s="269" t="n"/>
      <c r="CW97" s="288" t="n"/>
      <c r="CX97" s="37" t="n"/>
      <c r="CY97" s="288" t="n"/>
      <c r="CZ97" s="37" t="n"/>
      <c r="DA97" s="288" t="n"/>
      <c r="DB97" s="37" t="n"/>
      <c r="DC97" s="288" t="n"/>
      <c r="DD97" s="37" t="n"/>
      <c r="DE97" s="295" t="n"/>
      <c r="DF97" s="295" t="n"/>
      <c r="DG97" s="288" t="n"/>
    </row>
    <row r="98">
      <c r="A98" s="428" t="n"/>
      <c r="B98" s="285" t="n"/>
      <c r="C98" s="15" t="n"/>
      <c r="D98" s="15" t="n"/>
      <c r="E98" s="285" t="n"/>
      <c r="F98" s="15" t="n"/>
      <c r="G98" s="15" t="n"/>
      <c r="H98" s="285" t="n"/>
      <c r="I98" s="15" t="n"/>
      <c r="J98" s="15" t="n"/>
      <c r="K98" s="285" t="n"/>
      <c r="L98" s="15" t="n"/>
      <c r="M98" s="15" t="n"/>
      <c r="N98" s="285" t="n"/>
      <c r="O98" s="15" t="n"/>
      <c r="P98" s="15" t="n"/>
      <c r="Q98" s="285" t="n"/>
      <c r="R98" s="15" t="n"/>
      <c r="S98" s="15" t="n"/>
      <c r="T98" s="285" t="n"/>
      <c r="U98" s="15" t="n"/>
      <c r="V98" s="15" t="n"/>
      <c r="W98" s="285" t="n"/>
      <c r="X98" s="15" t="n"/>
      <c r="Y98" s="15" t="n"/>
      <c r="Z98" s="285" t="n"/>
      <c r="AA98" s="15" t="n"/>
      <c r="AB98" s="15" t="n"/>
      <c r="AC98" s="285" t="n"/>
      <c r="AD98" s="15" t="n"/>
      <c r="AE98" s="15" t="n"/>
      <c r="AF98" s="285" t="n"/>
      <c r="AG98" s="15" t="n"/>
      <c r="AH98" s="15" t="n"/>
      <c r="AI98" s="285" t="n"/>
      <c r="AJ98" s="15" t="n"/>
      <c r="AK98" s="15" t="n"/>
      <c r="AL98" s="285" t="n"/>
      <c r="AM98" s="327" t="n"/>
      <c r="AN98" s="15" t="n"/>
      <c r="AO98" s="285" t="n"/>
      <c r="AP98" s="327" t="n"/>
      <c r="AQ98" s="15" t="n"/>
      <c r="AR98" s="285" t="n"/>
      <c r="AS98" s="327" t="n"/>
      <c r="AT98" s="15" t="n"/>
      <c r="AU98" s="285" t="n"/>
      <c r="AV98" s="327" t="n"/>
      <c r="AW98" s="15" t="n"/>
      <c r="AX98" s="285" t="n"/>
      <c r="AY98" s="15" t="n"/>
      <c r="AZ98" s="15" t="n"/>
      <c r="BA98" s="287" t="n"/>
      <c r="BB98" s="37" t="n"/>
      <c r="BC98" s="287" t="n"/>
      <c r="BD98" s="37" t="n"/>
      <c r="BE98" s="287" t="n"/>
      <c r="BF98" s="37" t="n"/>
      <c r="BG98" s="287" t="n"/>
      <c r="BH98" s="37" t="n"/>
      <c r="BI98" s="288" t="n"/>
      <c r="BJ98" s="37" t="n"/>
      <c r="BK98" s="288" t="n"/>
      <c r="BL98" s="37" t="n"/>
      <c r="BM98" s="288" t="n"/>
      <c r="BN98" s="37" t="n"/>
      <c r="BP98" s="298" t="n"/>
      <c r="BQ98" s="37" t="n"/>
      <c r="BR98" s="298" t="n"/>
      <c r="BS98" s="37" t="n"/>
      <c r="BT98" s="298" t="n"/>
      <c r="BU98" s="37" t="n"/>
      <c r="BV98" s="298" t="n"/>
      <c r="BW98" s="37" t="n"/>
      <c r="BX98" s="298" t="n"/>
      <c r="BY98" s="37" t="n"/>
      <c r="BZ98" s="298" t="n"/>
      <c r="CA98" s="37" t="n"/>
      <c r="CB98" s="298" t="n"/>
      <c r="CC98" s="37" t="n"/>
      <c r="CD98" s="298" t="n"/>
      <c r="CE98" s="37" t="n"/>
      <c r="CF98" s="298" t="n"/>
      <c r="CG98" s="291" t="n"/>
      <c r="CH98" s="298" t="n"/>
      <c r="CI98" s="291" t="n"/>
      <c r="CJ98" s="298" t="n"/>
      <c r="CK98" s="291" t="n"/>
      <c r="CL98" s="298" t="n"/>
      <c r="CM98" s="291" t="n"/>
      <c r="CN98" s="288" t="n"/>
      <c r="CO98" s="80" t="n"/>
      <c r="CP98" s="288" t="n"/>
      <c r="CQ98" s="80" t="n"/>
      <c r="CR98" s="288" t="n"/>
      <c r="CS98" s="80" t="n"/>
      <c r="CT98" s="288" t="n"/>
      <c r="CU98" s="80" t="n"/>
      <c r="CV98" s="269" t="n"/>
      <c r="CW98" s="298" t="n"/>
      <c r="CX98" s="37" t="n"/>
      <c r="CY98" s="298" t="n"/>
      <c r="CZ98" s="37" t="n"/>
      <c r="DA98" s="298" t="n"/>
      <c r="DB98" s="37" t="n"/>
      <c r="DC98" s="298" t="n"/>
      <c r="DD98" s="37" t="n"/>
      <c r="DE98" s="295" t="n"/>
      <c r="DF98" s="295" t="n"/>
    </row>
    <row r="99">
      <c r="A99" s="428" t="n"/>
      <c r="B99" s="285" t="n"/>
      <c r="C99" s="15" t="n"/>
      <c r="D99" s="15" t="n"/>
      <c r="E99" s="285" t="n"/>
      <c r="F99" s="15" t="n"/>
      <c r="G99" s="15" t="n"/>
      <c r="H99" s="285" t="n"/>
      <c r="I99" s="15" t="n"/>
      <c r="J99" s="15" t="n"/>
      <c r="K99" s="285" t="n"/>
      <c r="L99" s="15" t="n"/>
      <c r="M99" s="15" t="n"/>
      <c r="N99" s="285" t="n"/>
      <c r="O99" s="15" t="n"/>
      <c r="P99" s="15" t="n"/>
      <c r="Q99" s="285" t="n"/>
      <c r="R99" s="15" t="n"/>
      <c r="S99" s="15" t="n"/>
      <c r="T99" s="285" t="n"/>
      <c r="U99" s="15" t="n"/>
      <c r="V99" s="15" t="n"/>
      <c r="W99" s="285" t="n"/>
      <c r="X99" s="15" t="n"/>
      <c r="Y99" s="15" t="n"/>
      <c r="Z99" s="285" t="n"/>
      <c r="AA99" s="15" t="n"/>
      <c r="AB99" s="15" t="n"/>
      <c r="AC99" s="285" t="n"/>
      <c r="AD99" s="15" t="n"/>
      <c r="AE99" s="15" t="n"/>
      <c r="AF99" s="285" t="n"/>
      <c r="AG99" s="15" t="n"/>
      <c r="AH99" s="15" t="n"/>
      <c r="AI99" s="285" t="n"/>
      <c r="AJ99" s="15" t="n"/>
      <c r="AK99" s="15" t="n"/>
      <c r="AL99" s="285" t="n"/>
      <c r="AM99" s="327" t="n"/>
      <c r="AN99" s="15" t="n"/>
      <c r="AO99" s="285" t="n"/>
      <c r="AP99" s="327" t="n"/>
      <c r="AQ99" s="15" t="n"/>
      <c r="AR99" s="285" t="n"/>
      <c r="AS99" s="327" t="n"/>
      <c r="AT99" s="15" t="n"/>
      <c r="AU99" s="285" t="n"/>
      <c r="AV99" s="327" t="n"/>
      <c r="AW99" s="15" t="n"/>
      <c r="AX99" s="285" t="n"/>
      <c r="AY99" s="15" t="n"/>
      <c r="AZ99" s="15" t="n"/>
      <c r="BA99" s="287" t="n"/>
      <c r="BB99" s="37" t="n"/>
      <c r="BC99" s="287" t="n"/>
      <c r="BD99" s="37" t="n"/>
      <c r="BE99" s="287" t="n"/>
      <c r="BF99" s="37" t="n"/>
      <c r="BG99" s="287" t="n"/>
      <c r="BH99" s="37" t="n"/>
      <c r="BI99" s="288" t="n"/>
      <c r="BJ99" s="37" t="n"/>
      <c r="BK99" s="288" t="n"/>
      <c r="BL99" s="37" t="n"/>
      <c r="BM99" s="288" t="n"/>
      <c r="BN99" s="37" t="n"/>
      <c r="BP99" s="298" t="n"/>
      <c r="BQ99" s="37" t="n"/>
      <c r="BR99" s="298" t="n"/>
      <c r="BS99" s="37" t="n"/>
      <c r="BT99" s="298" t="n"/>
      <c r="BU99" s="37" t="n"/>
      <c r="BV99" s="298" t="n"/>
      <c r="BW99" s="37" t="n"/>
      <c r="BX99" s="298" t="n"/>
      <c r="BY99" s="37" t="n"/>
      <c r="BZ99" s="298" t="n"/>
      <c r="CA99" s="37" t="n"/>
      <c r="CB99" s="298" t="n"/>
      <c r="CC99" s="37" t="n"/>
      <c r="CD99" s="298" t="n"/>
      <c r="CE99" s="37" t="n"/>
      <c r="CF99" s="298" t="n"/>
      <c r="CG99" s="291" t="n"/>
      <c r="CH99" s="298" t="n"/>
      <c r="CI99" s="291" t="n"/>
      <c r="CJ99" s="298" t="n"/>
      <c r="CK99" s="291" t="n"/>
      <c r="CL99" s="298" t="n"/>
      <c r="CM99" s="291" t="n"/>
      <c r="CN99" s="288" t="n"/>
      <c r="CO99" s="80" t="n"/>
      <c r="CP99" s="288" t="n"/>
      <c r="CQ99" s="80" t="n"/>
      <c r="CR99" s="288" t="n"/>
      <c r="CS99" s="80" t="n"/>
      <c r="CT99" s="288" t="n"/>
      <c r="CU99" s="80" t="n"/>
      <c r="CV99" s="269" t="n"/>
      <c r="CW99" s="298" t="n"/>
      <c r="CX99" s="37" t="n"/>
      <c r="CY99" s="298" t="n"/>
      <c r="CZ99" s="37" t="n"/>
      <c r="DA99" s="298" t="n"/>
      <c r="DB99" s="37" t="n"/>
      <c r="DC99" s="298" t="n"/>
      <c r="DD99" s="37" t="n"/>
      <c r="DE99" s="295" t="n"/>
    </row>
    <row r="100">
      <c r="A100" s="330" t="n"/>
      <c r="B100" s="22" t="n"/>
      <c r="C100" s="15" t="n"/>
      <c r="D100" s="15" t="n"/>
      <c r="E100" s="22" t="n"/>
      <c r="F100" s="15" t="n"/>
      <c r="G100" s="15" t="n"/>
      <c r="H100" s="22" t="n"/>
      <c r="I100" s="15" t="n"/>
      <c r="J100" s="15" t="n"/>
      <c r="K100" s="22" t="n"/>
      <c r="L100" s="15" t="n"/>
      <c r="M100" s="15" t="n"/>
      <c r="N100" s="22" t="n"/>
      <c r="O100" s="15" t="n"/>
      <c r="P100" s="15" t="n"/>
      <c r="Q100" s="22" t="n"/>
      <c r="R100" s="15" t="n"/>
      <c r="S100" s="15" t="n"/>
      <c r="T100" s="22" t="n"/>
      <c r="U100" s="15" t="n"/>
      <c r="V100" s="15" t="n"/>
      <c r="W100" s="22" t="n"/>
      <c r="X100" s="15" t="n"/>
      <c r="Y100" s="15" t="n"/>
      <c r="Z100" s="22" t="n"/>
      <c r="AA100" s="15" t="n"/>
      <c r="AB100" s="15" t="n"/>
      <c r="AC100" s="22" t="n"/>
      <c r="AD100" s="15" t="n"/>
      <c r="AE100" s="15" t="n"/>
      <c r="AF100" s="22" t="n"/>
      <c r="AG100" s="15" t="n"/>
      <c r="AH100" s="15" t="n"/>
      <c r="AI100" s="22" t="n"/>
      <c r="AJ100" s="15" t="n"/>
      <c r="AK100" s="15" t="n"/>
      <c r="AL100" s="22" t="n"/>
      <c r="AM100" s="327" t="n"/>
      <c r="AN100" s="15" t="n"/>
      <c r="AO100" s="22" t="n"/>
      <c r="AP100" s="327" t="n"/>
      <c r="AQ100" s="15" t="n"/>
      <c r="AR100" s="22" t="n"/>
      <c r="AS100" s="327" t="n"/>
      <c r="AT100" s="15" t="n"/>
      <c r="AU100" s="22" t="n"/>
      <c r="AV100" s="327" t="n"/>
      <c r="AW100" s="15" t="n"/>
      <c r="AX100" s="22" t="n"/>
      <c r="AY100" s="15" t="n"/>
      <c r="AZ100" s="15" t="n"/>
      <c r="BA100" s="287" t="n"/>
      <c r="BB100" s="37" t="n"/>
      <c r="BC100" s="287" t="n"/>
      <c r="BD100" s="37" t="n"/>
      <c r="BE100" s="287" t="n"/>
      <c r="BF100" s="37" t="n"/>
      <c r="BG100" s="287" t="n"/>
      <c r="BH100" s="37" t="n"/>
      <c r="BI100" s="288" t="n"/>
      <c r="BJ100" s="37" t="n"/>
      <c r="BK100" s="288" t="n"/>
      <c r="BL100" s="37" t="n"/>
      <c r="BM100" s="288" t="n"/>
      <c r="BN100" s="37" t="n"/>
      <c r="BP100" s="298" t="n"/>
      <c r="BQ100" s="37" t="n"/>
      <c r="BR100" s="298" t="n"/>
      <c r="BS100" s="37" t="n"/>
      <c r="BT100" s="298" t="n"/>
      <c r="BU100" s="37" t="n"/>
      <c r="BV100" s="298" t="n"/>
      <c r="BW100" s="37" t="n"/>
      <c r="BX100" s="298" t="n"/>
      <c r="BY100" s="37" t="n"/>
      <c r="BZ100" s="298" t="n"/>
      <c r="CA100" s="37" t="n"/>
      <c r="CB100" s="298" t="n"/>
      <c r="CC100" s="37" t="n"/>
      <c r="CD100" s="298" t="n"/>
      <c r="CE100" s="37" t="n"/>
      <c r="CF100" s="298" t="n"/>
      <c r="CG100" s="291" t="n"/>
      <c r="CH100" s="298" t="n"/>
      <c r="CI100" s="291" t="n"/>
      <c r="CJ100" s="298" t="n"/>
      <c r="CK100" s="291" t="n"/>
      <c r="CL100" s="298" t="n"/>
      <c r="CM100" s="291" t="n"/>
      <c r="CN100" s="288" t="n"/>
      <c r="CO100" s="80" t="n"/>
      <c r="CP100" s="288" t="n"/>
      <c r="CQ100" s="80" t="n"/>
      <c r="CR100" s="288" t="n"/>
      <c r="CS100" s="80" t="n"/>
      <c r="CT100" s="288" t="n"/>
      <c r="CU100" s="80" t="n"/>
      <c r="CV100" s="1" t="n"/>
      <c r="CW100" s="298" t="n"/>
      <c r="CX100" s="37" t="n"/>
      <c r="CY100" s="298" t="n"/>
      <c r="CZ100" s="37" t="n"/>
      <c r="DA100" s="298" t="n"/>
      <c r="DB100" s="37" t="n"/>
      <c r="DC100" s="298" t="n"/>
      <c r="DD100" s="37" t="n"/>
      <c r="DE100" s="295" t="n"/>
    </row>
    <row r="101">
      <c r="A101" s="428" t="n"/>
      <c r="B101" s="285" t="n"/>
      <c r="C101" s="15" t="n"/>
      <c r="D101" s="15" t="n"/>
      <c r="E101" s="285" t="n"/>
      <c r="F101" s="15" t="n"/>
      <c r="G101" s="15" t="n"/>
      <c r="H101" s="285" t="n"/>
      <c r="I101" s="15" t="n"/>
      <c r="J101" s="15" t="n"/>
      <c r="K101" s="285" t="n"/>
      <c r="L101" s="15" t="n"/>
      <c r="M101" s="15" t="n"/>
      <c r="N101" s="285" t="n"/>
      <c r="O101" s="15" t="n"/>
      <c r="P101" s="15" t="n"/>
      <c r="Q101" s="285" t="n"/>
      <c r="R101" s="15" t="n"/>
      <c r="S101" s="15" t="n"/>
      <c r="T101" s="285" t="n"/>
      <c r="U101" s="15" t="n"/>
      <c r="V101" s="15" t="n"/>
      <c r="W101" s="285" t="n"/>
      <c r="X101" s="15" t="n"/>
      <c r="Y101" s="15" t="n"/>
      <c r="Z101" s="285" t="n"/>
      <c r="AA101" s="15" t="n"/>
      <c r="AB101" s="15" t="n"/>
      <c r="AC101" s="285" t="n"/>
      <c r="AD101" s="15" t="n"/>
      <c r="AE101" s="15" t="n"/>
      <c r="AF101" s="285" t="n"/>
      <c r="AG101" s="15" t="n"/>
      <c r="AH101" s="15" t="n"/>
      <c r="AI101" s="285" t="n"/>
      <c r="AJ101" s="15" t="n"/>
      <c r="AK101" s="15" t="n"/>
      <c r="AL101" s="285" t="n"/>
      <c r="AM101" s="327" t="n"/>
      <c r="AN101" s="15" t="n"/>
      <c r="AO101" s="285" t="n"/>
      <c r="AP101" s="327" t="n"/>
      <c r="AQ101" s="15" t="n"/>
      <c r="AR101" s="285" t="n"/>
      <c r="AS101" s="327" t="n"/>
      <c r="AT101" s="15" t="n"/>
      <c r="AU101" s="285" t="n"/>
      <c r="AV101" s="327" t="n"/>
      <c r="AW101" s="15" t="n"/>
      <c r="AX101" s="285" t="n"/>
      <c r="AY101" s="15" t="n"/>
      <c r="AZ101" s="15" t="n"/>
      <c r="BA101" s="287" t="n"/>
      <c r="BB101" s="37" t="n"/>
      <c r="BC101" s="287" t="n"/>
      <c r="BD101" s="37" t="n"/>
      <c r="BE101" s="287" t="n"/>
      <c r="BF101" s="37" t="n"/>
      <c r="BG101" s="287" t="n"/>
      <c r="BH101" s="37" t="n"/>
      <c r="BI101" s="288" t="n"/>
      <c r="BJ101" s="37" t="n"/>
      <c r="BK101" s="288" t="n"/>
      <c r="BL101" s="37" t="n"/>
      <c r="BM101" s="288" t="n"/>
      <c r="BN101" s="37" t="n"/>
      <c r="BP101" s="288" t="n"/>
      <c r="BQ101" s="37" t="n"/>
      <c r="BR101" s="298" t="n"/>
      <c r="BS101" s="37" t="n"/>
      <c r="BT101" s="298" t="n"/>
      <c r="BU101" s="37" t="n"/>
      <c r="BV101" s="288" t="n"/>
      <c r="BW101" s="37" t="n"/>
      <c r="BX101" s="298" t="n"/>
      <c r="BY101" s="37" t="n"/>
      <c r="BZ101" s="288" t="n"/>
      <c r="CA101" s="37" t="n"/>
      <c r="CB101" s="298" t="n"/>
      <c r="CC101" s="37" t="n"/>
      <c r="CD101" s="298" t="n"/>
      <c r="CE101" s="37" t="n"/>
      <c r="CF101" s="298" t="n"/>
      <c r="CG101" s="291" t="n"/>
      <c r="CH101" s="288" t="n"/>
      <c r="CI101" s="291" t="n"/>
      <c r="CJ101" s="288" t="n"/>
      <c r="CK101" s="291" t="n"/>
      <c r="CL101" s="298" t="n"/>
      <c r="CM101" s="291" t="n"/>
      <c r="CN101" s="288" t="n"/>
      <c r="CO101" s="80" t="n"/>
      <c r="CP101" s="288" t="n"/>
      <c r="CQ101" s="80" t="n"/>
      <c r="CR101" s="288" t="n"/>
      <c r="CS101" s="80" t="n"/>
      <c r="CT101" s="288" t="n"/>
      <c r="CU101" s="80" t="n"/>
      <c r="CV101" s="269" t="n"/>
      <c r="CW101" s="288" t="n"/>
      <c r="CX101" s="37" t="n"/>
      <c r="CY101" s="298" t="n"/>
      <c r="CZ101" s="37" t="n"/>
      <c r="DA101" s="298" t="n"/>
      <c r="DB101" s="37" t="n"/>
      <c r="DC101" s="298" t="n"/>
      <c r="DD101" s="37" t="n"/>
      <c r="DE101" s="295" t="n"/>
    </row>
    <row r="102">
      <c r="A102" s="428" t="n"/>
      <c r="B102" s="285" t="n"/>
      <c r="C102" s="15" t="n"/>
      <c r="D102" s="15" t="n"/>
      <c r="E102" s="285" t="n"/>
      <c r="F102" s="15" t="n"/>
      <c r="G102" s="15" t="n"/>
      <c r="H102" s="285" t="n"/>
      <c r="I102" s="15" t="n"/>
      <c r="J102" s="15" t="n"/>
      <c r="K102" s="285" t="n"/>
      <c r="L102" s="15" t="n"/>
      <c r="M102" s="15" t="n"/>
      <c r="N102" s="285" t="n"/>
      <c r="O102" s="15" t="n"/>
      <c r="P102" s="15" t="n"/>
      <c r="Q102" s="285" t="n"/>
      <c r="R102" s="15" t="n"/>
      <c r="S102" s="15" t="n"/>
      <c r="T102" s="285" t="n"/>
      <c r="U102" s="15" t="n"/>
      <c r="V102" s="15" t="n"/>
      <c r="W102" s="285" t="n"/>
      <c r="X102" s="15" t="n"/>
      <c r="Y102" s="15" t="n"/>
      <c r="Z102" s="285" t="n"/>
      <c r="AA102" s="15" t="n"/>
      <c r="AB102" s="15" t="n"/>
      <c r="AC102" s="285" t="n"/>
      <c r="AD102" s="15" t="n"/>
      <c r="AE102" s="15" t="n"/>
      <c r="AF102" s="285" t="n"/>
      <c r="AG102" s="15" t="n"/>
      <c r="AH102" s="15" t="n"/>
      <c r="AI102" s="285" t="n"/>
      <c r="AJ102" s="15" t="n"/>
      <c r="AK102" s="15" t="n"/>
      <c r="AL102" s="285" t="n"/>
      <c r="AM102" s="327" t="n"/>
      <c r="AN102" s="15" t="n"/>
      <c r="AO102" s="285" t="n"/>
      <c r="AP102" s="327" t="n"/>
      <c r="AQ102" s="15" t="n"/>
      <c r="AR102" s="285" t="n"/>
      <c r="AS102" s="327" t="n"/>
      <c r="AT102" s="15" t="n"/>
      <c r="AU102" s="285" t="n"/>
      <c r="AV102" s="327" t="n"/>
      <c r="AW102" s="15" t="n"/>
      <c r="AX102" s="285" t="n"/>
      <c r="AY102" s="15" t="n"/>
      <c r="AZ102" s="15" t="n"/>
      <c r="BA102" s="287" t="n"/>
      <c r="BB102" s="37" t="n"/>
      <c r="BC102" s="287" t="n"/>
      <c r="BD102" s="37" t="n"/>
      <c r="BE102" s="287" t="n"/>
      <c r="BF102" s="37" t="n"/>
      <c r="BG102" s="287" t="n"/>
      <c r="BH102" s="37" t="n"/>
      <c r="BI102" s="288" t="n"/>
      <c r="BJ102" s="37" t="n"/>
      <c r="BK102" s="288" t="n"/>
      <c r="BL102" s="37" t="n"/>
      <c r="BM102" s="288" t="n"/>
      <c r="BN102" s="37" t="n"/>
      <c r="BP102" s="288" t="n"/>
      <c r="BQ102" s="37" t="n"/>
      <c r="BR102" s="288" t="n"/>
      <c r="BS102" s="37" t="n"/>
      <c r="BT102" s="288" t="n"/>
      <c r="BU102" s="37" t="n"/>
      <c r="BV102" s="288" t="n"/>
      <c r="BW102" s="37" t="n"/>
      <c r="BX102" s="298" t="n"/>
      <c r="BY102" s="37" t="n"/>
      <c r="BZ102" s="288" t="n"/>
      <c r="CA102" s="37" t="n"/>
      <c r="CB102" s="288" t="n"/>
      <c r="CC102" s="37" t="n"/>
      <c r="CD102" s="288" t="n"/>
      <c r="CE102" s="37" t="n"/>
      <c r="CF102" s="288" t="n"/>
      <c r="CG102" s="291" t="n"/>
      <c r="CH102" s="288" t="n"/>
      <c r="CI102" s="291" t="n"/>
      <c r="CJ102" s="288" t="n"/>
      <c r="CK102" s="291" t="n"/>
      <c r="CL102" s="288" t="n"/>
      <c r="CM102" s="291" t="n"/>
      <c r="CN102" s="288" t="n"/>
      <c r="CO102" s="80" t="n"/>
      <c r="CP102" s="288" t="n"/>
      <c r="CQ102" s="80" t="n"/>
      <c r="CR102" s="288" t="n"/>
      <c r="CS102" s="80" t="n"/>
      <c r="CT102" s="288" t="n"/>
      <c r="CU102" s="80" t="n"/>
      <c r="CV102" s="269" t="n"/>
      <c r="CW102" s="288" t="n"/>
      <c r="CX102" s="37" t="n"/>
      <c r="CY102" s="288" t="n"/>
      <c r="CZ102" s="37" t="n"/>
      <c r="DA102" s="288" t="n"/>
      <c r="DB102" s="37" t="n"/>
      <c r="DC102" s="288" t="n"/>
      <c r="DD102" s="37" t="n"/>
      <c r="DE102" s="295" t="n"/>
    </row>
    <row r="103">
      <c r="A103" s="428" t="n"/>
      <c r="B103" s="285" t="n"/>
      <c r="C103" s="15" t="n"/>
      <c r="D103" s="15" t="n"/>
      <c r="E103" s="285" t="n"/>
      <c r="F103" s="15" t="n"/>
      <c r="G103" s="15" t="n"/>
      <c r="H103" s="285" t="n"/>
      <c r="I103" s="15" t="n"/>
      <c r="J103" s="15" t="n"/>
      <c r="K103" s="285" t="n"/>
      <c r="L103" s="15" t="n"/>
      <c r="M103" s="15" t="n"/>
      <c r="N103" s="285" t="n"/>
      <c r="O103" s="15" t="n"/>
      <c r="P103" s="15" t="n"/>
      <c r="Q103" s="285" t="n"/>
      <c r="R103" s="15" t="n"/>
      <c r="S103" s="15" t="n"/>
      <c r="T103" s="285" t="n"/>
      <c r="U103" s="15" t="n"/>
      <c r="V103" s="15" t="n"/>
      <c r="W103" s="285" t="n"/>
      <c r="X103" s="15" t="n"/>
      <c r="Y103" s="15" t="n"/>
      <c r="Z103" s="285" t="n"/>
      <c r="AA103" s="15" t="n"/>
      <c r="AB103" s="15" t="n"/>
      <c r="AC103" s="285" t="n"/>
      <c r="AD103" s="15" t="n"/>
      <c r="AE103" s="15" t="n"/>
      <c r="AF103" s="285" t="n"/>
      <c r="AG103" s="15" t="n"/>
      <c r="AH103" s="15" t="n"/>
      <c r="AI103" s="285" t="n"/>
      <c r="AJ103" s="15" t="n"/>
      <c r="AK103" s="15" t="n"/>
      <c r="AL103" s="285" t="n"/>
      <c r="AM103" s="327" t="n"/>
      <c r="AN103" s="15" t="n"/>
      <c r="AO103" s="285" t="n"/>
      <c r="AP103" s="327" t="n"/>
      <c r="AQ103" s="15" t="n"/>
      <c r="AR103" s="285" t="n"/>
      <c r="AS103" s="327" t="n"/>
      <c r="AT103" s="15" t="n"/>
      <c r="AU103" s="285" t="n"/>
      <c r="AV103" s="327" t="n"/>
      <c r="AW103" s="15" t="n"/>
      <c r="AX103" s="285" t="n"/>
      <c r="AY103" s="15" t="n"/>
      <c r="AZ103" s="15" t="n"/>
      <c r="BA103" s="287" t="n"/>
      <c r="BB103" s="37" t="n"/>
      <c r="BC103" s="287" t="n"/>
      <c r="BD103" s="37" t="n"/>
      <c r="BE103" s="287" t="n"/>
      <c r="BF103" s="37" t="n"/>
      <c r="BG103" s="287" t="n"/>
      <c r="BH103" s="37" t="n"/>
      <c r="BI103" s="288" t="n"/>
      <c r="BJ103" s="37" t="n"/>
      <c r="BK103" s="288" t="n"/>
      <c r="BL103" s="37" t="n"/>
      <c r="BM103" s="288" t="n"/>
      <c r="BN103" s="37" t="n"/>
      <c r="BP103" s="288" t="n"/>
      <c r="BQ103" s="37" t="n"/>
      <c r="BR103" s="288" t="n"/>
      <c r="BS103" s="37" t="n"/>
      <c r="BT103" s="288" t="n"/>
      <c r="BU103" s="37" t="n"/>
      <c r="BV103" s="288" t="n"/>
      <c r="BW103" s="37" t="n"/>
      <c r="BX103" s="298" t="n"/>
      <c r="BY103" s="37" t="n"/>
      <c r="BZ103" s="288" t="n"/>
      <c r="CA103" s="37" t="n"/>
      <c r="CB103" s="288" t="n"/>
      <c r="CC103" s="37" t="n"/>
      <c r="CD103" s="288" t="n"/>
      <c r="CE103" s="37" t="n"/>
      <c r="CF103" s="288" t="n"/>
      <c r="CG103" s="291" t="n"/>
      <c r="CH103" s="288" t="n"/>
      <c r="CI103" s="291" t="n"/>
      <c r="CJ103" s="288" t="n"/>
      <c r="CK103" s="291" t="n"/>
      <c r="CL103" s="288" t="n"/>
      <c r="CM103" s="291" t="n"/>
      <c r="CN103" s="288" t="n"/>
      <c r="CO103" s="80" t="n"/>
      <c r="CP103" s="288" t="n"/>
      <c r="CQ103" s="80" t="n"/>
      <c r="CR103" s="288" t="n"/>
      <c r="CS103" s="80" t="n"/>
      <c r="CT103" s="288" t="n"/>
      <c r="CU103" s="80" t="n"/>
      <c r="CV103" s="269" t="n"/>
      <c r="CW103" s="288" t="n"/>
      <c r="CX103" s="37" t="n"/>
      <c r="CY103" s="288" t="n"/>
      <c r="CZ103" s="37" t="n"/>
      <c r="DA103" s="288" t="n"/>
      <c r="DB103" s="37" t="n"/>
      <c r="DC103" s="288" t="n"/>
      <c r="DD103" s="37" t="n"/>
      <c r="DE103" s="295" t="n"/>
    </row>
    <row r="104">
      <c r="A104" s="428" t="n"/>
      <c r="B104" s="285" t="n"/>
      <c r="C104" s="15" t="n"/>
      <c r="D104" s="15" t="n"/>
      <c r="E104" s="285" t="n"/>
      <c r="F104" s="15" t="n"/>
      <c r="G104" s="15" t="n"/>
      <c r="H104" s="285" t="n"/>
      <c r="I104" s="15" t="n"/>
      <c r="J104" s="15" t="n"/>
      <c r="K104" s="285" t="n"/>
      <c r="L104" s="15" t="n"/>
      <c r="M104" s="15" t="n"/>
      <c r="N104" s="285" t="n"/>
      <c r="O104" s="15" t="n"/>
      <c r="P104" s="15" t="n"/>
      <c r="Q104" s="285" t="n"/>
      <c r="R104" s="15" t="n"/>
      <c r="S104" s="15" t="n"/>
      <c r="T104" s="285" t="n"/>
      <c r="U104" s="15" t="n"/>
      <c r="V104" s="15" t="n"/>
      <c r="W104" s="285" t="n"/>
      <c r="X104" s="15" t="n"/>
      <c r="Y104" s="15" t="n"/>
      <c r="Z104" s="285" t="n"/>
      <c r="AA104" s="15" t="n"/>
      <c r="AB104" s="15" t="n"/>
      <c r="AC104" s="285" t="n"/>
      <c r="AD104" s="15" t="n"/>
      <c r="AE104" s="15" t="n"/>
      <c r="AF104" s="285" t="n"/>
      <c r="AG104" s="15" t="n"/>
      <c r="AH104" s="15" t="n"/>
      <c r="AI104" s="285" t="n"/>
      <c r="AJ104" s="15" t="n"/>
      <c r="AK104" s="15" t="n"/>
      <c r="AL104" s="285" t="n"/>
      <c r="AM104" s="327" t="n"/>
      <c r="AN104" s="15" t="n"/>
      <c r="AO104" s="285" t="n"/>
      <c r="AP104" s="327" t="n"/>
      <c r="AQ104" s="15" t="n"/>
      <c r="AR104" s="285" t="n"/>
      <c r="AS104" s="327" t="n"/>
      <c r="AT104" s="15" t="n"/>
      <c r="AU104" s="285" t="n"/>
      <c r="AV104" s="327" t="n"/>
      <c r="AW104" s="15" t="n"/>
      <c r="AX104" s="285" t="n"/>
      <c r="AY104" s="15" t="n"/>
      <c r="AZ104" s="15" t="n"/>
      <c r="BA104" s="287" t="n"/>
      <c r="BB104" s="37" t="n"/>
      <c r="BC104" s="287" t="n"/>
      <c r="BD104" s="37" t="n"/>
      <c r="BE104" s="287" t="n"/>
      <c r="BF104" s="37" t="n"/>
      <c r="BG104" s="287" t="n"/>
      <c r="BH104" s="37" t="n"/>
      <c r="BI104" s="288" t="n"/>
      <c r="BJ104" s="37" t="n"/>
      <c r="BK104" s="288" t="n"/>
      <c r="BL104" s="37" t="n"/>
      <c r="BM104" s="288" t="n"/>
      <c r="BN104" s="37" t="n"/>
      <c r="BP104" s="288" t="n"/>
      <c r="BQ104" s="37" t="n"/>
      <c r="BR104" s="288" t="n"/>
      <c r="BS104" s="37" t="n"/>
      <c r="BT104" s="288" t="n"/>
      <c r="BU104" s="37" t="n"/>
      <c r="BV104" s="288" t="n"/>
      <c r="BW104" s="37" t="n"/>
      <c r="BX104" s="288" t="n"/>
      <c r="BY104" s="37" t="n"/>
      <c r="BZ104" s="288" t="n"/>
      <c r="CA104" s="37" t="n"/>
      <c r="CB104" s="288" t="n"/>
      <c r="CC104" s="37" t="n"/>
      <c r="CD104" s="288" t="n"/>
      <c r="CE104" s="37" t="n"/>
      <c r="CF104" s="288" t="n"/>
      <c r="CG104" s="291" t="n"/>
      <c r="CH104" s="288" t="n"/>
      <c r="CI104" s="291" t="n"/>
      <c r="CJ104" s="288" t="n"/>
      <c r="CK104" s="291" t="n"/>
      <c r="CL104" s="288" t="n"/>
      <c r="CM104" s="291" t="n"/>
      <c r="CN104" s="288" t="n"/>
      <c r="CO104" s="80" t="n"/>
      <c r="CP104" s="288" t="n"/>
      <c r="CQ104" s="80" t="n"/>
      <c r="CR104" s="288" t="n"/>
      <c r="CS104" s="80" t="n"/>
      <c r="CT104" s="288" t="n"/>
      <c r="CU104" s="80" t="n"/>
      <c r="CV104" s="269" t="n"/>
      <c r="CW104" s="288" t="n"/>
      <c r="CX104" s="37" t="n"/>
      <c r="CY104" s="288" t="n"/>
      <c r="CZ104" s="37" t="n"/>
      <c r="DA104" s="288" t="n"/>
      <c r="DB104" s="37" t="n"/>
      <c r="DC104" s="288" t="n"/>
      <c r="DD104" s="37" t="n"/>
    </row>
    <row r="105" customFormat="1" s="40">
      <c r="A105" s="428" t="n"/>
      <c r="B105" s="285" t="n"/>
      <c r="C105" s="15" t="n"/>
      <c r="D105" s="15" t="n"/>
      <c r="E105" s="285" t="n"/>
      <c r="F105" s="15" t="n"/>
      <c r="G105" s="15" t="n"/>
      <c r="H105" s="285" t="n"/>
      <c r="I105" s="15" t="n"/>
      <c r="J105" s="15" t="n"/>
      <c r="K105" s="285" t="n"/>
      <c r="L105" s="15" t="n"/>
      <c r="M105" s="15" t="n"/>
      <c r="N105" s="285" t="n"/>
      <c r="O105" s="15" t="n"/>
      <c r="P105" s="15" t="n"/>
      <c r="Q105" s="285" t="n"/>
      <c r="R105" s="15" t="n"/>
      <c r="S105" s="15" t="n"/>
      <c r="T105" s="285" t="n"/>
      <c r="U105" s="15" t="n"/>
      <c r="V105" s="15" t="n"/>
      <c r="W105" s="285" t="n"/>
      <c r="X105" s="15" t="n"/>
      <c r="Y105" s="15" t="n"/>
      <c r="Z105" s="285" t="n"/>
      <c r="AA105" s="15" t="n"/>
      <c r="AB105" s="15" t="n"/>
      <c r="AC105" s="285" t="n"/>
      <c r="AD105" s="15" t="n"/>
      <c r="AE105" s="15" t="n"/>
      <c r="AF105" s="285" t="n"/>
      <c r="AG105" s="15" t="n"/>
      <c r="AH105" s="15" t="n"/>
      <c r="AI105" s="285" t="n"/>
      <c r="AJ105" s="15" t="n"/>
      <c r="AK105" s="15" t="n"/>
      <c r="AL105" s="285" t="n"/>
      <c r="AM105" s="327" t="n"/>
      <c r="AN105" s="15" t="n"/>
      <c r="AO105" s="285" t="n"/>
      <c r="AP105" s="327" t="n"/>
      <c r="AQ105" s="15" t="n"/>
      <c r="AR105" s="285" t="n"/>
      <c r="AS105" s="327" t="n"/>
      <c r="AT105" s="15" t="n"/>
      <c r="AU105" s="285" t="n"/>
      <c r="AV105" s="327" t="n"/>
      <c r="AW105" s="15" t="n"/>
      <c r="AX105" s="285" t="n"/>
      <c r="AY105" s="15" t="n"/>
      <c r="AZ105" s="15" t="n"/>
      <c r="BA105" s="287" t="n"/>
      <c r="BB105" s="37" t="n"/>
      <c r="BC105" s="287" t="n"/>
      <c r="BD105" s="37" t="n"/>
      <c r="BE105" s="287" t="n"/>
      <c r="BF105" s="37" t="n"/>
      <c r="BG105" s="287" t="n"/>
      <c r="BH105" s="37" t="n"/>
      <c r="BI105" s="288" t="n"/>
      <c r="BJ105" s="37" t="n"/>
      <c r="BK105" s="288" t="n"/>
      <c r="BL105" s="37" t="n"/>
      <c r="BM105" s="288" t="n"/>
      <c r="BN105" s="37" t="n"/>
      <c r="BP105" s="288" t="n"/>
      <c r="BQ105" s="37" t="n"/>
      <c r="BR105" s="288" t="n"/>
      <c r="BS105" s="37" t="n"/>
      <c r="BT105" s="288" t="n"/>
      <c r="BU105" s="37" t="n"/>
      <c r="BV105" s="288" t="n"/>
      <c r="BW105" s="37" t="n"/>
      <c r="BX105" s="288" t="n"/>
      <c r="BY105" s="37" t="n"/>
      <c r="BZ105" s="288" t="n"/>
      <c r="CA105" s="37" t="n"/>
      <c r="CB105" s="288" t="n"/>
      <c r="CC105" s="37" t="n"/>
      <c r="CD105" s="288" t="n"/>
      <c r="CE105" s="37" t="n"/>
      <c r="CF105" s="288" t="n"/>
      <c r="CG105" s="291" t="n"/>
      <c r="CH105" s="288" t="n"/>
      <c r="CI105" s="291" t="n"/>
      <c r="CJ105" s="288" t="n"/>
      <c r="CK105" s="291" t="n"/>
      <c r="CL105" s="288" t="n"/>
      <c r="CM105" s="291" t="n"/>
      <c r="CN105" s="288" t="n"/>
      <c r="CO105" s="80" t="n"/>
      <c r="CP105" s="288" t="n"/>
      <c r="CQ105" s="80" t="n"/>
      <c r="CR105" s="288" t="n"/>
      <c r="CS105" s="80" t="n"/>
      <c r="CT105" s="288" t="n"/>
      <c r="CU105" s="80" t="n"/>
      <c r="CW105" s="288" t="n"/>
      <c r="CX105" s="37" t="n"/>
      <c r="CY105" s="288" t="n"/>
      <c r="CZ105" s="37" t="n"/>
      <c r="DA105" s="288" t="n"/>
      <c r="DB105" s="37" t="n"/>
      <c r="DC105" s="288" t="n"/>
      <c r="DD105" s="37" t="n"/>
      <c r="DE105" s="304" t="n"/>
      <c r="DF105" s="304" t="n"/>
    </row>
    <row r="106" customFormat="1" s="40">
      <c r="A106" s="428" t="n"/>
      <c r="B106" s="285" t="n"/>
      <c r="C106" s="15" t="n"/>
      <c r="D106" s="15" t="n"/>
      <c r="E106" s="285" t="n"/>
      <c r="F106" s="15" t="n"/>
      <c r="G106" s="15" t="n"/>
      <c r="H106" s="285" t="n"/>
      <c r="I106" s="15" t="n"/>
      <c r="J106" s="15" t="n"/>
      <c r="K106" s="285" t="n"/>
      <c r="L106" s="15" t="n"/>
      <c r="M106" s="15" t="n"/>
      <c r="N106" s="285" t="n"/>
      <c r="O106" s="15" t="n"/>
      <c r="P106" s="15" t="n"/>
      <c r="Q106" s="285" t="n"/>
      <c r="R106" s="15" t="n"/>
      <c r="S106" s="15" t="n"/>
      <c r="T106" s="285" t="n"/>
      <c r="U106" s="15" t="n"/>
      <c r="V106" s="15" t="n"/>
      <c r="W106" s="285" t="n"/>
      <c r="X106" s="15" t="n"/>
      <c r="Y106" s="15" t="n"/>
      <c r="Z106" s="285" t="n"/>
      <c r="AA106" s="15" t="n"/>
      <c r="AB106" s="15" t="n"/>
      <c r="AC106" s="285" t="n"/>
      <c r="AD106" s="15" t="n"/>
      <c r="AE106" s="15" t="n"/>
      <c r="AF106" s="285" t="n"/>
      <c r="AG106" s="15" t="n"/>
      <c r="AH106" s="15" t="n"/>
      <c r="AI106" s="285" t="n"/>
      <c r="AJ106" s="15" t="n"/>
      <c r="AK106" s="15" t="n"/>
      <c r="AL106" s="285" t="n"/>
      <c r="AM106" s="327" t="n"/>
      <c r="AN106" s="15" t="n"/>
      <c r="AO106" s="285" t="n"/>
      <c r="AP106" s="327" t="n"/>
      <c r="AQ106" s="15" t="n"/>
      <c r="AR106" s="285" t="n"/>
      <c r="AS106" s="327" t="n"/>
      <c r="AT106" s="15" t="n"/>
      <c r="AU106" s="285" t="n"/>
      <c r="AV106" s="327" t="n"/>
      <c r="AW106" s="15" t="n"/>
      <c r="AX106" s="285" t="n"/>
      <c r="AY106" s="15" t="n"/>
      <c r="AZ106" s="15" t="n"/>
      <c r="BA106" s="287" t="n"/>
      <c r="BB106" s="37" t="n"/>
      <c r="BC106" s="287" t="n"/>
      <c r="BD106" s="37" t="n"/>
      <c r="BE106" s="287" t="n"/>
      <c r="BF106" s="37" t="n"/>
      <c r="BG106" s="287" t="n"/>
      <c r="BH106" s="37" t="n"/>
      <c r="BI106" s="288" t="n"/>
      <c r="BJ106" s="37" t="n"/>
      <c r="BK106" s="288" t="n"/>
      <c r="BL106" s="37" t="n"/>
      <c r="BM106" s="288" t="n"/>
      <c r="BN106" s="37" t="n"/>
      <c r="BO106" s="1" t="n"/>
      <c r="BP106" s="288" t="n"/>
      <c r="BQ106" s="37" t="n"/>
      <c r="BR106" s="288" t="n"/>
      <c r="BS106" s="37" t="n"/>
      <c r="BT106" s="288" t="n"/>
      <c r="BU106" s="37" t="n"/>
      <c r="BV106" s="288" t="n"/>
      <c r="BW106" s="37" t="n"/>
      <c r="BX106" s="288" t="n"/>
      <c r="BY106" s="37" t="n"/>
      <c r="BZ106" s="288" t="n"/>
      <c r="CA106" s="37" t="n"/>
      <c r="CB106" s="288" t="n"/>
      <c r="CC106" s="37" t="n"/>
      <c r="CD106" s="288" t="n"/>
      <c r="CE106" s="37" t="n"/>
      <c r="CF106" s="288" t="n"/>
      <c r="CG106" s="291" t="n"/>
      <c r="CH106" s="288" t="n"/>
      <c r="CI106" s="291" t="n"/>
      <c r="CJ106" s="288" t="n"/>
      <c r="CK106" s="291" t="n"/>
      <c r="CL106" s="288" t="n"/>
      <c r="CM106" s="291" t="n"/>
      <c r="CN106" s="288" t="n"/>
      <c r="CO106" s="80" t="n"/>
      <c r="CP106" s="288" t="n"/>
      <c r="CQ106" s="80" t="n"/>
      <c r="CR106" s="288" t="n"/>
      <c r="CS106" s="80" t="n"/>
      <c r="CT106" s="288" t="n"/>
      <c r="CU106" s="80" t="n"/>
      <c r="CW106" s="288" t="n"/>
      <c r="CX106" s="37" t="n"/>
      <c r="CY106" s="288" t="n"/>
      <c r="CZ106" s="37" t="n"/>
      <c r="DA106" s="288" t="n"/>
      <c r="DB106" s="37" t="n"/>
      <c r="DC106" s="288" t="n"/>
      <c r="DD106" s="37" t="n"/>
      <c r="DE106" s="270" t="n"/>
      <c r="DF106" s="270" t="n"/>
    </row>
    <row r="107" customFormat="1" s="40">
      <c r="A107" s="428" t="n"/>
      <c r="B107" s="285" t="n"/>
      <c r="C107" s="15" t="n"/>
      <c r="D107" s="15" t="n"/>
      <c r="E107" s="285" t="n"/>
      <c r="F107" s="15" t="n"/>
      <c r="G107" s="15" t="n"/>
      <c r="H107" s="285" t="n"/>
      <c r="I107" s="15" t="n"/>
      <c r="J107" s="15" t="n"/>
      <c r="K107" s="285" t="n"/>
      <c r="L107" s="15" t="n"/>
      <c r="M107" s="15" t="n"/>
      <c r="N107" s="285" t="n"/>
      <c r="O107" s="15" t="n"/>
      <c r="P107" s="15" t="n"/>
      <c r="Q107" s="285" t="n"/>
      <c r="R107" s="15" t="n"/>
      <c r="S107" s="15" t="n"/>
      <c r="T107" s="285" t="n"/>
      <c r="U107" s="15" t="n"/>
      <c r="V107" s="15" t="n"/>
      <c r="W107" s="285" t="n"/>
      <c r="X107" s="15" t="n"/>
      <c r="Y107" s="15" t="n"/>
      <c r="Z107" s="285" t="n"/>
      <c r="AA107" s="15" t="n"/>
      <c r="AB107" s="15" t="n"/>
      <c r="AC107" s="285" t="n"/>
      <c r="AD107" s="15" t="n"/>
      <c r="AE107" s="15" t="n"/>
      <c r="AF107" s="285" t="n"/>
      <c r="AG107" s="15" t="n"/>
      <c r="AH107" s="15" t="n"/>
      <c r="AI107" s="285" t="n"/>
      <c r="AJ107" s="15" t="n"/>
      <c r="AK107" s="15" t="n"/>
      <c r="AL107" s="285" t="n"/>
      <c r="AM107" s="327" t="n"/>
      <c r="AN107" s="15" t="n"/>
      <c r="AO107" s="285" t="n"/>
      <c r="AP107" s="327" t="n"/>
      <c r="AQ107" s="15" t="n"/>
      <c r="AR107" s="285" t="n"/>
      <c r="AS107" s="327" t="n"/>
      <c r="AT107" s="15" t="n"/>
      <c r="AU107" s="285" t="n"/>
      <c r="AV107" s="327" t="n"/>
      <c r="AW107" s="15" t="n"/>
      <c r="AX107" s="285" t="n"/>
      <c r="AY107" s="15" t="n"/>
      <c r="AZ107" s="15" t="n"/>
      <c r="BA107" s="287" t="n"/>
      <c r="BB107" s="37" t="n"/>
      <c r="BC107" s="287" t="n"/>
      <c r="BD107" s="37" t="n"/>
      <c r="BE107" s="287" t="n"/>
      <c r="BF107" s="37" t="n"/>
      <c r="BG107" s="287" t="n"/>
      <c r="BH107" s="37" t="n"/>
      <c r="BI107" s="288" t="n"/>
      <c r="BJ107" s="37" t="n"/>
      <c r="BK107" s="288" t="n"/>
      <c r="BL107" s="37" t="n"/>
      <c r="BM107" s="288" t="n"/>
      <c r="BN107" s="37" t="n"/>
      <c r="BO107" s="1" t="n"/>
      <c r="BP107" s="288" t="n"/>
      <c r="BQ107" s="37" t="n"/>
      <c r="BR107" s="288" t="n"/>
      <c r="BS107" s="37" t="n"/>
      <c r="BT107" s="288" t="n"/>
      <c r="BU107" s="37" t="n"/>
      <c r="BV107" s="288" t="n"/>
      <c r="BW107" s="37" t="n"/>
      <c r="BX107" s="288" t="n"/>
      <c r="BY107" s="37" t="n"/>
      <c r="BZ107" s="288" t="n"/>
      <c r="CA107" s="37" t="n"/>
      <c r="CB107" s="288" t="n"/>
      <c r="CC107" s="37" t="n"/>
      <c r="CD107" s="288" t="n"/>
      <c r="CE107" s="37" t="n"/>
      <c r="CF107" s="288" t="n"/>
      <c r="CG107" s="291" t="n"/>
      <c r="CH107" s="288" t="n"/>
      <c r="CI107" s="291" t="n"/>
      <c r="CJ107" s="288" t="n"/>
      <c r="CK107" s="291" t="n"/>
      <c r="CL107" s="288" t="n"/>
      <c r="CM107" s="291" t="n"/>
      <c r="CN107" s="288" t="n"/>
      <c r="CO107" s="80" t="n"/>
      <c r="CP107" s="288" t="n"/>
      <c r="CQ107" s="80" t="n"/>
      <c r="CR107" s="288" t="n"/>
      <c r="CS107" s="80" t="n"/>
      <c r="CT107" s="288" t="n"/>
      <c r="CU107" s="80" t="n"/>
      <c r="CW107" s="288" t="n"/>
      <c r="CX107" s="37" t="n"/>
      <c r="CY107" s="288" t="n"/>
      <c r="CZ107" s="37" t="n"/>
      <c r="DA107" s="288" t="n"/>
      <c r="DB107" s="37" t="n"/>
      <c r="DC107" s="288" t="n"/>
      <c r="DD107" s="37" t="n"/>
      <c r="DE107" s="270" t="n"/>
      <c r="DF107" s="270" t="n"/>
    </row>
    <row r="108" customFormat="1" s="40">
      <c r="A108" s="428" t="n"/>
      <c r="B108" s="285" t="n"/>
      <c r="C108" s="15" t="n"/>
      <c r="D108" s="15" t="n"/>
      <c r="E108" s="285" t="n"/>
      <c r="F108" s="15" t="n"/>
      <c r="G108" s="15" t="n"/>
      <c r="H108" s="285" t="n"/>
      <c r="I108" s="15" t="n"/>
      <c r="J108" s="15" t="n"/>
      <c r="K108" s="285" t="n"/>
      <c r="L108" s="15" t="n"/>
      <c r="M108" s="15" t="n"/>
      <c r="N108" s="285" t="n"/>
      <c r="O108" s="15" t="n"/>
      <c r="P108" s="15" t="n"/>
      <c r="Q108" s="285" t="n"/>
      <c r="R108" s="15" t="n"/>
      <c r="S108" s="15" t="n"/>
      <c r="T108" s="285" t="n"/>
      <c r="U108" s="15" t="n"/>
      <c r="V108" s="15" t="n"/>
      <c r="W108" s="285" t="n"/>
      <c r="X108" s="15" t="n"/>
      <c r="Y108" s="15" t="n"/>
      <c r="Z108" s="285" t="n"/>
      <c r="AA108" s="15" t="n"/>
      <c r="AB108" s="15" t="n"/>
      <c r="AC108" s="285" t="n"/>
      <c r="AD108" s="15" t="n"/>
      <c r="AE108" s="15" t="n"/>
      <c r="AF108" s="285" t="n"/>
      <c r="AG108" s="15" t="n"/>
      <c r="AH108" s="15" t="n"/>
      <c r="AI108" s="285" t="n"/>
      <c r="AJ108" s="15" t="n"/>
      <c r="AK108" s="15" t="n"/>
      <c r="AL108" s="285" t="n"/>
      <c r="AM108" s="327" t="n"/>
      <c r="AN108" s="15" t="n"/>
      <c r="AO108" s="285" t="n"/>
      <c r="AP108" s="327" t="n"/>
      <c r="AQ108" s="15" t="n"/>
      <c r="AR108" s="285" t="n"/>
      <c r="AS108" s="327" t="n"/>
      <c r="AT108" s="15" t="n"/>
      <c r="AU108" s="285" t="n"/>
      <c r="AV108" s="327" t="n"/>
      <c r="AW108" s="15" t="n"/>
      <c r="AX108" s="285" t="n"/>
      <c r="AY108" s="15" t="n"/>
      <c r="AZ108" s="15" t="n"/>
      <c r="BA108" s="287" t="n"/>
      <c r="BB108" s="37" t="n"/>
      <c r="BC108" s="287" t="n"/>
      <c r="BD108" s="37" t="n"/>
      <c r="BE108" s="287" t="n"/>
      <c r="BF108" s="37" t="n"/>
      <c r="BG108" s="287" t="n"/>
      <c r="BH108" s="37" t="n"/>
      <c r="BI108" s="288" t="n"/>
      <c r="BJ108" s="37" t="n"/>
      <c r="BK108" s="288" t="n"/>
      <c r="BL108" s="37" t="n"/>
      <c r="BM108" s="288" t="n"/>
      <c r="BN108" s="37" t="n"/>
      <c r="BO108" s="1" t="n"/>
      <c r="BP108" s="288" t="n"/>
      <c r="BQ108" s="37" t="n"/>
      <c r="BR108" s="288" t="n"/>
      <c r="BS108" s="37" t="n"/>
      <c r="BT108" s="288" t="n"/>
      <c r="BU108" s="37" t="n"/>
      <c r="BV108" s="288" t="n"/>
      <c r="BW108" s="37" t="n"/>
      <c r="BX108" s="288" t="n"/>
      <c r="BY108" s="37" t="n"/>
      <c r="BZ108" s="288" t="n"/>
      <c r="CA108" s="37" t="n"/>
      <c r="CB108" s="288" t="n"/>
      <c r="CC108" s="37" t="n"/>
      <c r="CD108" s="288" t="n"/>
      <c r="CE108" s="37" t="n"/>
      <c r="CF108" s="288" t="n"/>
      <c r="CG108" s="291" t="n"/>
      <c r="CH108" s="288" t="n"/>
      <c r="CI108" s="291" t="n"/>
      <c r="CJ108" s="288" t="n"/>
      <c r="CK108" s="291" t="n"/>
      <c r="CL108" s="288" t="n"/>
      <c r="CM108" s="291" t="n"/>
      <c r="CN108" s="288" t="n"/>
      <c r="CO108" s="80" t="n"/>
      <c r="CP108" s="288" t="n"/>
      <c r="CQ108" s="80" t="n"/>
      <c r="CR108" s="288" t="n"/>
      <c r="CS108" s="80" t="n"/>
      <c r="CT108" s="288" t="n"/>
      <c r="CU108" s="80" t="n"/>
      <c r="CW108" s="288" t="n"/>
      <c r="CX108" s="37" t="n"/>
      <c r="CY108" s="288" t="n"/>
      <c r="CZ108" s="37" t="n"/>
      <c r="DA108" s="288" t="n"/>
      <c r="DB108" s="37" t="n"/>
      <c r="DC108" s="288" t="n"/>
      <c r="DD108" s="37" t="n"/>
      <c r="DE108" s="270" t="n"/>
      <c r="DF108" s="270" t="n"/>
    </row>
    <row r="109" customFormat="1" s="40">
      <c r="A109" s="428" t="n"/>
      <c r="B109" s="285" t="n"/>
      <c r="C109" s="15" t="n"/>
      <c r="D109" s="15" t="n"/>
      <c r="E109" s="285" t="n"/>
      <c r="F109" s="15" t="n"/>
      <c r="G109" s="15" t="n"/>
      <c r="H109" s="285" t="n"/>
      <c r="I109" s="15" t="n"/>
      <c r="J109" s="15" t="n"/>
      <c r="K109" s="285" t="n"/>
      <c r="L109" s="15" t="n"/>
      <c r="M109" s="15" t="n"/>
      <c r="N109" s="285" t="n"/>
      <c r="O109" s="15" t="n"/>
      <c r="P109" s="15" t="n"/>
      <c r="Q109" s="285" t="n"/>
      <c r="R109" s="15" t="n"/>
      <c r="S109" s="15" t="n"/>
      <c r="T109" s="285" t="n"/>
      <c r="U109" s="15" t="n"/>
      <c r="V109" s="15" t="n"/>
      <c r="W109" s="285" t="n"/>
      <c r="X109" s="15" t="n"/>
      <c r="Y109" s="15" t="n"/>
      <c r="Z109" s="285" t="n"/>
      <c r="AA109" s="15" t="n"/>
      <c r="AB109" s="15" t="n"/>
      <c r="AC109" s="285" t="n"/>
      <c r="AD109" s="15" t="n"/>
      <c r="AE109" s="15" t="n"/>
      <c r="AF109" s="285" t="n"/>
      <c r="AG109" s="15" t="n"/>
      <c r="AH109" s="15" t="n"/>
      <c r="AI109" s="285" t="n"/>
      <c r="AJ109" s="15" t="n"/>
      <c r="AK109" s="15" t="n"/>
      <c r="AL109" s="285" t="n"/>
      <c r="AM109" s="327" t="n"/>
      <c r="AN109" s="15" t="n"/>
      <c r="AO109" s="285" t="n"/>
      <c r="AP109" s="327" t="n"/>
      <c r="AQ109" s="15" t="n"/>
      <c r="AR109" s="285" t="n"/>
      <c r="AS109" s="327" t="n"/>
      <c r="AT109" s="15" t="n"/>
      <c r="AU109" s="285" t="n"/>
      <c r="AV109" s="327" t="n"/>
      <c r="AW109" s="15" t="n"/>
      <c r="AX109" s="285" t="n"/>
      <c r="AY109" s="15" t="n"/>
      <c r="AZ109" s="15" t="n"/>
      <c r="BA109" s="287" t="n"/>
      <c r="BB109" s="37" t="n"/>
      <c r="BC109" s="287" t="n"/>
      <c r="BD109" s="37" t="n"/>
      <c r="BE109" s="287" t="n"/>
      <c r="BF109" s="37" t="n"/>
      <c r="BG109" s="287" t="n"/>
      <c r="BH109" s="37" t="n"/>
      <c r="BI109" s="288" t="n"/>
      <c r="BJ109" s="37" t="n"/>
      <c r="BK109" s="288" t="n"/>
      <c r="BL109" s="37" t="n"/>
      <c r="BM109" s="288" t="n"/>
      <c r="BN109" s="37" t="n"/>
      <c r="BP109" s="288" t="n"/>
      <c r="BQ109" s="37" t="n"/>
      <c r="BR109" s="288" t="n"/>
      <c r="BS109" s="37" t="n"/>
      <c r="BT109" s="288" t="n"/>
      <c r="BU109" s="37" t="n"/>
      <c r="BV109" s="288" t="n"/>
      <c r="BW109" s="37" t="n"/>
      <c r="BX109" s="288" t="n"/>
      <c r="BY109" s="37" t="n"/>
      <c r="BZ109" s="288" t="n"/>
      <c r="CA109" s="37" t="n"/>
      <c r="CB109" s="288" t="n"/>
      <c r="CC109" s="37" t="n"/>
      <c r="CD109" s="288" t="n"/>
      <c r="CE109" s="37" t="n"/>
      <c r="CF109" s="288" t="n"/>
      <c r="CG109" s="291" t="n"/>
      <c r="CH109" s="288" t="n"/>
      <c r="CI109" s="291" t="n"/>
      <c r="CJ109" s="288" t="n"/>
      <c r="CK109" s="291" t="n"/>
      <c r="CL109" s="288" t="n"/>
      <c r="CM109" s="291" t="n"/>
      <c r="CN109" s="288" t="n"/>
      <c r="CO109" s="80" t="n"/>
      <c r="CP109" s="288" t="n"/>
      <c r="CQ109" s="80" t="n"/>
      <c r="CR109" s="288" t="n"/>
      <c r="CS109" s="80" t="n"/>
      <c r="CT109" s="288" t="n"/>
      <c r="CU109" s="80" t="n"/>
      <c r="CW109" s="288" t="n"/>
      <c r="CX109" s="37" t="n"/>
      <c r="CY109" s="288" t="n"/>
      <c r="CZ109" s="37" t="n"/>
      <c r="DA109" s="288" t="n"/>
      <c r="DB109" s="37" t="n"/>
      <c r="DC109" s="288" t="n"/>
      <c r="DD109" s="37" t="n"/>
      <c r="DE109" s="304" t="n"/>
      <c r="DF109" s="304" t="n"/>
    </row>
    <row r="110" customFormat="1" s="40">
      <c r="A110" s="428" t="n"/>
      <c r="B110" s="285" t="n"/>
      <c r="C110" s="15" t="n"/>
      <c r="D110" s="15" t="n"/>
      <c r="E110" s="285" t="n"/>
      <c r="F110" s="15" t="n"/>
      <c r="G110" s="15" t="n"/>
      <c r="H110" s="285" t="n"/>
      <c r="I110" s="15" t="n"/>
      <c r="J110" s="15" t="n"/>
      <c r="K110" s="285" t="n"/>
      <c r="L110" s="15" t="n"/>
      <c r="M110" s="15" t="n"/>
      <c r="N110" s="285" t="n"/>
      <c r="O110" s="15" t="n"/>
      <c r="P110" s="15" t="n"/>
      <c r="Q110" s="285" t="n"/>
      <c r="R110" s="15" t="n"/>
      <c r="S110" s="15" t="n"/>
      <c r="T110" s="285" t="n"/>
      <c r="U110" s="15" t="n"/>
      <c r="V110" s="15" t="n"/>
      <c r="W110" s="285" t="n"/>
      <c r="X110" s="15" t="n"/>
      <c r="Y110" s="15" t="n"/>
      <c r="Z110" s="285" t="n"/>
      <c r="AA110" s="15" t="n"/>
      <c r="AB110" s="15" t="n"/>
      <c r="AC110" s="285" t="n"/>
      <c r="AD110" s="15" t="n"/>
      <c r="AE110" s="15" t="n"/>
      <c r="AF110" s="285" t="n"/>
      <c r="AG110" s="15" t="n"/>
      <c r="AH110" s="15" t="n"/>
      <c r="AI110" s="285" t="n"/>
      <c r="AJ110" s="15" t="n"/>
      <c r="AK110" s="15" t="n"/>
      <c r="AL110" s="285" t="n"/>
      <c r="AM110" s="327" t="n"/>
      <c r="AN110" s="15" t="n"/>
      <c r="AO110" s="285" t="n"/>
      <c r="AP110" s="327" t="n"/>
      <c r="AQ110" s="15" t="n"/>
      <c r="AR110" s="285" t="n"/>
      <c r="AS110" s="327" t="n"/>
      <c r="AT110" s="15" t="n"/>
      <c r="AU110" s="285" t="n"/>
      <c r="AV110" s="327" t="n"/>
      <c r="AW110" s="15" t="n"/>
      <c r="AX110" s="285" t="n"/>
      <c r="AY110" s="15" t="n"/>
      <c r="AZ110" s="15" t="n"/>
      <c r="BA110" s="287" t="n"/>
      <c r="BB110" s="37" t="n"/>
      <c r="BC110" s="287" t="n"/>
      <c r="BD110" s="37" t="n"/>
      <c r="BE110" s="287" t="n"/>
      <c r="BF110" s="37" t="n"/>
      <c r="BG110" s="287" t="n"/>
      <c r="BH110" s="37" t="n"/>
      <c r="BI110" s="288" t="n"/>
      <c r="BJ110" s="37" t="n"/>
      <c r="BK110" s="288" t="n"/>
      <c r="BL110" s="37" t="n"/>
      <c r="BM110" s="288" t="n"/>
      <c r="BN110" s="37" t="n"/>
      <c r="BP110" s="288" t="n"/>
      <c r="BQ110" s="37" t="n"/>
      <c r="BR110" s="288" t="n"/>
      <c r="BS110" s="37" t="n"/>
      <c r="BT110" s="288" t="n"/>
      <c r="BU110" s="37" t="n"/>
      <c r="BV110" s="288" t="n"/>
      <c r="BW110" s="37" t="n"/>
      <c r="BX110" s="288" t="n"/>
      <c r="BY110" s="37" t="n"/>
      <c r="BZ110" s="288" t="n"/>
      <c r="CA110" s="37" t="n"/>
      <c r="CB110" s="288" t="n"/>
      <c r="CC110" s="37" t="n"/>
      <c r="CD110" s="288" t="n"/>
      <c r="CE110" s="37" t="n"/>
      <c r="CF110" s="288" t="n"/>
      <c r="CG110" s="291" t="n"/>
      <c r="CH110" s="288" t="n"/>
      <c r="CI110" s="291" t="n"/>
      <c r="CJ110" s="288" t="n"/>
      <c r="CK110" s="291" t="n"/>
      <c r="CL110" s="288" t="n"/>
      <c r="CM110" s="291" t="n"/>
      <c r="CN110" s="288" t="n"/>
      <c r="CO110" s="80" t="n"/>
      <c r="CP110" s="288" t="n"/>
      <c r="CQ110" s="80" t="n"/>
      <c r="CR110" s="288" t="n"/>
      <c r="CS110" s="80" t="n"/>
      <c r="CT110" s="288" t="n"/>
      <c r="CU110" s="80" t="n"/>
      <c r="CW110" s="288" t="n"/>
      <c r="CX110" s="37" t="n"/>
      <c r="CY110" s="288" t="n"/>
      <c r="CZ110" s="37" t="n"/>
      <c r="DA110" s="288" t="n"/>
      <c r="DB110" s="37" t="n"/>
      <c r="DC110" s="288" t="n"/>
      <c r="DD110" s="37" t="n"/>
      <c r="DE110" s="304" t="n"/>
      <c r="DF110" s="304" t="n"/>
    </row>
    <row r="111" customFormat="1" s="40">
      <c r="A111" s="428" t="n"/>
      <c r="B111" s="285" t="n"/>
      <c r="C111" s="15" t="n"/>
      <c r="D111" s="15" t="n"/>
      <c r="E111" s="285" t="n"/>
      <c r="F111" s="15" t="n"/>
      <c r="G111" s="15" t="n"/>
      <c r="H111" s="285" t="n"/>
      <c r="I111" s="15" t="n"/>
      <c r="J111" s="15" t="n"/>
      <c r="K111" s="285" t="n"/>
      <c r="L111" s="15" t="n"/>
      <c r="M111" s="15" t="n"/>
      <c r="N111" s="285" t="n"/>
      <c r="O111" s="15" t="n"/>
      <c r="P111" s="15" t="n"/>
      <c r="Q111" s="285" t="n"/>
      <c r="R111" s="15" t="n"/>
      <c r="S111" s="15" t="n"/>
      <c r="T111" s="285" t="n"/>
      <c r="U111" s="15" t="n"/>
      <c r="V111" s="15" t="n"/>
      <c r="W111" s="285" t="n"/>
      <c r="X111" s="15" t="n"/>
      <c r="Y111" s="15" t="n"/>
      <c r="Z111" s="285" t="n"/>
      <c r="AA111" s="15" t="n"/>
      <c r="AB111" s="15" t="n"/>
      <c r="AC111" s="285" t="n"/>
      <c r="AD111" s="15" t="n"/>
      <c r="AE111" s="15" t="n"/>
      <c r="AF111" s="285" t="n"/>
      <c r="AG111" s="15" t="n"/>
      <c r="AH111" s="15" t="n"/>
      <c r="AI111" s="285" t="n"/>
      <c r="AJ111" s="15" t="n"/>
      <c r="AK111" s="15" t="n"/>
      <c r="AL111" s="285" t="n"/>
      <c r="AM111" s="327" t="n"/>
      <c r="AN111" s="15" t="n"/>
      <c r="AO111" s="285" t="n"/>
      <c r="AP111" s="327" t="n"/>
      <c r="AQ111" s="15" t="n"/>
      <c r="AR111" s="285" t="n"/>
      <c r="AS111" s="327" t="n"/>
      <c r="AT111" s="15" t="n"/>
      <c r="AU111" s="285" t="n"/>
      <c r="AV111" s="327" t="n"/>
      <c r="AW111" s="15" t="n"/>
      <c r="AX111" s="285" t="n"/>
      <c r="AY111" s="15" t="n"/>
      <c r="AZ111" s="15" t="n"/>
      <c r="BA111" s="287" t="n"/>
      <c r="BB111" s="37" t="n"/>
      <c r="BC111" s="287" t="n"/>
      <c r="BD111" s="37" t="n"/>
      <c r="BE111" s="287" t="n"/>
      <c r="BF111" s="37" t="n"/>
      <c r="BG111" s="287" t="n"/>
      <c r="BH111" s="37" t="n"/>
      <c r="BI111" s="288" t="n"/>
      <c r="BJ111" s="37" t="n"/>
      <c r="BK111" s="288" t="n"/>
      <c r="BL111" s="37" t="n"/>
      <c r="BM111" s="288" t="n"/>
      <c r="BN111" s="37" t="n"/>
      <c r="BP111" s="288" t="n"/>
      <c r="BQ111" s="37" t="n"/>
      <c r="BR111" s="288" t="n"/>
      <c r="BS111" s="37" t="n"/>
      <c r="BT111" s="288" t="n"/>
      <c r="BU111" s="37" t="n"/>
      <c r="BV111" s="288" t="n"/>
      <c r="BW111" s="37" t="n"/>
      <c r="BX111" s="288" t="n"/>
      <c r="BY111" s="37" t="n"/>
      <c r="BZ111" s="288" t="n"/>
      <c r="CA111" s="37" t="n"/>
      <c r="CB111" s="288" t="n"/>
      <c r="CC111" s="37" t="n"/>
      <c r="CD111" s="288" t="n"/>
      <c r="CE111" s="37" t="n"/>
      <c r="CF111" s="288" t="n"/>
      <c r="CG111" s="291" t="n"/>
      <c r="CH111" s="288" t="n"/>
      <c r="CI111" s="291" t="n"/>
      <c r="CJ111" s="288" t="n"/>
      <c r="CK111" s="291" t="n"/>
      <c r="CL111" s="288" t="n"/>
      <c r="CM111" s="291" t="n"/>
      <c r="CN111" s="288" t="n"/>
      <c r="CO111" s="80" t="n"/>
      <c r="CP111" s="288" t="n"/>
      <c r="CQ111" s="80" t="n"/>
      <c r="CR111" s="288" t="n"/>
      <c r="CS111" s="80" t="n"/>
      <c r="CT111" s="288" t="n"/>
      <c r="CU111" s="80" t="n"/>
      <c r="CW111" s="288" t="n"/>
      <c r="CX111" s="37" t="n"/>
      <c r="CY111" s="288" t="n"/>
      <c r="CZ111" s="37" t="n"/>
      <c r="DA111" s="288" t="n"/>
      <c r="DB111" s="37" t="n"/>
      <c r="DC111" s="288" t="n"/>
      <c r="DD111" s="37" t="n"/>
      <c r="DE111" s="1" t="n"/>
      <c r="DF111" s="304" t="n"/>
    </row>
    <row r="112" customFormat="1" s="40">
      <c r="A112" s="429" t="n"/>
      <c r="B112" s="306" t="n"/>
      <c r="C112" s="15" t="n"/>
      <c r="D112" s="15" t="n"/>
      <c r="E112" s="306" t="n"/>
      <c r="F112" s="15" t="n"/>
      <c r="G112" s="15" t="n"/>
      <c r="H112" s="306" t="n"/>
      <c r="I112" s="15" t="n"/>
      <c r="J112" s="15" t="n"/>
      <c r="K112" s="306" t="n"/>
      <c r="L112" s="15" t="n"/>
      <c r="M112" s="15" t="n"/>
      <c r="N112" s="306" t="n"/>
      <c r="O112" s="15" t="n"/>
      <c r="P112" s="15" t="n"/>
      <c r="Q112" s="306" t="n"/>
      <c r="R112" s="15" t="n"/>
      <c r="S112" s="15" t="n"/>
      <c r="T112" s="306" t="n"/>
      <c r="U112" s="15" t="n"/>
      <c r="V112" s="15" t="n"/>
      <c r="W112" s="306" t="n"/>
      <c r="X112" s="15" t="n"/>
      <c r="Y112" s="15" t="n"/>
      <c r="Z112" s="306" t="n"/>
      <c r="AA112" s="15" t="n"/>
      <c r="AB112" s="15" t="n"/>
      <c r="AC112" s="306" t="n"/>
      <c r="AD112" s="15" t="n"/>
      <c r="AE112" s="15" t="n"/>
      <c r="AF112" s="306" t="n"/>
      <c r="AG112" s="15" t="n"/>
      <c r="AH112" s="15" t="n"/>
      <c r="AI112" s="306" t="n"/>
      <c r="AJ112" s="15" t="n"/>
      <c r="AK112" s="15" t="n"/>
      <c r="AL112" s="306" t="n"/>
      <c r="AM112" s="327" t="n"/>
      <c r="AN112" s="430" t="n"/>
      <c r="AO112" s="306" t="n"/>
      <c r="AP112" s="327" t="n"/>
      <c r="AQ112" s="430" t="n"/>
      <c r="AR112" s="306" t="n"/>
      <c r="AS112" s="327" t="n"/>
      <c r="AT112" s="430" t="n"/>
      <c r="AU112" s="306" t="n"/>
      <c r="AV112" s="327" t="n"/>
      <c r="AW112" s="430" t="n"/>
      <c r="AX112" s="306" t="n"/>
      <c r="AY112" s="15" t="n"/>
      <c r="AZ112" s="15" t="n"/>
      <c r="BA112" s="287" t="n"/>
      <c r="BB112" s="37" t="n"/>
      <c r="BC112" s="287" t="n"/>
      <c r="BD112" s="37" t="n"/>
      <c r="BE112" s="287" t="n"/>
      <c r="BF112" s="37" t="n"/>
      <c r="BG112" s="287" t="n"/>
      <c r="BH112" s="37" t="n"/>
      <c r="BI112" s="288" t="n"/>
      <c r="BJ112" s="37" t="n"/>
      <c r="BK112" s="288" t="n"/>
      <c r="BL112" s="37" t="n"/>
      <c r="BM112" s="288" t="n"/>
      <c r="BN112" s="37" t="n"/>
      <c r="BP112" s="288" t="n"/>
      <c r="BQ112" s="37" t="n"/>
      <c r="BR112" s="288" t="n"/>
      <c r="BS112" s="37" t="n"/>
      <c r="BT112" s="288" t="n"/>
      <c r="BU112" s="37" t="n"/>
      <c r="BV112" s="288" t="n"/>
      <c r="BW112" s="37" t="n"/>
      <c r="BX112" s="288" t="n"/>
      <c r="BY112" s="37" t="n"/>
      <c r="BZ112" s="288" t="n"/>
      <c r="CA112" s="37" t="n"/>
      <c r="CB112" s="288" t="n"/>
      <c r="CC112" s="37" t="n"/>
      <c r="CD112" s="288" t="n"/>
      <c r="CE112" s="37" t="n"/>
      <c r="CF112" s="288" t="n"/>
      <c r="CG112" s="291" t="n"/>
      <c r="CH112" s="288" t="n"/>
      <c r="CI112" s="291" t="n"/>
      <c r="CJ112" s="288" t="n"/>
      <c r="CK112" s="291" t="n"/>
      <c r="CL112" s="288" t="n"/>
      <c r="CM112" s="291" t="n"/>
      <c r="CN112" s="288" t="n"/>
      <c r="CO112" s="80" t="n"/>
      <c r="CP112" s="288" t="n"/>
      <c r="CQ112" s="80" t="n"/>
      <c r="CR112" s="288" t="n"/>
      <c r="CS112" s="80" t="n"/>
      <c r="CT112" s="288" t="n"/>
      <c r="CU112" s="80" t="n"/>
      <c r="CW112" s="288" t="n"/>
      <c r="CX112" s="37" t="n"/>
      <c r="CY112" s="288" t="n"/>
      <c r="CZ112" s="37" t="n"/>
      <c r="DA112" s="288" t="n"/>
      <c r="DB112" s="37" t="n"/>
      <c r="DC112" s="288" t="n"/>
      <c r="DD112" s="37" t="n"/>
      <c r="DE112" s="1" t="n"/>
      <c r="DF112" s="304" t="n"/>
    </row>
    <row r="113" customFormat="1" s="40">
      <c r="A113" s="428" t="n"/>
      <c r="B113" s="285" t="n"/>
      <c r="C113" s="15" t="n"/>
      <c r="D113" s="15" t="n"/>
      <c r="E113" s="285" t="n"/>
      <c r="F113" s="15" t="n"/>
      <c r="G113" s="15" t="n"/>
      <c r="H113" s="285" t="n"/>
      <c r="I113" s="15" t="n"/>
      <c r="J113" s="15" t="n"/>
      <c r="K113" s="285" t="n"/>
      <c r="L113" s="15" t="n"/>
      <c r="M113" s="15" t="n"/>
      <c r="N113" s="285" t="n"/>
      <c r="O113" s="15" t="n"/>
      <c r="P113" s="15" t="n"/>
      <c r="Q113" s="285" t="n"/>
      <c r="R113" s="15" t="n"/>
      <c r="S113" s="15" t="n"/>
      <c r="T113" s="285" t="n"/>
      <c r="U113" s="15" t="n"/>
      <c r="V113" s="15" t="n"/>
      <c r="W113" s="285" t="n"/>
      <c r="X113" s="15" t="n"/>
      <c r="Y113" s="15" t="n"/>
      <c r="Z113" s="285" t="n"/>
      <c r="AA113" s="15" t="n"/>
      <c r="AB113" s="15" t="n"/>
      <c r="AC113" s="285" t="n"/>
      <c r="AD113" s="15" t="n"/>
      <c r="AE113" s="15" t="n"/>
      <c r="AF113" s="285" t="n"/>
      <c r="AG113" s="15" t="n"/>
      <c r="AH113" s="15" t="n"/>
      <c r="AI113" s="285" t="n"/>
      <c r="AJ113" s="15" t="n"/>
      <c r="AK113" s="15" t="n"/>
      <c r="AL113" s="285" t="n"/>
      <c r="AM113" s="327" t="n"/>
      <c r="AN113" s="430" t="n"/>
      <c r="AO113" s="285" t="n"/>
      <c r="AP113" s="327" t="n"/>
      <c r="AQ113" s="430" t="n"/>
      <c r="AR113" s="285" t="n"/>
      <c r="AS113" s="327" t="n"/>
      <c r="AT113" s="430" t="n"/>
      <c r="AU113" s="285" t="n"/>
      <c r="AV113" s="327" t="n"/>
      <c r="AW113" s="430" t="n"/>
      <c r="AX113" s="285" t="n"/>
      <c r="AY113" s="15" t="n"/>
      <c r="AZ113" s="15" t="n"/>
      <c r="BA113" s="291" t="n"/>
      <c r="BB113" s="291" t="n"/>
      <c r="BC113" s="291" t="n"/>
      <c r="BD113" s="291" t="n"/>
      <c r="BE113" s="291" t="n"/>
      <c r="BF113" s="291" t="n"/>
      <c r="BG113" s="291" t="n"/>
      <c r="BH113" s="291" t="n"/>
      <c r="BI113" s="291" t="n"/>
      <c r="BJ113" s="291" t="n"/>
      <c r="BK113" s="288" t="n"/>
      <c r="BL113" s="291" t="n"/>
      <c r="BM113" s="291" t="n"/>
      <c r="BN113" s="291" t="n"/>
      <c r="BO113" s="291" t="n"/>
      <c r="BP113" s="291" t="n"/>
      <c r="BQ113" s="291" t="n"/>
      <c r="BR113" s="291" t="n"/>
      <c r="BS113" s="291" t="n"/>
      <c r="BT113" s="291" t="n"/>
      <c r="BU113" s="291" t="n"/>
      <c r="BV113" s="291" t="n"/>
      <c r="BW113" s="291" t="n"/>
      <c r="BX113" s="291" t="n"/>
      <c r="BY113" s="291" t="n"/>
      <c r="BZ113" s="291" t="n"/>
      <c r="CA113" s="291" t="n"/>
      <c r="CB113" s="291" t="n"/>
      <c r="CC113" s="291" t="n"/>
      <c r="CD113" s="291" t="n"/>
      <c r="CE113" s="291" t="n"/>
      <c r="CF113" s="291" t="n"/>
      <c r="CG113" s="291" t="n"/>
      <c r="CH113" s="291" t="n"/>
      <c r="CI113" s="291" t="n"/>
      <c r="CJ113" s="291" t="n"/>
      <c r="CK113" s="291" t="n"/>
      <c r="CL113" s="291" t="n"/>
      <c r="CM113" s="291" t="n"/>
      <c r="CN113" s="291" t="n"/>
      <c r="CW113" s="291" t="n"/>
      <c r="CX113" s="291" t="n"/>
      <c r="CY113" s="291" t="n"/>
      <c r="CZ113" s="291" t="n"/>
      <c r="DA113" s="291" t="n"/>
      <c r="DB113" s="291" t="n"/>
      <c r="DC113" s="291" t="n"/>
      <c r="DD113" s="291" t="n"/>
      <c r="DE113" s="311" t="n"/>
      <c r="DF113" s="311" t="n"/>
    </row>
    <row r="114" customFormat="1" s="40">
      <c r="A114" s="431" t="n"/>
      <c r="B114" s="285" t="n"/>
      <c r="C114" s="15" t="n"/>
      <c r="D114" s="15" t="n"/>
      <c r="E114" s="285" t="n"/>
      <c r="F114" s="15" t="n"/>
      <c r="G114" s="15" t="n"/>
      <c r="H114" s="285" t="n"/>
      <c r="I114" s="15" t="n"/>
      <c r="J114" s="15" t="n"/>
      <c r="K114" s="285" t="n"/>
      <c r="L114" s="15" t="n"/>
      <c r="M114" s="15" t="n"/>
      <c r="N114" s="285" t="n"/>
      <c r="O114" s="15" t="n"/>
      <c r="P114" s="15" t="n"/>
      <c r="Q114" s="285" t="n"/>
      <c r="R114" s="15" t="n"/>
      <c r="S114" s="15" t="n"/>
      <c r="T114" s="285" t="n"/>
      <c r="U114" s="15" t="n"/>
      <c r="V114" s="15" t="n"/>
      <c r="W114" s="285" t="n"/>
      <c r="X114" s="15" t="n"/>
      <c r="Y114" s="15" t="n"/>
      <c r="Z114" s="285" t="n"/>
      <c r="AA114" s="15" t="n"/>
      <c r="AB114" s="15" t="n"/>
      <c r="AC114" s="285" t="n"/>
      <c r="AD114" s="15" t="n"/>
      <c r="AE114" s="15" t="n"/>
      <c r="AF114" s="285" t="n"/>
      <c r="AG114" s="15" t="n"/>
      <c r="AH114" s="15" t="n"/>
      <c r="AI114" s="285" t="n"/>
      <c r="AJ114" s="15" t="n"/>
      <c r="AK114" s="15" t="n"/>
      <c r="AL114" s="285" t="n"/>
      <c r="AM114" s="327" t="n"/>
      <c r="AN114" s="430" t="n"/>
      <c r="AO114" s="285" t="n"/>
      <c r="AP114" s="327" t="n"/>
      <c r="AQ114" s="430" t="n"/>
      <c r="AR114" s="285" t="n"/>
      <c r="AS114" s="327" t="n"/>
      <c r="AT114" s="430" t="n"/>
      <c r="AU114" s="285" t="n"/>
      <c r="AV114" s="327" t="n"/>
      <c r="AW114" s="430" t="n"/>
      <c r="AX114" s="285" t="n"/>
      <c r="AY114" s="15" t="n"/>
      <c r="AZ114" s="15" t="n"/>
      <c r="BA114" s="291" t="n"/>
      <c r="BB114" s="291" t="n"/>
      <c r="BC114" s="291" t="n"/>
      <c r="BD114" s="291" t="n"/>
      <c r="BE114" s="291" t="n"/>
      <c r="BF114" s="291" t="n"/>
      <c r="BG114" s="291" t="n"/>
      <c r="BH114" s="291" t="n"/>
      <c r="BI114" s="291" t="n"/>
      <c r="BJ114" s="291" t="n"/>
      <c r="BK114" s="288" t="n"/>
      <c r="BL114" s="291" t="n"/>
      <c r="BM114" s="291" t="n"/>
      <c r="BN114" s="291" t="n"/>
      <c r="BO114" s="291" t="n"/>
      <c r="BP114" s="291" t="n"/>
      <c r="BQ114" s="291" t="n"/>
      <c r="BR114" s="291" t="n"/>
      <c r="BS114" s="291" t="n"/>
      <c r="BT114" s="291" t="n"/>
      <c r="BU114" s="291" t="n"/>
      <c r="BV114" s="291" t="n"/>
      <c r="BW114" s="291" t="n"/>
      <c r="BX114" s="291" t="n"/>
      <c r="BY114" s="291" t="n"/>
      <c r="BZ114" s="291" t="n"/>
      <c r="CA114" s="291" t="n"/>
      <c r="CB114" s="291" t="n"/>
      <c r="CC114" s="291" t="n"/>
      <c r="CD114" s="291" t="n"/>
      <c r="CE114" s="291" t="n"/>
      <c r="CF114" s="291" t="n"/>
      <c r="CG114" s="291" t="n"/>
      <c r="CH114" s="291" t="n"/>
      <c r="CI114" s="291" t="n"/>
      <c r="CJ114" s="291" t="n"/>
      <c r="CK114" s="291" t="n"/>
      <c r="CL114" s="291" t="n"/>
      <c r="CM114" s="291" t="n"/>
      <c r="CN114" s="291" t="n"/>
      <c r="CW114" s="291" t="n"/>
      <c r="CX114" s="291" t="n"/>
      <c r="CY114" s="291" t="n"/>
      <c r="CZ114" s="291" t="n"/>
      <c r="DA114" s="291" t="n"/>
      <c r="DB114" s="291" t="n"/>
      <c r="DC114" s="291" t="n"/>
      <c r="DD114" s="291" t="n"/>
      <c r="DE114" s="311" t="n"/>
      <c r="DF114" s="311" t="n"/>
    </row>
    <row r="115" customFormat="1" s="40">
      <c r="A115" s="428" t="n"/>
      <c r="B115" s="285" t="n"/>
      <c r="C115" s="15" t="n"/>
      <c r="D115" s="15" t="n"/>
      <c r="E115" s="285" t="n"/>
      <c r="F115" s="15" t="n"/>
      <c r="G115" s="15" t="n"/>
      <c r="H115" s="285" t="n"/>
      <c r="I115" s="15" t="n"/>
      <c r="J115" s="15" t="n"/>
      <c r="K115" s="285" t="n"/>
      <c r="L115" s="15" t="n"/>
      <c r="M115" s="15" t="n"/>
      <c r="N115" s="285" t="n"/>
      <c r="O115" s="15" t="n"/>
      <c r="P115" s="15" t="n"/>
      <c r="Q115" s="285" t="n"/>
      <c r="R115" s="15" t="n"/>
      <c r="S115" s="15" t="n"/>
      <c r="T115" s="285" t="n"/>
      <c r="U115" s="15" t="n"/>
      <c r="V115" s="15" t="n"/>
      <c r="W115" s="285" t="n"/>
      <c r="X115" s="15" t="n"/>
      <c r="Y115" s="15" t="n"/>
      <c r="Z115" s="285" t="n"/>
      <c r="AA115" s="15" t="n"/>
      <c r="AB115" s="15" t="n"/>
      <c r="AC115" s="285" t="n"/>
      <c r="AD115" s="15" t="n"/>
      <c r="AE115" s="15" t="n"/>
      <c r="AF115" s="285" t="n"/>
      <c r="AG115" s="15" t="n"/>
      <c r="AH115" s="15" t="n"/>
      <c r="AI115" s="285" t="n"/>
      <c r="AJ115" s="15" t="n"/>
      <c r="AK115" s="15" t="n"/>
      <c r="AL115" s="285" t="n"/>
      <c r="AM115" s="327" t="n"/>
      <c r="AN115" s="430" t="n"/>
      <c r="AO115" s="285" t="n"/>
      <c r="AP115" s="327" t="n"/>
      <c r="AQ115" s="430" t="n"/>
      <c r="AR115" s="285" t="n"/>
      <c r="AS115" s="327" t="n"/>
      <c r="AT115" s="430" t="n"/>
      <c r="AU115" s="285" t="n"/>
      <c r="AV115" s="327" t="n"/>
      <c r="AW115" s="430" t="n"/>
      <c r="AX115" s="285" t="n"/>
      <c r="AY115" s="15" t="n"/>
      <c r="AZ115" s="15" t="n"/>
      <c r="BA115" s="291" t="n"/>
      <c r="BB115" s="291" t="n"/>
      <c r="BC115" s="291" t="n"/>
      <c r="BD115" s="291" t="n"/>
      <c r="BE115" s="291" t="n"/>
      <c r="BF115" s="291" t="n"/>
      <c r="BG115" s="291" t="n"/>
      <c r="BH115" s="291" t="n"/>
      <c r="BI115" s="291" t="n"/>
      <c r="BJ115" s="291" t="n"/>
      <c r="BK115" s="288" t="n"/>
      <c r="BL115" s="291" t="n"/>
      <c r="BM115" s="291" t="n"/>
      <c r="BN115" s="291" t="n"/>
      <c r="BO115" s="291" t="n"/>
      <c r="BP115" s="291" t="n"/>
      <c r="BQ115" s="291" t="n"/>
      <c r="BR115" s="291" t="n"/>
      <c r="BS115" s="291" t="n"/>
      <c r="BT115" s="291" t="n"/>
      <c r="BU115" s="291" t="n"/>
      <c r="BV115" s="291" t="n"/>
      <c r="BW115" s="291" t="n"/>
      <c r="BX115" s="291" t="n"/>
      <c r="BY115" s="291" t="n"/>
      <c r="BZ115" s="291" t="n"/>
      <c r="CA115" s="291" t="n"/>
      <c r="CB115" s="291" t="n"/>
      <c r="CC115" s="291" t="n"/>
      <c r="CD115" s="291" t="n"/>
      <c r="CE115" s="291" t="n"/>
      <c r="CF115" s="291" t="n"/>
      <c r="CG115" s="291" t="n"/>
      <c r="CH115" s="291" t="n"/>
      <c r="CI115" s="291" t="n"/>
      <c r="CJ115" s="291" t="n"/>
      <c r="CK115" s="291" t="n"/>
      <c r="CL115" s="291" t="n"/>
      <c r="CM115" s="291" t="n"/>
      <c r="CN115" s="291" t="n"/>
      <c r="CW115" s="291" t="n"/>
      <c r="CX115" s="291" t="n"/>
      <c r="CY115" s="291" t="n"/>
      <c r="CZ115" s="291" t="n"/>
      <c r="DA115" s="291" t="n"/>
      <c r="DB115" s="291" t="n"/>
      <c r="DC115" s="291" t="n"/>
      <c r="DD115" s="291" t="n"/>
      <c r="DE115" s="311" t="n"/>
      <c r="DF115" s="311" t="n"/>
    </row>
    <row r="116" customFormat="1" s="40">
      <c r="A116" s="428" t="n"/>
      <c r="B116" s="285" t="n"/>
      <c r="C116" s="15" t="n"/>
      <c r="D116" s="15" t="n"/>
      <c r="E116" s="285" t="n"/>
      <c r="F116" s="15" t="n"/>
      <c r="G116" s="15" t="n"/>
      <c r="H116" s="285" t="n"/>
      <c r="I116" s="15" t="n"/>
      <c r="J116" s="15" t="n"/>
      <c r="K116" s="285" t="n"/>
      <c r="L116" s="15" t="n"/>
      <c r="M116" s="15" t="n"/>
      <c r="N116" s="285" t="n"/>
      <c r="O116" s="15" t="n"/>
      <c r="P116" s="15" t="n"/>
      <c r="Q116" s="285" t="n"/>
      <c r="R116" s="15" t="n"/>
      <c r="S116" s="15" t="n"/>
      <c r="T116" s="285" t="n"/>
      <c r="U116" s="15" t="n"/>
      <c r="V116" s="15" t="n"/>
      <c r="W116" s="285" t="n"/>
      <c r="X116" s="15" t="n"/>
      <c r="Y116" s="15" t="n"/>
      <c r="Z116" s="285" t="n"/>
      <c r="AA116" s="15" t="n"/>
      <c r="AB116" s="15" t="n"/>
      <c r="AC116" s="285" t="n"/>
      <c r="AD116" s="15" t="n"/>
      <c r="AE116" s="15" t="n"/>
      <c r="AF116" s="285" t="n"/>
      <c r="AG116" s="15" t="n"/>
      <c r="AH116" s="15" t="n"/>
      <c r="AI116" s="285" t="n"/>
      <c r="AJ116" s="15" t="n"/>
      <c r="AK116" s="15" t="n"/>
      <c r="AL116" s="285" t="n"/>
      <c r="AM116" s="327" t="n"/>
      <c r="AN116" s="430" t="n"/>
      <c r="AO116" s="285" t="n"/>
      <c r="AP116" s="327" t="n"/>
      <c r="AQ116" s="430" t="n"/>
      <c r="AR116" s="285" t="n"/>
      <c r="AS116" s="327" t="n"/>
      <c r="AT116" s="430" t="n"/>
      <c r="AU116" s="285" t="n"/>
      <c r="AV116" s="327" t="n"/>
      <c r="AW116" s="430" t="n"/>
      <c r="AX116" s="285" t="n"/>
      <c r="AY116" s="15" t="n"/>
      <c r="AZ116" s="15" t="n"/>
      <c r="BA116" s="291" t="n"/>
      <c r="BB116" s="291" t="n"/>
      <c r="BC116" s="291" t="n"/>
      <c r="BD116" s="291" t="n"/>
      <c r="BE116" s="291" t="n"/>
      <c r="BF116" s="291" t="n"/>
      <c r="BG116" s="291" t="n"/>
      <c r="BH116" s="291" t="n"/>
      <c r="BI116" s="291" t="n"/>
      <c r="BJ116" s="291" t="n"/>
      <c r="BK116" s="288" t="n"/>
      <c r="BL116" s="291" t="n"/>
      <c r="BM116" s="291" t="n"/>
      <c r="BN116" s="291" t="n"/>
      <c r="BO116" s="291" t="n"/>
      <c r="BP116" s="291" t="n"/>
      <c r="BQ116" s="291" t="n"/>
      <c r="BR116" s="291" t="n"/>
      <c r="BS116" s="291" t="n"/>
      <c r="BT116" s="291" t="n"/>
      <c r="BU116" s="291" t="n"/>
      <c r="BV116" s="291" t="n"/>
      <c r="BW116" s="291" t="n"/>
      <c r="BX116" s="291" t="n"/>
      <c r="BY116" s="291" t="n"/>
      <c r="BZ116" s="291" t="n"/>
      <c r="CA116" s="291" t="n"/>
      <c r="CB116" s="291" t="n"/>
      <c r="CC116" s="291" t="n"/>
      <c r="CD116" s="291" t="n"/>
      <c r="CE116" s="291" t="n"/>
      <c r="CF116" s="291" t="n"/>
      <c r="CG116" s="291" t="n"/>
      <c r="CH116" s="291" t="n"/>
      <c r="CI116" s="291" t="n"/>
      <c r="CJ116" s="291" t="n"/>
      <c r="CK116" s="291" t="n"/>
      <c r="CL116" s="291" t="n"/>
      <c r="CM116" s="291" t="n"/>
      <c r="CN116" s="291" t="n"/>
      <c r="CW116" s="291" t="n"/>
      <c r="CX116" s="291" t="n"/>
      <c r="CY116" s="291" t="n"/>
      <c r="CZ116" s="291" t="n"/>
      <c r="DA116" s="291" t="n"/>
      <c r="DB116" s="291" t="n"/>
      <c r="DC116" s="291" t="n"/>
      <c r="DD116" s="291" t="n"/>
      <c r="DE116" s="311" t="n"/>
      <c r="DF116" s="311" t="n"/>
    </row>
    <row r="117" customFormat="1" s="40">
      <c r="A117" s="326" t="n"/>
      <c r="B117" s="285" t="n"/>
      <c r="C117" s="15" t="n"/>
      <c r="D117" s="15" t="n"/>
      <c r="E117" s="285" t="n"/>
      <c r="F117" s="15" t="n"/>
      <c r="G117" s="15" t="n"/>
      <c r="H117" s="285" t="n"/>
      <c r="I117" s="15" t="n"/>
      <c r="J117" s="15" t="n"/>
      <c r="K117" s="285" t="n"/>
      <c r="L117" s="15" t="n"/>
      <c r="M117" s="15" t="n"/>
      <c r="N117" s="285" t="n"/>
      <c r="O117" s="15" t="n"/>
      <c r="P117" s="15" t="n"/>
      <c r="Q117" s="285" t="n"/>
      <c r="R117" s="15" t="n"/>
      <c r="S117" s="15" t="n"/>
      <c r="T117" s="285" t="n"/>
      <c r="U117" s="15" t="n"/>
      <c r="V117" s="15" t="n"/>
      <c r="W117" s="285" t="n"/>
      <c r="X117" s="15" t="n"/>
      <c r="Y117" s="15" t="n"/>
      <c r="Z117" s="285" t="n"/>
      <c r="AA117" s="15" t="n"/>
      <c r="AB117" s="15" t="n"/>
      <c r="AC117" s="285" t="n"/>
      <c r="AD117" s="15" t="n"/>
      <c r="AE117" s="15" t="n"/>
      <c r="AF117" s="285" t="n"/>
      <c r="AG117" s="15" t="n"/>
      <c r="AH117" s="15" t="n"/>
      <c r="AI117" s="285" t="n"/>
      <c r="AJ117" s="15" t="n"/>
      <c r="AK117" s="15" t="n"/>
      <c r="AL117" s="285" t="n"/>
      <c r="AM117" s="327" t="n"/>
      <c r="AN117" s="430" t="n"/>
      <c r="AO117" s="285" t="n"/>
      <c r="AP117" s="327" t="n"/>
      <c r="AQ117" s="430" t="n"/>
      <c r="AR117" s="285" t="n"/>
      <c r="AS117" s="327" t="n"/>
      <c r="AT117" s="430" t="n"/>
      <c r="AU117" s="285" t="n"/>
      <c r="AV117" s="327" t="n"/>
      <c r="AW117" s="430" t="n"/>
      <c r="AX117" s="285" t="n"/>
      <c r="AY117" s="15" t="n"/>
      <c r="AZ117" s="15" t="n"/>
      <c r="BA117" s="291" t="n"/>
      <c r="BB117" s="291" t="n"/>
      <c r="BC117" s="291" t="n"/>
      <c r="BD117" s="291" t="n"/>
      <c r="BE117" s="291" t="n"/>
      <c r="BF117" s="291" t="n"/>
      <c r="BG117" s="291" t="n"/>
      <c r="BH117" s="291" t="n"/>
      <c r="BI117" s="291" t="n"/>
      <c r="BJ117" s="291" t="n"/>
      <c r="BK117" s="288" t="n"/>
      <c r="BL117" s="291" t="n"/>
      <c r="BM117" s="291" t="n"/>
      <c r="BN117" s="291" t="n"/>
      <c r="BO117" s="291" t="n"/>
      <c r="BP117" s="291" t="n"/>
      <c r="BQ117" s="291" t="n"/>
      <c r="BR117" s="291" t="n"/>
      <c r="BS117" s="291" t="n"/>
      <c r="BT117" s="291" t="n"/>
      <c r="BU117" s="291" t="n"/>
      <c r="BV117" s="291" t="n"/>
      <c r="BW117" s="291" t="n"/>
      <c r="BX117" s="291" t="n"/>
      <c r="BY117" s="291" t="n"/>
      <c r="BZ117" s="291" t="n"/>
      <c r="CA117" s="291" t="n"/>
      <c r="CB117" s="291" t="n"/>
      <c r="CC117" s="291" t="n"/>
      <c r="CD117" s="291" t="n"/>
      <c r="CE117" s="291" t="n"/>
      <c r="CF117" s="291" t="n"/>
      <c r="CG117" s="291" t="n"/>
      <c r="CH117" s="291" t="n"/>
      <c r="CI117" s="291" t="n"/>
      <c r="CJ117" s="291" t="n"/>
      <c r="CK117" s="291" t="n"/>
      <c r="CL117" s="291" t="n"/>
      <c r="CM117" s="291" t="n"/>
      <c r="CN117" s="291" t="n"/>
      <c r="CW117" s="291" t="n"/>
      <c r="CX117" s="291" t="n"/>
      <c r="CY117" s="291" t="n"/>
      <c r="CZ117" s="291" t="n"/>
      <c r="DA117" s="291" t="n"/>
      <c r="DB117" s="291" t="n"/>
      <c r="DC117" s="291" t="n"/>
      <c r="DD117" s="291" t="n"/>
      <c r="DE117" s="311" t="n"/>
      <c r="DF117" s="311" t="n"/>
    </row>
    <row r="118" customFormat="1" s="40">
      <c r="A118" s="326" t="n"/>
      <c r="B118" s="285" t="n"/>
      <c r="C118" s="15" t="n"/>
      <c r="D118" s="15" t="n"/>
      <c r="E118" s="285" t="n"/>
      <c r="F118" s="15" t="n"/>
      <c r="G118" s="15" t="n"/>
      <c r="H118" s="285" t="n"/>
      <c r="I118" s="15" t="n"/>
      <c r="J118" s="15" t="n"/>
      <c r="K118" s="285" t="n"/>
      <c r="L118" s="15" t="n"/>
      <c r="M118" s="15" t="n"/>
      <c r="N118" s="285" t="n"/>
      <c r="O118" s="15" t="n"/>
      <c r="P118" s="15" t="n"/>
      <c r="Q118" s="285" t="n"/>
      <c r="R118" s="15" t="n"/>
      <c r="S118" s="15" t="n"/>
      <c r="T118" s="285" t="n"/>
      <c r="U118" s="15" t="n"/>
      <c r="V118" s="15" t="n"/>
      <c r="W118" s="285" t="n"/>
      <c r="X118" s="15" t="n"/>
      <c r="Y118" s="15" t="n"/>
      <c r="Z118" s="285" t="n"/>
      <c r="AA118" s="15" t="n"/>
      <c r="AB118" s="15" t="n"/>
      <c r="AC118" s="285" t="n"/>
      <c r="AD118" s="15" t="n"/>
      <c r="AE118" s="15" t="n"/>
      <c r="AF118" s="285" t="n"/>
      <c r="AG118" s="15" t="n"/>
      <c r="AH118" s="15" t="n"/>
      <c r="AI118" s="285" t="n"/>
      <c r="AJ118" s="15" t="n"/>
      <c r="AK118" s="15" t="n"/>
      <c r="AL118" s="285" t="n"/>
      <c r="AM118" s="327" t="n"/>
      <c r="AN118" s="430" t="n"/>
      <c r="AO118" s="285" t="n"/>
      <c r="AP118" s="327" t="n"/>
      <c r="AQ118" s="430" t="n"/>
      <c r="AR118" s="285" t="n"/>
      <c r="AS118" s="327" t="n"/>
      <c r="AT118" s="430" t="n"/>
      <c r="AU118" s="285" t="n"/>
      <c r="AV118" s="327" t="n"/>
      <c r="AW118" s="430" t="n"/>
      <c r="AX118" s="285" t="n"/>
      <c r="AY118" s="15" t="n"/>
      <c r="AZ118" s="15" t="n"/>
      <c r="BA118" s="291" t="n"/>
      <c r="BB118" s="291" t="n"/>
      <c r="BC118" s="291" t="n"/>
      <c r="BD118" s="291" t="n"/>
      <c r="BE118" s="291" t="n"/>
      <c r="BF118" s="291" t="n"/>
      <c r="BG118" s="291" t="n"/>
      <c r="BH118" s="291" t="n"/>
      <c r="BI118" s="291" t="n"/>
      <c r="BJ118" s="291" t="n"/>
      <c r="BK118" s="288" t="n"/>
      <c r="BL118" s="291" t="n"/>
      <c r="BM118" s="291" t="n"/>
      <c r="BN118" s="291" t="n"/>
      <c r="BO118" s="291" t="n"/>
      <c r="BP118" s="291" t="n"/>
      <c r="BQ118" s="291" t="n"/>
      <c r="BR118" s="291" t="n"/>
      <c r="BS118" s="291" t="n"/>
      <c r="BT118" s="291" t="n"/>
      <c r="BU118" s="291" t="n"/>
      <c r="BV118" s="291" t="n"/>
      <c r="BW118" s="291" t="n"/>
      <c r="BX118" s="291" t="n"/>
      <c r="BY118" s="291" t="n"/>
      <c r="BZ118" s="291" t="n"/>
      <c r="CA118" s="291" t="n"/>
      <c r="CB118" s="291" t="n"/>
      <c r="CC118" s="291" t="n"/>
      <c r="CD118" s="291" t="n"/>
      <c r="CE118" s="291" t="n"/>
      <c r="CF118" s="291" t="n"/>
      <c r="CG118" s="291" t="n"/>
      <c r="CH118" s="291" t="n"/>
      <c r="CI118" s="291" t="n"/>
      <c r="CJ118" s="291" t="n"/>
      <c r="CK118" s="291" t="n"/>
      <c r="CL118" s="291" t="n"/>
      <c r="CM118" s="291" t="n"/>
      <c r="CN118" s="291" t="n"/>
      <c r="CW118" s="291" t="n"/>
      <c r="CX118" s="291" t="n"/>
      <c r="CY118" s="291" t="n"/>
      <c r="CZ118" s="291" t="n"/>
      <c r="DA118" s="291" t="n"/>
      <c r="DB118" s="291" t="n"/>
      <c r="DC118" s="291" t="n"/>
      <c r="DD118" s="291" t="n"/>
      <c r="DE118" s="311" t="n"/>
      <c r="DF118" s="311" t="n"/>
    </row>
    <row r="119" customFormat="1" s="40">
      <c r="A119" s="326" t="n"/>
      <c r="B119" s="285" t="n"/>
      <c r="C119" s="15" t="n"/>
      <c r="D119" s="15" t="n"/>
      <c r="E119" s="285" t="n"/>
      <c r="F119" s="15" t="n"/>
      <c r="G119" s="15" t="n"/>
      <c r="H119" s="285" t="n"/>
      <c r="I119" s="15" t="n"/>
      <c r="J119" s="15" t="n"/>
      <c r="K119" s="285" t="n"/>
      <c r="L119" s="15" t="n"/>
      <c r="M119" s="15" t="n"/>
      <c r="N119" s="285" t="n"/>
      <c r="O119" s="15" t="n"/>
      <c r="P119" s="15" t="n"/>
      <c r="Q119" s="285" t="n"/>
      <c r="R119" s="15" t="n"/>
      <c r="S119" s="15" t="n"/>
      <c r="T119" s="285" t="n"/>
      <c r="U119" s="15" t="n"/>
      <c r="V119" s="15" t="n"/>
      <c r="W119" s="285" t="n"/>
      <c r="X119" s="15" t="n"/>
      <c r="Y119" s="15" t="n"/>
      <c r="Z119" s="285" t="n"/>
      <c r="AA119" s="15" t="n"/>
      <c r="AB119" s="15" t="n"/>
      <c r="AC119" s="285" t="n"/>
      <c r="AD119" s="15" t="n"/>
      <c r="AE119" s="15" t="n"/>
      <c r="AF119" s="285" t="n"/>
      <c r="AG119" s="15" t="n"/>
      <c r="AH119" s="15" t="n"/>
      <c r="AI119" s="285" t="n"/>
      <c r="AJ119" s="15" t="n"/>
      <c r="AK119" s="15" t="n"/>
      <c r="AL119" s="285" t="n"/>
      <c r="AM119" s="327" t="n"/>
      <c r="AN119" s="430" t="n"/>
      <c r="AO119" s="285" t="n"/>
      <c r="AP119" s="327" t="n"/>
      <c r="AQ119" s="430" t="n"/>
      <c r="AR119" s="285" t="n"/>
      <c r="AS119" s="327" t="n"/>
      <c r="AT119" s="430" t="n"/>
      <c r="AU119" s="285" t="n"/>
      <c r="AV119" s="327" t="n"/>
      <c r="AW119" s="430" t="n"/>
      <c r="AX119" s="285" t="n"/>
      <c r="AY119" s="15" t="n"/>
      <c r="AZ119" s="15" t="n"/>
      <c r="BA119" s="291" t="n"/>
      <c r="BB119" s="291" t="n"/>
      <c r="BC119" s="291" t="n"/>
      <c r="BD119" s="291" t="n"/>
      <c r="BE119" s="291" t="n"/>
      <c r="BF119" s="291" t="n"/>
      <c r="BG119" s="291" t="n"/>
      <c r="BH119" s="291" t="n"/>
      <c r="BI119" s="291" t="n"/>
      <c r="BJ119" s="291" t="n"/>
      <c r="BK119" s="288" t="n"/>
      <c r="BL119" s="291" t="n"/>
      <c r="BM119" s="291" t="n"/>
      <c r="BN119" s="291" t="n"/>
      <c r="BO119" s="291" t="n"/>
      <c r="BP119" s="291" t="n"/>
      <c r="BQ119" s="291" t="n"/>
      <c r="BR119" s="291" t="n"/>
      <c r="BS119" s="291" t="n"/>
      <c r="BT119" s="291" t="n"/>
      <c r="BU119" s="291" t="n"/>
      <c r="BV119" s="291" t="n"/>
      <c r="BW119" s="291" t="n"/>
      <c r="BX119" s="291" t="n"/>
      <c r="BY119" s="291" t="n"/>
      <c r="BZ119" s="291" t="n"/>
      <c r="CA119" s="291" t="n"/>
      <c r="CB119" s="291" t="n"/>
      <c r="CC119" s="291" t="n"/>
      <c r="CD119" s="291" t="n"/>
      <c r="CE119" s="291" t="n"/>
      <c r="CF119" s="291" t="n"/>
      <c r="CG119" s="291" t="n"/>
      <c r="CH119" s="291" t="n"/>
      <c r="CI119" s="291" t="n"/>
      <c r="CJ119" s="291" t="n"/>
      <c r="CK119" s="291" t="n"/>
      <c r="CL119" s="291" t="n"/>
      <c r="CM119" s="291" t="n"/>
      <c r="CN119" s="291" t="n"/>
      <c r="CW119" s="291" t="n"/>
      <c r="CX119" s="291" t="n"/>
      <c r="CY119" s="291" t="n"/>
      <c r="CZ119" s="291" t="n"/>
      <c r="DA119" s="291" t="n"/>
      <c r="DB119" s="291" t="n"/>
      <c r="DC119" s="291" t="n"/>
      <c r="DD119" s="291" t="n"/>
      <c r="DE119" s="311" t="n"/>
      <c r="DF119" s="311" t="n"/>
    </row>
    <row r="120" customFormat="1" s="40">
      <c r="A120" s="326" t="n"/>
      <c r="B120" s="285" t="n"/>
      <c r="C120" s="15" t="n"/>
      <c r="D120" s="15" t="n"/>
      <c r="E120" s="285" t="n"/>
      <c r="F120" s="15" t="n"/>
      <c r="G120" s="15" t="n"/>
      <c r="H120" s="285" t="n"/>
      <c r="I120" s="15" t="n"/>
      <c r="J120" s="15" t="n"/>
      <c r="K120" s="285" t="n"/>
      <c r="L120" s="15" t="n"/>
      <c r="M120" s="15" t="n"/>
      <c r="N120" s="285" t="n"/>
      <c r="O120" s="15" t="n"/>
      <c r="P120" s="15" t="n"/>
      <c r="Q120" s="285" t="n"/>
      <c r="R120" s="15" t="n"/>
      <c r="S120" s="15" t="n"/>
      <c r="T120" s="285" t="n"/>
      <c r="U120" s="15" t="n"/>
      <c r="V120" s="15" t="n"/>
      <c r="W120" s="285" t="n"/>
      <c r="X120" s="15" t="n"/>
      <c r="Y120" s="15" t="n"/>
      <c r="Z120" s="285" t="n"/>
      <c r="AA120" s="15" t="n"/>
      <c r="AB120" s="15" t="n"/>
      <c r="AC120" s="285" t="n"/>
      <c r="AD120" s="15" t="n"/>
      <c r="AE120" s="15" t="n"/>
      <c r="AF120" s="285" t="n"/>
      <c r="AG120" s="15" t="n"/>
      <c r="AH120" s="15" t="n"/>
      <c r="AI120" s="285" t="n"/>
      <c r="AJ120" s="15" t="n"/>
      <c r="AK120" s="15" t="n"/>
      <c r="AL120" s="285" t="n"/>
      <c r="AM120" s="327" t="n"/>
      <c r="AN120" s="430" t="n"/>
      <c r="AO120" s="285" t="n"/>
      <c r="AP120" s="327" t="n"/>
      <c r="AQ120" s="430" t="n"/>
      <c r="AR120" s="285" t="n"/>
      <c r="AS120" s="327" t="n"/>
      <c r="AT120" s="430" t="n"/>
      <c r="AU120" s="285" t="n"/>
      <c r="AV120" s="327" t="n"/>
      <c r="AW120" s="430" t="n"/>
      <c r="AX120" s="285" t="n"/>
      <c r="AY120" s="15" t="n"/>
      <c r="AZ120" s="15" t="n"/>
      <c r="BA120" s="291" t="n"/>
      <c r="BB120" s="291" t="n"/>
      <c r="BC120" s="291" t="n"/>
      <c r="BD120" s="291" t="n"/>
      <c r="BE120" s="291" t="n"/>
      <c r="BF120" s="291" t="n"/>
      <c r="BG120" s="291" t="n"/>
      <c r="BH120" s="291" t="n"/>
      <c r="BI120" s="291" t="n"/>
      <c r="BJ120" s="291" t="n"/>
      <c r="BK120" s="288" t="n"/>
      <c r="BL120" s="291" t="n"/>
      <c r="BM120" s="291" t="n"/>
      <c r="BN120" s="291" t="n"/>
      <c r="BO120" s="291" t="n"/>
      <c r="BP120" s="291" t="n"/>
      <c r="BQ120" s="291" t="n"/>
      <c r="BR120" s="291" t="n"/>
      <c r="BS120" s="291" t="n"/>
      <c r="BT120" s="291" t="n"/>
      <c r="BU120" s="291" t="n"/>
      <c r="BV120" s="291" t="n"/>
      <c r="BW120" s="291" t="n"/>
      <c r="BX120" s="291" t="n"/>
      <c r="BY120" s="291" t="n"/>
      <c r="BZ120" s="291" t="n"/>
      <c r="CA120" s="291" t="n"/>
      <c r="CB120" s="291" t="n"/>
      <c r="CC120" s="291" t="n"/>
      <c r="CD120" s="291" t="n"/>
      <c r="CE120" s="291" t="n"/>
      <c r="CF120" s="291" t="n"/>
      <c r="CG120" s="291" t="n"/>
      <c r="CH120" s="291" t="n"/>
      <c r="CI120" s="291" t="n"/>
      <c r="CJ120" s="291" t="n"/>
      <c r="CK120" s="291" t="n"/>
      <c r="CL120" s="291" t="n"/>
      <c r="CM120" s="291" t="n"/>
      <c r="CN120" s="291" t="n"/>
      <c r="CW120" s="291" t="n"/>
      <c r="CX120" s="291" t="n"/>
      <c r="CY120" s="291" t="n"/>
      <c r="CZ120" s="291" t="n"/>
      <c r="DA120" s="291" t="n"/>
      <c r="DB120" s="291" t="n"/>
      <c r="DC120" s="291" t="n"/>
      <c r="DD120" s="291" t="n"/>
      <c r="DE120" s="311" t="n"/>
      <c r="DF120" s="311" t="n"/>
    </row>
    <row r="121" customFormat="1" s="40">
      <c r="A121" s="326" t="n"/>
      <c r="B121" s="28" t="n"/>
      <c r="C121" s="15" t="n"/>
      <c r="D121" s="15" t="n"/>
      <c r="E121" s="28" t="n"/>
      <c r="F121" s="15" t="n"/>
      <c r="G121" s="15" t="n"/>
      <c r="H121" s="28" t="n"/>
      <c r="I121" s="15" t="n"/>
      <c r="J121" s="15" t="n"/>
      <c r="K121" s="28" t="n"/>
      <c r="L121" s="15" t="n"/>
      <c r="M121" s="15" t="n"/>
      <c r="N121" s="28" t="n"/>
      <c r="O121" s="15" t="n"/>
      <c r="P121" s="15" t="n"/>
      <c r="Q121" s="28" t="n"/>
      <c r="R121" s="15" t="n"/>
      <c r="S121" s="15" t="n"/>
      <c r="T121" s="28" t="n"/>
      <c r="U121" s="15" t="n"/>
      <c r="V121" s="15" t="n"/>
      <c r="W121" s="28" t="n"/>
      <c r="X121" s="15" t="n"/>
      <c r="Y121" s="15" t="n"/>
      <c r="Z121" s="28" t="n"/>
      <c r="AA121" s="15" t="n"/>
      <c r="AB121" s="15" t="n"/>
      <c r="AC121" s="28" t="n"/>
      <c r="AD121" s="15" t="n"/>
      <c r="AE121" s="15" t="n"/>
      <c r="AF121" s="28" t="n"/>
      <c r="AG121" s="15" t="n"/>
      <c r="AH121" s="15" t="n"/>
      <c r="AI121" s="28" t="n"/>
      <c r="AJ121" s="15" t="n"/>
      <c r="AK121" s="15" t="n"/>
      <c r="AL121" s="28" t="n"/>
      <c r="AM121" s="327" t="n"/>
      <c r="AN121" s="430" t="n"/>
      <c r="AO121" s="28" t="n"/>
      <c r="AP121" s="327" t="n"/>
      <c r="AQ121" s="430" t="n"/>
      <c r="AR121" s="28" t="n"/>
      <c r="AS121" s="327" t="n"/>
      <c r="AT121" s="430" t="n"/>
      <c r="AU121" s="28" t="n"/>
      <c r="AV121" s="327" t="n"/>
      <c r="AW121" s="430" t="n"/>
      <c r="AX121" s="28" t="n"/>
      <c r="AY121" s="15" t="n"/>
      <c r="AZ121" s="15" t="n"/>
      <c r="BA121" s="291" t="n"/>
      <c r="BB121" s="291" t="n"/>
      <c r="BC121" s="291" t="n"/>
      <c r="BD121" s="291" t="n"/>
      <c r="BE121" s="291" t="n"/>
      <c r="BF121" s="291" t="n"/>
      <c r="BG121" s="291" t="n"/>
      <c r="BH121" s="291" t="n"/>
      <c r="BI121" s="291" t="n"/>
      <c r="BJ121" s="291" t="n"/>
      <c r="BK121" s="288" t="n"/>
      <c r="BL121" s="291" t="n"/>
      <c r="BM121" s="291" t="n"/>
      <c r="BN121" s="291" t="n"/>
      <c r="BO121" s="291" t="n"/>
      <c r="BP121" s="291" t="n"/>
      <c r="BQ121" s="291" t="n"/>
      <c r="BR121" s="291" t="n"/>
      <c r="BS121" s="291" t="n"/>
      <c r="BT121" s="291" t="n"/>
      <c r="BU121" s="291" t="n"/>
      <c r="BV121" s="291" t="n"/>
      <c r="BW121" s="291" t="n"/>
      <c r="BX121" s="291" t="n"/>
      <c r="BY121" s="291" t="n"/>
      <c r="BZ121" s="291" t="n"/>
      <c r="CA121" s="291" t="n"/>
      <c r="CB121" s="291" t="n"/>
      <c r="CC121" s="291" t="n"/>
      <c r="CD121" s="291" t="n"/>
      <c r="CE121" s="291" t="n"/>
      <c r="CF121" s="291" t="n"/>
      <c r="CG121" s="291" t="n"/>
      <c r="CH121" s="291" t="n"/>
      <c r="CI121" s="291" t="n"/>
      <c r="CJ121" s="291" t="n"/>
      <c r="CK121" s="291" t="n"/>
      <c r="CL121" s="291" t="n"/>
      <c r="CM121" s="291" t="n"/>
      <c r="CN121" s="291" t="n"/>
      <c r="CW121" s="291" t="n"/>
      <c r="CX121" s="291" t="n"/>
      <c r="CY121" s="291" t="n"/>
      <c r="CZ121" s="291" t="n"/>
      <c r="DA121" s="291" t="n"/>
      <c r="DB121" s="291" t="n"/>
      <c r="DC121" s="291" t="n"/>
      <c r="DD121" s="291" t="n"/>
      <c r="DE121" s="311" t="n"/>
      <c r="DF121" s="311" t="n"/>
    </row>
    <row r="122" customFormat="1" s="40">
      <c r="A122" s="326" t="n"/>
      <c r="B122" s="285" t="n"/>
      <c r="C122" s="15" t="n"/>
      <c r="D122" s="15" t="n"/>
      <c r="E122" s="285" t="n"/>
      <c r="F122" s="15" t="n"/>
      <c r="G122" s="15" t="n"/>
      <c r="H122" s="285" t="n"/>
      <c r="I122" s="15" t="n"/>
      <c r="J122" s="15" t="n"/>
      <c r="K122" s="285" t="n"/>
      <c r="L122" s="15" t="n"/>
      <c r="M122" s="15" t="n"/>
      <c r="N122" s="285" t="n"/>
      <c r="O122" s="15" t="n"/>
      <c r="P122" s="15" t="n"/>
      <c r="Q122" s="285" t="n"/>
      <c r="R122" s="15" t="n"/>
      <c r="S122" s="15" t="n"/>
      <c r="T122" s="285" t="n"/>
      <c r="U122" s="15" t="n"/>
      <c r="V122" s="15" t="n"/>
      <c r="W122" s="285" t="n"/>
      <c r="X122" s="15" t="n"/>
      <c r="Y122" s="15" t="n"/>
      <c r="Z122" s="285" t="n"/>
      <c r="AA122" s="15" t="n"/>
      <c r="AB122" s="15" t="n"/>
      <c r="AC122" s="285" t="n"/>
      <c r="AD122" s="15" t="n"/>
      <c r="AE122" s="15" t="n"/>
      <c r="AF122" s="285" t="n"/>
      <c r="AG122" s="15" t="n"/>
      <c r="AH122" s="15" t="n"/>
      <c r="AI122" s="285" t="n"/>
      <c r="AJ122" s="15" t="n"/>
      <c r="AK122" s="15" t="n"/>
      <c r="AL122" s="285" t="n"/>
      <c r="AM122" s="327" t="n"/>
      <c r="AN122" s="430" t="n"/>
      <c r="AO122" s="285" t="n"/>
      <c r="AP122" s="327" t="n"/>
      <c r="AQ122" s="430" t="n"/>
      <c r="AR122" s="285" t="n"/>
      <c r="AS122" s="327" t="n"/>
      <c r="AT122" s="430" t="n"/>
      <c r="AU122" s="285" t="n"/>
      <c r="AV122" s="327" t="n"/>
      <c r="AW122" s="430" t="n"/>
      <c r="AX122" s="285" t="n"/>
      <c r="AY122" s="15" t="n"/>
      <c r="AZ122" s="15" t="n"/>
      <c r="BA122" s="291" t="n"/>
      <c r="BB122" s="291" t="n"/>
      <c r="BC122" s="291" t="n"/>
      <c r="BD122" s="291" t="n"/>
      <c r="BE122" s="291" t="n"/>
      <c r="BF122" s="291" t="n"/>
      <c r="BG122" s="291" t="n"/>
      <c r="BH122" s="291" t="n"/>
      <c r="BI122" s="291" t="n"/>
      <c r="BJ122" s="291" t="n"/>
      <c r="BK122" s="288" t="n"/>
      <c r="BL122" s="291" t="n"/>
      <c r="BM122" s="291" t="n"/>
      <c r="BN122" s="291" t="n"/>
      <c r="BO122" s="291" t="n"/>
      <c r="BP122" s="291" t="n"/>
      <c r="BQ122" s="291" t="n"/>
      <c r="BR122" s="291" t="n"/>
      <c r="BS122" s="291" t="n"/>
      <c r="BT122" s="291" t="n"/>
      <c r="BU122" s="291" t="n"/>
      <c r="BV122" s="291" t="n"/>
      <c r="BW122" s="291" t="n"/>
      <c r="BX122" s="291" t="n"/>
      <c r="BY122" s="291" t="n"/>
      <c r="BZ122" s="291" t="n"/>
      <c r="CA122" s="291" t="n"/>
      <c r="CB122" s="291" t="n"/>
      <c r="CC122" s="291" t="n"/>
      <c r="CD122" s="291" t="n"/>
      <c r="CE122" s="291" t="n"/>
      <c r="CF122" s="291" t="n"/>
      <c r="CG122" s="291" t="n"/>
      <c r="CH122" s="291" t="n"/>
      <c r="CI122" s="291" t="n"/>
      <c r="CJ122" s="291" t="n"/>
      <c r="CK122" s="291" t="n"/>
      <c r="CL122" s="291" t="n"/>
      <c r="CM122" s="291" t="n"/>
      <c r="CN122" s="291" t="n"/>
      <c r="CW122" s="291" t="n"/>
      <c r="CX122" s="291" t="n"/>
      <c r="CY122" s="291" t="n"/>
      <c r="CZ122" s="291" t="n"/>
      <c r="DA122" s="291" t="n"/>
      <c r="DB122" s="291" t="n"/>
      <c r="DC122" s="291" t="n"/>
      <c r="DD122" s="291" t="n"/>
      <c r="DE122" s="311" t="n"/>
      <c r="DF122" s="311" t="n"/>
    </row>
    <row r="123" customFormat="1" s="116">
      <c r="A123" s="326" t="n"/>
      <c r="B123" s="315" t="n"/>
      <c r="C123" s="15" t="n"/>
      <c r="D123" s="15" t="n"/>
      <c r="E123" s="315" t="n"/>
      <c r="F123" s="15" t="n"/>
      <c r="G123" s="15" t="n"/>
      <c r="H123" s="315" t="n"/>
      <c r="I123" s="15" t="n"/>
      <c r="J123" s="15" t="n"/>
      <c r="K123" s="315" t="n"/>
      <c r="L123" s="15" t="n"/>
      <c r="M123" s="15" t="n"/>
      <c r="N123" s="315" t="n"/>
      <c r="O123" s="15" t="n"/>
      <c r="P123" s="15" t="n"/>
      <c r="Q123" s="315" t="n"/>
      <c r="R123" s="15" t="n"/>
      <c r="S123" s="15" t="n"/>
      <c r="T123" s="315" t="n"/>
      <c r="U123" s="15" t="n"/>
      <c r="V123" s="15" t="n"/>
      <c r="W123" s="315" t="n"/>
      <c r="X123" s="15" t="n"/>
      <c r="Y123" s="15" t="n"/>
      <c r="Z123" s="315" t="n"/>
      <c r="AA123" s="15" t="n"/>
      <c r="AB123" s="15" t="n"/>
      <c r="AC123" s="315" t="n"/>
      <c r="AD123" s="15" t="n"/>
      <c r="AE123" s="15" t="n"/>
      <c r="AF123" s="315" t="n"/>
      <c r="AG123" s="15" t="n"/>
      <c r="AH123" s="15" t="n"/>
      <c r="AI123" s="315" t="n"/>
      <c r="AJ123" s="15" t="n"/>
      <c r="AK123" s="15" t="n"/>
      <c r="AL123" s="315" t="n"/>
      <c r="AM123" s="327" t="n"/>
      <c r="AN123" s="430" t="n"/>
      <c r="AO123" s="315" t="n"/>
      <c r="AP123" s="327" t="n"/>
      <c r="AQ123" s="430" t="n"/>
      <c r="AR123" s="315" t="n"/>
      <c r="AS123" s="327" t="n"/>
      <c r="AT123" s="430" t="n"/>
      <c r="AU123" s="315" t="n"/>
      <c r="AV123" s="327" t="n"/>
      <c r="AW123" s="430" t="n"/>
      <c r="AX123" s="315" t="n"/>
      <c r="AY123" s="15" t="n"/>
      <c r="AZ123" s="15" t="n"/>
      <c r="BA123" s="317" t="n"/>
      <c r="BB123" s="317" t="n"/>
      <c r="BC123" s="317" t="n"/>
      <c r="BD123" s="317" t="n"/>
      <c r="BE123" s="317" t="n"/>
      <c r="BF123" s="317" t="n"/>
      <c r="BG123" s="317" t="n"/>
      <c r="BH123" s="317" t="n"/>
      <c r="BI123" s="317" t="n"/>
      <c r="BJ123" s="317" t="n"/>
      <c r="BK123" s="318" t="n"/>
      <c r="BL123" s="317" t="n"/>
      <c r="BM123" s="317" t="n"/>
      <c r="BN123" s="317" t="n"/>
      <c r="BO123" s="317" t="n"/>
      <c r="BP123" s="317" t="n"/>
      <c r="BQ123" s="317" t="n"/>
      <c r="BR123" s="317" t="n"/>
      <c r="BS123" s="317" t="n"/>
      <c r="BT123" s="317" t="n"/>
      <c r="BU123" s="317" t="n"/>
      <c r="BV123" s="317" t="n"/>
      <c r="BW123" s="317" t="n"/>
      <c r="BX123" s="317" t="n"/>
      <c r="BY123" s="317" t="n"/>
      <c r="BZ123" s="317" t="n"/>
      <c r="CA123" s="317" t="n"/>
      <c r="CB123" s="317" t="n"/>
      <c r="CC123" s="317" t="n"/>
      <c r="CD123" s="317" t="n"/>
      <c r="CE123" s="317" t="n"/>
      <c r="CF123" s="317" t="n"/>
      <c r="CG123" s="317" t="n"/>
      <c r="CH123" s="317" t="n"/>
      <c r="CI123" s="317" t="n"/>
      <c r="CJ123" s="317" t="n"/>
      <c r="CK123" s="317" t="n"/>
      <c r="CL123" s="317" t="n"/>
      <c r="CM123" s="317" t="n"/>
      <c r="CN123" s="317" t="n"/>
      <c r="CW123" s="317" t="n"/>
      <c r="CX123" s="317" t="n"/>
      <c r="CY123" s="317" t="n"/>
      <c r="CZ123" s="317" t="n"/>
      <c r="DA123" s="317" t="n"/>
      <c r="DB123" s="317" t="n"/>
      <c r="DC123" s="317" t="n"/>
      <c r="DD123" s="317" t="n"/>
      <c r="DE123" s="319" t="n"/>
      <c r="DF123" s="319" t="n"/>
    </row>
    <row r="124" customFormat="1" s="40">
      <c r="A124" s="330" t="n"/>
      <c r="B124" s="320" t="n"/>
      <c r="C124" s="15" t="n"/>
      <c r="D124" s="15" t="n"/>
      <c r="E124" s="320" t="n"/>
      <c r="F124" s="15" t="n"/>
      <c r="G124" s="15" t="n"/>
      <c r="H124" s="320" t="n"/>
      <c r="I124" s="15" t="n"/>
      <c r="J124" s="15" t="n"/>
      <c r="K124" s="320" t="n"/>
      <c r="L124" s="15" t="n"/>
      <c r="M124" s="15" t="n"/>
      <c r="N124" s="320" t="n"/>
      <c r="O124" s="15" t="n"/>
      <c r="P124" s="15" t="n"/>
      <c r="Q124" s="320" t="n"/>
      <c r="R124" s="15" t="n"/>
      <c r="S124" s="15" t="n"/>
      <c r="T124" s="320" t="n"/>
      <c r="U124" s="15" t="n"/>
      <c r="V124" s="15" t="n"/>
      <c r="W124" s="320" t="n"/>
      <c r="X124" s="15" t="n"/>
      <c r="Y124" s="15" t="n"/>
      <c r="Z124" s="320" t="n"/>
      <c r="AA124" s="15" t="n"/>
      <c r="AB124" s="15" t="n"/>
      <c r="AC124" s="320" t="n"/>
      <c r="AD124" s="15" t="n"/>
      <c r="AE124" s="15" t="n"/>
      <c r="AF124" s="320" t="n"/>
      <c r="AG124" s="15" t="n"/>
      <c r="AH124" s="15" t="n"/>
      <c r="AI124" s="320" t="n"/>
      <c r="AJ124" s="15" t="n"/>
      <c r="AK124" s="15" t="n"/>
      <c r="AL124" s="320" t="n"/>
      <c r="AM124" s="327" t="n"/>
      <c r="AN124" s="31" t="n"/>
      <c r="AO124" s="320" t="n"/>
      <c r="AP124" s="327" t="n"/>
      <c r="AQ124" s="31" t="n"/>
      <c r="AR124" s="320" t="n"/>
      <c r="AS124" s="327" t="n"/>
      <c r="AT124" s="31" t="n"/>
      <c r="AU124" s="320" t="n"/>
      <c r="AV124" s="327" t="n"/>
      <c r="AW124" s="31" t="n"/>
      <c r="AX124" s="320" t="n"/>
      <c r="AY124" s="15" t="n"/>
      <c r="AZ124" s="15" t="n"/>
      <c r="BA124" s="291" t="n"/>
      <c r="BB124" s="291" t="n"/>
      <c r="BC124" s="291" t="n"/>
      <c r="BD124" s="291" t="n"/>
      <c r="BE124" s="291" t="n"/>
      <c r="BF124" s="291" t="n"/>
      <c r="BG124" s="291" t="n"/>
      <c r="BH124" s="291" t="n"/>
      <c r="BI124" s="291" t="n"/>
      <c r="BJ124" s="291" t="n"/>
      <c r="BK124" s="288" t="n"/>
      <c r="BL124" s="291" t="n"/>
      <c r="BM124" s="291" t="n"/>
      <c r="BN124" s="291" t="n"/>
      <c r="BO124" s="291" t="n"/>
      <c r="BP124" s="291" t="n"/>
      <c r="BQ124" s="291" t="n"/>
      <c r="BR124" s="291" t="n"/>
      <c r="BS124" s="291" t="n"/>
      <c r="BT124" s="291" t="n"/>
      <c r="BU124" s="291" t="n"/>
      <c r="BV124" s="291" t="n"/>
      <c r="BW124" s="291" t="n"/>
      <c r="BX124" s="291" t="n"/>
      <c r="BY124" s="291" t="n"/>
      <c r="BZ124" s="291" t="n"/>
      <c r="CA124" s="291" t="n"/>
      <c r="CB124" s="291" t="n"/>
      <c r="CC124" s="291" t="n"/>
      <c r="CD124" s="291" t="n"/>
      <c r="CE124" s="291" t="n"/>
      <c r="CF124" s="291" t="n"/>
      <c r="CG124" s="291" t="n"/>
      <c r="CH124" s="291" t="n"/>
      <c r="CI124" s="291" t="n"/>
      <c r="CJ124" s="291" t="n"/>
      <c r="CK124" s="291" t="n"/>
      <c r="CL124" s="291" t="n"/>
      <c r="CM124" s="291" t="n"/>
      <c r="CN124" s="291" t="n"/>
      <c r="CW124" s="291" t="n"/>
      <c r="CX124" s="291" t="n"/>
      <c r="CY124" s="291" t="n"/>
      <c r="CZ124" s="291" t="n"/>
      <c r="DA124" s="291" t="n"/>
      <c r="DB124" s="291" t="n"/>
      <c r="DC124" s="291" t="n"/>
      <c r="DD124" s="291" t="n"/>
      <c r="DE124" s="311" t="n"/>
      <c r="DF124" s="311" t="n"/>
    </row>
    <row r="125" customFormat="1" s="40">
      <c r="A125" s="326" t="n"/>
      <c r="B125" s="28" t="n"/>
      <c r="C125" s="15" t="n"/>
      <c r="D125" s="15" t="n"/>
      <c r="E125" s="28" t="n"/>
      <c r="F125" s="15" t="n"/>
      <c r="G125" s="15" t="n"/>
      <c r="H125" s="28" t="n"/>
      <c r="I125" s="15" t="n"/>
      <c r="J125" s="15" t="n"/>
      <c r="K125" s="28" t="n"/>
      <c r="L125" s="15" t="n"/>
      <c r="M125" s="15" t="n"/>
      <c r="N125" s="28" t="n"/>
      <c r="O125" s="15" t="n"/>
      <c r="P125" s="15" t="n"/>
      <c r="Q125" s="28" t="n"/>
      <c r="R125" s="15" t="n"/>
      <c r="S125" s="15" t="n"/>
      <c r="T125" s="28" t="n"/>
      <c r="U125" s="15" t="n"/>
      <c r="V125" s="15" t="n"/>
      <c r="W125" s="28" t="n"/>
      <c r="X125" s="15" t="n"/>
      <c r="Y125" s="15" t="n"/>
      <c r="Z125" s="28" t="n"/>
      <c r="AA125" s="15" t="n"/>
      <c r="AB125" s="15" t="n"/>
      <c r="AC125" s="28" t="n"/>
      <c r="AD125" s="15" t="n"/>
      <c r="AE125" s="15" t="n"/>
      <c r="AF125" s="28" t="n"/>
      <c r="AG125" s="15" t="n"/>
      <c r="AH125" s="15" t="n"/>
      <c r="AI125" s="28" t="n"/>
      <c r="AJ125" s="15" t="n"/>
      <c r="AK125" s="15" t="n"/>
      <c r="AL125" s="28" t="n"/>
      <c r="AM125" s="327" t="n"/>
      <c r="AN125" s="31" t="n"/>
      <c r="AO125" s="28" t="n"/>
      <c r="AP125" s="327" t="n"/>
      <c r="AQ125" s="31" t="n"/>
      <c r="AR125" s="28" t="n"/>
      <c r="AS125" s="327" t="n"/>
      <c r="AT125" s="31" t="n"/>
      <c r="AU125" s="28" t="n"/>
      <c r="AV125" s="327" t="n"/>
      <c r="AW125" s="31" t="n"/>
      <c r="AX125" s="28" t="n"/>
      <c r="AY125" s="15" t="n"/>
      <c r="AZ125" s="15" t="n"/>
      <c r="BA125" s="291" t="n"/>
      <c r="BB125" s="291" t="n"/>
      <c r="BC125" s="291" t="n"/>
      <c r="BD125" s="291" t="n"/>
      <c r="BE125" s="291" t="n"/>
      <c r="BF125" s="291" t="n"/>
      <c r="BG125" s="291" t="n"/>
      <c r="BH125" s="291" t="n"/>
      <c r="BI125" s="291" t="n"/>
      <c r="BJ125" s="291" t="n"/>
      <c r="BK125" s="288" t="n"/>
      <c r="BL125" s="291" t="n"/>
      <c r="BM125" s="291" t="n"/>
      <c r="BN125" s="291" t="n"/>
      <c r="BO125" s="291" t="n"/>
      <c r="BP125" s="291" t="n"/>
      <c r="BQ125" s="291" t="n"/>
      <c r="BR125" s="291" t="n"/>
      <c r="BS125" s="291" t="n"/>
      <c r="BT125" s="291" t="n"/>
      <c r="BU125" s="291" t="n"/>
      <c r="BV125" s="291" t="n"/>
      <c r="BW125" s="291" t="n"/>
      <c r="BX125" s="291" t="n"/>
      <c r="BY125" s="291" t="n"/>
      <c r="BZ125" s="291" t="n"/>
      <c r="CA125" s="291" t="n"/>
      <c r="CB125" s="291" t="n"/>
      <c r="CC125" s="291" t="n"/>
      <c r="CD125" s="291" t="n"/>
      <c r="CE125" s="291" t="n"/>
      <c r="CF125" s="291" t="n"/>
      <c r="CG125" s="291" t="n"/>
      <c r="CH125" s="291" t="n"/>
      <c r="CI125" s="291" t="n"/>
      <c r="CJ125" s="291" t="n"/>
      <c r="CK125" s="291" t="n"/>
      <c r="CL125" s="291" t="n"/>
      <c r="CM125" s="291" t="n"/>
      <c r="CN125" s="291" t="n"/>
      <c r="CW125" s="291" t="n"/>
      <c r="CX125" s="291" t="n"/>
      <c r="CY125" s="291" t="n"/>
      <c r="CZ125" s="291" t="n"/>
      <c r="DA125" s="291" t="n"/>
      <c r="DB125" s="291" t="n"/>
      <c r="DC125" s="291" t="n"/>
      <c r="DD125" s="291" t="n"/>
      <c r="DE125" s="311" t="n"/>
      <c r="DF125" s="311" t="n"/>
    </row>
    <row r="126" customFormat="1" s="40">
      <c r="A126" s="326" t="n"/>
      <c r="B126" s="28" t="n"/>
      <c r="C126" s="15" t="n"/>
      <c r="D126" s="15" t="n"/>
      <c r="E126" s="28" t="n"/>
      <c r="F126" s="15" t="n"/>
      <c r="G126" s="15" t="n"/>
      <c r="H126" s="28" t="n"/>
      <c r="I126" s="15" t="n"/>
      <c r="J126" s="15" t="n"/>
      <c r="K126" s="28" t="n"/>
      <c r="L126" s="15" t="n"/>
      <c r="M126" s="15" t="n"/>
      <c r="N126" s="28" t="n"/>
      <c r="O126" s="15" t="n"/>
      <c r="P126" s="15" t="n"/>
      <c r="Q126" s="28" t="n"/>
      <c r="R126" s="15" t="n"/>
      <c r="S126" s="15" t="n"/>
      <c r="T126" s="28" t="n"/>
      <c r="U126" s="15" t="n"/>
      <c r="V126" s="15" t="n"/>
      <c r="W126" s="28" t="n"/>
      <c r="X126" s="15" t="n"/>
      <c r="Y126" s="15" t="n"/>
      <c r="Z126" s="28" t="n"/>
      <c r="AA126" s="15" t="n"/>
      <c r="AB126" s="15" t="n"/>
      <c r="AC126" s="28" t="n"/>
      <c r="AD126" s="15" t="n"/>
      <c r="AE126" s="15" t="n"/>
      <c r="AF126" s="28" t="n"/>
      <c r="AG126" s="15" t="n"/>
      <c r="AH126" s="15" t="n"/>
      <c r="AI126" s="28" t="n"/>
      <c r="AJ126" s="15" t="n"/>
      <c r="AK126" s="15" t="n"/>
      <c r="AL126" s="28" t="n"/>
      <c r="AM126" s="327" t="n"/>
      <c r="AN126" s="31" t="n"/>
      <c r="AO126" s="28" t="n"/>
      <c r="AP126" s="327" t="n"/>
      <c r="AQ126" s="31" t="n"/>
      <c r="AR126" s="28" t="n"/>
      <c r="AS126" s="327" t="n"/>
      <c r="AT126" s="31" t="n"/>
      <c r="AU126" s="28" t="n"/>
      <c r="AV126" s="327" t="n"/>
      <c r="AW126" s="31" t="n"/>
      <c r="AX126" s="28" t="n"/>
      <c r="AY126" s="15" t="n"/>
      <c r="AZ126" s="15" t="n"/>
      <c r="BA126" s="291" t="n"/>
      <c r="BB126" s="291" t="n"/>
      <c r="BC126" s="291" t="n"/>
      <c r="BD126" s="291" t="n"/>
      <c r="BE126" s="291" t="n"/>
      <c r="BF126" s="291" t="n"/>
      <c r="BG126" s="291" t="n"/>
      <c r="BH126" s="291" t="n"/>
      <c r="BI126" s="291" t="n"/>
      <c r="BJ126" s="291" t="n"/>
      <c r="BK126" s="288" t="n"/>
      <c r="BL126" s="291" t="n"/>
      <c r="BM126" s="291" t="n"/>
      <c r="BN126" s="291" t="n"/>
      <c r="BO126" s="291" t="n"/>
      <c r="BP126" s="291" t="n"/>
      <c r="BQ126" s="291" t="n"/>
      <c r="BR126" s="291" t="n"/>
      <c r="BS126" s="291" t="n"/>
      <c r="BT126" s="291" t="n"/>
      <c r="BU126" s="291" t="n"/>
      <c r="BV126" s="291" t="n"/>
      <c r="BW126" s="291" t="n"/>
      <c r="BX126" s="291" t="n"/>
      <c r="BY126" s="291" t="n"/>
      <c r="BZ126" s="291" t="n"/>
      <c r="CA126" s="291" t="n"/>
      <c r="CB126" s="291" t="n"/>
      <c r="CC126" s="291" t="n"/>
      <c r="CD126" s="291" t="n"/>
      <c r="CE126" s="291" t="n"/>
      <c r="CF126" s="291" t="n"/>
      <c r="CG126" s="291" t="n"/>
      <c r="CH126" s="291" t="n"/>
      <c r="CI126" s="291" t="n"/>
      <c r="CJ126" s="291" t="n"/>
      <c r="CK126" s="291" t="n"/>
      <c r="CL126" s="291" t="n"/>
      <c r="CM126" s="291" t="n"/>
      <c r="CN126" s="291" t="n"/>
      <c r="CW126" s="291" t="n"/>
      <c r="CX126" s="291" t="n"/>
      <c r="CY126" s="291" t="n"/>
      <c r="CZ126" s="291" t="n"/>
      <c r="DA126" s="291" t="n"/>
      <c r="DB126" s="291" t="n"/>
      <c r="DC126" s="291" t="n"/>
      <c r="DD126" s="291" t="n"/>
      <c r="DE126" s="311" t="n"/>
      <c r="DF126" s="311" t="n"/>
    </row>
    <row r="127" customFormat="1" s="40">
      <c r="A127" s="326" t="n"/>
      <c r="B127" s="28" t="n"/>
      <c r="C127" s="15" t="n"/>
      <c r="D127" s="15" t="n"/>
      <c r="E127" s="28" t="n"/>
      <c r="F127" s="15" t="n"/>
      <c r="G127" s="15" t="n"/>
      <c r="H127" s="28" t="n"/>
      <c r="I127" s="15" t="n"/>
      <c r="J127" s="15" t="n"/>
      <c r="K127" s="28" t="n"/>
      <c r="L127" s="15" t="n"/>
      <c r="M127" s="15" t="n"/>
      <c r="N127" s="28" t="n"/>
      <c r="O127" s="15" t="n"/>
      <c r="P127" s="15" t="n"/>
      <c r="Q127" s="28" t="n"/>
      <c r="R127" s="15" t="n"/>
      <c r="S127" s="15" t="n"/>
      <c r="T127" s="28" t="n"/>
      <c r="U127" s="15" t="n"/>
      <c r="V127" s="15" t="n"/>
      <c r="W127" s="28" t="n"/>
      <c r="X127" s="15" t="n"/>
      <c r="Y127" s="15" t="n"/>
      <c r="Z127" s="28" t="n"/>
      <c r="AA127" s="15" t="n"/>
      <c r="AB127" s="15" t="n"/>
      <c r="AC127" s="28" t="n"/>
      <c r="AD127" s="15" t="n"/>
      <c r="AE127" s="15" t="n"/>
      <c r="AF127" s="28" t="n"/>
      <c r="AG127" s="15" t="n"/>
      <c r="AH127" s="15" t="n"/>
      <c r="AI127" s="28" t="n"/>
      <c r="AJ127" s="15" t="n"/>
      <c r="AK127" s="15" t="n"/>
      <c r="AL127" s="28" t="n"/>
      <c r="AM127" s="327" t="n"/>
      <c r="AN127" s="31" t="n"/>
      <c r="AO127" s="28" t="n"/>
      <c r="AP127" s="327" t="n"/>
      <c r="AQ127" s="31" t="n"/>
      <c r="AR127" s="28" t="n"/>
      <c r="AS127" s="327" t="n"/>
      <c r="AT127" s="31" t="n"/>
      <c r="AU127" s="28" t="n"/>
      <c r="AV127" s="327" t="n"/>
      <c r="AW127" s="31" t="n"/>
      <c r="AX127" s="28" t="n"/>
      <c r="AY127" s="15" t="n"/>
      <c r="AZ127" s="15" t="n"/>
      <c r="BA127" s="291" t="n"/>
      <c r="BB127" s="291" t="n"/>
      <c r="BC127" s="291" t="n"/>
      <c r="BD127" s="291" t="n"/>
      <c r="BE127" s="291" t="n"/>
      <c r="BF127" s="291" t="n"/>
      <c r="BG127" s="291" t="n"/>
      <c r="BH127" s="291" t="n"/>
      <c r="BI127" s="291" t="n"/>
      <c r="BJ127" s="291" t="n"/>
      <c r="BK127" s="288" t="n"/>
      <c r="BL127" s="291" t="n"/>
      <c r="BM127" s="291" t="n"/>
      <c r="BN127" s="291" t="n"/>
      <c r="BO127" s="291" t="n"/>
      <c r="BP127" s="291" t="n"/>
      <c r="BQ127" s="291" t="n"/>
      <c r="BR127" s="291" t="n"/>
      <c r="BS127" s="291" t="n"/>
      <c r="BT127" s="291" t="n"/>
      <c r="BU127" s="291" t="n"/>
      <c r="BV127" s="291" t="n"/>
      <c r="BW127" s="291" t="n"/>
      <c r="BX127" s="291" t="n"/>
      <c r="BY127" s="291" t="n"/>
      <c r="BZ127" s="291" t="n"/>
      <c r="CA127" s="291" t="n"/>
      <c r="CB127" s="291" t="n"/>
      <c r="CC127" s="291" t="n"/>
      <c r="CD127" s="291" t="n"/>
      <c r="CE127" s="291" t="n"/>
      <c r="CF127" s="291" t="n"/>
      <c r="CG127" s="291" t="n"/>
      <c r="CH127" s="291" t="n"/>
      <c r="CI127" s="291" t="n"/>
      <c r="CJ127" s="291" t="n"/>
      <c r="CK127" s="291" t="n"/>
      <c r="CL127" s="291" t="n"/>
      <c r="CM127" s="291" t="n"/>
      <c r="CN127" s="291" t="n"/>
      <c r="CW127" s="291" t="n"/>
      <c r="CX127" s="291" t="n"/>
      <c r="CY127" s="291" t="n"/>
      <c r="CZ127" s="291" t="n"/>
      <c r="DA127" s="291" t="n"/>
      <c r="DB127" s="291" t="n"/>
      <c r="DC127" s="291" t="n"/>
      <c r="DD127" s="291" t="n"/>
      <c r="DE127" s="311" t="n"/>
      <c r="DF127" s="311" t="n"/>
    </row>
    <row r="128" customFormat="1" s="40">
      <c r="A128" s="326" t="n"/>
      <c r="B128" s="28" t="n"/>
      <c r="C128" s="15" t="n"/>
      <c r="D128" s="15" t="n"/>
      <c r="E128" s="28" t="n"/>
      <c r="F128" s="15" t="n"/>
      <c r="G128" s="15" t="n"/>
      <c r="H128" s="28" t="n"/>
      <c r="I128" s="15" t="n"/>
      <c r="J128" s="15" t="n"/>
      <c r="K128" s="28" t="n"/>
      <c r="L128" s="15" t="n"/>
      <c r="M128" s="15" t="n"/>
      <c r="N128" s="28" t="n"/>
      <c r="O128" s="15" t="n"/>
      <c r="P128" s="15" t="n"/>
      <c r="Q128" s="28" t="n"/>
      <c r="R128" s="15" t="n"/>
      <c r="S128" s="15" t="n"/>
      <c r="T128" s="28" t="n"/>
      <c r="U128" s="15" t="n"/>
      <c r="V128" s="15" t="n"/>
      <c r="W128" s="28" t="n"/>
      <c r="X128" s="15" t="n"/>
      <c r="Y128" s="15" t="n"/>
      <c r="Z128" s="28" t="n"/>
      <c r="AA128" s="15" t="n"/>
      <c r="AB128" s="15" t="n"/>
      <c r="AC128" s="28" t="n"/>
      <c r="AD128" s="15" t="n"/>
      <c r="AE128" s="15" t="n"/>
      <c r="AF128" s="28" t="n"/>
      <c r="AG128" s="15" t="n"/>
      <c r="AH128" s="15" t="n"/>
      <c r="AI128" s="28" t="n"/>
      <c r="AJ128" s="15" t="n"/>
      <c r="AK128" s="15" t="n"/>
      <c r="AL128" s="28" t="n"/>
      <c r="AM128" s="327" t="n"/>
      <c r="AN128" s="31" t="n"/>
      <c r="AO128" s="28" t="n"/>
      <c r="AP128" s="327" t="n"/>
      <c r="AQ128" s="31" t="n"/>
      <c r="AR128" s="28" t="n"/>
      <c r="AS128" s="327" t="n"/>
      <c r="AT128" s="31" t="n"/>
      <c r="AU128" s="28" t="n"/>
      <c r="AV128" s="327" t="n"/>
      <c r="AW128" s="31" t="n"/>
      <c r="AX128" s="28" t="n"/>
      <c r="AY128" s="15" t="n"/>
      <c r="AZ128" s="15" t="n"/>
      <c r="BA128" s="291" t="n"/>
      <c r="BB128" s="291" t="n"/>
      <c r="BC128" s="291" t="n"/>
      <c r="BD128" s="291" t="n"/>
      <c r="BE128" s="291" t="n"/>
      <c r="BF128" s="291" t="n"/>
      <c r="BG128" s="291" t="n"/>
      <c r="BH128" s="291" t="n"/>
      <c r="BI128" s="291" t="n"/>
      <c r="BJ128" s="291" t="n"/>
      <c r="BK128" s="288" t="n"/>
      <c r="BL128" s="291" t="n"/>
      <c r="BM128" s="291" t="n"/>
      <c r="BN128" s="291" t="n"/>
      <c r="BO128" s="291" t="n"/>
      <c r="BP128" s="291" t="n"/>
      <c r="BQ128" s="291" t="n"/>
      <c r="BR128" s="291" t="n"/>
      <c r="BS128" s="291" t="n"/>
      <c r="BT128" s="291" t="n"/>
      <c r="BU128" s="291" t="n"/>
      <c r="BV128" s="291" t="n"/>
      <c r="BW128" s="291" t="n"/>
      <c r="BX128" s="291" t="n"/>
      <c r="BY128" s="291" t="n"/>
      <c r="BZ128" s="291" t="n"/>
      <c r="CA128" s="291" t="n"/>
      <c r="CB128" s="291" t="n"/>
      <c r="CC128" s="291" t="n"/>
      <c r="CD128" s="291" t="n"/>
      <c r="CE128" s="291" t="n"/>
      <c r="CF128" s="291" t="n"/>
      <c r="CG128" s="291" t="n"/>
      <c r="CH128" s="291" t="n"/>
      <c r="CI128" s="291" t="n"/>
      <c r="CJ128" s="291" t="n"/>
      <c r="CK128" s="291" t="n"/>
      <c r="CL128" s="291" t="n"/>
      <c r="CM128" s="291" t="n"/>
      <c r="CN128" s="291" t="n"/>
      <c r="CW128" s="291" t="n"/>
      <c r="CX128" s="291" t="n"/>
      <c r="CY128" s="291" t="n"/>
      <c r="CZ128" s="291" t="n"/>
      <c r="DA128" s="291" t="n"/>
      <c r="DB128" s="291" t="n"/>
      <c r="DC128" s="291" t="n"/>
      <c r="DD128" s="291" t="n"/>
      <c r="DE128" s="311" t="n"/>
      <c r="DF128" s="311" t="n"/>
    </row>
    <row r="129" customFormat="1" s="40">
      <c r="A129" s="326" t="n"/>
      <c r="B129" s="28" t="n"/>
      <c r="C129" s="15" t="n"/>
      <c r="D129" s="15" t="n"/>
      <c r="E129" s="28" t="n"/>
      <c r="F129" s="15" t="n"/>
      <c r="G129" s="15" t="n"/>
      <c r="H129" s="28" t="n"/>
      <c r="I129" s="15" t="n"/>
      <c r="J129" s="15" t="n"/>
      <c r="K129" s="28" t="n"/>
      <c r="L129" s="15" t="n"/>
      <c r="M129" s="15" t="n"/>
      <c r="N129" s="28" t="n"/>
      <c r="O129" s="15" t="n"/>
      <c r="P129" s="15" t="n"/>
      <c r="Q129" s="28" t="n"/>
      <c r="R129" s="15" t="n"/>
      <c r="S129" s="15" t="n"/>
      <c r="T129" s="28" t="n"/>
      <c r="U129" s="15" t="n"/>
      <c r="V129" s="15" t="n"/>
      <c r="W129" s="28" t="n"/>
      <c r="X129" s="15" t="n"/>
      <c r="Y129" s="15" t="n"/>
      <c r="Z129" s="28" t="n"/>
      <c r="AA129" s="15" t="n"/>
      <c r="AB129" s="15" t="n"/>
      <c r="AC129" s="28" t="n"/>
      <c r="AD129" s="15" t="n"/>
      <c r="AE129" s="15" t="n"/>
      <c r="AF129" s="28" t="n"/>
      <c r="AG129" s="15" t="n"/>
      <c r="AH129" s="15" t="n"/>
      <c r="AI129" s="28" t="n"/>
      <c r="AJ129" s="15" t="n"/>
      <c r="AK129" s="15" t="n"/>
      <c r="AL129" s="28" t="n"/>
      <c r="AM129" s="327" t="n"/>
      <c r="AN129" s="31" t="n"/>
      <c r="AO129" s="28" t="n"/>
      <c r="AP129" s="327" t="n"/>
      <c r="AQ129" s="31" t="n"/>
      <c r="AR129" s="28" t="n"/>
      <c r="AS129" s="327" t="n"/>
      <c r="AT129" s="31" t="n"/>
      <c r="AU129" s="28" t="n"/>
      <c r="AV129" s="327" t="n"/>
      <c r="AW129" s="31" t="n"/>
      <c r="AX129" s="28" t="n"/>
      <c r="AY129" s="15" t="n"/>
      <c r="AZ129" s="15" t="n"/>
      <c r="BA129" s="291" t="n"/>
      <c r="BB129" s="291" t="n"/>
      <c r="BC129" s="291" t="n"/>
      <c r="BD129" s="291" t="n"/>
      <c r="BE129" s="291" t="n"/>
      <c r="BF129" s="291" t="n"/>
      <c r="BG129" s="291" t="n"/>
      <c r="BH129" s="291" t="n"/>
      <c r="BI129" s="291" t="n"/>
      <c r="BJ129" s="291" t="n"/>
      <c r="BK129" s="288" t="n"/>
      <c r="BL129" s="291" t="n"/>
      <c r="BM129" s="291" t="n"/>
      <c r="BN129" s="291" t="n"/>
      <c r="BO129" s="291" t="n"/>
      <c r="BP129" s="291" t="n"/>
      <c r="BQ129" s="291" t="n"/>
      <c r="BR129" s="291" t="n"/>
      <c r="BS129" s="291" t="n"/>
      <c r="BT129" s="291" t="n"/>
      <c r="BU129" s="291" t="n"/>
      <c r="BV129" s="291" t="n"/>
      <c r="BW129" s="291" t="n"/>
      <c r="BX129" s="291" t="n"/>
      <c r="BY129" s="291" t="n"/>
      <c r="BZ129" s="291" t="n"/>
      <c r="CA129" s="291" t="n"/>
      <c r="CB129" s="291" t="n"/>
      <c r="CC129" s="291" t="n"/>
      <c r="CD129" s="291" t="n"/>
      <c r="CE129" s="291" t="n"/>
      <c r="CF129" s="291" t="n"/>
      <c r="CG129" s="291" t="n"/>
      <c r="CH129" s="291" t="n"/>
      <c r="CI129" s="291" t="n"/>
      <c r="CJ129" s="291" t="n"/>
      <c r="CK129" s="291" t="n"/>
      <c r="CL129" s="291" t="n"/>
      <c r="CM129" s="291" t="n"/>
      <c r="CN129" s="291" t="n"/>
      <c r="CW129" s="291" t="n"/>
      <c r="CX129" s="291" t="n"/>
      <c r="CY129" s="291" t="n"/>
      <c r="CZ129" s="291" t="n"/>
      <c r="DA129" s="291" t="n"/>
      <c r="DB129" s="291" t="n"/>
      <c r="DC129" s="291" t="n"/>
      <c r="DD129" s="291" t="n"/>
      <c r="DE129" s="311" t="n"/>
      <c r="DF129" s="311" t="n"/>
    </row>
    <row r="130" customFormat="1" s="62">
      <c r="A130" s="331" t="n"/>
      <c r="B130" s="28" t="n"/>
      <c r="C130" s="15" t="n"/>
      <c r="D130" s="15" t="n"/>
      <c r="E130" s="28" t="n"/>
      <c r="F130" s="15" t="n"/>
      <c r="G130" s="15" t="n"/>
      <c r="H130" s="28" t="n"/>
      <c r="I130" s="15" t="n"/>
      <c r="J130" s="15" t="n"/>
      <c r="K130" s="28" t="n"/>
      <c r="L130" s="15" t="n"/>
      <c r="M130" s="15" t="n"/>
      <c r="N130" s="28" t="n"/>
      <c r="O130" s="15" t="n"/>
      <c r="P130" s="15" t="n"/>
      <c r="Q130" s="28" t="n"/>
      <c r="R130" s="15" t="n"/>
      <c r="S130" s="15" t="n"/>
      <c r="T130" s="28" t="n"/>
      <c r="U130" s="15" t="n"/>
      <c r="V130" s="15" t="n"/>
      <c r="W130" s="28" t="n"/>
      <c r="X130" s="15" t="n"/>
      <c r="Y130" s="15" t="n"/>
      <c r="Z130" s="28" t="n"/>
      <c r="AA130" s="15" t="n"/>
      <c r="AB130" s="15" t="n"/>
      <c r="AC130" s="28" t="n"/>
      <c r="AD130" s="15" t="n"/>
      <c r="AE130" s="15" t="n"/>
      <c r="AF130" s="28" t="n"/>
      <c r="AG130" s="15" t="n"/>
      <c r="AH130" s="15" t="n"/>
      <c r="AI130" s="28" t="n"/>
      <c r="AJ130" s="15" t="n"/>
      <c r="AK130" s="15" t="n"/>
      <c r="AL130" s="28" t="n"/>
      <c r="AM130" s="327" t="n"/>
      <c r="AN130" s="327" t="n"/>
      <c r="AO130" s="28" t="n"/>
      <c r="AP130" s="327" t="n"/>
      <c r="AQ130" s="327" t="n"/>
      <c r="AR130" s="28" t="n"/>
      <c r="AS130" s="327" t="n"/>
      <c r="AT130" s="327" t="n"/>
      <c r="AU130" s="28" t="n"/>
      <c r="AV130" s="327" t="n"/>
      <c r="AW130" s="327" t="n"/>
      <c r="AX130" s="28" t="n"/>
      <c r="AY130" s="15" t="n"/>
      <c r="AZ130" s="15" t="n"/>
      <c r="BA130" s="324" t="n"/>
      <c r="BB130" s="324" t="n"/>
      <c r="BC130" s="324" t="n"/>
      <c r="BD130" s="324" t="n"/>
      <c r="BE130" s="324" t="n"/>
      <c r="BF130" s="324" t="n"/>
      <c r="BG130" s="324" t="n"/>
      <c r="BH130" s="324" t="n"/>
      <c r="BI130" s="324" t="n"/>
      <c r="BJ130" s="324" t="n"/>
      <c r="BK130" s="288" t="n"/>
      <c r="BL130" s="324" t="n"/>
      <c r="BM130" s="324" t="n"/>
      <c r="BN130" s="324" t="n"/>
      <c r="BO130" s="324" t="n"/>
      <c r="BP130" s="324" t="n"/>
      <c r="BQ130" s="324" t="n"/>
      <c r="BR130" s="324" t="n"/>
      <c r="BS130" s="324" t="n"/>
      <c r="BT130" s="324" t="n"/>
      <c r="BU130" s="324" t="n"/>
      <c r="BV130" s="324" t="n"/>
      <c r="BW130" s="324" t="n"/>
      <c r="BX130" s="324" t="n"/>
      <c r="BY130" s="324" t="n"/>
      <c r="BZ130" s="324" t="n"/>
      <c r="CA130" s="324" t="n"/>
      <c r="CB130" s="324" t="n"/>
      <c r="CC130" s="324" t="n"/>
      <c r="CD130" s="324" t="n"/>
      <c r="CE130" s="324" t="n"/>
      <c r="CF130" s="324" t="n"/>
      <c r="CG130" s="324" t="n"/>
      <c r="CH130" s="324" t="n"/>
      <c r="CI130" s="324" t="n"/>
      <c r="CJ130" s="324" t="n"/>
      <c r="CK130" s="324" t="n"/>
      <c r="CL130" s="324" t="n"/>
      <c r="CM130" s="324" t="n"/>
      <c r="CN130" s="324" t="n"/>
      <c r="CW130" s="324" t="n"/>
      <c r="CX130" s="324" t="n"/>
      <c r="CY130" s="324" t="n"/>
      <c r="CZ130" s="324" t="n"/>
      <c r="DA130" s="324" t="n"/>
      <c r="DB130" s="324" t="n"/>
      <c r="DC130" s="324" t="n"/>
      <c r="DD130" s="324" t="n"/>
      <c r="DE130" s="325" t="n"/>
      <c r="DF130" s="325" t="n"/>
    </row>
    <row r="131" customFormat="1" s="62">
      <c r="A131" s="326" t="n"/>
      <c r="B131" s="28" t="n"/>
      <c r="C131" s="15" t="n"/>
      <c r="D131" s="15" t="n"/>
      <c r="E131" s="28" t="n"/>
      <c r="F131" s="15" t="n"/>
      <c r="G131" s="15" t="n"/>
      <c r="H131" s="28" t="n"/>
      <c r="I131" s="15" t="n"/>
      <c r="J131" s="15" t="n"/>
      <c r="K131" s="28" t="n"/>
      <c r="L131" s="15" t="n"/>
      <c r="M131" s="15" t="n"/>
      <c r="N131" s="28" t="n"/>
      <c r="O131" s="15" t="n"/>
      <c r="P131" s="15" t="n"/>
      <c r="Q131" s="28" t="n"/>
      <c r="R131" s="15" t="n"/>
      <c r="S131" s="15" t="n"/>
      <c r="T131" s="28" t="n"/>
      <c r="U131" s="15" t="n"/>
      <c r="V131" s="15" t="n"/>
      <c r="W131" s="28" t="n"/>
      <c r="X131" s="15" t="n"/>
      <c r="Y131" s="15" t="n"/>
      <c r="Z131" s="28" t="n"/>
      <c r="AA131" s="15" t="n"/>
      <c r="AB131" s="15" t="n"/>
      <c r="AC131" s="28" t="n"/>
      <c r="AD131" s="15" t="n"/>
      <c r="AE131" s="15" t="n"/>
      <c r="AF131" s="28" t="n"/>
      <c r="AG131" s="15" t="n"/>
      <c r="AH131" s="15" t="n"/>
      <c r="AI131" s="28" t="n"/>
      <c r="AJ131" s="15" t="n"/>
      <c r="AK131" s="15" t="n"/>
      <c r="AL131" s="28" t="n"/>
      <c r="AM131" s="327" t="n"/>
      <c r="AN131" s="327" t="n"/>
      <c r="AO131" s="28" t="n"/>
      <c r="AP131" s="327" t="n"/>
      <c r="AQ131" s="327" t="n"/>
      <c r="AR131" s="28" t="n"/>
      <c r="AS131" s="327" t="n"/>
      <c r="AT131" s="327" t="n"/>
      <c r="AU131" s="28" t="n"/>
      <c r="AV131" s="327" t="n"/>
      <c r="AW131" s="327" t="n"/>
      <c r="AX131" s="28" t="n"/>
      <c r="AY131" s="15" t="n"/>
      <c r="AZ131" s="15" t="n"/>
      <c r="BA131" s="324" t="n"/>
      <c r="BB131" s="324" t="n"/>
      <c r="BC131" s="324" t="n"/>
      <c r="BD131" s="324" t="n"/>
      <c r="BE131" s="324" t="n"/>
      <c r="BF131" s="324" t="n"/>
      <c r="BG131" s="324" t="n"/>
      <c r="BH131" s="324" t="n"/>
      <c r="BI131" s="324" t="n"/>
      <c r="BJ131" s="324" t="n"/>
      <c r="BK131" s="288" t="n"/>
      <c r="BL131" s="324" t="n"/>
      <c r="BM131" s="324" t="n"/>
      <c r="BN131" s="324" t="n"/>
      <c r="BO131" s="324" t="n"/>
      <c r="BP131" s="324" t="n"/>
      <c r="BQ131" s="324" t="n"/>
      <c r="BR131" s="324" t="n"/>
      <c r="BS131" s="324" t="n"/>
      <c r="BT131" s="324" t="n"/>
      <c r="BU131" s="324" t="n"/>
      <c r="BV131" s="324" t="n"/>
      <c r="BW131" s="324" t="n"/>
      <c r="BX131" s="324" t="n"/>
      <c r="BY131" s="324" t="n"/>
      <c r="BZ131" s="324" t="n"/>
      <c r="CA131" s="324" t="n"/>
      <c r="CB131" s="324" t="n"/>
      <c r="CC131" s="324" t="n"/>
      <c r="CD131" s="324" t="n"/>
      <c r="CE131" s="324" t="n"/>
      <c r="CF131" s="324" t="n"/>
      <c r="CG131" s="324" t="n"/>
      <c r="CH131" s="324" t="n"/>
      <c r="CI131" s="324" t="n"/>
      <c r="CJ131" s="324" t="n"/>
      <c r="CK131" s="324" t="n"/>
      <c r="CL131" s="324" t="n"/>
      <c r="CM131" s="324" t="n"/>
      <c r="CN131" s="324" t="n"/>
      <c r="CW131" s="324" t="n"/>
      <c r="CX131" s="324" t="n"/>
      <c r="CY131" s="324" t="n"/>
      <c r="CZ131" s="324" t="n"/>
      <c r="DA131" s="324" t="n"/>
      <c r="DB131" s="324" t="n"/>
      <c r="DC131" s="324" t="n"/>
      <c r="DD131" s="324" t="n"/>
      <c r="DE131" s="325" t="n"/>
      <c r="DF131" s="325" t="n"/>
    </row>
    <row r="132" customFormat="1" s="62">
      <c r="A132" s="326" t="n"/>
      <c r="B132" s="28" t="n"/>
      <c r="C132" s="15" t="n"/>
      <c r="D132" s="15" t="n"/>
      <c r="E132" s="28" t="n"/>
      <c r="F132" s="15" t="n"/>
      <c r="G132" s="15" t="n"/>
      <c r="H132" s="28" t="n"/>
      <c r="I132" s="15" t="n"/>
      <c r="J132" s="15" t="n"/>
      <c r="K132" s="28" t="n"/>
      <c r="L132" s="15" t="n"/>
      <c r="M132" s="15" t="n"/>
      <c r="N132" s="28" t="n"/>
      <c r="O132" s="15" t="n"/>
      <c r="P132" s="15" t="n"/>
      <c r="Q132" s="28" t="n"/>
      <c r="R132" s="15" t="n"/>
      <c r="S132" s="15" t="n"/>
      <c r="T132" s="28" t="n"/>
      <c r="U132" s="15" t="n"/>
      <c r="V132" s="15" t="n"/>
      <c r="W132" s="28" t="n"/>
      <c r="X132" s="15" t="n"/>
      <c r="Y132" s="15" t="n"/>
      <c r="Z132" s="28" t="n"/>
      <c r="AA132" s="15" t="n"/>
      <c r="AB132" s="15" t="n"/>
      <c r="AC132" s="28" t="n"/>
      <c r="AD132" s="15" t="n"/>
      <c r="AE132" s="15" t="n"/>
      <c r="AF132" s="28" t="n"/>
      <c r="AG132" s="15" t="n"/>
      <c r="AH132" s="15" t="n"/>
      <c r="AI132" s="28" t="n"/>
      <c r="AJ132" s="15" t="n"/>
      <c r="AK132" s="15" t="n"/>
      <c r="AL132" s="28" t="n"/>
      <c r="AM132" s="327" t="n"/>
      <c r="AN132" s="327" t="n"/>
      <c r="AO132" s="28" t="n"/>
      <c r="AP132" s="327" t="n"/>
      <c r="AQ132" s="327" t="n"/>
      <c r="AR132" s="28" t="n"/>
      <c r="AS132" s="327" t="n"/>
      <c r="AT132" s="327" t="n"/>
      <c r="AU132" s="28" t="n"/>
      <c r="AV132" s="327" t="n"/>
      <c r="AW132" s="327" t="n"/>
      <c r="AX132" s="28" t="n"/>
      <c r="AY132" s="15" t="n"/>
      <c r="AZ132" s="15" t="n"/>
      <c r="BA132" s="324" t="n"/>
      <c r="BB132" s="324" t="n"/>
      <c r="BC132" s="324" t="n"/>
      <c r="BD132" s="324" t="n"/>
      <c r="BE132" s="324" t="n"/>
      <c r="BF132" s="324" t="n"/>
      <c r="BG132" s="324" t="n"/>
      <c r="BH132" s="324" t="n"/>
      <c r="BI132" s="324" t="n"/>
      <c r="BJ132" s="324" t="n"/>
      <c r="BK132" s="288" t="n"/>
      <c r="BL132" s="324" t="n"/>
      <c r="BM132" s="324" t="n"/>
      <c r="BN132" s="324" t="n"/>
      <c r="BO132" s="324" t="n"/>
      <c r="BP132" s="324" t="n"/>
      <c r="BQ132" s="324" t="n"/>
      <c r="BR132" s="324" t="n"/>
      <c r="BS132" s="324" t="n"/>
      <c r="BT132" s="324" t="n"/>
      <c r="BU132" s="324" t="n"/>
      <c r="BV132" s="324" t="n"/>
      <c r="BW132" s="324" t="n"/>
      <c r="BX132" s="324" t="n"/>
      <c r="BY132" s="324" t="n"/>
      <c r="BZ132" s="324" t="n"/>
      <c r="CA132" s="324" t="n"/>
      <c r="CB132" s="324" t="n"/>
      <c r="CC132" s="324" t="n"/>
      <c r="CD132" s="324" t="n"/>
      <c r="CE132" s="324" t="n"/>
      <c r="CF132" s="324" t="n"/>
      <c r="CG132" s="324" t="n"/>
      <c r="CH132" s="324" t="n"/>
      <c r="CI132" s="324" t="n"/>
      <c r="CJ132" s="324" t="n"/>
      <c r="CK132" s="324" t="n"/>
      <c r="CL132" s="324" t="n"/>
      <c r="CM132" s="324" t="n"/>
      <c r="CN132" s="324" t="n"/>
      <c r="CW132" s="324" t="n"/>
      <c r="CX132" s="324" t="n"/>
      <c r="CY132" s="324" t="n"/>
      <c r="CZ132" s="324" t="n"/>
      <c r="DA132" s="324" t="n"/>
      <c r="DB132" s="324" t="n"/>
      <c r="DC132" s="324" t="n"/>
      <c r="DD132" s="324" t="n"/>
      <c r="DE132" s="325" t="n"/>
      <c r="DF132" s="325" t="n"/>
    </row>
    <row r="133" customFormat="1" s="62">
      <c r="A133" s="326" t="n"/>
      <c r="B133" s="28" t="n"/>
      <c r="C133" s="15" t="n"/>
      <c r="D133" s="15" t="n"/>
      <c r="E133" s="28" t="n"/>
      <c r="F133" s="15" t="n"/>
      <c r="G133" s="15" t="n"/>
      <c r="H133" s="28" t="n"/>
      <c r="I133" s="15" t="n"/>
      <c r="J133" s="15" t="n"/>
      <c r="K133" s="28" t="n"/>
      <c r="L133" s="15" t="n"/>
      <c r="M133" s="15" t="n"/>
      <c r="N133" s="28" t="n"/>
      <c r="O133" s="15" t="n"/>
      <c r="P133" s="15" t="n"/>
      <c r="Q133" s="28" t="n"/>
      <c r="R133" s="15" t="n"/>
      <c r="S133" s="15" t="n"/>
      <c r="T133" s="28" t="n"/>
      <c r="U133" s="15" t="n"/>
      <c r="V133" s="15" t="n"/>
      <c r="W133" s="28" t="n"/>
      <c r="X133" s="15" t="n"/>
      <c r="Y133" s="15" t="n"/>
      <c r="Z133" s="28" t="n"/>
      <c r="AA133" s="15" t="n"/>
      <c r="AB133" s="15" t="n"/>
      <c r="AC133" s="28" t="n"/>
      <c r="AD133" s="15" t="n"/>
      <c r="AE133" s="15" t="n"/>
      <c r="AF133" s="28" t="n"/>
      <c r="AG133" s="15" t="n"/>
      <c r="AH133" s="15" t="n"/>
      <c r="AI133" s="28" t="n"/>
      <c r="AJ133" s="15" t="n"/>
      <c r="AK133" s="15" t="n"/>
      <c r="AL133" s="28" t="n"/>
      <c r="AM133" s="327" t="n"/>
      <c r="AN133" s="327" t="n"/>
      <c r="AO133" s="28" t="n"/>
      <c r="AP133" s="327" t="n"/>
      <c r="AQ133" s="327" t="n"/>
      <c r="AR133" s="28" t="n"/>
      <c r="AS133" s="327" t="n"/>
      <c r="AT133" s="327" t="n"/>
      <c r="AU133" s="28" t="n"/>
      <c r="AV133" s="327" t="n"/>
      <c r="AW133" s="327" t="n"/>
      <c r="AX133" s="28" t="n"/>
      <c r="AY133" s="15" t="n"/>
      <c r="AZ133" s="15" t="n"/>
      <c r="BA133" s="324" t="n"/>
      <c r="BB133" s="324" t="n"/>
      <c r="BC133" s="324" t="n"/>
      <c r="BD133" s="324" t="n"/>
      <c r="BE133" s="324" t="n"/>
      <c r="BF133" s="324" t="n"/>
      <c r="BG133" s="324" t="n"/>
      <c r="BH133" s="324" t="n"/>
      <c r="BI133" s="324" t="n"/>
      <c r="BJ133" s="324" t="n"/>
      <c r="BK133" s="288" t="n"/>
      <c r="BL133" s="324" t="n"/>
      <c r="BM133" s="324" t="n"/>
      <c r="BN133" s="324" t="n"/>
      <c r="BO133" s="324" t="n"/>
      <c r="BP133" s="324" t="n"/>
      <c r="BQ133" s="324" t="n"/>
      <c r="BR133" s="324" t="n"/>
      <c r="BS133" s="324" t="n"/>
      <c r="BT133" s="324" t="n"/>
      <c r="BU133" s="324" t="n"/>
      <c r="BV133" s="324" t="n"/>
      <c r="BW133" s="324" t="n"/>
      <c r="BX133" s="324" t="n"/>
      <c r="BY133" s="324" t="n"/>
      <c r="BZ133" s="324" t="n"/>
      <c r="CA133" s="324" t="n"/>
      <c r="CB133" s="324" t="n"/>
      <c r="CC133" s="324" t="n"/>
      <c r="CD133" s="324" t="n"/>
      <c r="CE133" s="324" t="n"/>
      <c r="CF133" s="324" t="n"/>
      <c r="CG133" s="324" t="n"/>
      <c r="CH133" s="324" t="n"/>
      <c r="CI133" s="324" t="n"/>
      <c r="CJ133" s="324" t="n"/>
      <c r="CK133" s="324" t="n"/>
      <c r="CL133" s="324" t="n"/>
      <c r="CM133" s="324" t="n"/>
      <c r="CN133" s="324" t="n"/>
      <c r="CW133" s="324" t="n"/>
      <c r="CX133" s="324" t="n"/>
      <c r="CY133" s="324" t="n"/>
      <c r="CZ133" s="324" t="n"/>
      <c r="DA133" s="324" t="n"/>
      <c r="DB133" s="324" t="n"/>
      <c r="DC133" s="324" t="n"/>
      <c r="DD133" s="324" t="n"/>
      <c r="DE133" s="325" t="n"/>
      <c r="DF133" s="325" t="n"/>
    </row>
    <row r="134" customFormat="1" s="62">
      <c r="A134" s="326" t="n"/>
      <c r="B134" s="28" t="n"/>
      <c r="C134" s="15" t="n"/>
      <c r="D134" s="15" t="n"/>
      <c r="E134" s="28" t="n"/>
      <c r="F134" s="15" t="n"/>
      <c r="G134" s="15" t="n"/>
      <c r="H134" s="28" t="n"/>
      <c r="I134" s="15" t="n"/>
      <c r="J134" s="15" t="n"/>
      <c r="K134" s="28" t="n"/>
      <c r="L134" s="15" t="n"/>
      <c r="M134" s="15" t="n"/>
      <c r="N134" s="28" t="n"/>
      <c r="O134" s="15" t="n"/>
      <c r="P134" s="15" t="n"/>
      <c r="Q134" s="28" t="n"/>
      <c r="R134" s="15" t="n"/>
      <c r="S134" s="15" t="n"/>
      <c r="T134" s="28" t="n"/>
      <c r="U134" s="15" t="n"/>
      <c r="V134" s="15" t="n"/>
      <c r="W134" s="28" t="n"/>
      <c r="X134" s="15" t="n"/>
      <c r="Y134" s="15" t="n"/>
      <c r="Z134" s="28" t="n"/>
      <c r="AA134" s="15" t="n"/>
      <c r="AB134" s="15" t="n"/>
      <c r="AC134" s="28" t="n"/>
      <c r="AD134" s="15" t="n"/>
      <c r="AE134" s="15" t="n"/>
      <c r="AF134" s="28" t="n"/>
      <c r="AG134" s="15" t="n"/>
      <c r="AH134" s="15" t="n"/>
      <c r="AI134" s="28" t="n"/>
      <c r="AJ134" s="15" t="n"/>
      <c r="AK134" s="15" t="n"/>
      <c r="AL134" s="28" t="n"/>
      <c r="AM134" s="327" t="n"/>
      <c r="AN134" s="327" t="n"/>
      <c r="AO134" s="28" t="n"/>
      <c r="AP134" s="327" t="n"/>
      <c r="AQ134" s="327" t="n"/>
      <c r="AR134" s="28" t="n"/>
      <c r="AS134" s="327" t="n"/>
      <c r="AT134" s="327" t="n"/>
      <c r="AU134" s="28" t="n"/>
      <c r="AV134" s="327" t="n"/>
      <c r="AW134" s="327" t="n"/>
      <c r="AX134" s="28" t="n"/>
      <c r="AY134" s="15" t="n"/>
      <c r="AZ134" s="15" t="n"/>
      <c r="BA134" s="324" t="n"/>
      <c r="BB134" s="324" t="n"/>
      <c r="BC134" s="324" t="n"/>
      <c r="BD134" s="324" t="n"/>
      <c r="BE134" s="324" t="n"/>
      <c r="BF134" s="324" t="n"/>
      <c r="BG134" s="324" t="n"/>
      <c r="BH134" s="324" t="n"/>
      <c r="BI134" s="324" t="n"/>
      <c r="BJ134" s="324" t="n"/>
      <c r="BK134" s="288" t="n"/>
      <c r="BL134" s="324" t="n"/>
      <c r="BM134" s="324" t="n"/>
      <c r="BN134" s="324" t="n"/>
      <c r="BO134" s="324" t="n"/>
      <c r="BP134" s="324" t="n"/>
      <c r="BQ134" s="324" t="n"/>
      <c r="BR134" s="324" t="n"/>
      <c r="BS134" s="324" t="n"/>
      <c r="BT134" s="324" t="n"/>
      <c r="BU134" s="324" t="n"/>
      <c r="BV134" s="324" t="n"/>
      <c r="BW134" s="324" t="n"/>
      <c r="BX134" s="324" t="n"/>
      <c r="BY134" s="324" t="n"/>
      <c r="BZ134" s="324" t="n"/>
      <c r="CA134" s="324" t="n"/>
      <c r="CB134" s="324" t="n"/>
      <c r="CC134" s="324" t="n"/>
      <c r="CD134" s="324" t="n"/>
      <c r="CE134" s="324" t="n"/>
      <c r="CF134" s="324" t="n"/>
      <c r="CG134" s="324" t="n"/>
      <c r="CH134" s="324" t="n"/>
      <c r="CI134" s="324" t="n"/>
      <c r="CJ134" s="324" t="n"/>
      <c r="CK134" s="324" t="n"/>
      <c r="CL134" s="324" t="n"/>
      <c r="CM134" s="324" t="n"/>
      <c r="CN134" s="324" t="n"/>
      <c r="CW134" s="324" t="n"/>
      <c r="CX134" s="324" t="n"/>
      <c r="CY134" s="324" t="n"/>
      <c r="CZ134" s="324" t="n"/>
      <c r="DA134" s="324" t="n"/>
      <c r="DB134" s="324" t="n"/>
      <c r="DC134" s="324" t="n"/>
      <c r="DD134" s="324" t="n"/>
      <c r="DE134" s="325" t="n"/>
      <c r="DF134" s="325" t="n"/>
    </row>
    <row r="135" customFormat="1" s="62">
      <c r="A135" s="326" t="n"/>
      <c r="B135" s="28" t="n"/>
      <c r="C135" s="15" t="n"/>
      <c r="D135" s="15" t="n"/>
      <c r="E135" s="28" t="n"/>
      <c r="F135" s="15" t="n"/>
      <c r="G135" s="15" t="n"/>
      <c r="H135" s="28" t="n"/>
      <c r="I135" s="15" t="n"/>
      <c r="J135" s="15" t="n"/>
      <c r="K135" s="28" t="n"/>
      <c r="L135" s="15" t="n"/>
      <c r="M135" s="15" t="n"/>
      <c r="N135" s="28" t="n"/>
      <c r="O135" s="15" t="n"/>
      <c r="P135" s="15" t="n"/>
      <c r="Q135" s="28" t="n"/>
      <c r="R135" s="15" t="n"/>
      <c r="S135" s="15" t="n"/>
      <c r="T135" s="28" t="n"/>
      <c r="U135" s="15" t="n"/>
      <c r="V135" s="15" t="n"/>
      <c r="W135" s="28" t="n"/>
      <c r="X135" s="15" t="n"/>
      <c r="Y135" s="15" t="n"/>
      <c r="Z135" s="28" t="n"/>
      <c r="AA135" s="15" t="n"/>
      <c r="AB135" s="15" t="n"/>
      <c r="AC135" s="28" t="n"/>
      <c r="AD135" s="15" t="n"/>
      <c r="AE135" s="15" t="n"/>
      <c r="AF135" s="28" t="n"/>
      <c r="AG135" s="15" t="n"/>
      <c r="AH135" s="15" t="n"/>
      <c r="AI135" s="28" t="n"/>
      <c r="AJ135" s="15" t="n"/>
      <c r="AK135" s="15" t="n"/>
      <c r="AL135" s="28" t="n"/>
      <c r="AM135" s="327" t="n"/>
      <c r="AN135" s="327" t="n"/>
      <c r="AO135" s="28" t="n"/>
      <c r="AP135" s="327" t="n"/>
      <c r="AQ135" s="327" t="n"/>
      <c r="AR135" s="28" t="n"/>
      <c r="AS135" s="327" t="n"/>
      <c r="AT135" s="327" t="n"/>
      <c r="AU135" s="28" t="n"/>
      <c r="AV135" s="327" t="n"/>
      <c r="AW135" s="327" t="n"/>
      <c r="AX135" s="28" t="n"/>
      <c r="AY135" s="15" t="n"/>
      <c r="AZ135" s="15" t="n"/>
      <c r="BA135" s="324" t="n"/>
      <c r="BB135" s="324" t="n"/>
      <c r="BC135" s="324" t="n"/>
      <c r="BD135" s="324" t="n"/>
      <c r="BE135" s="324" t="n"/>
      <c r="BF135" s="324" t="n"/>
      <c r="BG135" s="324" t="n"/>
      <c r="BH135" s="324" t="n"/>
      <c r="BI135" s="324" t="n"/>
      <c r="BJ135" s="324" t="n"/>
      <c r="BK135" s="288" t="n"/>
      <c r="BL135" s="324" t="n"/>
      <c r="BM135" s="324" t="n"/>
      <c r="BN135" s="324" t="n"/>
      <c r="BO135" s="324" t="n"/>
      <c r="BP135" s="324" t="n"/>
      <c r="BQ135" s="324" t="n"/>
      <c r="BR135" s="324" t="n"/>
      <c r="BS135" s="324" t="n"/>
      <c r="BT135" s="324" t="n"/>
      <c r="BU135" s="324" t="n"/>
      <c r="BV135" s="324" t="n"/>
      <c r="BW135" s="324" t="n"/>
      <c r="BX135" s="324" t="n"/>
      <c r="BY135" s="324" t="n"/>
      <c r="BZ135" s="324" t="n"/>
      <c r="CA135" s="324" t="n"/>
      <c r="CB135" s="324" t="n"/>
      <c r="CC135" s="324" t="n"/>
      <c r="CD135" s="324" t="n"/>
      <c r="CE135" s="324" t="n"/>
      <c r="CF135" s="324" t="n"/>
      <c r="CG135" s="324" t="n"/>
      <c r="CH135" s="324" t="n"/>
      <c r="CI135" s="324" t="n"/>
      <c r="CJ135" s="324" t="n"/>
      <c r="CK135" s="324" t="n"/>
      <c r="CL135" s="324" t="n"/>
      <c r="CM135" s="324" t="n"/>
      <c r="CN135" s="324" t="n"/>
      <c r="CW135" s="324" t="n"/>
      <c r="CX135" s="324" t="n"/>
      <c r="CY135" s="324" t="n"/>
      <c r="CZ135" s="324" t="n"/>
      <c r="DA135" s="324" t="n"/>
      <c r="DB135" s="324" t="n"/>
      <c r="DC135" s="324" t="n"/>
      <c r="DD135" s="324" t="n"/>
      <c r="DE135" s="325" t="n"/>
      <c r="DF135" s="325" t="n"/>
    </row>
    <row r="136" customFormat="1" s="62">
      <c r="A136" s="330" t="n"/>
      <c r="B136" s="28" t="n"/>
      <c r="C136" s="15" t="n"/>
      <c r="D136" s="15" t="n"/>
      <c r="E136" s="28" t="n"/>
      <c r="F136" s="15" t="n"/>
      <c r="G136" s="15" t="n"/>
      <c r="H136" s="28" t="n"/>
      <c r="I136" s="15" t="n"/>
      <c r="J136" s="15" t="n"/>
      <c r="K136" s="28" t="n"/>
      <c r="L136" s="15" t="n"/>
      <c r="M136" s="15" t="n"/>
      <c r="N136" s="28" t="n"/>
      <c r="O136" s="15" t="n"/>
      <c r="P136" s="15" t="n"/>
      <c r="Q136" s="28" t="n"/>
      <c r="R136" s="15" t="n"/>
      <c r="S136" s="15" t="n"/>
      <c r="T136" s="28" t="n"/>
      <c r="U136" s="15" t="n"/>
      <c r="V136" s="15" t="n"/>
      <c r="W136" s="28" t="n"/>
      <c r="X136" s="15" t="n"/>
      <c r="Y136" s="15" t="n"/>
      <c r="Z136" s="28" t="n"/>
      <c r="AA136" s="15" t="n"/>
      <c r="AB136" s="15" t="n"/>
      <c r="AC136" s="28" t="n"/>
      <c r="AD136" s="15" t="n"/>
      <c r="AE136" s="15" t="n"/>
      <c r="AF136" s="28" t="n"/>
      <c r="AG136" s="15" t="n"/>
      <c r="AH136" s="15" t="n"/>
      <c r="AI136" s="28" t="n"/>
      <c r="AJ136" s="15" t="n"/>
      <c r="AK136" s="15" t="n"/>
      <c r="AL136" s="28" t="n"/>
      <c r="AM136" s="327" t="n"/>
      <c r="AN136" s="327" t="n"/>
      <c r="AO136" s="28" t="n"/>
      <c r="AP136" s="327" t="n"/>
      <c r="AQ136" s="327" t="n"/>
      <c r="AR136" s="28" t="n"/>
      <c r="AS136" s="327" t="n"/>
      <c r="AT136" s="327" t="n"/>
      <c r="AU136" s="28" t="n"/>
      <c r="AV136" s="327" t="n"/>
      <c r="AW136" s="327" t="n"/>
      <c r="AX136" s="28" t="n"/>
      <c r="AY136" s="15" t="n"/>
      <c r="AZ136" s="15" t="n"/>
      <c r="BA136" s="324" t="n"/>
      <c r="BB136" s="324" t="n"/>
      <c r="BC136" s="324" t="n"/>
      <c r="BD136" s="324" t="n"/>
      <c r="BE136" s="324" t="n"/>
      <c r="BF136" s="324" t="n"/>
      <c r="BG136" s="324" t="n"/>
      <c r="BH136" s="324" t="n"/>
      <c r="BI136" s="324" t="n"/>
      <c r="BJ136" s="324" t="n"/>
      <c r="BK136" s="288" t="n"/>
      <c r="BL136" s="324" t="n"/>
      <c r="BM136" s="324" t="n"/>
      <c r="BN136" s="324" t="n"/>
      <c r="BO136" s="324" t="n"/>
      <c r="BP136" s="324" t="n"/>
      <c r="BQ136" s="324" t="n"/>
      <c r="BR136" s="324" t="n"/>
      <c r="BS136" s="324" t="n"/>
      <c r="BT136" s="324" t="n"/>
      <c r="BU136" s="324" t="n"/>
      <c r="BV136" s="324" t="n"/>
      <c r="BW136" s="324" t="n"/>
      <c r="BX136" s="324" t="n"/>
      <c r="BY136" s="324" t="n"/>
      <c r="BZ136" s="324" t="n"/>
      <c r="CA136" s="324" t="n"/>
      <c r="CB136" s="324" t="n"/>
      <c r="CC136" s="324" t="n"/>
      <c r="CD136" s="324" t="n"/>
      <c r="CE136" s="324" t="n"/>
      <c r="CF136" s="324" t="n"/>
      <c r="CG136" s="324" t="n"/>
      <c r="CH136" s="324" t="n"/>
      <c r="CI136" s="324" t="n"/>
      <c r="CJ136" s="324" t="n"/>
      <c r="CK136" s="324" t="n"/>
      <c r="CL136" s="324" t="n"/>
      <c r="CM136" s="324" t="n"/>
      <c r="CN136" s="324" t="n"/>
      <c r="CW136" s="324" t="n"/>
      <c r="CX136" s="324" t="n"/>
      <c r="CY136" s="324" t="n"/>
      <c r="CZ136" s="324" t="n"/>
      <c r="DA136" s="324" t="n"/>
      <c r="DB136" s="324" t="n"/>
      <c r="DC136" s="324" t="n"/>
      <c r="DD136" s="324" t="n"/>
      <c r="DE136" s="325" t="n"/>
      <c r="DF136" s="325" t="n"/>
    </row>
    <row r="137" customFormat="1" s="62">
      <c r="A137" s="326" t="n"/>
      <c r="B137" s="28" t="n"/>
      <c r="C137" s="15" t="n"/>
      <c r="D137" s="15" t="n"/>
      <c r="E137" s="28" t="n"/>
      <c r="F137" s="15" t="n"/>
      <c r="G137" s="15" t="n"/>
      <c r="H137" s="28" t="n"/>
      <c r="I137" s="15" t="n"/>
      <c r="J137" s="15" t="n"/>
      <c r="K137" s="28" t="n"/>
      <c r="L137" s="15" t="n"/>
      <c r="M137" s="15" t="n"/>
      <c r="N137" s="28" t="n"/>
      <c r="O137" s="15" t="n"/>
      <c r="P137" s="15" t="n"/>
      <c r="Q137" s="28" t="n"/>
      <c r="R137" s="15" t="n"/>
      <c r="S137" s="15" t="n"/>
      <c r="T137" s="28" t="n"/>
      <c r="U137" s="15" t="n"/>
      <c r="V137" s="15" t="n"/>
      <c r="W137" s="28" t="n"/>
      <c r="X137" s="15" t="n"/>
      <c r="Y137" s="15" t="n"/>
      <c r="Z137" s="28" t="n"/>
      <c r="AA137" s="15" t="n"/>
      <c r="AB137" s="15" t="n"/>
      <c r="AC137" s="28" t="n"/>
      <c r="AD137" s="15" t="n"/>
      <c r="AE137" s="15" t="n"/>
      <c r="AF137" s="28" t="n"/>
      <c r="AG137" s="15" t="n"/>
      <c r="AH137" s="15" t="n"/>
      <c r="AI137" s="28" t="n"/>
      <c r="AJ137" s="15" t="n"/>
      <c r="AK137" s="15" t="n"/>
      <c r="AL137" s="28" t="n"/>
      <c r="AM137" s="327" t="n"/>
      <c r="AN137" s="327" t="n"/>
      <c r="AO137" s="28" t="n"/>
      <c r="AP137" s="327" t="n"/>
      <c r="AQ137" s="327" t="n"/>
      <c r="AR137" s="28" t="n"/>
      <c r="AS137" s="327" t="n"/>
      <c r="AT137" s="327" t="n"/>
      <c r="AU137" s="28" t="n"/>
      <c r="AV137" s="327" t="n"/>
      <c r="AW137" s="327" t="n"/>
      <c r="AX137" s="28" t="n"/>
      <c r="AY137" s="15" t="n"/>
      <c r="AZ137" s="15" t="n"/>
      <c r="BA137" s="324" t="n"/>
      <c r="BB137" s="324" t="n"/>
      <c r="BC137" s="324" t="n"/>
      <c r="BD137" s="324" t="n"/>
      <c r="BE137" s="324" t="n"/>
      <c r="BF137" s="324" t="n"/>
      <c r="BG137" s="324" t="n"/>
      <c r="BH137" s="324" t="n"/>
      <c r="BI137" s="324" t="n"/>
      <c r="BJ137" s="324" t="n"/>
      <c r="BK137" s="288" t="n"/>
      <c r="BL137" s="324" t="n"/>
      <c r="BM137" s="324" t="n"/>
      <c r="BN137" s="324" t="n"/>
      <c r="BO137" s="324" t="n"/>
      <c r="BP137" s="324" t="n"/>
      <c r="BQ137" s="324" t="n"/>
      <c r="BR137" s="324" t="n"/>
      <c r="BS137" s="324" t="n"/>
      <c r="BT137" s="324" t="n"/>
      <c r="BU137" s="324" t="n"/>
      <c r="BV137" s="324" t="n"/>
      <c r="BW137" s="324" t="n"/>
      <c r="BX137" s="324" t="n"/>
      <c r="BY137" s="324" t="n"/>
      <c r="BZ137" s="324" t="n"/>
      <c r="CA137" s="324" t="n"/>
      <c r="CB137" s="324" t="n"/>
      <c r="CC137" s="324" t="n"/>
      <c r="CD137" s="324" t="n"/>
      <c r="CE137" s="324" t="n"/>
      <c r="CF137" s="324" t="n"/>
      <c r="CG137" s="324" t="n"/>
      <c r="CH137" s="324" t="n"/>
      <c r="CI137" s="324" t="n"/>
      <c r="CJ137" s="324" t="n"/>
      <c r="CK137" s="324" t="n"/>
      <c r="CL137" s="324" t="n"/>
      <c r="CM137" s="324" t="n"/>
      <c r="CN137" s="324" t="n"/>
      <c r="CW137" s="324" t="n"/>
      <c r="CX137" s="324" t="n"/>
      <c r="CY137" s="324" t="n"/>
      <c r="CZ137" s="324" t="n"/>
      <c r="DA137" s="324" t="n"/>
      <c r="DB137" s="324" t="n"/>
      <c r="DC137" s="324" t="n"/>
      <c r="DD137" s="324" t="n"/>
      <c r="DE137" s="325" t="n"/>
      <c r="DF137" s="325" t="n"/>
    </row>
    <row r="138" customFormat="1" s="62">
      <c r="A138" s="326" t="n"/>
      <c r="B138" s="28" t="n"/>
      <c r="C138" s="15" t="n"/>
      <c r="D138" s="15" t="n"/>
      <c r="E138" s="28" t="n"/>
      <c r="F138" s="15" t="n"/>
      <c r="G138" s="15" t="n"/>
      <c r="H138" s="28" t="n"/>
      <c r="I138" s="15" t="n"/>
      <c r="J138" s="15" t="n"/>
      <c r="K138" s="28" t="n"/>
      <c r="L138" s="15" t="n"/>
      <c r="M138" s="15" t="n"/>
      <c r="N138" s="28" t="n"/>
      <c r="O138" s="15" t="n"/>
      <c r="P138" s="15" t="n"/>
      <c r="Q138" s="28" t="n"/>
      <c r="R138" s="15" t="n"/>
      <c r="S138" s="15" t="n"/>
      <c r="T138" s="28" t="n"/>
      <c r="U138" s="15" t="n"/>
      <c r="V138" s="15" t="n"/>
      <c r="W138" s="28" t="n"/>
      <c r="X138" s="15" t="n"/>
      <c r="Y138" s="15" t="n"/>
      <c r="Z138" s="28" t="n"/>
      <c r="AA138" s="15" t="n"/>
      <c r="AB138" s="15" t="n"/>
      <c r="AC138" s="28" t="n"/>
      <c r="AD138" s="15" t="n"/>
      <c r="AE138" s="15" t="n"/>
      <c r="AF138" s="28" t="n"/>
      <c r="AG138" s="15" t="n"/>
      <c r="AH138" s="15" t="n"/>
      <c r="AI138" s="28" t="n"/>
      <c r="AJ138" s="15" t="n"/>
      <c r="AK138" s="15" t="n"/>
      <c r="AL138" s="28" t="n"/>
      <c r="AM138" s="327" t="n"/>
      <c r="AN138" s="327" t="n"/>
      <c r="AO138" s="28" t="n"/>
      <c r="AP138" s="327" t="n"/>
      <c r="AQ138" s="327" t="n"/>
      <c r="AR138" s="28" t="n"/>
      <c r="AS138" s="327" t="n"/>
      <c r="AT138" s="327" t="n"/>
      <c r="AU138" s="28" t="n"/>
      <c r="AV138" s="327" t="n"/>
      <c r="AW138" s="327" t="n"/>
      <c r="AX138" s="28" t="n"/>
      <c r="AY138" s="15" t="n"/>
      <c r="AZ138" s="15" t="n"/>
      <c r="BA138" s="324" t="n"/>
      <c r="BB138" s="324" t="n"/>
      <c r="BC138" s="324" t="n"/>
      <c r="BD138" s="324" t="n"/>
      <c r="BE138" s="324" t="n"/>
      <c r="BF138" s="324" t="n"/>
      <c r="BG138" s="324" t="n"/>
      <c r="BH138" s="324" t="n"/>
      <c r="BI138" s="324" t="n"/>
      <c r="BJ138" s="324" t="n"/>
      <c r="BK138" s="288" t="n"/>
      <c r="BL138" s="324" t="n"/>
      <c r="BM138" s="324" t="n"/>
      <c r="BN138" s="324" t="n"/>
      <c r="BO138" s="324" t="n"/>
      <c r="BP138" s="324" t="n"/>
      <c r="BQ138" s="324" t="n"/>
      <c r="BR138" s="324" t="n"/>
      <c r="BS138" s="324" t="n"/>
      <c r="BT138" s="324" t="n"/>
      <c r="BU138" s="324" t="n"/>
      <c r="BV138" s="324" t="n"/>
      <c r="BW138" s="324" t="n"/>
      <c r="BX138" s="324" t="n"/>
      <c r="BY138" s="324" t="n"/>
      <c r="BZ138" s="324" t="n"/>
      <c r="CA138" s="324" t="n"/>
      <c r="CB138" s="324" t="n"/>
      <c r="CC138" s="324" t="n"/>
      <c r="CD138" s="324" t="n"/>
      <c r="CE138" s="324" t="n"/>
      <c r="CF138" s="324" t="n"/>
      <c r="CG138" s="324" t="n"/>
      <c r="CH138" s="324" t="n"/>
      <c r="CI138" s="324" t="n"/>
      <c r="CJ138" s="324" t="n"/>
      <c r="CK138" s="324" t="n"/>
      <c r="CL138" s="324" t="n"/>
      <c r="CM138" s="324" t="n"/>
      <c r="CN138" s="324" t="n"/>
      <c r="CW138" s="324" t="n"/>
      <c r="CX138" s="324" t="n"/>
      <c r="CY138" s="324" t="n"/>
      <c r="CZ138" s="324" t="n"/>
      <c r="DA138" s="324" t="n"/>
      <c r="DB138" s="324" t="n"/>
      <c r="DC138" s="324" t="n"/>
      <c r="DD138" s="324" t="n"/>
      <c r="DE138" s="325" t="n"/>
      <c r="DF138" s="325" t="n"/>
    </row>
    <row r="139" customFormat="1" s="62">
      <c r="A139" s="326" t="n"/>
      <c r="B139" s="28" t="n"/>
      <c r="C139" s="15" t="n"/>
      <c r="D139" s="15" t="n"/>
      <c r="E139" s="28" t="n"/>
      <c r="F139" s="15" t="n"/>
      <c r="G139" s="15" t="n"/>
      <c r="H139" s="28" t="n"/>
      <c r="I139" s="15" t="n"/>
      <c r="J139" s="15" t="n"/>
      <c r="K139" s="28" t="n"/>
      <c r="L139" s="15" t="n"/>
      <c r="M139" s="15" t="n"/>
      <c r="N139" s="28" t="n"/>
      <c r="O139" s="15" t="n"/>
      <c r="P139" s="15" t="n"/>
      <c r="Q139" s="28" t="n"/>
      <c r="R139" s="15" t="n"/>
      <c r="S139" s="15" t="n"/>
      <c r="T139" s="28" t="n"/>
      <c r="U139" s="15" t="n"/>
      <c r="V139" s="15" t="n"/>
      <c r="W139" s="28" t="n"/>
      <c r="X139" s="15" t="n"/>
      <c r="Y139" s="15" t="n"/>
      <c r="Z139" s="28" t="n"/>
      <c r="AA139" s="15" t="n"/>
      <c r="AB139" s="15" t="n"/>
      <c r="AC139" s="28" t="n"/>
      <c r="AD139" s="15" t="n"/>
      <c r="AE139" s="15" t="n"/>
      <c r="AF139" s="28" t="n"/>
      <c r="AG139" s="15" t="n"/>
      <c r="AH139" s="15" t="n"/>
      <c r="AI139" s="28" t="n"/>
      <c r="AJ139" s="15" t="n"/>
      <c r="AK139" s="15" t="n"/>
      <c r="AL139" s="28" t="n"/>
      <c r="AM139" s="327" t="n"/>
      <c r="AN139" s="327" t="n"/>
      <c r="AO139" s="28" t="n"/>
      <c r="AP139" s="327" t="n"/>
      <c r="AQ139" s="327" t="n"/>
      <c r="AR139" s="28" t="n"/>
      <c r="AS139" s="327" t="n"/>
      <c r="AT139" s="327" t="n"/>
      <c r="AU139" s="28" t="n"/>
      <c r="AV139" s="327" t="n"/>
      <c r="AW139" s="327" t="n"/>
      <c r="AX139" s="28" t="n"/>
      <c r="AY139" s="15" t="n"/>
      <c r="AZ139" s="15" t="n"/>
      <c r="BA139" s="324" t="n"/>
      <c r="BB139" s="324" t="n"/>
      <c r="BC139" s="324" t="n"/>
      <c r="BD139" s="324" t="n"/>
      <c r="BE139" s="324" t="n"/>
      <c r="BF139" s="324" t="n"/>
      <c r="BG139" s="324" t="n"/>
      <c r="BH139" s="324" t="n"/>
      <c r="BI139" s="324" t="n"/>
      <c r="BJ139" s="324" t="n"/>
      <c r="BK139" s="288" t="n"/>
      <c r="BL139" s="324" t="n"/>
      <c r="BM139" s="324" t="n"/>
      <c r="BN139" s="324" t="n"/>
      <c r="BO139" s="324" t="n"/>
      <c r="BP139" s="324" t="n"/>
      <c r="BQ139" s="324" t="n"/>
      <c r="BR139" s="324" t="n"/>
      <c r="BS139" s="324" t="n"/>
      <c r="BT139" s="324" t="n"/>
      <c r="BU139" s="324" t="n"/>
      <c r="BV139" s="324" t="n"/>
      <c r="BW139" s="324" t="n"/>
      <c r="BX139" s="324" t="n"/>
      <c r="BY139" s="324" t="n"/>
      <c r="BZ139" s="324" t="n"/>
      <c r="CA139" s="324" t="n"/>
      <c r="CB139" s="324" t="n"/>
      <c r="CC139" s="324" t="n"/>
      <c r="CD139" s="324" t="n"/>
      <c r="CE139" s="324" t="n"/>
      <c r="CF139" s="324" t="n"/>
      <c r="CG139" s="324" t="n"/>
      <c r="CH139" s="324" t="n"/>
      <c r="CI139" s="324" t="n"/>
      <c r="CJ139" s="324" t="n"/>
      <c r="CK139" s="324" t="n"/>
      <c r="CL139" s="324" t="n"/>
      <c r="CM139" s="324" t="n"/>
      <c r="CN139" s="324" t="n"/>
      <c r="CW139" s="324" t="n"/>
      <c r="CX139" s="324" t="n"/>
      <c r="CY139" s="324" t="n"/>
      <c r="CZ139" s="324" t="n"/>
      <c r="DA139" s="324" t="n"/>
      <c r="DB139" s="324" t="n"/>
      <c r="DC139" s="324" t="n"/>
      <c r="DD139" s="324" t="n"/>
      <c r="DE139" s="325" t="n"/>
      <c r="DF139" s="325" t="n"/>
    </row>
    <row r="140" customFormat="1" s="62">
      <c r="A140" s="326" t="n"/>
      <c r="B140" s="28" t="n"/>
      <c r="C140" s="15" t="n"/>
      <c r="D140" s="15" t="n"/>
      <c r="E140" s="28" t="n"/>
      <c r="F140" s="15" t="n"/>
      <c r="G140" s="15" t="n"/>
      <c r="H140" s="28" t="n"/>
      <c r="I140" s="15" t="n"/>
      <c r="J140" s="15" t="n"/>
      <c r="K140" s="28" t="n"/>
      <c r="L140" s="15" t="n"/>
      <c r="M140" s="15" t="n"/>
      <c r="N140" s="28" t="n"/>
      <c r="O140" s="15" t="n"/>
      <c r="P140" s="15" t="n"/>
      <c r="Q140" s="28" t="n"/>
      <c r="R140" s="15" t="n"/>
      <c r="S140" s="15" t="n"/>
      <c r="T140" s="28" t="n"/>
      <c r="U140" s="15" t="n"/>
      <c r="V140" s="15" t="n"/>
      <c r="W140" s="28" t="n"/>
      <c r="X140" s="15" t="n"/>
      <c r="Y140" s="15" t="n"/>
      <c r="Z140" s="28" t="n"/>
      <c r="AA140" s="15" t="n"/>
      <c r="AB140" s="15" t="n"/>
      <c r="AC140" s="28" t="n"/>
      <c r="AD140" s="15" t="n"/>
      <c r="AE140" s="15" t="n"/>
      <c r="AF140" s="28" t="n"/>
      <c r="AG140" s="15" t="n"/>
      <c r="AH140" s="15" t="n"/>
      <c r="AI140" s="28" t="n"/>
      <c r="AJ140" s="15" t="n"/>
      <c r="AK140" s="15" t="n"/>
      <c r="AL140" s="28" t="n"/>
      <c r="AM140" s="327" t="n"/>
      <c r="AN140" s="327" t="n"/>
      <c r="AO140" s="28" t="n"/>
      <c r="AP140" s="327" t="n"/>
      <c r="AQ140" s="327" t="n"/>
      <c r="AR140" s="28" t="n"/>
      <c r="AS140" s="327" t="n"/>
      <c r="AT140" s="327" t="n"/>
      <c r="AU140" s="28" t="n"/>
      <c r="AV140" s="327" t="n"/>
      <c r="AW140" s="327" t="n"/>
      <c r="AX140" s="28" t="n"/>
      <c r="AY140" s="15" t="n"/>
      <c r="AZ140" s="15" t="n"/>
      <c r="BA140" s="324" t="n"/>
      <c r="BB140" s="324" t="n"/>
      <c r="BC140" s="324" t="n"/>
      <c r="BD140" s="324" t="n"/>
      <c r="BE140" s="324" t="n"/>
      <c r="BF140" s="324" t="n"/>
      <c r="BG140" s="324" t="n"/>
      <c r="BH140" s="324" t="n"/>
      <c r="BI140" s="324" t="n"/>
      <c r="BJ140" s="324" t="n"/>
      <c r="BK140" s="288" t="n"/>
      <c r="BL140" s="324" t="n"/>
      <c r="BM140" s="324" t="n"/>
      <c r="BN140" s="324" t="n"/>
      <c r="BO140" s="324" t="n"/>
      <c r="BP140" s="324" t="n"/>
      <c r="BQ140" s="324" t="n"/>
      <c r="BR140" s="324" t="n"/>
      <c r="BS140" s="324" t="n"/>
      <c r="BT140" s="324" t="n"/>
      <c r="BU140" s="324" t="n"/>
      <c r="BV140" s="324" t="n"/>
      <c r="BW140" s="324" t="n"/>
      <c r="BX140" s="324" t="n"/>
      <c r="BY140" s="324" t="n"/>
      <c r="BZ140" s="324" t="n"/>
      <c r="CA140" s="324" t="n"/>
      <c r="CB140" s="324" t="n"/>
      <c r="CC140" s="324" t="n"/>
      <c r="CD140" s="324" t="n"/>
      <c r="CE140" s="324" t="n"/>
      <c r="CF140" s="324" t="n"/>
      <c r="CG140" s="324" t="n"/>
      <c r="CH140" s="324" t="n"/>
      <c r="CI140" s="324" t="n"/>
      <c r="CJ140" s="324" t="n"/>
      <c r="CK140" s="324" t="n"/>
      <c r="CL140" s="324" t="n"/>
      <c r="CM140" s="324" t="n"/>
      <c r="CN140" s="324" t="n"/>
      <c r="CW140" s="324" t="n"/>
      <c r="CX140" s="324" t="n"/>
      <c r="CY140" s="324" t="n"/>
      <c r="CZ140" s="324" t="n"/>
      <c r="DA140" s="324" t="n"/>
      <c r="DB140" s="324" t="n"/>
      <c r="DC140" s="324" t="n"/>
      <c r="DD140" s="324" t="n"/>
      <c r="DE140" s="325" t="n"/>
      <c r="DF140" s="325" t="n"/>
    </row>
    <row r="141" customFormat="1" s="62">
      <c r="A141" s="326" t="n"/>
      <c r="B141" s="28" t="n"/>
      <c r="C141" s="15" t="n"/>
      <c r="D141" s="15" t="n"/>
      <c r="E141" s="28" t="n"/>
      <c r="F141" s="15" t="n"/>
      <c r="G141" s="15" t="n"/>
      <c r="H141" s="28" t="n"/>
      <c r="I141" s="15" t="n"/>
      <c r="J141" s="15" t="n"/>
      <c r="K141" s="28" t="n"/>
      <c r="L141" s="15" t="n"/>
      <c r="M141" s="15" t="n"/>
      <c r="N141" s="28" t="n"/>
      <c r="O141" s="15" t="n"/>
      <c r="P141" s="15" t="n"/>
      <c r="Q141" s="28" t="n"/>
      <c r="R141" s="15" t="n"/>
      <c r="S141" s="15" t="n"/>
      <c r="T141" s="28" t="n"/>
      <c r="U141" s="15" t="n"/>
      <c r="V141" s="15" t="n"/>
      <c r="W141" s="28" t="n"/>
      <c r="X141" s="15" t="n"/>
      <c r="Y141" s="15" t="n"/>
      <c r="Z141" s="28" t="n"/>
      <c r="AA141" s="15" t="n"/>
      <c r="AB141" s="15" t="n"/>
      <c r="AC141" s="28" t="n"/>
      <c r="AD141" s="15" t="n"/>
      <c r="AE141" s="15" t="n"/>
      <c r="AF141" s="28" t="n"/>
      <c r="AG141" s="15" t="n"/>
      <c r="AH141" s="15" t="n"/>
      <c r="AI141" s="28" t="n"/>
      <c r="AJ141" s="15" t="n"/>
      <c r="AK141" s="15" t="n"/>
      <c r="AL141" s="28" t="n"/>
      <c r="AM141" s="327" t="n"/>
      <c r="AN141" s="327" t="n"/>
      <c r="AO141" s="28" t="n"/>
      <c r="AP141" s="327" t="n"/>
      <c r="AQ141" s="327" t="n"/>
      <c r="AR141" s="28" t="n"/>
      <c r="AS141" s="327" t="n"/>
      <c r="AT141" s="327" t="n"/>
      <c r="AU141" s="28" t="n"/>
      <c r="AV141" s="327" t="n"/>
      <c r="AW141" s="327" t="n"/>
      <c r="AX141" s="28" t="n"/>
      <c r="AY141" s="15" t="n"/>
      <c r="AZ141" s="15" t="n"/>
      <c r="BA141" s="324" t="n"/>
      <c r="BB141" s="324" t="n"/>
      <c r="BC141" s="324" t="n"/>
      <c r="BD141" s="324" t="n"/>
      <c r="BE141" s="324" t="n"/>
      <c r="BF141" s="324" t="n"/>
      <c r="BG141" s="324" t="n"/>
      <c r="BH141" s="324" t="n"/>
      <c r="BI141" s="324" t="n"/>
      <c r="BJ141" s="324" t="n"/>
      <c r="BK141" s="288" t="n"/>
      <c r="BL141" s="324" t="n"/>
      <c r="BM141" s="324" t="n"/>
      <c r="BN141" s="324" t="n"/>
      <c r="BO141" s="324" t="n"/>
      <c r="BP141" s="324" t="n"/>
      <c r="BQ141" s="324" t="n"/>
      <c r="BR141" s="324" t="n"/>
      <c r="BS141" s="324" t="n"/>
      <c r="BT141" s="324" t="n"/>
      <c r="BU141" s="324" t="n"/>
      <c r="BV141" s="324" t="n"/>
      <c r="BW141" s="324" t="n"/>
      <c r="BX141" s="324" t="n"/>
      <c r="BY141" s="324" t="n"/>
      <c r="BZ141" s="324" t="n"/>
      <c r="CA141" s="324" t="n"/>
      <c r="CB141" s="324" t="n"/>
      <c r="CC141" s="324" t="n"/>
      <c r="CD141" s="324" t="n"/>
      <c r="CE141" s="324" t="n"/>
      <c r="CF141" s="324" t="n"/>
      <c r="CG141" s="324" t="n"/>
      <c r="CH141" s="324" t="n"/>
      <c r="CI141" s="324" t="n"/>
      <c r="CJ141" s="324" t="n"/>
      <c r="CK141" s="324" t="n"/>
      <c r="CL141" s="324" t="n"/>
      <c r="CM141" s="324" t="n"/>
      <c r="CN141" s="324" t="n"/>
      <c r="CW141" s="324" t="n"/>
      <c r="CX141" s="324" t="n"/>
      <c r="CY141" s="324" t="n"/>
      <c r="CZ141" s="324" t="n"/>
      <c r="DA141" s="324" t="n"/>
      <c r="DB141" s="324" t="n"/>
      <c r="DC141" s="324" t="n"/>
      <c r="DD141" s="324" t="n"/>
      <c r="DE141" s="325" t="n"/>
      <c r="DF141" s="325" t="n"/>
    </row>
    <row r="142" customFormat="1" s="62">
      <c r="A142" s="326" t="n"/>
      <c r="B142" s="28" t="n"/>
      <c r="C142" s="15" t="n"/>
      <c r="D142" s="15" t="n"/>
      <c r="E142" s="28" t="n"/>
      <c r="F142" s="15" t="n"/>
      <c r="G142" s="15" t="n"/>
      <c r="H142" s="28" t="n"/>
      <c r="I142" s="15" t="n"/>
      <c r="J142" s="15" t="n"/>
      <c r="K142" s="28" t="n"/>
      <c r="L142" s="15" t="n"/>
      <c r="M142" s="15" t="n"/>
      <c r="N142" s="28" t="n"/>
      <c r="O142" s="15" t="n"/>
      <c r="P142" s="15" t="n"/>
      <c r="Q142" s="28" t="n"/>
      <c r="R142" s="15" t="n"/>
      <c r="S142" s="15" t="n"/>
      <c r="T142" s="28" t="n"/>
      <c r="U142" s="15" t="n"/>
      <c r="V142" s="15" t="n"/>
      <c r="W142" s="28" t="n"/>
      <c r="X142" s="15" t="n"/>
      <c r="Y142" s="15" t="n"/>
      <c r="Z142" s="28" t="n"/>
      <c r="AA142" s="15" t="n"/>
      <c r="AB142" s="15" t="n"/>
      <c r="AC142" s="28" t="n"/>
      <c r="AD142" s="15" t="n"/>
      <c r="AE142" s="15" t="n"/>
      <c r="AF142" s="28" t="n"/>
      <c r="AG142" s="15" t="n"/>
      <c r="AH142" s="15" t="n"/>
      <c r="AI142" s="28" t="n"/>
      <c r="AJ142" s="15" t="n"/>
      <c r="AK142" s="15" t="n"/>
      <c r="AL142" s="28" t="n"/>
      <c r="AM142" s="327" t="n"/>
      <c r="AN142" s="327" t="n"/>
      <c r="AO142" s="28" t="n"/>
      <c r="AP142" s="327" t="n"/>
      <c r="AQ142" s="327" t="n"/>
      <c r="AR142" s="28" t="n"/>
      <c r="AS142" s="327" t="n"/>
      <c r="AT142" s="327" t="n"/>
      <c r="AU142" s="28" t="n"/>
      <c r="AV142" s="327" t="n"/>
      <c r="AW142" s="327" t="n"/>
      <c r="AX142" s="28" t="n"/>
      <c r="AY142" s="15" t="n"/>
      <c r="AZ142" s="15" t="n"/>
      <c r="BA142" s="324" t="n"/>
      <c r="BB142" s="324" t="n"/>
      <c r="BC142" s="324" t="n"/>
      <c r="BD142" s="324" t="n"/>
      <c r="BE142" s="324" t="n"/>
      <c r="BF142" s="324" t="n"/>
      <c r="BG142" s="324" t="n"/>
      <c r="BH142" s="324" t="n"/>
      <c r="BI142" s="324" t="n"/>
      <c r="BJ142" s="324" t="n"/>
      <c r="BK142" s="288" t="n"/>
      <c r="BL142" s="324" t="n"/>
      <c r="BM142" s="324" t="n"/>
      <c r="BN142" s="324" t="n"/>
      <c r="BO142" s="324" t="n"/>
      <c r="BP142" s="324" t="n"/>
      <c r="BQ142" s="324" t="n"/>
      <c r="BR142" s="324" t="n"/>
      <c r="BS142" s="324" t="n"/>
      <c r="BT142" s="324" t="n"/>
      <c r="BU142" s="324" t="n"/>
      <c r="BV142" s="324" t="n"/>
      <c r="BW142" s="324" t="n"/>
      <c r="BX142" s="324" t="n"/>
      <c r="BY142" s="324" t="n"/>
      <c r="BZ142" s="324" t="n"/>
      <c r="CA142" s="324" t="n"/>
      <c r="CB142" s="324" t="n"/>
      <c r="CC142" s="324" t="n"/>
      <c r="CD142" s="324" t="n"/>
      <c r="CE142" s="324" t="n"/>
      <c r="CF142" s="324" t="n"/>
      <c r="CG142" s="324" t="n"/>
      <c r="CH142" s="324" t="n"/>
      <c r="CI142" s="324" t="n"/>
      <c r="CJ142" s="324" t="n"/>
      <c r="CK142" s="324" t="n"/>
      <c r="CL142" s="324" t="n"/>
      <c r="CM142" s="324" t="n"/>
      <c r="CN142" s="324" t="n"/>
      <c r="CW142" s="324" t="n"/>
      <c r="CX142" s="324" t="n"/>
      <c r="CY142" s="324" t="n"/>
      <c r="CZ142" s="324" t="n"/>
      <c r="DA142" s="324" t="n"/>
      <c r="DB142" s="324" t="n"/>
      <c r="DC142" s="324" t="n"/>
      <c r="DD142" s="324" t="n"/>
      <c r="DE142" s="325" t="n"/>
      <c r="DF142" s="325" t="n"/>
    </row>
    <row r="143" customFormat="1" s="62">
      <c r="A143" s="326" t="n"/>
      <c r="B143" s="28" t="n"/>
      <c r="C143" s="15" t="n"/>
      <c r="D143" s="15" t="n"/>
      <c r="E143" s="28" t="n"/>
      <c r="F143" s="15" t="n"/>
      <c r="G143" s="15" t="n"/>
      <c r="H143" s="28" t="n"/>
      <c r="I143" s="15" t="n"/>
      <c r="J143" s="15" t="n"/>
      <c r="K143" s="28" t="n"/>
      <c r="L143" s="15" t="n"/>
      <c r="M143" s="15" t="n"/>
      <c r="N143" s="28" t="n"/>
      <c r="O143" s="15" t="n"/>
      <c r="P143" s="15" t="n"/>
      <c r="Q143" s="28" t="n"/>
      <c r="R143" s="15" t="n"/>
      <c r="S143" s="15" t="n"/>
      <c r="T143" s="28" t="n"/>
      <c r="U143" s="15" t="n"/>
      <c r="V143" s="15" t="n"/>
      <c r="W143" s="28" t="n"/>
      <c r="X143" s="15" t="n"/>
      <c r="Y143" s="15" t="n"/>
      <c r="Z143" s="28" t="n"/>
      <c r="AA143" s="15" t="n"/>
      <c r="AB143" s="15" t="n"/>
      <c r="AC143" s="28" t="n"/>
      <c r="AD143" s="15" t="n"/>
      <c r="AE143" s="15" t="n"/>
      <c r="AF143" s="28" t="n"/>
      <c r="AG143" s="15" t="n"/>
      <c r="AH143" s="15" t="n"/>
      <c r="AI143" s="28" t="n"/>
      <c r="AJ143" s="15" t="n"/>
      <c r="AK143" s="15" t="n"/>
      <c r="AL143" s="28" t="n"/>
      <c r="AM143" s="327" t="n"/>
      <c r="AN143" s="327" t="n"/>
      <c r="AO143" s="28" t="n"/>
      <c r="AP143" s="327" t="n"/>
      <c r="AQ143" s="327" t="n"/>
      <c r="AR143" s="28" t="n"/>
      <c r="AS143" s="327" t="n"/>
      <c r="AT143" s="327" t="n"/>
      <c r="AU143" s="28" t="n"/>
      <c r="AV143" s="327" t="n"/>
      <c r="AW143" s="327" t="n"/>
      <c r="AX143" s="28" t="n"/>
      <c r="AY143" s="15" t="n"/>
      <c r="AZ143" s="15" t="n"/>
      <c r="BA143" s="324" t="n"/>
      <c r="BB143" s="324" t="n"/>
      <c r="BC143" s="324" t="n"/>
      <c r="BD143" s="324" t="n"/>
      <c r="BE143" s="324" t="n"/>
      <c r="BF143" s="324" t="n"/>
      <c r="BG143" s="324" t="n"/>
      <c r="BH143" s="324" t="n"/>
      <c r="BI143" s="324" t="n"/>
      <c r="BJ143" s="324" t="n"/>
      <c r="BK143" s="288" t="n"/>
      <c r="BL143" s="324" t="n"/>
      <c r="BM143" s="324" t="n"/>
      <c r="BN143" s="324" t="n"/>
      <c r="BO143" s="324" t="n"/>
      <c r="BP143" s="324" t="n"/>
      <c r="BQ143" s="324" t="n"/>
      <c r="BR143" s="324" t="n"/>
      <c r="BS143" s="324" t="n"/>
      <c r="BT143" s="324" t="n"/>
      <c r="BU143" s="324" t="n"/>
      <c r="BV143" s="324" t="n"/>
      <c r="BW143" s="324" t="n"/>
      <c r="BX143" s="324" t="n"/>
      <c r="BY143" s="324" t="n"/>
      <c r="BZ143" s="324" t="n"/>
      <c r="CA143" s="324" t="n"/>
      <c r="CB143" s="324" t="n"/>
      <c r="CC143" s="324" t="n"/>
      <c r="CD143" s="324" t="n"/>
      <c r="CE143" s="324" t="n"/>
      <c r="CF143" s="324" t="n"/>
      <c r="CG143" s="324" t="n"/>
      <c r="CH143" s="324" t="n"/>
      <c r="CI143" s="324" t="n"/>
      <c r="CJ143" s="324" t="n"/>
      <c r="CK143" s="324" t="n"/>
      <c r="CL143" s="324" t="n"/>
      <c r="CM143" s="324" t="n"/>
      <c r="CN143" s="324" t="n"/>
      <c r="CW143" s="324" t="n"/>
      <c r="CX143" s="324" t="n"/>
      <c r="CY143" s="324" t="n"/>
      <c r="CZ143" s="324" t="n"/>
      <c r="DA143" s="324" t="n"/>
      <c r="DB143" s="324" t="n"/>
      <c r="DC143" s="324" t="n"/>
      <c r="DD143" s="324" t="n"/>
      <c r="DE143" s="325" t="n"/>
      <c r="DF143" s="325" t="n"/>
    </row>
    <row r="144" customFormat="1" s="62">
      <c r="A144" s="326" t="n"/>
      <c r="B144" s="28" t="n"/>
      <c r="C144" s="15" t="n"/>
      <c r="D144" s="15" t="n"/>
      <c r="E144" s="28" t="n"/>
      <c r="F144" s="15" t="n"/>
      <c r="G144" s="15" t="n"/>
      <c r="H144" s="28" t="n"/>
      <c r="I144" s="15" t="n"/>
      <c r="J144" s="15" t="n"/>
      <c r="K144" s="28" t="n"/>
      <c r="L144" s="15" t="n"/>
      <c r="M144" s="15" t="n"/>
      <c r="N144" s="28" t="n"/>
      <c r="O144" s="15" t="n"/>
      <c r="P144" s="15" t="n"/>
      <c r="Q144" s="28" t="n"/>
      <c r="R144" s="15" t="n"/>
      <c r="S144" s="15" t="n"/>
      <c r="T144" s="28" t="n"/>
      <c r="U144" s="15" t="n"/>
      <c r="V144" s="15" t="n"/>
      <c r="W144" s="28" t="n"/>
      <c r="X144" s="15" t="n"/>
      <c r="Y144" s="15" t="n"/>
      <c r="Z144" s="28" t="n"/>
      <c r="AA144" s="15" t="n"/>
      <c r="AB144" s="15" t="n"/>
      <c r="AC144" s="28" t="n"/>
      <c r="AD144" s="15" t="n"/>
      <c r="AE144" s="15" t="n"/>
      <c r="AF144" s="28" t="n"/>
      <c r="AG144" s="15" t="n"/>
      <c r="AH144" s="15" t="n"/>
      <c r="AI144" s="28" t="n"/>
      <c r="AJ144" s="15" t="n"/>
      <c r="AK144" s="15" t="n"/>
      <c r="AL144" s="28" t="n"/>
      <c r="AM144" s="327" t="n"/>
      <c r="AN144" s="327" t="n"/>
      <c r="AO144" s="28" t="n"/>
      <c r="AP144" s="327" t="n"/>
      <c r="AQ144" s="327" t="n"/>
      <c r="AR144" s="28" t="n"/>
      <c r="AS144" s="327" t="n"/>
      <c r="AT144" s="327" t="n"/>
      <c r="AU144" s="28" t="n"/>
      <c r="AV144" s="327" t="n"/>
      <c r="AW144" s="327" t="n"/>
      <c r="AX144" s="28" t="n"/>
      <c r="AY144" s="15" t="n"/>
      <c r="AZ144" s="15" t="n"/>
      <c r="BA144" s="324" t="n"/>
      <c r="BB144" s="324" t="n"/>
      <c r="BC144" s="324" t="n"/>
      <c r="BD144" s="324" t="n"/>
      <c r="BE144" s="324" t="n"/>
      <c r="BF144" s="324" t="n"/>
      <c r="BG144" s="324" t="n"/>
      <c r="BH144" s="324" t="n"/>
      <c r="BI144" s="324" t="n"/>
      <c r="BJ144" s="324" t="n"/>
      <c r="BK144" s="288" t="n"/>
      <c r="BL144" s="324" t="n"/>
      <c r="BM144" s="324" t="n"/>
      <c r="BN144" s="324" t="n"/>
      <c r="BO144" s="324" t="n"/>
      <c r="BP144" s="324" t="n"/>
      <c r="BQ144" s="324" t="n"/>
      <c r="BR144" s="324" t="n"/>
      <c r="BS144" s="324" t="n"/>
      <c r="BT144" s="324" t="n"/>
      <c r="BU144" s="324" t="n"/>
      <c r="BV144" s="324" t="n"/>
      <c r="BW144" s="324" t="n"/>
      <c r="BX144" s="324" t="n"/>
      <c r="BY144" s="324" t="n"/>
      <c r="BZ144" s="324" t="n"/>
      <c r="CA144" s="324" t="n"/>
      <c r="CB144" s="324" t="n"/>
      <c r="CC144" s="324" t="n"/>
      <c r="CD144" s="324" t="n"/>
      <c r="CE144" s="324" t="n"/>
      <c r="CF144" s="324" t="n"/>
      <c r="CG144" s="324" t="n"/>
      <c r="CH144" s="324" t="n"/>
      <c r="CI144" s="324" t="n"/>
      <c r="CJ144" s="324" t="n"/>
      <c r="CK144" s="324" t="n"/>
      <c r="CL144" s="324" t="n"/>
      <c r="CM144" s="324" t="n"/>
      <c r="CN144" s="324" t="n"/>
      <c r="CW144" s="324" t="n"/>
      <c r="CX144" s="324" t="n"/>
      <c r="CY144" s="324" t="n"/>
      <c r="CZ144" s="324" t="n"/>
      <c r="DA144" s="324" t="n"/>
      <c r="DB144" s="324" t="n"/>
      <c r="DC144" s="324" t="n"/>
      <c r="DD144" s="324" t="n"/>
      <c r="DE144" s="325" t="n"/>
      <c r="DF144" s="325" t="n"/>
    </row>
    <row r="145" customFormat="1" s="62">
      <c r="A145" s="326" t="n"/>
      <c r="B145" s="28" t="n"/>
      <c r="C145" s="15" t="n"/>
      <c r="D145" s="15" t="n"/>
      <c r="E145" s="28" t="n"/>
      <c r="F145" s="15" t="n"/>
      <c r="G145" s="15" t="n"/>
      <c r="H145" s="28" t="n"/>
      <c r="I145" s="15" t="n"/>
      <c r="J145" s="15" t="n"/>
      <c r="K145" s="28" t="n"/>
      <c r="L145" s="15" t="n"/>
      <c r="M145" s="15" t="n"/>
      <c r="N145" s="28" t="n"/>
      <c r="O145" s="15" t="n"/>
      <c r="P145" s="15" t="n"/>
      <c r="Q145" s="28" t="n"/>
      <c r="R145" s="15" t="n"/>
      <c r="S145" s="15" t="n"/>
      <c r="T145" s="28" t="n"/>
      <c r="U145" s="15" t="n"/>
      <c r="V145" s="15" t="n"/>
      <c r="W145" s="28" t="n"/>
      <c r="X145" s="15" t="n"/>
      <c r="Y145" s="15" t="n"/>
      <c r="Z145" s="28" t="n"/>
      <c r="AA145" s="15" t="n"/>
      <c r="AB145" s="15" t="n"/>
      <c r="AC145" s="28" t="n"/>
      <c r="AD145" s="15" t="n"/>
      <c r="AE145" s="15" t="n"/>
      <c r="AF145" s="28" t="n"/>
      <c r="AG145" s="15" t="n"/>
      <c r="AH145" s="15" t="n"/>
      <c r="AI145" s="28" t="n"/>
      <c r="AJ145" s="15" t="n"/>
      <c r="AK145" s="15" t="n"/>
      <c r="AL145" s="28" t="n"/>
      <c r="AM145" s="327" t="n"/>
      <c r="AN145" s="327" t="n"/>
      <c r="AO145" s="28" t="n"/>
      <c r="AP145" s="327" t="n"/>
      <c r="AQ145" s="327" t="n"/>
      <c r="AR145" s="28" t="n"/>
      <c r="AS145" s="327" t="n"/>
      <c r="AT145" s="327" t="n"/>
      <c r="AU145" s="28" t="n"/>
      <c r="AV145" s="327" t="n"/>
      <c r="AW145" s="327" t="n"/>
      <c r="AX145" s="28" t="n"/>
      <c r="AY145" s="15" t="n"/>
      <c r="AZ145" s="15" t="n"/>
      <c r="BA145" s="324" t="n"/>
      <c r="BB145" s="324" t="n"/>
      <c r="BC145" s="324" t="n"/>
      <c r="BD145" s="324" t="n"/>
      <c r="BE145" s="324" t="n"/>
      <c r="BF145" s="324" t="n"/>
      <c r="BG145" s="324" t="n"/>
      <c r="BH145" s="324" t="n"/>
      <c r="BI145" s="324" t="n"/>
      <c r="BJ145" s="324" t="n"/>
      <c r="BK145" s="288" t="n"/>
      <c r="BL145" s="324" t="n"/>
      <c r="BM145" s="324" t="n"/>
      <c r="BN145" s="324" t="n"/>
      <c r="BO145" s="324" t="n"/>
      <c r="BP145" s="324" t="n"/>
      <c r="BQ145" s="324" t="n"/>
      <c r="BR145" s="324" t="n"/>
      <c r="BS145" s="324" t="n"/>
      <c r="BT145" s="324" t="n"/>
      <c r="BU145" s="324" t="n"/>
      <c r="BV145" s="324" t="n"/>
      <c r="BW145" s="324" t="n"/>
      <c r="BX145" s="324" t="n"/>
      <c r="BY145" s="324" t="n"/>
      <c r="BZ145" s="324" t="n"/>
      <c r="CA145" s="324" t="n"/>
      <c r="CB145" s="324" t="n"/>
      <c r="CC145" s="324" t="n"/>
      <c r="CD145" s="324" t="n"/>
      <c r="CE145" s="324" t="n"/>
      <c r="CF145" s="324" t="n"/>
      <c r="CG145" s="324" t="n"/>
      <c r="CH145" s="324" t="n"/>
      <c r="CI145" s="324" t="n"/>
      <c r="CJ145" s="324" t="n"/>
      <c r="CK145" s="324" t="n"/>
      <c r="CL145" s="324" t="n"/>
      <c r="CM145" s="324" t="n"/>
      <c r="CN145" s="324" t="n"/>
      <c r="CW145" s="324" t="n"/>
      <c r="CX145" s="324" t="n"/>
      <c r="CY145" s="324" t="n"/>
      <c r="CZ145" s="324" t="n"/>
      <c r="DA145" s="324" t="n"/>
      <c r="DB145" s="324" t="n"/>
      <c r="DC145" s="324" t="n"/>
      <c r="DD145" s="324" t="n"/>
      <c r="DE145" s="325" t="n"/>
      <c r="DF145" s="325" t="n"/>
    </row>
    <row r="146" customFormat="1" s="62">
      <c r="A146" s="326" t="n"/>
      <c r="B146" s="28" t="n"/>
      <c r="C146" s="15" t="n"/>
      <c r="D146" s="15" t="n"/>
      <c r="E146" s="28" t="n"/>
      <c r="F146" s="15" t="n"/>
      <c r="G146" s="15" t="n"/>
      <c r="H146" s="28" t="n"/>
      <c r="I146" s="15" t="n"/>
      <c r="J146" s="15" t="n"/>
      <c r="K146" s="28" t="n"/>
      <c r="L146" s="15" t="n"/>
      <c r="M146" s="15" t="n"/>
      <c r="N146" s="28" t="n"/>
      <c r="O146" s="15" t="n"/>
      <c r="P146" s="15" t="n"/>
      <c r="Q146" s="28" t="n"/>
      <c r="R146" s="15" t="n"/>
      <c r="S146" s="15" t="n"/>
      <c r="T146" s="28" t="n"/>
      <c r="U146" s="15" t="n"/>
      <c r="V146" s="15" t="n"/>
      <c r="W146" s="28" t="n"/>
      <c r="X146" s="15" t="n"/>
      <c r="Y146" s="15" t="n"/>
      <c r="Z146" s="28" t="n"/>
      <c r="AA146" s="15" t="n"/>
      <c r="AB146" s="15" t="n"/>
      <c r="AC146" s="28" t="n"/>
      <c r="AD146" s="15" t="n"/>
      <c r="AE146" s="15" t="n"/>
      <c r="AF146" s="28" t="n"/>
      <c r="AG146" s="15" t="n"/>
      <c r="AH146" s="15" t="n"/>
      <c r="AI146" s="28" t="n"/>
      <c r="AJ146" s="15" t="n"/>
      <c r="AK146" s="15" t="n"/>
      <c r="AL146" s="28" t="n"/>
      <c r="AM146" s="327" t="n"/>
      <c r="AN146" s="327" t="n"/>
      <c r="AO146" s="28" t="n"/>
      <c r="AP146" s="327" t="n"/>
      <c r="AQ146" s="327" t="n"/>
      <c r="AR146" s="28" t="n"/>
      <c r="AS146" s="327" t="n"/>
      <c r="AT146" s="327" t="n"/>
      <c r="AU146" s="28" t="n"/>
      <c r="AV146" s="327" t="n"/>
      <c r="AW146" s="327" t="n"/>
      <c r="AX146" s="28" t="n"/>
      <c r="AY146" s="15" t="n"/>
      <c r="AZ146" s="15" t="n"/>
      <c r="BA146" s="324" t="n"/>
      <c r="BB146" s="324" t="n"/>
      <c r="BC146" s="324" t="n"/>
      <c r="BD146" s="324" t="n"/>
      <c r="BE146" s="324" t="n"/>
      <c r="BF146" s="324" t="n"/>
      <c r="BG146" s="324" t="n"/>
      <c r="BH146" s="324" t="n"/>
      <c r="BI146" s="324" t="n"/>
      <c r="BJ146" s="324" t="n"/>
      <c r="BK146" s="288" t="n"/>
      <c r="BL146" s="324" t="n"/>
      <c r="BM146" s="324" t="n"/>
      <c r="BN146" s="324" t="n"/>
      <c r="BO146" s="324" t="n"/>
      <c r="BP146" s="324" t="n"/>
      <c r="BQ146" s="324" t="n"/>
      <c r="BR146" s="324" t="n"/>
      <c r="BS146" s="324" t="n"/>
      <c r="BT146" s="324" t="n"/>
      <c r="BU146" s="324" t="n"/>
      <c r="BV146" s="324" t="n"/>
      <c r="BW146" s="324" t="n"/>
      <c r="BX146" s="324" t="n"/>
      <c r="BY146" s="324" t="n"/>
      <c r="BZ146" s="324" t="n"/>
      <c r="CA146" s="324" t="n"/>
      <c r="CB146" s="324" t="n"/>
      <c r="CC146" s="324" t="n"/>
      <c r="CD146" s="324" t="n"/>
      <c r="CE146" s="324" t="n"/>
      <c r="CF146" s="324" t="n"/>
      <c r="CG146" s="324" t="n"/>
      <c r="CH146" s="324" t="n"/>
      <c r="CI146" s="324" t="n"/>
      <c r="CJ146" s="324" t="n"/>
      <c r="CK146" s="324" t="n"/>
      <c r="CL146" s="324" t="n"/>
      <c r="CM146" s="324" t="n"/>
      <c r="CN146" s="324" t="n"/>
      <c r="CW146" s="324" t="n"/>
      <c r="CX146" s="324" t="n"/>
      <c r="CY146" s="324" t="n"/>
      <c r="CZ146" s="324" t="n"/>
      <c r="DA146" s="324" t="n"/>
      <c r="DB146" s="324" t="n"/>
      <c r="DC146" s="324" t="n"/>
      <c r="DD146" s="324" t="n"/>
      <c r="DE146" s="325" t="n"/>
      <c r="DF146" s="325" t="n"/>
    </row>
    <row r="147" customFormat="1" s="62">
      <c r="A147" s="326" t="n"/>
      <c r="B147" s="28" t="n"/>
      <c r="C147" s="15" t="n"/>
      <c r="D147" s="15" t="n"/>
      <c r="E147" s="28" t="n"/>
      <c r="F147" s="15" t="n"/>
      <c r="G147" s="15" t="n"/>
      <c r="H147" s="28" t="n"/>
      <c r="I147" s="15" t="n"/>
      <c r="J147" s="15" t="n"/>
      <c r="K147" s="28" t="n"/>
      <c r="L147" s="15" t="n"/>
      <c r="M147" s="15" t="n"/>
      <c r="N147" s="28" t="n"/>
      <c r="O147" s="15" t="n"/>
      <c r="P147" s="15" t="n"/>
      <c r="Q147" s="28" t="n"/>
      <c r="R147" s="15" t="n"/>
      <c r="S147" s="15" t="n"/>
      <c r="T147" s="28" t="n"/>
      <c r="U147" s="15" t="n"/>
      <c r="V147" s="15" t="n"/>
      <c r="W147" s="28" t="n"/>
      <c r="X147" s="15" t="n"/>
      <c r="Y147" s="15" t="n"/>
      <c r="Z147" s="28" t="n"/>
      <c r="AA147" s="15" t="n"/>
      <c r="AB147" s="15" t="n"/>
      <c r="AC147" s="28" t="n"/>
      <c r="AD147" s="15" t="n"/>
      <c r="AE147" s="15" t="n"/>
      <c r="AF147" s="28" t="n"/>
      <c r="AG147" s="15" t="n"/>
      <c r="AH147" s="15" t="n"/>
      <c r="AI147" s="28" t="n"/>
      <c r="AJ147" s="15" t="n"/>
      <c r="AK147" s="15" t="n"/>
      <c r="AL147" s="28" t="n"/>
      <c r="AM147" s="327" t="n"/>
      <c r="AN147" s="327" t="n"/>
      <c r="AO147" s="28" t="n"/>
      <c r="AP147" s="327" t="n"/>
      <c r="AQ147" s="327" t="n"/>
      <c r="AR147" s="28" t="n"/>
      <c r="AS147" s="327" t="n"/>
      <c r="AT147" s="327" t="n"/>
      <c r="AU147" s="28" t="n"/>
      <c r="AV147" s="327" t="n"/>
      <c r="AW147" s="327" t="n"/>
      <c r="AX147" s="28" t="n"/>
      <c r="AY147" s="15" t="n"/>
      <c r="AZ147" s="15" t="n"/>
      <c r="BA147" s="324" t="n"/>
      <c r="BB147" s="324" t="n"/>
      <c r="BC147" s="324" t="n"/>
      <c r="BD147" s="324" t="n"/>
      <c r="BE147" s="324" t="n"/>
      <c r="BF147" s="324" t="n"/>
      <c r="BG147" s="324" t="n"/>
      <c r="BH147" s="324" t="n"/>
      <c r="BI147" s="324" t="n"/>
      <c r="BJ147" s="324" t="n"/>
      <c r="BK147" s="288" t="n"/>
      <c r="BL147" s="324" t="n"/>
      <c r="BM147" s="324" t="n"/>
      <c r="BN147" s="324" t="n"/>
      <c r="BO147" s="324" t="n"/>
      <c r="BP147" s="324" t="n"/>
      <c r="BQ147" s="324" t="n"/>
      <c r="BR147" s="324" t="n"/>
      <c r="BS147" s="324" t="n"/>
      <c r="BT147" s="324" t="n"/>
      <c r="BU147" s="324" t="n"/>
      <c r="BV147" s="324" t="n"/>
      <c r="BW147" s="324" t="n"/>
      <c r="BX147" s="324" t="n"/>
      <c r="BY147" s="324" t="n"/>
      <c r="BZ147" s="324" t="n"/>
      <c r="CA147" s="324" t="n"/>
      <c r="CB147" s="324" t="n"/>
      <c r="CC147" s="324" t="n"/>
      <c r="CD147" s="324" t="n"/>
      <c r="CE147" s="324" t="n"/>
      <c r="CF147" s="324" t="n"/>
      <c r="CG147" s="324" t="n"/>
      <c r="CH147" s="324" t="n"/>
      <c r="CI147" s="324" t="n"/>
      <c r="CJ147" s="324" t="n"/>
      <c r="CK147" s="324" t="n"/>
      <c r="CL147" s="324" t="n"/>
      <c r="CM147" s="324" t="n"/>
      <c r="CN147" s="324" t="n"/>
      <c r="CW147" s="324" t="n"/>
      <c r="CX147" s="324" t="n"/>
      <c r="CY147" s="324" t="n"/>
      <c r="CZ147" s="324" t="n"/>
      <c r="DA147" s="324" t="n"/>
      <c r="DB147" s="324" t="n"/>
      <c r="DC147" s="324" t="n"/>
      <c r="DD147" s="324" t="n"/>
      <c r="DE147" s="325" t="n"/>
      <c r="DF147" s="325" t="n"/>
    </row>
    <row r="148" customFormat="1" s="62">
      <c r="A148" s="330" t="n"/>
      <c r="B148" s="28" t="n"/>
      <c r="C148" s="15" t="n"/>
      <c r="D148" s="15" t="n"/>
      <c r="E148" s="28" t="n"/>
      <c r="F148" s="15" t="n"/>
      <c r="G148" s="15" t="n"/>
      <c r="H148" s="28" t="n"/>
      <c r="I148" s="15" t="n"/>
      <c r="J148" s="15" t="n"/>
      <c r="K148" s="28" t="n"/>
      <c r="L148" s="15" t="n"/>
      <c r="M148" s="15" t="n"/>
      <c r="N148" s="28" t="n"/>
      <c r="O148" s="15" t="n"/>
      <c r="P148" s="15" t="n"/>
      <c r="Q148" s="28" t="n"/>
      <c r="R148" s="15" t="n"/>
      <c r="S148" s="15" t="n"/>
      <c r="T148" s="28" t="n"/>
      <c r="U148" s="15" t="n"/>
      <c r="V148" s="15" t="n"/>
      <c r="W148" s="28" t="n"/>
      <c r="X148" s="15" t="n"/>
      <c r="Y148" s="15" t="n"/>
      <c r="Z148" s="28" t="n"/>
      <c r="AA148" s="15" t="n"/>
      <c r="AB148" s="15" t="n"/>
      <c r="AC148" s="28" t="n"/>
      <c r="AD148" s="15" t="n"/>
      <c r="AE148" s="15" t="n"/>
      <c r="AF148" s="28" t="n"/>
      <c r="AG148" s="15" t="n"/>
      <c r="AH148" s="15" t="n"/>
      <c r="AI148" s="28" t="n"/>
      <c r="AJ148" s="15" t="n"/>
      <c r="AK148" s="15" t="n"/>
      <c r="AL148" s="28" t="n"/>
      <c r="AM148" s="327" t="n"/>
      <c r="AN148" s="327" t="n"/>
      <c r="AO148" s="28" t="n"/>
      <c r="AP148" s="327" t="n"/>
      <c r="AQ148" s="327" t="n"/>
      <c r="AR148" s="28" t="n"/>
      <c r="AS148" s="327" t="n"/>
      <c r="AT148" s="327" t="n"/>
      <c r="AU148" s="28" t="n"/>
      <c r="AV148" s="327" t="n"/>
      <c r="AW148" s="327" t="n"/>
      <c r="AX148" s="28" t="n"/>
      <c r="AY148" s="15" t="n"/>
      <c r="AZ148" s="15" t="n"/>
      <c r="BA148" s="324" t="n"/>
      <c r="BB148" s="324" t="n"/>
      <c r="BC148" s="324" t="n"/>
      <c r="BD148" s="324" t="n"/>
      <c r="BE148" s="324" t="n"/>
      <c r="BF148" s="324" t="n"/>
      <c r="BG148" s="324" t="n"/>
      <c r="BH148" s="324" t="n"/>
      <c r="BI148" s="324" t="n"/>
      <c r="BJ148" s="324" t="n"/>
      <c r="BK148" s="288" t="n"/>
      <c r="BL148" s="324" t="n"/>
      <c r="BM148" s="324" t="n"/>
      <c r="BN148" s="324" t="n"/>
      <c r="BO148" s="324" t="n"/>
      <c r="BP148" s="324" t="n"/>
      <c r="BQ148" s="324" t="n"/>
      <c r="BR148" s="324" t="n"/>
      <c r="BS148" s="324" t="n"/>
      <c r="BT148" s="324" t="n"/>
      <c r="BU148" s="324" t="n"/>
      <c r="BV148" s="324" t="n"/>
      <c r="BW148" s="324" t="n"/>
      <c r="BX148" s="324" t="n"/>
      <c r="BY148" s="324" t="n"/>
      <c r="BZ148" s="324" t="n"/>
      <c r="CA148" s="324" t="n"/>
      <c r="CB148" s="324" t="n"/>
      <c r="CC148" s="324" t="n"/>
      <c r="CD148" s="324" t="n"/>
      <c r="CE148" s="324" t="n"/>
      <c r="CF148" s="324" t="n"/>
      <c r="CG148" s="324" t="n"/>
      <c r="CH148" s="324" t="n"/>
      <c r="CI148" s="324" t="n"/>
      <c r="CJ148" s="324" t="n"/>
      <c r="CK148" s="324" t="n"/>
      <c r="CL148" s="324" t="n"/>
      <c r="CM148" s="324" t="n"/>
      <c r="CN148" s="324" t="n"/>
      <c r="CW148" s="324" t="n"/>
      <c r="CX148" s="324" t="n"/>
      <c r="CY148" s="324" t="n"/>
      <c r="CZ148" s="324" t="n"/>
      <c r="DA148" s="324" t="n"/>
      <c r="DB148" s="324" t="n"/>
      <c r="DC148" s="324" t="n"/>
      <c r="DD148" s="324" t="n"/>
      <c r="DE148" s="325" t="n"/>
      <c r="DF148" s="325" t="n"/>
    </row>
    <row r="149" customFormat="1" s="62">
      <c r="A149" s="326" t="n"/>
      <c r="B149" s="28" t="n"/>
      <c r="C149" s="15" t="n"/>
      <c r="D149" s="15" t="n"/>
      <c r="E149" s="28" t="n"/>
      <c r="F149" s="15" t="n"/>
      <c r="G149" s="15" t="n"/>
      <c r="H149" s="28" t="n"/>
      <c r="I149" s="15" t="n"/>
      <c r="J149" s="15" t="n"/>
      <c r="K149" s="28" t="n"/>
      <c r="L149" s="15" t="n"/>
      <c r="M149" s="15" t="n"/>
      <c r="N149" s="28" t="n"/>
      <c r="O149" s="15" t="n"/>
      <c r="P149" s="15" t="n"/>
      <c r="Q149" s="28" t="n"/>
      <c r="R149" s="15" t="n"/>
      <c r="S149" s="15" t="n"/>
      <c r="T149" s="28" t="n"/>
      <c r="U149" s="15" t="n"/>
      <c r="V149" s="15" t="n"/>
      <c r="W149" s="28" t="n"/>
      <c r="X149" s="15" t="n"/>
      <c r="Y149" s="15" t="n"/>
      <c r="Z149" s="28" t="n"/>
      <c r="AA149" s="15" t="n"/>
      <c r="AB149" s="15" t="n"/>
      <c r="AC149" s="28" t="n"/>
      <c r="AD149" s="15" t="n"/>
      <c r="AE149" s="15" t="n"/>
      <c r="AF149" s="28" t="n"/>
      <c r="AG149" s="15" t="n"/>
      <c r="AH149" s="15" t="n"/>
      <c r="AI149" s="28" t="n"/>
      <c r="AJ149" s="15" t="n"/>
      <c r="AK149" s="15" t="n"/>
      <c r="AL149" s="28" t="n"/>
      <c r="AM149" s="327" t="n"/>
      <c r="AN149" s="327" t="n"/>
      <c r="AO149" s="28" t="n"/>
      <c r="AP149" s="327" t="n"/>
      <c r="AQ149" s="327" t="n"/>
      <c r="AR149" s="28" t="n"/>
      <c r="AS149" s="327" t="n"/>
      <c r="AT149" s="327" t="n"/>
      <c r="AU149" s="28" t="n"/>
      <c r="AV149" s="327" t="n"/>
      <c r="AW149" s="327" t="n"/>
      <c r="AX149" s="28" t="n"/>
      <c r="AY149" s="15" t="n"/>
      <c r="AZ149" s="15" t="n"/>
      <c r="BA149" s="324" t="n"/>
      <c r="BB149" s="324" t="n"/>
      <c r="BC149" s="324" t="n"/>
      <c r="BD149" s="324" t="n"/>
      <c r="BE149" s="324" t="n"/>
      <c r="BF149" s="324" t="n"/>
      <c r="BG149" s="324" t="n"/>
      <c r="BH149" s="324" t="n"/>
      <c r="BI149" s="324" t="n"/>
      <c r="BJ149" s="324" t="n"/>
      <c r="BK149" s="288" t="n"/>
      <c r="BL149" s="324" t="n"/>
      <c r="BM149" s="324" t="n"/>
      <c r="BN149" s="324" t="n"/>
      <c r="BO149" s="324" t="n"/>
      <c r="BP149" s="324" t="n"/>
      <c r="BQ149" s="324" t="n"/>
      <c r="BR149" s="324" t="n"/>
      <c r="BS149" s="324" t="n"/>
      <c r="BT149" s="324" t="n"/>
      <c r="BU149" s="324" t="n"/>
      <c r="BV149" s="324" t="n"/>
      <c r="BW149" s="324" t="n"/>
      <c r="BX149" s="324" t="n"/>
      <c r="BY149" s="324" t="n"/>
      <c r="BZ149" s="324" t="n"/>
      <c r="CA149" s="324" t="n"/>
      <c r="CB149" s="324" t="n"/>
      <c r="CC149" s="324" t="n"/>
      <c r="CD149" s="324" t="n"/>
      <c r="CE149" s="324" t="n"/>
      <c r="CF149" s="324" t="n"/>
      <c r="CG149" s="324" t="n"/>
      <c r="CH149" s="324" t="n"/>
      <c r="CI149" s="324" t="n"/>
      <c r="CJ149" s="324" t="n"/>
      <c r="CK149" s="324" t="n"/>
      <c r="CL149" s="324" t="n"/>
      <c r="CM149" s="324" t="n"/>
      <c r="CN149" s="324" t="n"/>
      <c r="CW149" s="324" t="n"/>
      <c r="CX149" s="324" t="n"/>
      <c r="CY149" s="324" t="n"/>
      <c r="CZ149" s="324" t="n"/>
      <c r="DA149" s="324" t="n"/>
      <c r="DB149" s="324" t="n"/>
      <c r="DC149" s="324" t="n"/>
      <c r="DD149" s="324" t="n"/>
      <c r="DE149" s="325" t="n"/>
      <c r="DF149" s="325" t="n"/>
    </row>
    <row r="150" customFormat="1" s="62">
      <c r="A150" s="326" t="n"/>
      <c r="B150" s="28" t="n"/>
      <c r="C150" s="15" t="n"/>
      <c r="D150" s="15" t="n"/>
      <c r="E150" s="28" t="n"/>
      <c r="F150" s="15" t="n"/>
      <c r="G150" s="15" t="n"/>
      <c r="H150" s="28" t="n"/>
      <c r="I150" s="15" t="n"/>
      <c r="J150" s="15" t="n"/>
      <c r="K150" s="28" t="n"/>
      <c r="L150" s="15" t="n"/>
      <c r="M150" s="15" t="n"/>
      <c r="N150" s="28" t="n"/>
      <c r="O150" s="15" t="n"/>
      <c r="P150" s="15" t="n"/>
      <c r="Q150" s="28" t="n"/>
      <c r="R150" s="15" t="n"/>
      <c r="S150" s="15" t="n"/>
      <c r="T150" s="28" t="n"/>
      <c r="U150" s="15" t="n"/>
      <c r="V150" s="15" t="n"/>
      <c r="W150" s="28" t="n"/>
      <c r="X150" s="15" t="n"/>
      <c r="Y150" s="15" t="n"/>
      <c r="Z150" s="28" t="n"/>
      <c r="AA150" s="15" t="n"/>
      <c r="AB150" s="15" t="n"/>
      <c r="AC150" s="28" t="n"/>
      <c r="AD150" s="15" t="n"/>
      <c r="AE150" s="15" t="n"/>
      <c r="AF150" s="28" t="n"/>
      <c r="AG150" s="15" t="n"/>
      <c r="AH150" s="15" t="n"/>
      <c r="AI150" s="28" t="n"/>
      <c r="AJ150" s="15" t="n"/>
      <c r="AK150" s="15" t="n"/>
      <c r="AL150" s="28" t="n"/>
      <c r="AM150" s="327" t="n"/>
      <c r="AN150" s="327" t="n"/>
      <c r="AO150" s="28" t="n"/>
      <c r="AP150" s="327" t="n"/>
      <c r="AQ150" s="327" t="n"/>
      <c r="AR150" s="28" t="n"/>
      <c r="AS150" s="327" t="n"/>
      <c r="AT150" s="327" t="n"/>
      <c r="AU150" s="28" t="n"/>
      <c r="AV150" s="327" t="n"/>
      <c r="AW150" s="327" t="n"/>
      <c r="AX150" s="28" t="n"/>
      <c r="AY150" s="15" t="n"/>
      <c r="AZ150" s="15" t="n"/>
      <c r="BA150" s="324" t="n"/>
      <c r="BB150" s="324" t="n"/>
      <c r="BC150" s="324" t="n"/>
      <c r="BD150" s="324" t="n"/>
      <c r="BE150" s="324" t="n"/>
      <c r="BF150" s="324" t="n"/>
      <c r="BG150" s="324" t="n"/>
      <c r="BH150" s="324" t="n"/>
      <c r="BI150" s="324" t="n"/>
      <c r="BJ150" s="324" t="n"/>
      <c r="BK150" s="288" t="n"/>
      <c r="BL150" s="324" t="n"/>
      <c r="BM150" s="324" t="n"/>
      <c r="BN150" s="324" t="n"/>
      <c r="BO150" s="324" t="n"/>
      <c r="BP150" s="324" t="n"/>
      <c r="BQ150" s="324" t="n"/>
      <c r="BR150" s="324" t="n"/>
      <c r="BS150" s="324" t="n"/>
      <c r="BT150" s="324" t="n"/>
      <c r="BU150" s="324" t="n"/>
      <c r="BV150" s="324" t="n"/>
      <c r="BW150" s="324" t="n"/>
      <c r="BX150" s="324" t="n"/>
      <c r="BY150" s="324" t="n"/>
      <c r="BZ150" s="324" t="n"/>
      <c r="CA150" s="324" t="n"/>
      <c r="CB150" s="324" t="n"/>
      <c r="CC150" s="324" t="n"/>
      <c r="CD150" s="324" t="n"/>
      <c r="CE150" s="324" t="n"/>
      <c r="CF150" s="324" t="n"/>
      <c r="CG150" s="324" t="n"/>
      <c r="CH150" s="324" t="n"/>
      <c r="CI150" s="324" t="n"/>
      <c r="CJ150" s="324" t="n"/>
      <c r="CK150" s="324" t="n"/>
      <c r="CL150" s="324" t="n"/>
      <c r="CM150" s="324" t="n"/>
      <c r="CN150" s="324" t="n"/>
      <c r="CW150" s="324" t="n"/>
      <c r="CX150" s="324" t="n"/>
      <c r="CY150" s="324" t="n"/>
      <c r="CZ150" s="324" t="n"/>
      <c r="DA150" s="324" t="n"/>
      <c r="DB150" s="324" t="n"/>
      <c r="DC150" s="324" t="n"/>
      <c r="DD150" s="324" t="n"/>
      <c r="DE150" s="325" t="n"/>
      <c r="DF150" s="325" t="n"/>
    </row>
    <row r="151" customFormat="1" s="62">
      <c r="A151" s="331" t="n"/>
      <c r="B151" s="28" t="n"/>
      <c r="C151" s="33" t="n"/>
      <c r="D151" s="33" t="n"/>
      <c r="E151" s="28" t="n"/>
      <c r="F151" s="33" t="n"/>
      <c r="G151" s="33" t="n"/>
      <c r="H151" s="28" t="n"/>
      <c r="I151" s="33" t="n"/>
      <c r="J151" s="33" t="n"/>
      <c r="K151" s="28" t="n"/>
      <c r="L151" s="33" t="n"/>
      <c r="M151" s="33" t="n"/>
      <c r="N151" s="28" t="n"/>
      <c r="O151" s="33" t="n"/>
      <c r="P151" s="33" t="n"/>
      <c r="Q151" s="28" t="n"/>
      <c r="R151" s="33" t="n"/>
      <c r="S151" s="33" t="n"/>
      <c r="T151" s="28" t="n"/>
      <c r="U151" s="33" t="n"/>
      <c r="V151" s="33" t="n"/>
      <c r="W151" s="28" t="n"/>
      <c r="X151" s="33" t="n"/>
      <c r="Y151" s="33" t="n"/>
      <c r="Z151" s="28" t="n"/>
      <c r="AA151" s="33" t="n"/>
      <c r="AB151" s="33" t="n"/>
      <c r="AC151" s="28" t="n"/>
      <c r="AD151" s="33" t="n"/>
      <c r="AE151" s="33" t="n"/>
      <c r="AF151" s="28" t="n"/>
      <c r="AG151" s="33" t="n"/>
      <c r="AH151" s="33" t="n"/>
      <c r="AI151" s="28" t="n"/>
      <c r="AJ151" s="33" t="n"/>
      <c r="AK151" s="33" t="n"/>
      <c r="AL151" s="28" t="n"/>
      <c r="AM151" s="34" t="n"/>
      <c r="AN151" s="34" t="n"/>
      <c r="AO151" s="28" t="n"/>
      <c r="AP151" s="34" t="n"/>
      <c r="AQ151" s="34" t="n"/>
      <c r="AR151" s="28" t="n"/>
      <c r="AS151" s="333" t="n"/>
      <c r="AT151" s="333" t="n"/>
      <c r="AU151" s="28" t="n"/>
      <c r="AV151" s="34" t="n"/>
      <c r="AW151" s="34" t="n"/>
      <c r="AX151" s="28" t="n"/>
      <c r="AY151" s="324" t="n"/>
      <c r="AZ151" s="324" t="n"/>
      <c r="BA151" s="324" t="n"/>
      <c r="BB151" s="324" t="n"/>
      <c r="BC151" s="324" t="n"/>
      <c r="BD151" s="324" t="n"/>
      <c r="BE151" s="324" t="n"/>
      <c r="BF151" s="324" t="n"/>
      <c r="BG151" s="324" t="n"/>
      <c r="BH151" s="324" t="n"/>
      <c r="BI151" s="324" t="n"/>
      <c r="BJ151" s="324" t="n"/>
      <c r="BK151" s="288" t="n"/>
      <c r="BL151" s="324" t="n"/>
      <c r="BM151" s="324" t="n"/>
      <c r="BN151" s="324" t="n"/>
      <c r="BO151" s="324" t="n"/>
      <c r="BP151" s="324" t="n"/>
      <c r="BQ151" s="324" t="n"/>
      <c r="BR151" s="324" t="n"/>
      <c r="BS151" s="324" t="n"/>
      <c r="BT151" s="324" t="n"/>
      <c r="BU151" s="324" t="n"/>
      <c r="BV151" s="324" t="n"/>
      <c r="BW151" s="324" t="n"/>
      <c r="BX151" s="324" t="n"/>
      <c r="BY151" s="324" t="n"/>
      <c r="BZ151" s="324" t="n"/>
      <c r="CA151" s="324" t="n"/>
      <c r="CB151" s="324" t="n"/>
      <c r="CC151" s="324" t="n"/>
      <c r="CD151" s="324" t="n"/>
      <c r="CE151" s="324" t="n"/>
      <c r="CF151" s="324" t="n"/>
      <c r="CG151" s="324" t="n"/>
      <c r="CH151" s="324" t="n"/>
      <c r="CI151" s="324" t="n"/>
      <c r="CJ151" s="324" t="n"/>
      <c r="CK151" s="324" t="n"/>
      <c r="CL151" s="324" t="n"/>
      <c r="CM151" s="324" t="n"/>
      <c r="CN151" s="324" t="n"/>
      <c r="CW151" s="324" t="n"/>
      <c r="CX151" s="324" t="n"/>
      <c r="CY151" s="324" t="n"/>
      <c r="CZ151" s="324" t="n"/>
      <c r="DA151" s="324" t="n"/>
      <c r="DB151" s="324" t="n"/>
      <c r="DC151" s="324" t="n"/>
      <c r="DD151" s="324" t="n"/>
      <c r="DE151" s="325" t="n"/>
      <c r="DF151" s="325" t="n"/>
    </row>
    <row r="152" customFormat="1" s="40">
      <c r="A152" s="335" t="n"/>
      <c r="B152" s="291" t="n"/>
      <c r="C152" s="37" t="n"/>
      <c r="D152" s="37" t="n"/>
      <c r="E152" s="291" t="n"/>
      <c r="F152" s="37" t="n"/>
      <c r="G152" s="37" t="n"/>
      <c r="H152" s="291" t="n"/>
      <c r="I152" s="37" t="n"/>
      <c r="J152" s="37" t="n"/>
      <c r="K152" s="291" t="n"/>
      <c r="L152" s="37" t="n"/>
      <c r="M152" s="37" t="n"/>
      <c r="N152" s="291" t="n"/>
      <c r="O152" s="37" t="n"/>
      <c r="P152" s="37" t="n"/>
      <c r="Q152" s="291" t="n"/>
      <c r="R152" s="37" t="n"/>
      <c r="S152" s="37" t="n"/>
      <c r="T152" s="291" t="n"/>
      <c r="U152" s="37" t="n"/>
      <c r="V152" s="37" t="n"/>
      <c r="W152" s="291" t="n"/>
      <c r="X152" s="37" t="n"/>
      <c r="Y152" s="37" t="n"/>
      <c r="Z152" s="291" t="n"/>
      <c r="AA152" s="37" t="n"/>
      <c r="AB152" s="37" t="n"/>
      <c r="AC152" s="291" t="n"/>
      <c r="AD152" s="37" t="n"/>
      <c r="AE152" s="37" t="n"/>
      <c r="AF152" s="291" t="n"/>
      <c r="AG152" s="37" t="n"/>
      <c r="AH152" s="37" t="n"/>
      <c r="AI152" s="291" t="n"/>
      <c r="AJ152" s="37" t="n"/>
      <c r="AK152" s="37" t="n"/>
      <c r="AL152" s="291" t="n"/>
      <c r="AM152" s="291" t="n"/>
      <c r="AN152" s="291" t="n"/>
      <c r="AO152" s="291" t="n"/>
      <c r="AP152" s="291" t="n"/>
      <c r="AQ152" s="291" t="n"/>
      <c r="AR152" s="291" t="n"/>
      <c r="AS152" s="291" t="n"/>
      <c r="AT152" s="291" t="n"/>
      <c r="AU152" s="291" t="n"/>
      <c r="AV152" s="291" t="n"/>
      <c r="AW152" s="291" t="n"/>
      <c r="AX152" s="291" t="n"/>
      <c r="AY152" s="291" t="n"/>
      <c r="AZ152" s="291" t="n"/>
      <c r="BA152" s="291" t="n"/>
      <c r="BB152" s="291" t="n"/>
      <c r="BC152" s="291" t="n"/>
      <c r="BD152" s="291" t="n"/>
      <c r="BE152" s="291" t="n"/>
      <c r="BF152" s="291" t="n"/>
      <c r="BG152" s="291" t="n"/>
      <c r="BH152" s="291" t="n"/>
      <c r="BI152" s="291" t="n"/>
      <c r="BJ152" s="291" t="n"/>
      <c r="BK152" s="288" t="n"/>
      <c r="BL152" s="291" t="n"/>
      <c r="BM152" s="291" t="n"/>
      <c r="BN152" s="291" t="n"/>
      <c r="BO152" s="291" t="n"/>
      <c r="BP152" s="291" t="n"/>
      <c r="BQ152" s="291" t="n"/>
      <c r="BR152" s="291" t="n"/>
      <c r="BS152" s="291" t="n"/>
      <c r="BT152" s="291" t="n"/>
      <c r="BU152" s="291" t="n"/>
      <c r="BV152" s="291" t="n"/>
      <c r="BW152" s="291" t="n"/>
      <c r="BX152" s="291" t="n"/>
      <c r="BY152" s="291" t="n"/>
      <c r="BZ152" s="291" t="n"/>
      <c r="CA152" s="291" t="n"/>
      <c r="CB152" s="291" t="n"/>
      <c r="CC152" s="291" t="n"/>
      <c r="CD152" s="291" t="n"/>
      <c r="CE152" s="291" t="n"/>
      <c r="CF152" s="291" t="n"/>
      <c r="CG152" s="291" t="n"/>
      <c r="CH152" s="291" t="n"/>
      <c r="CI152" s="291" t="n"/>
      <c r="CJ152" s="291" t="n"/>
      <c r="CK152" s="291" t="n"/>
      <c r="CL152" s="291" t="n"/>
      <c r="CM152" s="291" t="n"/>
      <c r="CN152" s="291" t="n"/>
      <c r="CW152" s="291" t="n"/>
      <c r="CX152" s="291" t="n"/>
      <c r="CY152" s="291" t="n"/>
      <c r="CZ152" s="291" t="n"/>
      <c r="DA152" s="291" t="n"/>
      <c r="DB152" s="291" t="n"/>
      <c r="DC152" s="291" t="n"/>
      <c r="DD152" s="291" t="n"/>
      <c r="DE152" s="311" t="n"/>
      <c r="DF152" s="311" t="n"/>
    </row>
    <row r="153" ht="13" customFormat="1" customHeight="1" s="40">
      <c r="A153" s="326" t="n"/>
      <c r="B153" s="291" t="n"/>
      <c r="C153" s="39" t="n"/>
      <c r="D153" s="39" t="n"/>
      <c r="E153" s="291" t="n"/>
      <c r="F153" s="39" t="n"/>
      <c r="G153" s="39" t="n"/>
      <c r="H153" s="291" t="n"/>
      <c r="I153" s="39" t="n"/>
      <c r="J153" s="39" t="n"/>
      <c r="K153" s="291" t="n"/>
      <c r="L153" s="39" t="n"/>
      <c r="M153" s="39" t="n"/>
      <c r="N153" s="291" t="n"/>
      <c r="O153" s="39" t="n"/>
      <c r="P153" s="39" t="n"/>
      <c r="Q153" s="291" t="n"/>
      <c r="R153" s="39" t="n"/>
      <c r="S153" s="39" t="n"/>
      <c r="T153" s="291" t="n"/>
      <c r="U153" s="39" t="n"/>
      <c r="V153" s="39" t="n"/>
      <c r="W153" s="291" t="n"/>
      <c r="X153" s="39" t="n"/>
      <c r="Y153" s="39" t="n"/>
      <c r="Z153" s="291" t="n"/>
      <c r="AA153" s="39" t="n"/>
      <c r="AB153" s="39" t="n"/>
      <c r="AC153" s="291" t="n"/>
      <c r="AD153" s="39" t="n"/>
      <c r="AE153" s="39" t="n"/>
      <c r="AF153" s="291" t="n"/>
      <c r="AG153" s="39" t="n"/>
      <c r="AH153" s="39" t="n"/>
      <c r="AI153" s="291" t="n"/>
      <c r="AJ153" s="39" t="n"/>
      <c r="AK153" s="39" t="n"/>
      <c r="AL153" s="291" t="n"/>
      <c r="AM153" s="291" t="n"/>
      <c r="AN153" s="291" t="n"/>
      <c r="AO153" s="291" t="n"/>
      <c r="AP153" s="291" t="n"/>
      <c r="AQ153" s="291" t="n"/>
      <c r="AR153" s="291" t="n"/>
      <c r="AS153" s="291" t="n"/>
      <c r="AT153" s="291" t="n"/>
      <c r="AU153" s="291" t="n"/>
      <c r="AV153" s="291" t="n"/>
      <c r="AW153" s="291" t="n"/>
      <c r="AX153" s="291" t="n"/>
      <c r="AY153" s="291" t="n"/>
      <c r="AZ153" s="39" t="n"/>
      <c r="BA153" s="291" t="n"/>
      <c r="BB153" s="39" t="n"/>
      <c r="BC153" s="291" t="n"/>
      <c r="BD153" s="39" t="n"/>
      <c r="BE153" s="291" t="n"/>
      <c r="BF153" s="39" t="n"/>
      <c r="BG153" s="291" t="n"/>
      <c r="BH153" s="39" t="n"/>
      <c r="BI153" s="291" t="n"/>
      <c r="BJ153" s="39" t="n"/>
      <c r="BK153" s="291" t="n"/>
      <c r="BL153" s="39" t="n"/>
      <c r="BM153" s="291" t="n"/>
      <c r="BN153" s="39" t="n"/>
      <c r="BO153" s="291" t="n"/>
      <c r="BP153" s="291" t="n"/>
      <c r="BQ153" s="39" t="n"/>
      <c r="BR153" s="291" t="n"/>
      <c r="BS153" s="39" t="n"/>
      <c r="BT153" s="291" t="n"/>
      <c r="BU153" s="39" t="n"/>
      <c r="BV153" s="291" t="n"/>
      <c r="BW153" s="39" t="n"/>
      <c r="BX153" s="291" t="n"/>
      <c r="BY153" s="39" t="n"/>
      <c r="BZ153" s="291" t="n"/>
      <c r="CA153" s="39" t="n"/>
      <c r="CB153" s="291" t="n"/>
      <c r="CC153" s="39" t="n"/>
      <c r="CD153" s="291" t="n"/>
      <c r="CE153" s="39" t="n"/>
      <c r="CF153" s="291" t="n"/>
      <c r="CG153" s="53" t="n"/>
      <c r="CH153" s="291" t="n"/>
      <c r="CI153" s="53" t="n"/>
      <c r="CJ153" s="291" t="n"/>
      <c r="CK153" s="53" t="n"/>
      <c r="CL153" s="291" t="n"/>
      <c r="CM153" s="53" t="n"/>
      <c r="CN153" s="291" t="n"/>
      <c r="CW153" s="291" t="n"/>
      <c r="CX153" s="39" t="n"/>
      <c r="CY153" s="291" t="n"/>
      <c r="CZ153" s="39" t="n"/>
      <c r="DA153" s="291" t="n"/>
      <c r="DB153" s="39" t="n"/>
      <c r="DC153" s="291" t="n"/>
      <c r="DD153" s="39" t="n"/>
      <c r="DE153" s="311" t="n"/>
      <c r="DF153" s="311" t="n"/>
    </row>
    <row r="154" ht="13" customFormat="1" customHeight="1" s="40">
      <c r="A154" s="326" t="n"/>
      <c r="B154" s="291" t="n"/>
      <c r="C154" s="39" t="n"/>
      <c r="D154" s="39" t="n"/>
      <c r="E154" s="291" t="n"/>
      <c r="F154" s="39" t="n"/>
      <c r="G154" s="39" t="n"/>
      <c r="H154" s="291" t="n"/>
      <c r="I154" s="39" t="n"/>
      <c r="J154" s="39" t="n"/>
      <c r="K154" s="291" t="n"/>
      <c r="L154" s="39" t="n"/>
      <c r="M154" s="39" t="n"/>
      <c r="N154" s="291" t="n"/>
      <c r="O154" s="39" t="n"/>
      <c r="P154" s="39" t="n"/>
      <c r="Q154" s="291" t="n"/>
      <c r="R154" s="39" t="n"/>
      <c r="S154" s="39" t="n"/>
      <c r="T154" s="291" t="n"/>
      <c r="U154" s="39" t="n"/>
      <c r="V154" s="39" t="n"/>
      <c r="W154" s="291" t="n"/>
      <c r="X154" s="39" t="n"/>
      <c r="Y154" s="39" t="n"/>
      <c r="Z154" s="291" t="n"/>
      <c r="AA154" s="39" t="n"/>
      <c r="AB154" s="39" t="n"/>
      <c r="AC154" s="291" t="n"/>
      <c r="AD154" s="39" t="n"/>
      <c r="AE154" s="39" t="n"/>
      <c r="AF154" s="291" t="n"/>
      <c r="AG154" s="39" t="n"/>
      <c r="AH154" s="39" t="n"/>
      <c r="AI154" s="291" t="n"/>
      <c r="AJ154" s="39" t="n"/>
      <c r="AK154" s="39" t="n"/>
      <c r="AL154" s="291" t="n"/>
      <c r="AM154" s="291" t="n"/>
      <c r="AN154" s="291" t="n"/>
      <c r="AO154" s="291" t="n"/>
      <c r="AP154" s="291" t="n"/>
      <c r="AQ154" s="291" t="n"/>
      <c r="AR154" s="291" t="n"/>
      <c r="AS154" s="291" t="n"/>
      <c r="AT154" s="291" t="n"/>
      <c r="AU154" s="291" t="n"/>
      <c r="AV154" s="291" t="n"/>
      <c r="AW154" s="291" t="n"/>
      <c r="AX154" s="291" t="n"/>
      <c r="AY154" s="291" t="n"/>
      <c r="AZ154" s="39" t="n"/>
      <c r="BA154" s="291" t="n"/>
      <c r="BB154" s="39" t="n"/>
      <c r="BC154" s="291" t="n"/>
      <c r="BD154" s="39" t="n"/>
      <c r="BE154" s="291" t="n"/>
      <c r="BF154" s="39" t="n"/>
      <c r="BG154" s="291" t="n"/>
      <c r="BH154" s="39" t="n"/>
      <c r="BI154" s="291" t="n"/>
      <c r="BJ154" s="39" t="n"/>
      <c r="BK154" s="291" t="n"/>
      <c r="BL154" s="39" t="n"/>
      <c r="BM154" s="291" t="n"/>
      <c r="BN154" s="39" t="n"/>
      <c r="BO154" s="291" t="n"/>
      <c r="BP154" s="291" t="n"/>
      <c r="BQ154" s="39" t="n"/>
      <c r="BR154" s="291" t="n"/>
      <c r="BS154" s="39" t="n"/>
      <c r="BT154" s="291" t="n"/>
      <c r="BU154" s="39" t="n"/>
      <c r="BV154" s="291" t="n"/>
      <c r="BW154" s="39" t="n"/>
      <c r="BX154" s="291" t="n"/>
      <c r="BY154" s="39" t="n"/>
      <c r="BZ154" s="291" t="n"/>
      <c r="CA154" s="39" t="n"/>
      <c r="CB154" s="291" t="n"/>
      <c r="CC154" s="39" t="n"/>
      <c r="CD154" s="291" t="n"/>
      <c r="CE154" s="39" t="n"/>
      <c r="CF154" s="291" t="n"/>
      <c r="CG154" s="291" t="n"/>
      <c r="CH154" s="291" t="n"/>
      <c r="CI154" s="291" t="n"/>
      <c r="CJ154" s="291" t="n"/>
      <c r="CK154" s="291" t="n"/>
      <c r="CL154" s="291" t="n"/>
      <c r="CM154" s="291" t="n"/>
      <c r="CN154" s="291" t="n"/>
      <c r="CW154" s="291" t="n"/>
      <c r="CX154" s="39" t="n"/>
      <c r="CY154" s="291" t="n"/>
      <c r="CZ154" s="39" t="n"/>
      <c r="DA154" s="291" t="n"/>
      <c r="DB154" s="39" t="n"/>
      <c r="DC154" s="291" t="n"/>
      <c r="DD154" s="39" t="n"/>
      <c r="DE154" s="311" t="n"/>
      <c r="DF154" s="311" t="n"/>
    </row>
    <row r="155" ht="13" customFormat="1" customHeight="1" s="40">
      <c r="A155" s="326" t="n"/>
      <c r="B155" s="291" t="n"/>
      <c r="C155" s="39" t="n"/>
      <c r="D155" s="39" t="n"/>
      <c r="E155" s="291" t="n"/>
      <c r="F155" s="39" t="n"/>
      <c r="G155" s="39" t="n"/>
      <c r="H155" s="291" t="n"/>
      <c r="I155" s="39" t="n"/>
      <c r="J155" s="39" t="n"/>
      <c r="K155" s="291" t="n"/>
      <c r="L155" s="39" t="n"/>
      <c r="M155" s="39" t="n"/>
      <c r="N155" s="291" t="n"/>
      <c r="O155" s="39" t="n"/>
      <c r="P155" s="39" t="n"/>
      <c r="Q155" s="291" t="n"/>
      <c r="R155" s="39" t="n"/>
      <c r="S155" s="39" t="n"/>
      <c r="T155" s="291" t="n"/>
      <c r="U155" s="39" t="n"/>
      <c r="V155" s="39" t="n"/>
      <c r="W155" s="291" t="n"/>
      <c r="X155" s="39" t="n"/>
      <c r="Y155" s="39" t="n"/>
      <c r="Z155" s="291" t="n"/>
      <c r="AA155" s="39" t="n"/>
      <c r="AB155" s="39" t="n"/>
      <c r="AC155" s="291" t="n"/>
      <c r="AD155" s="39" t="n"/>
      <c r="AE155" s="39" t="n"/>
      <c r="AF155" s="291" t="n"/>
      <c r="AG155" s="39" t="n"/>
      <c r="AH155" s="39" t="n"/>
      <c r="AI155" s="291" t="n"/>
      <c r="AJ155" s="39" t="n"/>
      <c r="AK155" s="39" t="n"/>
      <c r="AL155" s="291" t="n"/>
      <c r="AM155" s="291" t="n"/>
      <c r="AN155" s="291" t="n"/>
      <c r="AO155" s="291" t="n"/>
      <c r="AP155" s="291" t="n"/>
      <c r="AQ155" s="291" t="n"/>
      <c r="AR155" s="291" t="n"/>
      <c r="AS155" s="291" t="n"/>
      <c r="AT155" s="291" t="n"/>
      <c r="AU155" s="291" t="n"/>
      <c r="AV155" s="291" t="n"/>
      <c r="AW155" s="291" t="n"/>
      <c r="AX155" s="291" t="n"/>
      <c r="AY155" s="291" t="n"/>
      <c r="AZ155" s="39" t="n"/>
      <c r="BA155" s="291" t="n"/>
      <c r="BB155" s="39" t="n"/>
      <c r="BC155" s="291" t="n"/>
      <c r="BD155" s="39" t="n"/>
      <c r="BE155" s="291" t="n"/>
      <c r="BF155" s="39" t="n"/>
      <c r="BG155" s="291" t="n"/>
      <c r="BH155" s="39" t="n"/>
      <c r="BI155" s="291" t="n"/>
      <c r="BJ155" s="39" t="n"/>
      <c r="BK155" s="291" t="n"/>
      <c r="BL155" s="39" t="n"/>
      <c r="BM155" s="291" t="n"/>
      <c r="BN155" s="39" t="n"/>
      <c r="BO155" s="291" t="n"/>
      <c r="BP155" s="291" t="n"/>
      <c r="BQ155" s="39" t="n"/>
      <c r="BR155" s="291" t="n"/>
      <c r="BS155" s="39" t="n"/>
      <c r="BT155" s="291" t="n"/>
      <c r="BU155" s="39" t="n"/>
      <c r="BV155" s="291" t="n"/>
      <c r="BW155" s="39" t="n"/>
      <c r="BX155" s="291" t="n"/>
      <c r="BY155" s="39" t="n"/>
      <c r="BZ155" s="291" t="n"/>
      <c r="CA155" s="39" t="n"/>
      <c r="CB155" s="291" t="n"/>
      <c r="CC155" s="39" t="n"/>
      <c r="CD155" s="291" t="n"/>
      <c r="CE155" s="39" t="n"/>
      <c r="CF155" s="291" t="n"/>
      <c r="CG155" s="291" t="n"/>
      <c r="CH155" s="291" t="n"/>
      <c r="CI155" s="291" t="n"/>
      <c r="CJ155" s="291" t="n"/>
      <c r="CK155" s="291" t="n"/>
      <c r="CL155" s="291" t="n"/>
      <c r="CM155" s="291" t="n"/>
      <c r="CN155" s="291" t="n"/>
      <c r="CW155" s="291" t="n"/>
      <c r="CX155" s="39" t="n"/>
      <c r="CY155" s="291" t="n"/>
      <c r="CZ155" s="39" t="n"/>
      <c r="DA155" s="291" t="n"/>
      <c r="DB155" s="39" t="n"/>
      <c r="DC155" s="291" t="n"/>
      <c r="DD155" s="39" t="n"/>
      <c r="DE155" s="311" t="n"/>
      <c r="DF155" s="311" t="n"/>
    </row>
    <row r="156" ht="13" customFormat="1" customHeight="1" s="40">
      <c r="A156" s="326" t="n"/>
      <c r="B156" s="291" t="n"/>
      <c r="C156" s="39" t="n"/>
      <c r="D156" s="39" t="n"/>
      <c r="E156" s="291" t="n"/>
      <c r="F156" s="39" t="n"/>
      <c r="G156" s="39" t="n"/>
      <c r="H156" s="291" t="n"/>
      <c r="I156" s="39" t="n"/>
      <c r="J156" s="39" t="n"/>
      <c r="K156" s="291" t="n"/>
      <c r="L156" s="39" t="n"/>
      <c r="M156" s="39" t="n"/>
      <c r="N156" s="291" t="n"/>
      <c r="O156" s="39" t="n"/>
      <c r="P156" s="39" t="n"/>
      <c r="Q156" s="291" t="n"/>
      <c r="R156" s="39" t="n"/>
      <c r="S156" s="39" t="n"/>
      <c r="T156" s="291" t="n"/>
      <c r="U156" s="39" t="n"/>
      <c r="V156" s="39" t="n"/>
      <c r="W156" s="291" t="n"/>
      <c r="X156" s="39" t="n"/>
      <c r="Y156" s="39" t="n"/>
      <c r="Z156" s="291" t="n"/>
      <c r="AA156" s="39" t="n"/>
      <c r="AB156" s="39" t="n"/>
      <c r="AC156" s="291" t="n"/>
      <c r="AD156" s="39" t="n"/>
      <c r="AE156" s="39" t="n"/>
      <c r="AF156" s="291" t="n"/>
      <c r="AG156" s="39" t="n"/>
      <c r="AH156" s="39" t="n"/>
      <c r="AI156" s="291" t="n"/>
      <c r="AJ156" s="39" t="n"/>
      <c r="AK156" s="39" t="n"/>
      <c r="AL156" s="291" t="n"/>
      <c r="AM156" s="291" t="n"/>
      <c r="AN156" s="291" t="n"/>
      <c r="AO156" s="291" t="n"/>
      <c r="AP156" s="291" t="n"/>
      <c r="AQ156" s="291" t="n"/>
      <c r="AR156" s="291" t="n"/>
      <c r="AS156" s="291" t="n"/>
      <c r="AT156" s="291" t="n"/>
      <c r="AU156" s="291" t="n"/>
      <c r="AV156" s="291" t="n"/>
      <c r="AW156" s="291" t="n"/>
      <c r="AX156" s="291" t="n"/>
      <c r="AY156" s="291" t="n"/>
      <c r="AZ156" s="39" t="n"/>
      <c r="BA156" s="291" t="n"/>
      <c r="BB156" s="39" t="n"/>
      <c r="BC156" s="291" t="n"/>
      <c r="BD156" s="39" t="n"/>
      <c r="BE156" s="291" t="n"/>
      <c r="BF156" s="39" t="n"/>
      <c r="BG156" s="291" t="n"/>
      <c r="BH156" s="39" t="n"/>
      <c r="BI156" s="291" t="n"/>
      <c r="BJ156" s="39" t="n"/>
      <c r="BK156" s="291" t="n"/>
      <c r="BL156" s="39" t="n"/>
      <c r="BM156" s="291" t="n"/>
      <c r="BN156" s="39" t="n"/>
      <c r="BO156" s="291" t="n"/>
      <c r="BP156" s="291" t="n"/>
      <c r="BQ156" s="39" t="n"/>
      <c r="BR156" s="291" t="n"/>
      <c r="BS156" s="39" t="n"/>
      <c r="BT156" s="291" t="n"/>
      <c r="BU156" s="39" t="n"/>
      <c r="BV156" s="291" t="n"/>
      <c r="BW156" s="39" t="n"/>
      <c r="BX156" s="291" t="n"/>
      <c r="BY156" s="39" t="n"/>
      <c r="BZ156" s="291" t="n"/>
      <c r="CA156" s="39" t="n"/>
      <c r="CB156" s="291" t="n"/>
      <c r="CC156" s="39" t="n"/>
      <c r="CD156" s="291" t="n"/>
      <c r="CE156" s="39" t="n"/>
      <c r="CF156" s="291" t="n"/>
      <c r="CG156" s="291" t="n"/>
      <c r="CH156" s="291" t="n"/>
      <c r="CI156" s="291" t="n"/>
      <c r="CJ156" s="291" t="n"/>
      <c r="CK156" s="291" t="n"/>
      <c r="CL156" s="291" t="n"/>
      <c r="CM156" s="291" t="n"/>
      <c r="CN156" s="291" t="n"/>
      <c r="CW156" s="291" t="n"/>
      <c r="CX156" s="39" t="n"/>
      <c r="CY156" s="291" t="n"/>
      <c r="CZ156" s="39" t="n"/>
      <c r="DA156" s="291" t="n"/>
      <c r="DB156" s="39" t="n"/>
      <c r="DC156" s="291" t="n"/>
      <c r="DD156" s="39" t="n"/>
      <c r="DE156" s="311" t="n"/>
      <c r="DF156" s="311" t="n"/>
    </row>
    <row r="157" ht="13" customFormat="1" customHeight="1" s="40">
      <c r="A157" s="326" t="n"/>
      <c r="B157" s="291" t="n"/>
      <c r="C157" s="37" t="n"/>
      <c r="D157" s="37" t="n"/>
      <c r="E157" s="291" t="n"/>
      <c r="F157" s="37" t="n"/>
      <c r="G157" s="37" t="n"/>
      <c r="H157" s="291" t="n"/>
      <c r="I157" s="37" t="n"/>
      <c r="J157" s="37" t="n"/>
      <c r="K157" s="291" t="n"/>
      <c r="L157" s="37" t="n"/>
      <c r="M157" s="37" t="n"/>
      <c r="N157" s="291" t="n"/>
      <c r="O157" s="37" t="n"/>
      <c r="P157" s="37" t="n"/>
      <c r="Q157" s="291" t="n"/>
      <c r="R157" s="37" t="n"/>
      <c r="S157" s="37" t="n"/>
      <c r="T157" s="291" t="n"/>
      <c r="U157" s="37" t="n"/>
      <c r="V157" s="37" t="n"/>
      <c r="W157" s="291" t="n"/>
      <c r="X157" s="37" t="n"/>
      <c r="Y157" s="37" t="n"/>
      <c r="Z157" s="291" t="n"/>
      <c r="AA157" s="37" t="n"/>
      <c r="AB157" s="37" t="n"/>
      <c r="AC157" s="291" t="n"/>
      <c r="AD157" s="37" t="n"/>
      <c r="AE157" s="37" t="n"/>
      <c r="AF157" s="291" t="n"/>
      <c r="AG157" s="37" t="n"/>
      <c r="AH157" s="37" t="n"/>
      <c r="AI157" s="291" t="n"/>
      <c r="AJ157" s="37" t="n"/>
      <c r="AK157" s="37" t="n"/>
      <c r="AL157" s="291" t="n"/>
      <c r="AM157" s="291" t="n"/>
      <c r="AN157" s="291" t="n"/>
      <c r="AO157" s="291" t="n"/>
      <c r="AP157" s="291" t="n"/>
      <c r="AQ157" s="291" t="n"/>
      <c r="AR157" s="291" t="n"/>
      <c r="AS157" s="291" t="n"/>
      <c r="AT157" s="291" t="n"/>
      <c r="AU157" s="291" t="n"/>
      <c r="AV157" s="291" t="n"/>
      <c r="AW157" s="291" t="n"/>
      <c r="AX157" s="291" t="n"/>
      <c r="AY157" s="291" t="n"/>
      <c r="AZ157" s="291" t="n"/>
      <c r="BA157" s="291" t="n"/>
      <c r="BB157" s="291" t="n"/>
      <c r="BC157" s="291" t="n"/>
      <c r="BD157" s="291" t="n"/>
      <c r="BE157" s="291" t="n"/>
      <c r="BF157" s="291" t="n"/>
      <c r="BG157" s="291" t="n"/>
      <c r="BH157" s="291" t="n"/>
      <c r="BI157" s="291" t="n"/>
      <c r="BJ157" s="291" t="n"/>
      <c r="BK157" s="291" t="n"/>
      <c r="BL157" s="291" t="n"/>
      <c r="BM157" s="291" t="n"/>
      <c r="BN157" s="291" t="n"/>
      <c r="BO157" s="291" t="n"/>
      <c r="BP157" s="291" t="n"/>
      <c r="BQ157" s="291" t="n"/>
      <c r="BR157" s="291" t="n"/>
      <c r="BS157" s="291" t="n"/>
      <c r="BT157" s="291" t="n"/>
      <c r="BU157" s="291" t="n"/>
      <c r="BV157" s="291" t="n"/>
      <c r="BW157" s="291" t="n"/>
      <c r="BX157" s="291" t="n"/>
      <c r="BY157" s="291" t="n"/>
      <c r="BZ157" s="291" t="n"/>
      <c r="CA157" s="291" t="n"/>
      <c r="CB157" s="291" t="n"/>
      <c r="CC157" s="291" t="n"/>
      <c r="CD157" s="291" t="n"/>
      <c r="CE157" s="291" t="n"/>
      <c r="CF157" s="291" t="n"/>
      <c r="CG157" s="291" t="n"/>
      <c r="CH157" s="291" t="n"/>
      <c r="CI157" s="291" t="n"/>
      <c r="CJ157" s="291" t="n"/>
      <c r="CK157" s="291" t="n"/>
      <c r="CL157" s="291" t="n"/>
      <c r="CM157" s="291" t="n"/>
      <c r="CN157" s="291" t="n"/>
      <c r="CW157" s="291" t="n"/>
      <c r="CX157" s="291" t="n"/>
      <c r="CY157" s="291" t="n"/>
      <c r="CZ157" s="291" t="n"/>
      <c r="DA157" s="291" t="n"/>
      <c r="DB157" s="291" t="n"/>
      <c r="DC157" s="291" t="n"/>
      <c r="DD157" s="291" t="n"/>
      <c r="DE157" s="311" t="n"/>
      <c r="DF157" s="311" t="n"/>
    </row>
    <row r="158" ht="13" customFormat="1" customHeight="1" s="40">
      <c r="A158" s="326" t="n"/>
      <c r="B158" s="291" t="n"/>
      <c r="C158" s="39" t="n"/>
      <c r="D158" s="39" t="n"/>
      <c r="E158" s="291" t="n"/>
      <c r="F158" s="39" t="n"/>
      <c r="G158" s="39" t="n"/>
      <c r="H158" s="291" t="n"/>
      <c r="I158" s="39" t="n"/>
      <c r="J158" s="39" t="n"/>
      <c r="K158" s="291" t="n"/>
      <c r="L158" s="39" t="n"/>
      <c r="M158" s="39" t="n"/>
      <c r="N158" s="291" t="n"/>
      <c r="O158" s="39" t="n"/>
      <c r="P158" s="39" t="n"/>
      <c r="Q158" s="291" t="n"/>
      <c r="R158" s="39" t="n"/>
      <c r="S158" s="39" t="n"/>
      <c r="T158" s="291" t="n"/>
      <c r="U158" s="39" t="n"/>
      <c r="V158" s="39" t="n"/>
      <c r="W158" s="291" t="n"/>
      <c r="X158" s="39" t="n"/>
      <c r="Y158" s="39" t="n"/>
      <c r="Z158" s="291" t="n"/>
      <c r="AA158" s="39" t="n"/>
      <c r="AB158" s="39" t="n"/>
      <c r="AC158" s="291" t="n"/>
      <c r="AD158" s="39" t="n"/>
      <c r="AE158" s="39" t="n"/>
      <c r="AF158" s="291" t="n"/>
      <c r="AG158" s="39" t="n"/>
      <c r="AH158" s="39" t="n"/>
      <c r="AI158" s="291" t="n"/>
      <c r="AJ158" s="39" t="n"/>
      <c r="AK158" s="39" t="n"/>
      <c r="AL158" s="291" t="n"/>
      <c r="AM158" s="291" t="n"/>
      <c r="AN158" s="291" t="n"/>
      <c r="AO158" s="291" t="n"/>
      <c r="AP158" s="291" t="n"/>
      <c r="AQ158" s="291" t="n"/>
      <c r="AR158" s="291" t="n"/>
      <c r="AS158" s="291" t="n"/>
      <c r="AT158" s="291" t="n"/>
      <c r="AU158" s="291" t="n"/>
      <c r="AV158" s="291" t="n"/>
      <c r="AW158" s="291" t="n"/>
      <c r="AX158" s="291" t="n"/>
      <c r="AY158" s="291" t="n"/>
      <c r="AZ158" s="39" t="n"/>
      <c r="BA158" s="291" t="n"/>
      <c r="BB158" s="39" t="n"/>
      <c r="BC158" s="291" t="n"/>
      <c r="BD158" s="39" t="n"/>
      <c r="BE158" s="291" t="n"/>
      <c r="BF158" s="39" t="n"/>
      <c r="BG158" s="291" t="n"/>
      <c r="BH158" s="39" t="n"/>
      <c r="BI158" s="291" t="n"/>
      <c r="BJ158" s="39" t="n"/>
      <c r="BK158" s="291" t="n"/>
      <c r="BL158" s="39" t="n"/>
      <c r="BM158" s="291" t="n"/>
      <c r="BN158" s="39" t="n"/>
      <c r="BO158" s="291" t="n"/>
      <c r="BP158" s="291" t="n"/>
      <c r="BQ158" s="39" t="n"/>
      <c r="BR158" s="291" t="n"/>
      <c r="BS158" s="39" t="n"/>
      <c r="BT158" s="291" t="n"/>
      <c r="BU158" s="39" t="n"/>
      <c r="BV158" s="291" t="n"/>
      <c r="BW158" s="39" t="n"/>
      <c r="BX158" s="291" t="n"/>
      <c r="BY158" s="39" t="n"/>
      <c r="BZ158" s="291" t="n"/>
      <c r="CA158" s="39" t="n"/>
      <c r="CB158" s="291" t="n"/>
      <c r="CC158" s="39" t="n"/>
      <c r="CD158" s="291" t="n"/>
      <c r="CE158" s="39" t="n"/>
      <c r="CF158" s="291" t="n"/>
      <c r="CG158" s="291" t="n"/>
      <c r="CH158" s="291" t="n"/>
      <c r="CI158" s="291" t="n"/>
      <c r="CJ158" s="291" t="n"/>
      <c r="CK158" s="291" t="n"/>
      <c r="CL158" s="291" t="n"/>
      <c r="CM158" s="291" t="n"/>
      <c r="CN158" s="291" t="n"/>
      <c r="CW158" s="291" t="n"/>
      <c r="CX158" s="39" t="n"/>
      <c r="CY158" s="291" t="n"/>
      <c r="CZ158" s="39" t="n"/>
      <c r="DA158" s="291" t="n"/>
      <c r="DB158" s="39" t="n"/>
      <c r="DC158" s="291" t="n"/>
      <c r="DD158" s="39" t="n"/>
      <c r="DE158" s="311" t="n"/>
      <c r="DF158" s="311" t="n"/>
    </row>
    <row r="159" ht="13" customFormat="1" customHeight="1" s="40">
      <c r="A159" s="326" t="n"/>
      <c r="B159" s="291" t="n"/>
      <c r="C159" s="39" t="n"/>
      <c r="D159" s="39" t="n"/>
      <c r="E159" s="291" t="n"/>
      <c r="F159" s="39" t="n"/>
      <c r="G159" s="39" t="n"/>
      <c r="H159" s="291" t="n"/>
      <c r="I159" s="39" t="n"/>
      <c r="J159" s="39" t="n"/>
      <c r="K159" s="291" t="n"/>
      <c r="L159" s="39" t="n"/>
      <c r="M159" s="39" t="n"/>
      <c r="N159" s="291" t="n"/>
      <c r="O159" s="39" t="n"/>
      <c r="P159" s="39" t="n"/>
      <c r="Q159" s="291" t="n"/>
      <c r="R159" s="39" t="n"/>
      <c r="S159" s="39" t="n"/>
      <c r="T159" s="291" t="n"/>
      <c r="U159" s="39" t="n"/>
      <c r="V159" s="39" t="n"/>
      <c r="W159" s="291" t="n"/>
      <c r="X159" s="39" t="n"/>
      <c r="Y159" s="39" t="n"/>
      <c r="Z159" s="291" t="n"/>
      <c r="AA159" s="39" t="n"/>
      <c r="AB159" s="39" t="n"/>
      <c r="AC159" s="291" t="n"/>
      <c r="AD159" s="39" t="n"/>
      <c r="AE159" s="39" t="n"/>
      <c r="AF159" s="291" t="n"/>
      <c r="AG159" s="39" t="n"/>
      <c r="AH159" s="39" t="n"/>
      <c r="AI159" s="291" t="n"/>
      <c r="AJ159" s="39" t="n"/>
      <c r="AK159" s="39" t="n"/>
      <c r="AL159" s="291" t="n"/>
      <c r="AM159" s="291" t="n"/>
      <c r="AN159" s="291" t="n"/>
      <c r="AO159" s="291" t="n"/>
      <c r="AP159" s="291" t="n"/>
      <c r="AQ159" s="291" t="n"/>
      <c r="AR159" s="291" t="n"/>
      <c r="AS159" s="291" t="n"/>
      <c r="AT159" s="291" t="n"/>
      <c r="AU159" s="291" t="n"/>
      <c r="AV159" s="291" t="n"/>
      <c r="AW159" s="291" t="n"/>
      <c r="AX159" s="291" t="n"/>
      <c r="AY159" s="291" t="n"/>
      <c r="AZ159" s="39" t="n"/>
      <c r="BA159" s="291" t="n"/>
      <c r="BB159" s="39" t="n"/>
      <c r="BC159" s="291" t="n"/>
      <c r="BD159" s="39" t="n"/>
      <c r="BE159" s="291" t="n"/>
      <c r="BF159" s="39" t="n"/>
      <c r="BG159" s="291" t="n"/>
      <c r="BH159" s="39" t="n"/>
      <c r="BI159" s="291" t="n"/>
      <c r="BJ159" s="39" t="n"/>
      <c r="BK159" s="291" t="n"/>
      <c r="BL159" s="39" t="n"/>
      <c r="BM159" s="291" t="n"/>
      <c r="BN159" s="39" t="n"/>
      <c r="BO159" s="291" t="n"/>
      <c r="BP159" s="291" t="n"/>
      <c r="BQ159" s="39" t="n"/>
      <c r="BR159" s="291" t="n"/>
      <c r="BS159" s="39" t="n"/>
      <c r="BT159" s="291" t="n"/>
      <c r="BU159" s="39" t="n"/>
      <c r="BV159" s="291" t="n"/>
      <c r="BW159" s="39" t="n"/>
      <c r="BX159" s="291" t="n"/>
      <c r="BY159" s="39" t="n"/>
      <c r="BZ159" s="291" t="n"/>
      <c r="CA159" s="39" t="n"/>
      <c r="CB159" s="291" t="n"/>
      <c r="CC159" s="39" t="n"/>
      <c r="CD159" s="291" t="n"/>
      <c r="CE159" s="39" t="n"/>
      <c r="CF159" s="291" t="n"/>
      <c r="CG159" s="291" t="n"/>
      <c r="CH159" s="291" t="n"/>
      <c r="CI159" s="291" t="n"/>
      <c r="CJ159" s="291" t="n"/>
      <c r="CK159" s="291" t="n"/>
      <c r="CL159" s="291" t="n"/>
      <c r="CM159" s="291" t="n"/>
      <c r="CN159" s="291" t="n"/>
      <c r="CW159" s="291" t="n"/>
      <c r="CX159" s="39" t="n"/>
      <c r="CY159" s="291" t="n"/>
      <c r="CZ159" s="39" t="n"/>
      <c r="DA159" s="291" t="n"/>
      <c r="DB159" s="39" t="n"/>
      <c r="DC159" s="291" t="n"/>
      <c r="DD159" s="39" t="n"/>
      <c r="DE159" s="311" t="n"/>
      <c r="DF159" s="311" t="n"/>
    </row>
    <row r="160" ht="13" customFormat="1" customHeight="1" s="40">
      <c r="A160" s="326" t="n"/>
      <c r="B160" s="291" t="n"/>
      <c r="C160" s="39" t="n"/>
      <c r="D160" s="39" t="n"/>
      <c r="E160" s="291" t="n"/>
      <c r="F160" s="39" t="n"/>
      <c r="G160" s="39" t="n"/>
      <c r="H160" s="291" t="n"/>
      <c r="I160" s="39" t="n"/>
      <c r="J160" s="39" t="n"/>
      <c r="K160" s="291" t="n"/>
      <c r="L160" s="39" t="n"/>
      <c r="M160" s="39" t="n"/>
      <c r="N160" s="291" t="n"/>
      <c r="O160" s="39" t="n"/>
      <c r="P160" s="39" t="n"/>
      <c r="Q160" s="291" t="n"/>
      <c r="R160" s="39" t="n"/>
      <c r="S160" s="39" t="n"/>
      <c r="T160" s="291" t="n"/>
      <c r="U160" s="39" t="n"/>
      <c r="V160" s="39" t="n"/>
      <c r="W160" s="291" t="n"/>
      <c r="X160" s="39" t="n"/>
      <c r="Y160" s="39" t="n"/>
      <c r="Z160" s="291" t="n"/>
      <c r="AA160" s="39" t="n"/>
      <c r="AB160" s="39" t="n"/>
      <c r="AC160" s="291" t="n"/>
      <c r="AD160" s="39" t="n"/>
      <c r="AE160" s="39" t="n"/>
      <c r="AF160" s="291" t="n"/>
      <c r="AG160" s="39" t="n"/>
      <c r="AH160" s="39" t="n"/>
      <c r="AI160" s="291" t="n"/>
      <c r="AJ160" s="39" t="n"/>
      <c r="AK160" s="39" t="n"/>
      <c r="AL160" s="291" t="n"/>
      <c r="AM160" s="291" t="n"/>
      <c r="AN160" s="291" t="n"/>
      <c r="AO160" s="291" t="n"/>
      <c r="AP160" s="291" t="n"/>
      <c r="AQ160" s="291" t="n"/>
      <c r="AR160" s="291" t="n"/>
      <c r="AS160" s="291" t="n"/>
      <c r="AT160" s="291" t="n"/>
      <c r="AU160" s="291" t="n"/>
      <c r="AV160" s="291" t="n"/>
      <c r="AW160" s="291" t="n"/>
      <c r="AX160" s="291" t="n"/>
      <c r="AY160" s="291" t="n"/>
      <c r="AZ160" s="39" t="n"/>
      <c r="BA160" s="291" t="n"/>
      <c r="BB160" s="39" t="n"/>
      <c r="BC160" s="291" t="n"/>
      <c r="BD160" s="39" t="n"/>
      <c r="BE160" s="291" t="n"/>
      <c r="BF160" s="39" t="n"/>
      <c r="BG160" s="291" t="n"/>
      <c r="BH160" s="39" t="n"/>
      <c r="BI160" s="291" t="n"/>
      <c r="BJ160" s="39" t="n"/>
      <c r="BK160" s="291" t="n"/>
      <c r="BL160" s="39" t="n"/>
      <c r="BM160" s="291" t="n"/>
      <c r="BN160" s="39" t="n"/>
      <c r="BO160" s="291" t="n"/>
      <c r="BP160" s="291" t="n"/>
      <c r="BQ160" s="39" t="n"/>
      <c r="BR160" s="291" t="n"/>
      <c r="BS160" s="39" t="n"/>
      <c r="BT160" s="291" t="n"/>
      <c r="BU160" s="39" t="n"/>
      <c r="BV160" s="291" t="n"/>
      <c r="BW160" s="39" t="n"/>
      <c r="BX160" s="291" t="n"/>
      <c r="BY160" s="39" t="n"/>
      <c r="BZ160" s="291" t="n"/>
      <c r="CA160" s="39" t="n"/>
      <c r="CB160" s="291" t="n"/>
      <c r="CC160" s="39" t="n"/>
      <c r="CD160" s="291" t="n"/>
      <c r="CE160" s="39" t="n"/>
      <c r="CF160" s="291" t="n"/>
      <c r="CG160" s="291" t="n"/>
      <c r="CH160" s="291" t="n"/>
      <c r="CI160" s="291" t="n"/>
      <c r="CJ160" s="291" t="n"/>
      <c r="CK160" s="291" t="n"/>
      <c r="CL160" s="291" t="n"/>
      <c r="CM160" s="291" t="n"/>
      <c r="CN160" s="291" t="n"/>
      <c r="CW160" s="291" t="n"/>
      <c r="CX160" s="39" t="n"/>
      <c r="CY160" s="291" t="n"/>
      <c r="CZ160" s="39" t="n"/>
      <c r="DA160" s="291" t="n"/>
      <c r="DB160" s="39" t="n"/>
      <c r="DC160" s="291" t="n"/>
      <c r="DD160" s="39" t="n"/>
      <c r="DE160" s="311" t="n"/>
      <c r="DF160" s="311" t="n"/>
    </row>
    <row r="161" ht="13" customFormat="1" customHeight="1" s="40">
      <c r="A161" s="326" t="n"/>
      <c r="B161" s="291" t="n"/>
      <c r="C161" s="39" t="n"/>
      <c r="D161" s="39" t="n"/>
      <c r="E161" s="291" t="n"/>
      <c r="F161" s="39" t="n"/>
      <c r="G161" s="39" t="n"/>
      <c r="H161" s="291" t="n"/>
      <c r="I161" s="39" t="n"/>
      <c r="J161" s="39" t="n"/>
      <c r="K161" s="291" t="n"/>
      <c r="L161" s="39" t="n"/>
      <c r="M161" s="39" t="n"/>
      <c r="N161" s="291" t="n"/>
      <c r="O161" s="39" t="n"/>
      <c r="P161" s="39" t="n"/>
      <c r="Q161" s="291" t="n"/>
      <c r="R161" s="39" t="n"/>
      <c r="S161" s="39" t="n"/>
      <c r="T161" s="291" t="n"/>
      <c r="U161" s="39" t="n"/>
      <c r="V161" s="39" t="n"/>
      <c r="W161" s="291" t="n"/>
      <c r="X161" s="39" t="n"/>
      <c r="Y161" s="39" t="n"/>
      <c r="Z161" s="291" t="n"/>
      <c r="AA161" s="39" t="n"/>
      <c r="AB161" s="39" t="n"/>
      <c r="AC161" s="291" t="n"/>
      <c r="AD161" s="39" t="n"/>
      <c r="AE161" s="39" t="n"/>
      <c r="AF161" s="291" t="n"/>
      <c r="AG161" s="39" t="n"/>
      <c r="AH161" s="39" t="n"/>
      <c r="AI161" s="291" t="n"/>
      <c r="AJ161" s="39" t="n"/>
      <c r="AK161" s="39" t="n"/>
      <c r="AL161" s="291" t="n"/>
      <c r="AM161" s="291" t="n"/>
      <c r="AN161" s="291" t="n"/>
      <c r="AO161" s="291" t="n"/>
      <c r="AP161" s="291" t="n"/>
      <c r="AQ161" s="291" t="n"/>
      <c r="AR161" s="291" t="n"/>
      <c r="AS161" s="291" t="n"/>
      <c r="AT161" s="291" t="n"/>
      <c r="AU161" s="291" t="n"/>
      <c r="AV161" s="291" t="n"/>
      <c r="AW161" s="291" t="n"/>
      <c r="AX161" s="291" t="n"/>
      <c r="AY161" s="291" t="n"/>
      <c r="AZ161" s="39" t="n"/>
      <c r="BA161" s="291" t="n"/>
      <c r="BB161" s="39" t="n"/>
      <c r="BC161" s="291" t="n"/>
      <c r="BD161" s="39" t="n"/>
      <c r="BE161" s="291" t="n"/>
      <c r="BF161" s="39" t="n"/>
      <c r="BG161" s="291" t="n"/>
      <c r="BH161" s="39" t="n"/>
      <c r="BI161" s="291" t="n"/>
      <c r="BJ161" s="39" t="n"/>
      <c r="BK161" s="291" t="n"/>
      <c r="BL161" s="39" t="n"/>
      <c r="BM161" s="291" t="n"/>
      <c r="BN161" s="39" t="n"/>
      <c r="BO161" s="291" t="n"/>
      <c r="BP161" s="291" t="n"/>
      <c r="BQ161" s="39" t="n"/>
      <c r="BR161" s="291" t="n"/>
      <c r="BS161" s="39" t="n"/>
      <c r="BT161" s="291" t="n"/>
      <c r="BU161" s="39" t="n"/>
      <c r="BV161" s="291" t="n"/>
      <c r="BW161" s="39" t="n"/>
      <c r="BX161" s="291" t="n"/>
      <c r="BY161" s="39" t="n"/>
      <c r="BZ161" s="291" t="n"/>
      <c r="CA161" s="39" t="n"/>
      <c r="CB161" s="291" t="n"/>
      <c r="CC161" s="39" t="n"/>
      <c r="CD161" s="291" t="n"/>
      <c r="CE161" s="39" t="n"/>
      <c r="CF161" s="291" t="n"/>
      <c r="CG161" s="291" t="n"/>
      <c r="CH161" s="291" t="n"/>
      <c r="CI161" s="291" t="n"/>
      <c r="CJ161" s="291" t="n"/>
      <c r="CK161" s="291" t="n"/>
      <c r="CL161" s="291" t="n"/>
      <c r="CM161" s="291" t="n"/>
      <c r="CN161" s="291" t="n"/>
      <c r="CW161" s="291" t="n"/>
      <c r="CX161" s="39" t="n"/>
      <c r="CY161" s="291" t="n"/>
      <c r="CZ161" s="39" t="n"/>
      <c r="DA161" s="291" t="n"/>
      <c r="DB161" s="39" t="n"/>
      <c r="DC161" s="291" t="n"/>
      <c r="DD161" s="39" t="n"/>
      <c r="DE161" s="311" t="n"/>
      <c r="DF161" s="311" t="n"/>
    </row>
    <row r="162" ht="13" customFormat="1" customHeight="1" s="40">
      <c r="A162" s="326" t="n"/>
      <c r="B162" s="291" t="n"/>
      <c r="C162" s="37" t="n"/>
      <c r="D162" s="37" t="n"/>
      <c r="E162" s="291" t="n"/>
      <c r="F162" s="37" t="n"/>
      <c r="G162" s="37" t="n"/>
      <c r="H162" s="291" t="n"/>
      <c r="I162" s="37" t="n"/>
      <c r="J162" s="37" t="n"/>
      <c r="K162" s="291" t="n"/>
      <c r="L162" s="37" t="n"/>
      <c r="M162" s="37" t="n"/>
      <c r="N162" s="291" t="n"/>
      <c r="O162" s="37" t="n"/>
      <c r="P162" s="37" t="n"/>
      <c r="Q162" s="291" t="n"/>
      <c r="R162" s="37" t="n"/>
      <c r="S162" s="37" t="n"/>
      <c r="T162" s="291" t="n"/>
      <c r="U162" s="37" t="n"/>
      <c r="V162" s="37" t="n"/>
      <c r="W162" s="291" t="n"/>
      <c r="X162" s="37" t="n"/>
      <c r="Y162" s="37" t="n"/>
      <c r="Z162" s="291" t="n"/>
      <c r="AA162" s="37" t="n"/>
      <c r="AB162" s="37" t="n"/>
      <c r="AC162" s="291" t="n"/>
      <c r="AD162" s="37" t="n"/>
      <c r="AE162" s="37" t="n"/>
      <c r="AF162" s="291" t="n"/>
      <c r="AG162" s="37" t="n"/>
      <c r="AH162" s="37" t="n"/>
      <c r="AI162" s="291" t="n"/>
      <c r="AJ162" s="37" t="n"/>
      <c r="AK162" s="37" t="n"/>
      <c r="AL162" s="291" t="n"/>
      <c r="AM162" s="291" t="n"/>
      <c r="AN162" s="291" t="n"/>
      <c r="AO162" s="291" t="n"/>
      <c r="AP162" s="291" t="n"/>
      <c r="AQ162" s="291" t="n"/>
      <c r="AR162" s="291" t="n"/>
      <c r="AS162" s="291" t="n"/>
      <c r="AT162" s="291" t="n"/>
      <c r="AU162" s="291" t="n"/>
      <c r="AV162" s="291" t="n"/>
      <c r="AW162" s="291" t="n"/>
      <c r="AX162" s="291" t="n"/>
      <c r="AY162" s="291" t="n"/>
      <c r="AZ162" s="291" t="n"/>
      <c r="BA162" s="291" t="n"/>
      <c r="BB162" s="291" t="n"/>
      <c r="BC162" s="291" t="n"/>
      <c r="BD162" s="291" t="n"/>
      <c r="BE162" s="291" t="n"/>
      <c r="BF162" s="291" t="n"/>
      <c r="BG162" s="291" t="n"/>
      <c r="BH162" s="291" t="n"/>
      <c r="BI162" s="291" t="n"/>
      <c r="BJ162" s="291" t="n"/>
      <c r="BK162" s="291" t="n"/>
      <c r="BL162" s="291" t="n"/>
      <c r="BM162" s="291" t="n"/>
      <c r="BN162" s="291" t="n"/>
      <c r="BO162" s="291" t="n"/>
      <c r="BP162" s="291" t="n"/>
      <c r="BQ162" s="291" t="n"/>
      <c r="BR162" s="291" t="n"/>
      <c r="BS162" s="291" t="n"/>
      <c r="BT162" s="291" t="n"/>
      <c r="BU162" s="291" t="n"/>
      <c r="BV162" s="291" t="n"/>
      <c r="BW162" s="291" t="n"/>
      <c r="BX162" s="291" t="n"/>
      <c r="BY162" s="291" t="n"/>
      <c r="BZ162" s="291" t="n"/>
      <c r="CA162" s="291" t="n"/>
      <c r="CB162" s="291" t="n"/>
      <c r="CC162" s="291" t="n"/>
      <c r="CD162" s="291" t="n"/>
      <c r="CE162" s="291" t="n"/>
      <c r="CF162" s="291" t="n"/>
      <c r="CG162" s="291" t="n"/>
      <c r="CH162" s="291" t="n"/>
      <c r="CI162" s="291" t="n"/>
      <c r="CJ162" s="291" t="n"/>
      <c r="CK162" s="291" t="n"/>
      <c r="CL162" s="291" t="n"/>
      <c r="CM162" s="291" t="n"/>
      <c r="CN162" s="291" t="n"/>
      <c r="CW162" s="291" t="n"/>
      <c r="CX162" s="291" t="n"/>
      <c r="CY162" s="291" t="n"/>
      <c r="CZ162" s="291" t="n"/>
      <c r="DA162" s="291" t="n"/>
      <c r="DB162" s="291" t="n"/>
      <c r="DC162" s="291" t="n"/>
      <c r="DD162" s="291" t="n"/>
      <c r="DE162" s="311" t="n"/>
      <c r="DF162" s="311" t="n"/>
    </row>
    <row r="163" ht="13" customFormat="1" customHeight="1" s="40">
      <c r="A163" s="326" t="n"/>
      <c r="B163" s="291" t="n"/>
      <c r="C163" s="39" t="n"/>
      <c r="D163" s="39" t="n"/>
      <c r="E163" s="291" t="n"/>
      <c r="F163" s="39" t="n"/>
      <c r="G163" s="39" t="n"/>
      <c r="H163" s="291" t="n"/>
      <c r="I163" s="39" t="n"/>
      <c r="J163" s="39" t="n"/>
      <c r="K163" s="291" t="n"/>
      <c r="L163" s="39" t="n"/>
      <c r="M163" s="39" t="n"/>
      <c r="N163" s="291" t="n"/>
      <c r="O163" s="39" t="n"/>
      <c r="P163" s="39" t="n"/>
      <c r="Q163" s="291" t="n"/>
      <c r="R163" s="39" t="n"/>
      <c r="S163" s="39" t="n"/>
      <c r="T163" s="291" t="n"/>
      <c r="U163" s="39" t="n"/>
      <c r="V163" s="39" t="n"/>
      <c r="W163" s="291" t="n"/>
      <c r="X163" s="39" t="n"/>
      <c r="Y163" s="39" t="n"/>
      <c r="Z163" s="291" t="n"/>
      <c r="AA163" s="39" t="n"/>
      <c r="AB163" s="39" t="n"/>
      <c r="AC163" s="291" t="n"/>
      <c r="AD163" s="39" t="n"/>
      <c r="AE163" s="39" t="n"/>
      <c r="AF163" s="291" t="n"/>
      <c r="AG163" s="39" t="n"/>
      <c r="AH163" s="39" t="n"/>
      <c r="AI163" s="291" t="n"/>
      <c r="AJ163" s="39" t="n"/>
      <c r="AK163" s="39" t="n"/>
      <c r="AL163" s="291" t="n"/>
      <c r="AM163" s="291" t="n"/>
      <c r="AN163" s="291" t="n"/>
      <c r="AO163" s="291" t="n"/>
      <c r="AP163" s="291" t="n"/>
      <c r="AQ163" s="291" t="n"/>
      <c r="AR163" s="291" t="n"/>
      <c r="AS163" s="291" t="n"/>
      <c r="AT163" s="291" t="n"/>
      <c r="AU163" s="291" t="n"/>
      <c r="AV163" s="291" t="n"/>
      <c r="AW163" s="291" t="n"/>
      <c r="AX163" s="291" t="n"/>
      <c r="AY163" s="291" t="n"/>
      <c r="AZ163" s="39" t="n"/>
      <c r="BA163" s="291" t="n"/>
      <c r="BB163" s="39" t="n"/>
      <c r="BC163" s="291" t="n"/>
      <c r="BD163" s="39" t="n"/>
      <c r="BE163" s="291" t="n"/>
      <c r="BF163" s="39" t="n"/>
      <c r="BG163" s="291" t="n"/>
      <c r="BH163" s="39" t="n"/>
      <c r="BI163" s="291" t="n"/>
      <c r="BJ163" s="39" t="n"/>
      <c r="BK163" s="291" t="n"/>
      <c r="BL163" s="39" t="n"/>
      <c r="BM163" s="291" t="n"/>
      <c r="BN163" s="39" t="n"/>
      <c r="BO163" s="291" t="n"/>
      <c r="BP163" s="291" t="n"/>
      <c r="BQ163" s="39" t="n"/>
      <c r="BR163" s="291" t="n"/>
      <c r="BS163" s="39" t="n"/>
      <c r="BT163" s="291" t="n"/>
      <c r="BU163" s="39" t="n"/>
      <c r="BV163" s="291" t="n"/>
      <c r="BW163" s="39" t="n"/>
      <c r="BX163" s="291" t="n"/>
      <c r="BY163" s="39" t="n"/>
      <c r="BZ163" s="291" t="n"/>
      <c r="CA163" s="39" t="n"/>
      <c r="CB163" s="291" t="n"/>
      <c r="CC163" s="39" t="n"/>
      <c r="CD163" s="291" t="n"/>
      <c r="CE163" s="39" t="n"/>
      <c r="CF163" s="291" t="n"/>
      <c r="CG163" s="291" t="n"/>
      <c r="CH163" s="291" t="n"/>
      <c r="CI163" s="291" t="n"/>
      <c r="CJ163" s="291" t="n"/>
      <c r="CK163" s="291" t="n"/>
      <c r="CL163" s="291" t="n"/>
      <c r="CM163" s="291" t="n"/>
      <c r="CN163" s="291" t="n"/>
      <c r="CW163" s="291" t="n"/>
      <c r="CX163" s="39" t="n"/>
      <c r="CY163" s="291" t="n"/>
      <c r="CZ163" s="39" t="n"/>
      <c r="DA163" s="291" t="n"/>
      <c r="DB163" s="39" t="n"/>
      <c r="DC163" s="291" t="n"/>
      <c r="DD163" s="39" t="n"/>
      <c r="DE163" s="311" t="n"/>
      <c r="DF163" s="311" t="n"/>
    </row>
    <row r="164" ht="13" customFormat="1" customHeight="1" s="40">
      <c r="A164" s="326" t="n"/>
      <c r="B164" s="291" t="n"/>
      <c r="C164" s="39" t="n"/>
      <c r="D164" s="39" t="n"/>
      <c r="E164" s="291" t="n"/>
      <c r="F164" s="39" t="n"/>
      <c r="G164" s="39" t="n"/>
      <c r="H164" s="291" t="n"/>
      <c r="I164" s="39" t="n"/>
      <c r="J164" s="39" t="n"/>
      <c r="K164" s="291" t="n"/>
      <c r="L164" s="39" t="n"/>
      <c r="M164" s="39" t="n"/>
      <c r="N164" s="291" t="n"/>
      <c r="O164" s="39" t="n"/>
      <c r="P164" s="39" t="n"/>
      <c r="Q164" s="291" t="n"/>
      <c r="R164" s="39" t="n"/>
      <c r="S164" s="39" t="n"/>
      <c r="T164" s="291" t="n"/>
      <c r="U164" s="39" t="n"/>
      <c r="V164" s="39" t="n"/>
      <c r="W164" s="291" t="n"/>
      <c r="X164" s="39" t="n"/>
      <c r="Y164" s="39" t="n"/>
      <c r="Z164" s="291" t="n"/>
      <c r="AA164" s="39" t="n"/>
      <c r="AB164" s="39" t="n"/>
      <c r="AC164" s="291" t="n"/>
      <c r="AD164" s="39" t="n"/>
      <c r="AE164" s="39" t="n"/>
      <c r="AF164" s="291" t="n"/>
      <c r="AG164" s="39" t="n"/>
      <c r="AH164" s="39" t="n"/>
      <c r="AI164" s="291" t="n"/>
      <c r="AJ164" s="39" t="n"/>
      <c r="AK164" s="39" t="n"/>
      <c r="AL164" s="291" t="n"/>
      <c r="AM164" s="291" t="n"/>
      <c r="AN164" s="291" t="n"/>
      <c r="AO164" s="291" t="n"/>
      <c r="AP164" s="291" t="n"/>
      <c r="AQ164" s="291" t="n"/>
      <c r="AR164" s="291" t="n"/>
      <c r="AS164" s="291" t="n"/>
      <c r="AT164" s="291" t="n"/>
      <c r="AU164" s="291" t="n"/>
      <c r="AV164" s="291" t="n"/>
      <c r="AW164" s="291" t="n"/>
      <c r="AX164" s="291" t="n"/>
      <c r="AY164" s="291" t="n"/>
      <c r="AZ164" s="39" t="n"/>
      <c r="BA164" s="291" t="n"/>
      <c r="BB164" s="39" t="n"/>
      <c r="BC164" s="291" t="n"/>
      <c r="BD164" s="39" t="n"/>
      <c r="BE164" s="291" t="n"/>
      <c r="BF164" s="39" t="n"/>
      <c r="BG164" s="291" t="n"/>
      <c r="BH164" s="39" t="n"/>
      <c r="BI164" s="291" t="n"/>
      <c r="BJ164" s="39" t="n"/>
      <c r="BK164" s="291" t="n"/>
      <c r="BL164" s="39" t="n"/>
      <c r="BM164" s="291" t="n"/>
      <c r="BN164" s="39" t="n"/>
      <c r="BO164" s="291" t="n"/>
      <c r="BP164" s="291" t="n"/>
      <c r="BQ164" s="39" t="n"/>
      <c r="BR164" s="291" t="n"/>
      <c r="BS164" s="39" t="n"/>
      <c r="BT164" s="291" t="n"/>
      <c r="BU164" s="39" t="n"/>
      <c r="BV164" s="291" t="n"/>
      <c r="BW164" s="39" t="n"/>
      <c r="BX164" s="291" t="n"/>
      <c r="BY164" s="39" t="n"/>
      <c r="BZ164" s="291" t="n"/>
      <c r="CA164" s="39" t="n"/>
      <c r="CB164" s="291" t="n"/>
      <c r="CC164" s="39" t="n"/>
      <c r="CD164" s="291" t="n"/>
      <c r="CE164" s="39" t="n"/>
      <c r="CF164" s="291" t="n"/>
      <c r="CG164" s="291" t="n"/>
      <c r="CH164" s="291" t="n"/>
      <c r="CI164" s="291" t="n"/>
      <c r="CJ164" s="291" t="n"/>
      <c r="CK164" s="291" t="n"/>
      <c r="CL164" s="291" t="n"/>
      <c r="CM164" s="291" t="n"/>
      <c r="CN164" s="291" t="n"/>
      <c r="CW164" s="291" t="n"/>
      <c r="CX164" s="39" t="n"/>
      <c r="CY164" s="291" t="n"/>
      <c r="CZ164" s="39" t="n"/>
      <c r="DA164" s="291" t="n"/>
      <c r="DB164" s="39" t="n"/>
      <c r="DC164" s="291" t="n"/>
      <c r="DD164" s="39" t="n"/>
      <c r="DE164" s="311" t="n"/>
      <c r="DF164" s="311" t="n"/>
    </row>
    <row r="165" ht="13" customFormat="1" customHeight="1" s="40">
      <c r="A165" s="326" t="n"/>
      <c r="B165" s="291" t="n"/>
      <c r="C165" s="39" t="n"/>
      <c r="D165" s="39" t="n"/>
      <c r="E165" s="291" t="n"/>
      <c r="F165" s="39" t="n"/>
      <c r="G165" s="39" t="n"/>
      <c r="H165" s="291" t="n"/>
      <c r="I165" s="39" t="n"/>
      <c r="J165" s="39" t="n"/>
      <c r="K165" s="291" t="n"/>
      <c r="L165" s="39" t="n"/>
      <c r="M165" s="39" t="n"/>
      <c r="N165" s="291" t="n"/>
      <c r="O165" s="39" t="n"/>
      <c r="P165" s="39" t="n"/>
      <c r="Q165" s="291" t="n"/>
      <c r="R165" s="39" t="n"/>
      <c r="S165" s="39" t="n"/>
      <c r="T165" s="291" t="n"/>
      <c r="U165" s="39" t="n"/>
      <c r="V165" s="39" t="n"/>
      <c r="W165" s="291" t="n"/>
      <c r="X165" s="39" t="n"/>
      <c r="Y165" s="39" t="n"/>
      <c r="Z165" s="291" t="n"/>
      <c r="AA165" s="39" t="n"/>
      <c r="AB165" s="39" t="n"/>
      <c r="AC165" s="291" t="n"/>
      <c r="AD165" s="39" t="n"/>
      <c r="AE165" s="39" t="n"/>
      <c r="AF165" s="291" t="n"/>
      <c r="AG165" s="39" t="n"/>
      <c r="AH165" s="39" t="n"/>
      <c r="AI165" s="291" t="n"/>
      <c r="AJ165" s="39" t="n"/>
      <c r="AK165" s="39" t="n"/>
      <c r="AL165" s="291" t="n"/>
      <c r="AM165" s="291" t="n"/>
      <c r="AN165" s="291" t="n"/>
      <c r="AO165" s="291" t="n"/>
      <c r="AP165" s="291" t="n"/>
      <c r="AQ165" s="291" t="n"/>
      <c r="AR165" s="291" t="n"/>
      <c r="AS165" s="291" t="n"/>
      <c r="AT165" s="291" t="n"/>
      <c r="AU165" s="291" t="n"/>
      <c r="AV165" s="291" t="n"/>
      <c r="AW165" s="291" t="n"/>
      <c r="AX165" s="291" t="n"/>
      <c r="AY165" s="291" t="n"/>
      <c r="AZ165" s="39" t="n"/>
      <c r="BA165" s="291" t="n"/>
      <c r="BB165" s="39" t="n"/>
      <c r="BC165" s="291" t="n"/>
      <c r="BD165" s="39" t="n"/>
      <c r="BE165" s="291" t="n"/>
      <c r="BF165" s="39" t="n"/>
      <c r="BG165" s="291" t="n"/>
      <c r="BH165" s="39" t="n"/>
      <c r="BI165" s="291" t="n"/>
      <c r="BJ165" s="39" t="n"/>
      <c r="BK165" s="291" t="n"/>
      <c r="BL165" s="39" t="n"/>
      <c r="BM165" s="291" t="n"/>
      <c r="BN165" s="39" t="n"/>
      <c r="BO165" s="291" t="n"/>
      <c r="BP165" s="291" t="n"/>
      <c r="BQ165" s="39" t="n"/>
      <c r="BR165" s="291" t="n"/>
      <c r="BS165" s="39" t="n"/>
      <c r="BT165" s="291" t="n"/>
      <c r="BU165" s="39" t="n"/>
      <c r="BV165" s="291" t="n"/>
      <c r="BW165" s="39" t="n"/>
      <c r="BX165" s="291" t="n"/>
      <c r="BY165" s="39" t="n"/>
      <c r="BZ165" s="291" t="n"/>
      <c r="CA165" s="39" t="n"/>
      <c r="CB165" s="291" t="n"/>
      <c r="CC165" s="39" t="n"/>
      <c r="CD165" s="291" t="n"/>
      <c r="CE165" s="39" t="n"/>
      <c r="CF165" s="291" t="n"/>
      <c r="CG165" s="291" t="n"/>
      <c r="CH165" s="291" t="n"/>
      <c r="CI165" s="291" t="n"/>
      <c r="CJ165" s="291" t="n"/>
      <c r="CK165" s="291" t="n"/>
      <c r="CL165" s="291" t="n"/>
      <c r="CM165" s="291" t="n"/>
      <c r="CN165" s="291" t="n"/>
      <c r="CW165" s="291" t="n"/>
      <c r="CX165" s="39" t="n"/>
      <c r="CY165" s="291" t="n"/>
      <c r="CZ165" s="39" t="n"/>
      <c r="DA165" s="291" t="n"/>
      <c r="DB165" s="39" t="n"/>
      <c r="DC165" s="291" t="n"/>
      <c r="DD165" s="39" t="n"/>
      <c r="DE165" s="311" t="n"/>
      <c r="DF165" s="311" t="n"/>
    </row>
    <row r="166" ht="13" customFormat="1" customHeight="1" s="40">
      <c r="A166" s="326" t="n"/>
      <c r="B166" s="291" t="n"/>
      <c r="C166" s="39" t="n"/>
      <c r="D166" s="39" t="n"/>
      <c r="E166" s="291" t="n"/>
      <c r="F166" s="39" t="n"/>
      <c r="G166" s="39" t="n"/>
      <c r="H166" s="291" t="n"/>
      <c r="I166" s="39" t="n"/>
      <c r="J166" s="39" t="n"/>
      <c r="K166" s="291" t="n"/>
      <c r="L166" s="39" t="n"/>
      <c r="M166" s="39" t="n"/>
      <c r="N166" s="291" t="n"/>
      <c r="O166" s="39" t="n"/>
      <c r="P166" s="39" t="n"/>
      <c r="Q166" s="291" t="n"/>
      <c r="R166" s="39" t="n"/>
      <c r="S166" s="39" t="n"/>
      <c r="T166" s="291" t="n"/>
      <c r="U166" s="39" t="n"/>
      <c r="V166" s="39" t="n"/>
      <c r="W166" s="291" t="n"/>
      <c r="X166" s="39" t="n"/>
      <c r="Y166" s="39" t="n"/>
      <c r="Z166" s="291" t="n"/>
      <c r="AA166" s="39" t="n"/>
      <c r="AB166" s="39" t="n"/>
      <c r="AC166" s="291" t="n"/>
      <c r="AD166" s="39" t="n"/>
      <c r="AE166" s="39" t="n"/>
      <c r="AF166" s="291" t="n"/>
      <c r="AG166" s="39" t="n"/>
      <c r="AH166" s="39" t="n"/>
      <c r="AI166" s="291" t="n"/>
      <c r="AJ166" s="39" t="n"/>
      <c r="AK166" s="39" t="n"/>
      <c r="AL166" s="291" t="n"/>
      <c r="AM166" s="291" t="n"/>
      <c r="AN166" s="291" t="n"/>
      <c r="AO166" s="291" t="n"/>
      <c r="AP166" s="291" t="n"/>
      <c r="AQ166" s="291" t="n"/>
      <c r="AR166" s="291" t="n"/>
      <c r="AS166" s="291" t="n"/>
      <c r="AT166" s="291" t="n"/>
      <c r="AU166" s="291" t="n"/>
      <c r="AV166" s="291" t="n"/>
      <c r="AW166" s="291" t="n"/>
      <c r="AX166" s="291" t="n"/>
      <c r="AY166" s="291" t="n"/>
      <c r="AZ166" s="39" t="n"/>
      <c r="BA166" s="291" t="n"/>
      <c r="BB166" s="39" t="n"/>
      <c r="BC166" s="291" t="n"/>
      <c r="BD166" s="39" t="n"/>
      <c r="BE166" s="291" t="n"/>
      <c r="BF166" s="39" t="n"/>
      <c r="BG166" s="291" t="n"/>
      <c r="BH166" s="39" t="n"/>
      <c r="BI166" s="291" t="n"/>
      <c r="BJ166" s="39" t="n"/>
      <c r="BK166" s="291" t="n"/>
      <c r="BL166" s="39" t="n"/>
      <c r="BM166" s="291" t="n"/>
      <c r="BN166" s="39" t="n"/>
      <c r="BO166" s="291" t="n"/>
      <c r="BP166" s="291" t="n"/>
      <c r="BQ166" s="39" t="n"/>
      <c r="BR166" s="291" t="n"/>
      <c r="BS166" s="39" t="n"/>
      <c r="BT166" s="291" t="n"/>
      <c r="BU166" s="39" t="n"/>
      <c r="BV166" s="291" t="n"/>
      <c r="BW166" s="39" t="n"/>
      <c r="BX166" s="291" t="n"/>
      <c r="BY166" s="39" t="n"/>
      <c r="BZ166" s="291" t="n"/>
      <c r="CA166" s="39" t="n"/>
      <c r="CB166" s="291" t="n"/>
      <c r="CC166" s="39" t="n"/>
      <c r="CD166" s="291" t="n"/>
      <c r="CE166" s="39" t="n"/>
      <c r="CF166" s="291" t="n"/>
      <c r="CG166" s="291" t="n"/>
      <c r="CH166" s="291" t="n"/>
      <c r="CI166" s="291" t="n"/>
      <c r="CJ166" s="291" t="n"/>
      <c r="CK166" s="291" t="n"/>
      <c r="CL166" s="291" t="n"/>
      <c r="CM166" s="291" t="n"/>
      <c r="CN166" s="291" t="n"/>
      <c r="CW166" s="291" t="n"/>
      <c r="CX166" s="39" t="n"/>
      <c r="CY166" s="291" t="n"/>
      <c r="CZ166" s="39" t="n"/>
      <c r="DA166" s="291" t="n"/>
      <c r="DB166" s="39" t="n"/>
      <c r="DC166" s="291" t="n"/>
      <c r="DD166" s="39" t="n"/>
      <c r="DE166" s="311" t="n"/>
      <c r="DF166" s="311" t="n"/>
    </row>
    <row r="167" ht="13" customFormat="1" customHeight="1" s="40">
      <c r="A167" s="326" t="n"/>
      <c r="B167" s="291" t="n"/>
      <c r="C167" s="37" t="n"/>
      <c r="D167" s="37" t="n"/>
      <c r="E167" s="291" t="n"/>
      <c r="F167" s="37" t="n"/>
      <c r="G167" s="37" t="n"/>
      <c r="H167" s="291" t="n"/>
      <c r="I167" s="37" t="n"/>
      <c r="J167" s="37" t="n"/>
      <c r="K167" s="291" t="n"/>
      <c r="L167" s="37" t="n"/>
      <c r="M167" s="37" t="n"/>
      <c r="N167" s="291" t="n"/>
      <c r="O167" s="37" t="n"/>
      <c r="P167" s="37" t="n"/>
      <c r="Q167" s="291" t="n"/>
      <c r="R167" s="37" t="n"/>
      <c r="S167" s="37" t="n"/>
      <c r="T167" s="291" t="n"/>
      <c r="U167" s="37" t="n"/>
      <c r="V167" s="37" t="n"/>
      <c r="W167" s="291" t="n"/>
      <c r="X167" s="37" t="n"/>
      <c r="Y167" s="37" t="n"/>
      <c r="Z167" s="291" t="n"/>
      <c r="AA167" s="37" t="n"/>
      <c r="AB167" s="37" t="n"/>
      <c r="AC167" s="291" t="n"/>
      <c r="AD167" s="37" t="n"/>
      <c r="AE167" s="37" t="n"/>
      <c r="AF167" s="291" t="n"/>
      <c r="AG167" s="37" t="n"/>
      <c r="AH167" s="37" t="n"/>
      <c r="AI167" s="291" t="n"/>
      <c r="AJ167" s="37" t="n"/>
      <c r="AK167" s="37" t="n"/>
      <c r="AL167" s="291" t="n"/>
      <c r="AM167" s="291" t="n"/>
      <c r="AN167" s="291" t="n"/>
      <c r="AO167" s="291" t="n"/>
      <c r="AP167" s="291" t="n"/>
      <c r="AQ167" s="291" t="n"/>
      <c r="AR167" s="291" t="n"/>
      <c r="AS167" s="291" t="n"/>
      <c r="AT167" s="291" t="n"/>
      <c r="AU167" s="291" t="n"/>
      <c r="AV167" s="291" t="n"/>
      <c r="AW167" s="291" t="n"/>
      <c r="AX167" s="291" t="n"/>
      <c r="AY167" s="291" t="n"/>
      <c r="AZ167" s="291" t="n"/>
      <c r="BA167" s="291" t="n"/>
      <c r="BB167" s="291" t="n"/>
      <c r="BC167" s="291" t="n"/>
      <c r="BD167" s="291" t="n"/>
      <c r="BE167" s="291" t="n"/>
      <c r="BF167" s="291" t="n"/>
      <c r="BG167" s="291" t="n"/>
      <c r="BH167" s="291" t="n"/>
      <c r="BI167" s="291" t="n"/>
      <c r="BJ167" s="291" t="n"/>
      <c r="BK167" s="291" t="n"/>
      <c r="BL167" s="291" t="n"/>
      <c r="BM167" s="291" t="n"/>
      <c r="BN167" s="291" t="n"/>
      <c r="BO167" s="291" t="n"/>
      <c r="BP167" s="291" t="n"/>
      <c r="BQ167" s="291" t="n"/>
      <c r="BR167" s="291" t="n"/>
      <c r="BS167" s="291" t="n"/>
      <c r="BT167" s="291" t="n"/>
      <c r="BU167" s="291" t="n"/>
      <c r="BV167" s="291" t="n"/>
      <c r="BW167" s="291" t="n"/>
      <c r="BX167" s="291" t="n"/>
      <c r="BY167" s="291" t="n"/>
      <c r="BZ167" s="291" t="n"/>
      <c r="CA167" s="291" t="n"/>
      <c r="CB167" s="291" t="n"/>
      <c r="CC167" s="291" t="n"/>
      <c r="CD167" s="291" t="n"/>
      <c r="CE167" s="291" t="n"/>
      <c r="CF167" s="291" t="n"/>
      <c r="CG167" s="291" t="n"/>
      <c r="CH167" s="291" t="n"/>
      <c r="CI167" s="291" t="n"/>
      <c r="CJ167" s="291" t="n"/>
      <c r="CK167" s="291" t="n"/>
      <c r="CL167" s="291" t="n"/>
      <c r="CM167" s="291" t="n"/>
      <c r="CN167" s="291" t="n"/>
      <c r="CW167" s="291" t="n"/>
      <c r="CX167" s="291" t="n"/>
      <c r="CY167" s="291" t="n"/>
      <c r="CZ167" s="291" t="n"/>
      <c r="DA167" s="291" t="n"/>
      <c r="DB167" s="291" t="n"/>
      <c r="DC167" s="291" t="n"/>
      <c r="DD167" s="291" t="n"/>
      <c r="DE167" s="311" t="n"/>
      <c r="DF167" s="311" t="n"/>
    </row>
    <row r="168" ht="13" customFormat="1" customHeight="1" s="40">
      <c r="A168" s="326" t="n"/>
      <c r="B168" s="291" t="n"/>
      <c r="C168" s="39" t="n"/>
      <c r="D168" s="39" t="n"/>
      <c r="E168" s="291" t="n"/>
      <c r="F168" s="39" t="n"/>
      <c r="G168" s="39" t="n"/>
      <c r="H168" s="291" t="n"/>
      <c r="I168" s="39" t="n"/>
      <c r="J168" s="39" t="n"/>
      <c r="K168" s="291" t="n"/>
      <c r="L168" s="39" t="n"/>
      <c r="M168" s="39" t="n"/>
      <c r="N168" s="291" t="n"/>
      <c r="O168" s="39" t="n"/>
      <c r="P168" s="39" t="n"/>
      <c r="Q168" s="291" t="n"/>
      <c r="R168" s="39" t="n"/>
      <c r="S168" s="39" t="n"/>
      <c r="T168" s="291" t="n"/>
      <c r="U168" s="39" t="n"/>
      <c r="V168" s="39" t="n"/>
      <c r="W168" s="291" t="n"/>
      <c r="X168" s="39" t="n"/>
      <c r="Y168" s="39" t="n"/>
      <c r="Z168" s="291" t="n"/>
      <c r="AA168" s="39" t="n"/>
      <c r="AB168" s="39" t="n"/>
      <c r="AC168" s="291" t="n"/>
      <c r="AD168" s="39" t="n"/>
      <c r="AE168" s="39" t="n"/>
      <c r="AF168" s="291" t="n"/>
      <c r="AG168" s="39" t="n"/>
      <c r="AH168" s="39" t="n"/>
      <c r="AI168" s="291" t="n"/>
      <c r="AJ168" s="39" t="n"/>
      <c r="AK168" s="39" t="n"/>
      <c r="AL168" s="291" t="n"/>
      <c r="AM168" s="291" t="n"/>
      <c r="AN168" s="291" t="n"/>
      <c r="AO168" s="291" t="n"/>
      <c r="AP168" s="291" t="n"/>
      <c r="AQ168" s="291" t="n"/>
      <c r="AR168" s="291" t="n"/>
      <c r="AS168" s="291" t="n"/>
      <c r="AT168" s="291" t="n"/>
      <c r="AU168" s="291" t="n"/>
      <c r="AV168" s="291" t="n"/>
      <c r="AW168" s="291" t="n"/>
      <c r="AX168" s="291" t="n"/>
      <c r="AY168" s="291" t="n"/>
      <c r="AZ168" s="39" t="n"/>
      <c r="BA168" s="291" t="n"/>
      <c r="BB168" s="39" t="n"/>
      <c r="BC168" s="291" t="n"/>
      <c r="BD168" s="39" t="n"/>
      <c r="BE168" s="291" t="n"/>
      <c r="BF168" s="39" t="n"/>
      <c r="BG168" s="291" t="n"/>
      <c r="BH168" s="39" t="n"/>
      <c r="BI168" s="291" t="n"/>
      <c r="BJ168" s="39" t="n"/>
      <c r="BK168" s="291" t="n"/>
      <c r="BL168" s="39" t="n"/>
      <c r="BM168" s="291" t="n"/>
      <c r="BN168" s="39" t="n"/>
      <c r="BO168" s="291" t="n"/>
      <c r="BP168" s="291" t="n"/>
      <c r="BQ168" s="39" t="n"/>
      <c r="BR168" s="291" t="n"/>
      <c r="BS168" s="39" t="n"/>
      <c r="BT168" s="291" t="n"/>
      <c r="BU168" s="39" t="n"/>
      <c r="BV168" s="291" t="n"/>
      <c r="BW168" s="39" t="n"/>
      <c r="BX168" s="291" t="n"/>
      <c r="BY168" s="39" t="n"/>
      <c r="BZ168" s="291" t="n"/>
      <c r="CA168" s="39" t="n"/>
      <c r="CB168" s="291" t="n"/>
      <c r="CC168" s="39" t="n"/>
      <c r="CD168" s="291" t="n"/>
      <c r="CE168" s="39" t="n"/>
      <c r="CF168" s="291" t="n"/>
      <c r="CG168" s="291" t="n"/>
      <c r="CH168" s="291" t="n"/>
      <c r="CI168" s="291" t="n"/>
      <c r="CJ168" s="291" t="n"/>
      <c r="CK168" s="291" t="n"/>
      <c r="CL168" s="291" t="n"/>
      <c r="CM168" s="291" t="n"/>
      <c r="CN168" s="291" t="n"/>
      <c r="CW168" s="291" t="n"/>
      <c r="CX168" s="39" t="n"/>
      <c r="CY168" s="291" t="n"/>
      <c r="CZ168" s="39" t="n"/>
      <c r="DA168" s="291" t="n"/>
      <c r="DB168" s="39" t="n"/>
      <c r="DC168" s="291" t="n"/>
      <c r="DD168" s="39" t="n"/>
      <c r="DE168" s="311" t="n"/>
      <c r="DF168" s="311" t="n"/>
    </row>
    <row r="169" ht="13" customFormat="1" customHeight="1" s="40">
      <c r="A169" s="326" t="n"/>
      <c r="B169" s="291" t="n"/>
      <c r="C169" s="39" t="n"/>
      <c r="D169" s="39" t="n"/>
      <c r="E169" s="291" t="n"/>
      <c r="F169" s="39" t="n"/>
      <c r="G169" s="39" t="n"/>
      <c r="H169" s="291" t="n"/>
      <c r="I169" s="39" t="n"/>
      <c r="J169" s="39" t="n"/>
      <c r="K169" s="291" t="n"/>
      <c r="L169" s="39" t="n"/>
      <c r="M169" s="39" t="n"/>
      <c r="N169" s="291" t="n"/>
      <c r="O169" s="39" t="n"/>
      <c r="P169" s="39" t="n"/>
      <c r="Q169" s="291" t="n"/>
      <c r="R169" s="39" t="n"/>
      <c r="S169" s="39" t="n"/>
      <c r="T169" s="291" t="n"/>
      <c r="U169" s="39" t="n"/>
      <c r="V169" s="39" t="n"/>
      <c r="W169" s="291" t="n"/>
      <c r="X169" s="39" t="n"/>
      <c r="Y169" s="39" t="n"/>
      <c r="Z169" s="291" t="n"/>
      <c r="AA169" s="39" t="n"/>
      <c r="AB169" s="39" t="n"/>
      <c r="AC169" s="291" t="n"/>
      <c r="AD169" s="39" t="n"/>
      <c r="AE169" s="39" t="n"/>
      <c r="AF169" s="291" t="n"/>
      <c r="AG169" s="39" t="n"/>
      <c r="AH169" s="39" t="n"/>
      <c r="AI169" s="291" t="n"/>
      <c r="AJ169" s="39" t="n"/>
      <c r="AK169" s="39" t="n"/>
      <c r="AL169" s="291" t="n"/>
      <c r="AM169" s="291" t="n"/>
      <c r="AN169" s="291" t="n"/>
      <c r="AO169" s="291" t="n"/>
      <c r="AP169" s="291" t="n"/>
      <c r="AQ169" s="291" t="n"/>
      <c r="AR169" s="291" t="n"/>
      <c r="AS169" s="291" t="n"/>
      <c r="AT169" s="291" t="n"/>
      <c r="AU169" s="291" t="n"/>
      <c r="AV169" s="291" t="n"/>
      <c r="AW169" s="291" t="n"/>
      <c r="AX169" s="291" t="n"/>
      <c r="AY169" s="291" t="n"/>
      <c r="AZ169" s="39" t="n"/>
      <c r="BA169" s="291" t="n"/>
      <c r="BB169" s="39" t="n"/>
      <c r="BC169" s="291" t="n"/>
      <c r="BD169" s="39" t="n"/>
      <c r="BE169" s="291" t="n"/>
      <c r="BF169" s="39" t="n"/>
      <c r="BG169" s="291" t="n"/>
      <c r="BH169" s="39" t="n"/>
      <c r="BI169" s="291" t="n"/>
      <c r="BJ169" s="39" t="n"/>
      <c r="BK169" s="291" t="n"/>
      <c r="BL169" s="39" t="n"/>
      <c r="BM169" s="291" t="n"/>
      <c r="BN169" s="39" t="n"/>
      <c r="BO169" s="291" t="n"/>
      <c r="BP169" s="291" t="n"/>
      <c r="BQ169" s="39" t="n"/>
      <c r="BR169" s="291" t="n"/>
      <c r="BS169" s="39" t="n"/>
      <c r="BT169" s="291" t="n"/>
      <c r="BU169" s="39" t="n"/>
      <c r="BV169" s="291" t="n"/>
      <c r="BW169" s="39" t="n"/>
      <c r="BX169" s="291" t="n"/>
      <c r="BY169" s="39" t="n"/>
      <c r="BZ169" s="291" t="n"/>
      <c r="CA169" s="39" t="n"/>
      <c r="CB169" s="291" t="n"/>
      <c r="CC169" s="39" t="n"/>
      <c r="CD169" s="291" t="n"/>
      <c r="CE169" s="39" t="n"/>
      <c r="CF169" s="291" t="n"/>
      <c r="CG169" s="291" t="n"/>
      <c r="CH169" s="291" t="n"/>
      <c r="CI169" s="291" t="n"/>
      <c r="CJ169" s="291" t="n"/>
      <c r="CK169" s="291" t="n"/>
      <c r="CL169" s="291" t="n"/>
      <c r="CM169" s="291" t="n"/>
      <c r="CN169" s="291" t="n"/>
      <c r="CW169" s="291" t="n"/>
      <c r="CX169" s="39" t="n"/>
      <c r="CY169" s="291" t="n"/>
      <c r="CZ169" s="39" t="n"/>
      <c r="DA169" s="291" t="n"/>
      <c r="DB169" s="39" t="n"/>
      <c r="DC169" s="291" t="n"/>
      <c r="DD169" s="39" t="n"/>
      <c r="DE169" s="311" t="n"/>
      <c r="DF169" s="311" t="n"/>
    </row>
    <row r="170" ht="13" customFormat="1" customHeight="1" s="40">
      <c r="A170" s="326" t="n"/>
      <c r="B170" s="291" t="n"/>
      <c r="C170" s="39" t="n"/>
      <c r="D170" s="39" t="n"/>
      <c r="E170" s="291" t="n"/>
      <c r="F170" s="39" t="n"/>
      <c r="G170" s="39" t="n"/>
      <c r="H170" s="291" t="n"/>
      <c r="I170" s="39" t="n"/>
      <c r="J170" s="39" t="n"/>
      <c r="K170" s="291" t="n"/>
      <c r="L170" s="39" t="n"/>
      <c r="M170" s="39" t="n"/>
      <c r="N170" s="291" t="n"/>
      <c r="O170" s="39" t="n"/>
      <c r="P170" s="39" t="n"/>
      <c r="Q170" s="291" t="n"/>
      <c r="R170" s="39" t="n"/>
      <c r="S170" s="39" t="n"/>
      <c r="T170" s="291" t="n"/>
      <c r="U170" s="39" t="n"/>
      <c r="V170" s="39" t="n"/>
      <c r="W170" s="291" t="n"/>
      <c r="X170" s="39" t="n"/>
      <c r="Y170" s="39" t="n"/>
      <c r="Z170" s="291" t="n"/>
      <c r="AA170" s="39" t="n"/>
      <c r="AB170" s="39" t="n"/>
      <c r="AC170" s="291" t="n"/>
      <c r="AD170" s="39" t="n"/>
      <c r="AE170" s="39" t="n"/>
      <c r="AF170" s="291" t="n"/>
      <c r="AG170" s="39" t="n"/>
      <c r="AH170" s="39" t="n"/>
      <c r="AI170" s="291" t="n"/>
      <c r="AJ170" s="39" t="n"/>
      <c r="AK170" s="39" t="n"/>
      <c r="AL170" s="291" t="n"/>
      <c r="AM170" s="291" t="n"/>
      <c r="AN170" s="291" t="n"/>
      <c r="AO170" s="291" t="n"/>
      <c r="AP170" s="291" t="n"/>
      <c r="AQ170" s="291" t="n"/>
      <c r="AR170" s="291" t="n"/>
      <c r="AS170" s="291" t="n"/>
      <c r="AT170" s="291" t="n"/>
      <c r="AU170" s="291" t="n"/>
      <c r="AV170" s="291" t="n"/>
      <c r="AW170" s="291" t="n"/>
      <c r="AX170" s="291" t="n"/>
      <c r="AY170" s="291" t="n"/>
      <c r="AZ170" s="39" t="n"/>
      <c r="BA170" s="291" t="n"/>
      <c r="BB170" s="39" t="n"/>
      <c r="BC170" s="291" t="n"/>
      <c r="BD170" s="39" t="n"/>
      <c r="BE170" s="291" t="n"/>
      <c r="BF170" s="39" t="n"/>
      <c r="BG170" s="291" t="n"/>
      <c r="BH170" s="39" t="n"/>
      <c r="BI170" s="291" t="n"/>
      <c r="BJ170" s="39" t="n"/>
      <c r="BK170" s="291" t="n"/>
      <c r="BL170" s="39" t="n"/>
      <c r="BM170" s="291" t="n"/>
      <c r="BN170" s="39" t="n"/>
      <c r="BO170" s="291" t="n"/>
      <c r="BP170" s="291" t="n"/>
      <c r="BQ170" s="39" t="n"/>
      <c r="BR170" s="291" t="n"/>
      <c r="BS170" s="39" t="n"/>
      <c r="BT170" s="291" t="n"/>
      <c r="BU170" s="39" t="n"/>
      <c r="BV170" s="291" t="n"/>
      <c r="BW170" s="39" t="n"/>
      <c r="BX170" s="291" t="n"/>
      <c r="BY170" s="39" t="n"/>
      <c r="BZ170" s="291" t="n"/>
      <c r="CA170" s="39" t="n"/>
      <c r="CB170" s="291" t="n"/>
      <c r="CC170" s="39" t="n"/>
      <c r="CD170" s="291" t="n"/>
      <c r="CE170" s="39" t="n"/>
      <c r="CF170" s="291" t="n"/>
      <c r="CG170" s="291" t="n"/>
      <c r="CH170" s="291" t="n"/>
      <c r="CI170" s="291" t="n"/>
      <c r="CJ170" s="291" t="n"/>
      <c r="CK170" s="291" t="n"/>
      <c r="CL170" s="291" t="n"/>
      <c r="CM170" s="291" t="n"/>
      <c r="CN170" s="291" t="n"/>
      <c r="CW170" s="291" t="n"/>
      <c r="CX170" s="39" t="n"/>
      <c r="CY170" s="291" t="n"/>
      <c r="CZ170" s="39" t="n"/>
      <c r="DA170" s="291" t="n"/>
      <c r="DB170" s="39" t="n"/>
      <c r="DC170" s="291" t="n"/>
      <c r="DD170" s="39" t="n"/>
      <c r="DE170" s="311" t="n"/>
      <c r="DF170" s="311" t="n"/>
    </row>
    <row r="171" ht="13" customFormat="1" customHeight="1" s="40">
      <c r="A171" s="326" t="n"/>
      <c r="B171" s="291" t="n"/>
      <c r="C171" s="39" t="n"/>
      <c r="D171" s="39" t="n"/>
      <c r="E171" s="291" t="n"/>
      <c r="F171" s="39" t="n"/>
      <c r="G171" s="39" t="n"/>
      <c r="H171" s="291" t="n"/>
      <c r="I171" s="39" t="n"/>
      <c r="J171" s="39" t="n"/>
      <c r="K171" s="291" t="n"/>
      <c r="L171" s="39" t="n"/>
      <c r="M171" s="39" t="n"/>
      <c r="N171" s="291" t="n"/>
      <c r="O171" s="39" t="n"/>
      <c r="P171" s="39" t="n"/>
      <c r="Q171" s="291" t="n"/>
      <c r="R171" s="39" t="n"/>
      <c r="S171" s="39" t="n"/>
      <c r="T171" s="291" t="n"/>
      <c r="U171" s="39" t="n"/>
      <c r="V171" s="39" t="n"/>
      <c r="W171" s="291" t="n"/>
      <c r="X171" s="39" t="n"/>
      <c r="Y171" s="39" t="n"/>
      <c r="Z171" s="291" t="n"/>
      <c r="AA171" s="39" t="n"/>
      <c r="AB171" s="39" t="n"/>
      <c r="AC171" s="291" t="n"/>
      <c r="AD171" s="39" t="n"/>
      <c r="AE171" s="39" t="n"/>
      <c r="AF171" s="291" t="n"/>
      <c r="AG171" s="39" t="n"/>
      <c r="AH171" s="39" t="n"/>
      <c r="AI171" s="291" t="n"/>
      <c r="AJ171" s="39" t="n"/>
      <c r="AK171" s="39" t="n"/>
      <c r="AL171" s="291" t="n"/>
      <c r="AM171" s="291" t="n"/>
      <c r="AN171" s="291" t="n"/>
      <c r="AO171" s="291" t="n"/>
      <c r="AP171" s="291" t="n"/>
      <c r="AQ171" s="291" t="n"/>
      <c r="AR171" s="291" t="n"/>
      <c r="AS171" s="291" t="n"/>
      <c r="AT171" s="291" t="n"/>
      <c r="AU171" s="291" t="n"/>
      <c r="AV171" s="291" t="n"/>
      <c r="AW171" s="291" t="n"/>
      <c r="AX171" s="291" t="n"/>
      <c r="AY171" s="291" t="n"/>
      <c r="AZ171" s="39" t="n"/>
      <c r="BA171" s="291" t="n"/>
      <c r="BB171" s="39" t="n"/>
      <c r="BC171" s="291" t="n"/>
      <c r="BD171" s="39" t="n"/>
      <c r="BE171" s="291" t="n"/>
      <c r="BF171" s="39" t="n"/>
      <c r="BG171" s="291" t="n"/>
      <c r="BH171" s="39" t="n"/>
      <c r="BI171" s="291" t="n"/>
      <c r="BJ171" s="39" t="n"/>
      <c r="BK171" s="291" t="n"/>
      <c r="BL171" s="39" t="n"/>
      <c r="BM171" s="291" t="n"/>
      <c r="BN171" s="39" t="n"/>
      <c r="BO171" s="291" t="n"/>
      <c r="BP171" s="291" t="n"/>
      <c r="BQ171" s="39" t="n"/>
      <c r="BR171" s="291" t="n"/>
      <c r="BS171" s="39" t="n"/>
      <c r="BT171" s="291" t="n"/>
      <c r="BU171" s="39" t="n"/>
      <c r="BV171" s="291" t="n"/>
      <c r="BW171" s="39" t="n"/>
      <c r="BX171" s="291" t="n"/>
      <c r="BY171" s="39" t="n"/>
      <c r="BZ171" s="291" t="n"/>
      <c r="CA171" s="39" t="n"/>
      <c r="CB171" s="291" t="n"/>
      <c r="CC171" s="39" t="n"/>
      <c r="CD171" s="291" t="n"/>
      <c r="CE171" s="39" t="n"/>
      <c r="CF171" s="291" t="n"/>
      <c r="CG171" s="291" t="n"/>
      <c r="CH171" s="291" t="n"/>
      <c r="CI171" s="291" t="n"/>
      <c r="CJ171" s="291" t="n"/>
      <c r="CK171" s="291" t="n"/>
      <c r="CL171" s="291" t="n"/>
      <c r="CM171" s="291" t="n"/>
      <c r="CN171" s="291" t="n"/>
      <c r="CW171" s="291" t="n"/>
      <c r="CX171" s="39" t="n"/>
      <c r="CY171" s="291" t="n"/>
      <c r="CZ171" s="39" t="n"/>
      <c r="DA171" s="291" t="n"/>
      <c r="DB171" s="39" t="n"/>
      <c r="DC171" s="291" t="n"/>
      <c r="DD171" s="39" t="n"/>
      <c r="DE171" s="311" t="n"/>
      <c r="DF171" s="311" t="n"/>
    </row>
    <row r="172" customFormat="1" s="40">
      <c r="C172" s="41" t="n"/>
      <c r="D172" s="41" t="n"/>
      <c r="F172" s="41" t="n"/>
      <c r="G172" s="41" t="n"/>
      <c r="I172" s="41" t="n"/>
      <c r="J172" s="41" t="n"/>
      <c r="L172" s="41" t="n"/>
      <c r="M172" s="41" t="n"/>
      <c r="O172" s="41" t="n"/>
      <c r="P172" s="41" t="n"/>
      <c r="R172" s="41" t="n"/>
      <c r="S172" s="41" t="n"/>
      <c r="U172" s="41" t="n"/>
      <c r="V172" s="41" t="n"/>
      <c r="X172" s="41" t="n"/>
      <c r="Y172" s="41" t="n"/>
      <c r="AA172" s="41" t="n"/>
      <c r="AB172" s="41" t="n"/>
      <c r="AD172" s="41" t="n"/>
      <c r="AE172" s="41" t="n"/>
      <c r="AG172" s="41" t="n"/>
      <c r="AH172" s="41" t="n"/>
      <c r="AJ172" s="41" t="n"/>
      <c r="AK172" s="41" t="n"/>
      <c r="AY172" s="291" t="n"/>
      <c r="AZ172" s="291" t="n"/>
      <c r="BA172" s="291" t="n"/>
      <c r="BB172" s="291" t="n"/>
      <c r="BC172" s="291" t="n"/>
      <c r="BD172" s="291" t="n"/>
      <c r="BE172" s="291" t="n"/>
      <c r="BF172" s="291" t="n"/>
      <c r="BG172" s="291" t="n"/>
      <c r="BH172" s="291" t="n"/>
      <c r="BI172" s="291" t="n"/>
      <c r="BJ172" s="291" t="n"/>
      <c r="BK172" s="291" t="n"/>
      <c r="BL172" s="291" t="n"/>
      <c r="BM172" s="291" t="n"/>
      <c r="BN172" s="291" t="n"/>
      <c r="BO172" s="291" t="n"/>
      <c r="BP172" s="291" t="n"/>
      <c r="BQ172" s="291" t="n"/>
      <c r="BR172" s="291" t="n"/>
      <c r="BS172" s="291" t="n"/>
      <c r="BT172" s="291" t="n"/>
      <c r="BU172" s="291" t="n"/>
      <c r="BV172" s="291" t="n"/>
      <c r="BW172" s="291" t="n"/>
      <c r="BX172" s="291" t="n"/>
      <c r="BY172" s="291" t="n"/>
      <c r="BZ172" s="291" t="n"/>
      <c r="CA172" s="291" t="n"/>
      <c r="CB172" s="291" t="n"/>
      <c r="CC172" s="291" t="n"/>
      <c r="CD172" s="291" t="n"/>
      <c r="CE172" s="291" t="n"/>
      <c r="CF172" s="291" t="n"/>
      <c r="CG172" s="291" t="n"/>
      <c r="CH172" s="291" t="n"/>
      <c r="CI172" s="291" t="n"/>
      <c r="CJ172" s="291" t="n"/>
      <c r="CK172" s="291" t="n"/>
      <c r="CL172" s="291" t="n"/>
      <c r="CM172" s="291" t="n"/>
      <c r="CN172" s="291" t="n"/>
      <c r="CW172" s="291" t="n"/>
      <c r="CX172" s="291" t="n"/>
      <c r="CY172" s="291" t="n"/>
      <c r="CZ172" s="291" t="n"/>
      <c r="DA172" s="291" t="n"/>
      <c r="DB172" s="291" t="n"/>
      <c r="DC172" s="291" t="n"/>
      <c r="DD172" s="291" t="n"/>
      <c r="DE172" s="311" t="n"/>
      <c r="DF172" s="311" t="n"/>
    </row>
    <row r="173" ht="13" customFormat="1" customHeight="1" s="40">
      <c r="A173" s="326" t="n"/>
      <c r="B173" s="291" t="n"/>
      <c r="C173" s="39" t="n"/>
      <c r="D173" s="39" t="n"/>
      <c r="E173" s="291" t="n"/>
      <c r="F173" s="39" t="n"/>
      <c r="G173" s="39" t="n"/>
      <c r="H173" s="291" t="n"/>
      <c r="I173" s="39" t="n"/>
      <c r="J173" s="39" t="n"/>
      <c r="K173" s="291" t="n"/>
      <c r="L173" s="39" t="n"/>
      <c r="M173" s="39" t="n"/>
      <c r="N173" s="291" t="n"/>
      <c r="O173" s="39" t="n"/>
      <c r="P173" s="39" t="n"/>
      <c r="Q173" s="291" t="n"/>
      <c r="R173" s="39" t="n"/>
      <c r="S173" s="39" t="n"/>
      <c r="T173" s="291" t="n"/>
      <c r="U173" s="39" t="n"/>
      <c r="V173" s="39" t="n"/>
      <c r="W173" s="291" t="n"/>
      <c r="X173" s="39" t="n"/>
      <c r="Y173" s="39" t="n"/>
      <c r="Z173" s="291" t="n"/>
      <c r="AA173" s="39" t="n"/>
      <c r="AB173" s="39" t="n"/>
      <c r="AC173" s="291" t="n"/>
      <c r="AD173" s="39" t="n"/>
      <c r="AE173" s="39" t="n"/>
      <c r="AF173" s="291" t="n"/>
      <c r="AG173" s="39" t="n"/>
      <c r="AH173" s="39" t="n"/>
      <c r="AI173" s="291" t="n"/>
      <c r="AJ173" s="39" t="n"/>
      <c r="AK173" s="39" t="n"/>
      <c r="AL173" s="291" t="n"/>
      <c r="AM173" s="291" t="n"/>
      <c r="AN173" s="291" t="n"/>
      <c r="AO173" s="291" t="n"/>
      <c r="AP173" s="291" t="n"/>
      <c r="AQ173" s="291" t="n"/>
      <c r="AR173" s="291" t="n"/>
      <c r="AS173" s="291" t="n"/>
      <c r="AT173" s="291" t="n"/>
      <c r="AU173" s="291" t="n"/>
      <c r="AV173" s="291" t="n"/>
      <c r="AW173" s="291" t="n"/>
      <c r="AX173" s="291" t="n"/>
      <c r="AY173" s="291" t="n"/>
      <c r="AZ173" s="39" t="n"/>
      <c r="BA173" s="291" t="n"/>
      <c r="BB173" s="39" t="n"/>
      <c r="BC173" s="291" t="n"/>
      <c r="BD173" s="39" t="n"/>
      <c r="BE173" s="291" t="n"/>
      <c r="BF173" s="39" t="n"/>
      <c r="BG173" s="291" t="n"/>
      <c r="BH173" s="39" t="n"/>
      <c r="BI173" s="291" t="n"/>
      <c r="BJ173" s="39" t="n"/>
      <c r="BK173" s="291" t="n"/>
      <c r="BL173" s="39" t="n"/>
      <c r="BM173" s="291" t="n"/>
      <c r="BN173" s="39" t="n"/>
      <c r="BO173" s="291" t="n"/>
      <c r="BP173" s="291" t="n"/>
      <c r="BQ173" s="39" t="n"/>
      <c r="BR173" s="291" t="n"/>
      <c r="BS173" s="39" t="n"/>
      <c r="BT173" s="291" t="n"/>
      <c r="BU173" s="39" t="n"/>
      <c r="BV173" s="291" t="n"/>
      <c r="BW173" s="39" t="n"/>
      <c r="BX173" s="291" t="n"/>
      <c r="BY173" s="39" t="n"/>
      <c r="BZ173" s="291" t="n"/>
      <c r="CA173" s="39" t="n"/>
      <c r="CB173" s="291" t="n"/>
      <c r="CC173" s="39" t="n"/>
      <c r="CD173" s="291" t="n"/>
      <c r="CE173" s="39" t="n"/>
      <c r="CF173" s="291" t="n"/>
      <c r="CG173" s="39" t="n"/>
      <c r="CH173" s="291" t="n"/>
      <c r="CI173" s="39" t="n"/>
      <c r="CJ173" s="291" t="n"/>
      <c r="CK173" s="39" t="n"/>
      <c r="CL173" s="291" t="n"/>
      <c r="CM173" s="39" t="n"/>
      <c r="CN173" s="291" t="n"/>
      <c r="CW173" s="291" t="n"/>
      <c r="CX173" s="39" t="n"/>
      <c r="CY173" s="291" t="n"/>
      <c r="CZ173" s="39" t="n"/>
      <c r="DA173" s="291" t="n"/>
      <c r="DB173" s="39" t="n"/>
      <c r="DC173" s="291" t="n"/>
      <c r="DD173" s="39" t="n"/>
      <c r="DE173" s="291" t="n"/>
      <c r="DF173" s="337" t="n"/>
    </row>
    <row r="174" ht="13" customFormat="1" customHeight="1" s="40">
      <c r="A174" s="326" t="n"/>
      <c r="B174" s="291" t="n"/>
      <c r="C174" s="39" t="n"/>
      <c r="D174" s="39" t="n"/>
      <c r="E174" s="291" t="n"/>
      <c r="F174" s="39" t="n"/>
      <c r="G174" s="39" t="n"/>
      <c r="H174" s="291" t="n"/>
      <c r="I174" s="39" t="n"/>
      <c r="J174" s="39" t="n"/>
      <c r="K174" s="291" t="n"/>
      <c r="L174" s="39" t="n"/>
      <c r="M174" s="39" t="n"/>
      <c r="N174" s="291" t="n"/>
      <c r="O174" s="39" t="n"/>
      <c r="P174" s="39" t="n"/>
      <c r="Q174" s="291" t="n"/>
      <c r="R174" s="39" t="n"/>
      <c r="S174" s="39" t="n"/>
      <c r="T174" s="291" t="n"/>
      <c r="U174" s="39" t="n"/>
      <c r="V174" s="39" t="n"/>
      <c r="W174" s="291" t="n"/>
      <c r="X174" s="39" t="n"/>
      <c r="Y174" s="39" t="n"/>
      <c r="Z174" s="291" t="n"/>
      <c r="AA174" s="39" t="n"/>
      <c r="AB174" s="39" t="n"/>
      <c r="AC174" s="291" t="n"/>
      <c r="AD174" s="39" t="n"/>
      <c r="AE174" s="39" t="n"/>
      <c r="AF174" s="291" t="n"/>
      <c r="AG174" s="39" t="n"/>
      <c r="AH174" s="39" t="n"/>
      <c r="AI174" s="291" t="n"/>
      <c r="AJ174" s="39" t="n"/>
      <c r="AK174" s="39" t="n"/>
      <c r="AL174" s="291" t="n"/>
      <c r="AM174" s="291" t="n"/>
      <c r="AN174" s="291" t="n"/>
      <c r="AO174" s="291" t="n"/>
      <c r="AP174" s="291" t="n"/>
      <c r="AQ174" s="291" t="n"/>
      <c r="AR174" s="291" t="n"/>
      <c r="AS174" s="291" t="n"/>
      <c r="AT174" s="291" t="n"/>
      <c r="AU174" s="291" t="n"/>
      <c r="AV174" s="291" t="n"/>
      <c r="AW174" s="291" t="n"/>
      <c r="AX174" s="291" t="n"/>
      <c r="AY174" s="291" t="n"/>
      <c r="AZ174" s="39" t="n"/>
      <c r="BA174" s="291" t="n"/>
      <c r="BB174" s="39" t="n"/>
      <c r="BC174" s="291" t="n"/>
      <c r="BD174" s="39" t="n"/>
      <c r="BE174" s="291" t="n"/>
      <c r="BF174" s="39" t="n"/>
      <c r="BG174" s="291" t="n"/>
      <c r="BH174" s="39" t="n"/>
      <c r="BI174" s="291" t="n"/>
      <c r="BJ174" s="39" t="n"/>
      <c r="BK174" s="291" t="n"/>
      <c r="BL174" s="39" t="n"/>
      <c r="BM174" s="291" t="n"/>
      <c r="BN174" s="39" t="n"/>
      <c r="BO174" s="291" t="n"/>
      <c r="BP174" s="291" t="n"/>
      <c r="BQ174" s="39" t="n"/>
      <c r="BR174" s="291" t="n"/>
      <c r="BS174" s="39" t="n"/>
      <c r="BT174" s="291" t="n"/>
      <c r="BU174" s="39" t="n"/>
      <c r="BV174" s="291" t="n"/>
      <c r="BW174" s="39" t="n"/>
      <c r="BX174" s="291" t="n"/>
      <c r="BY174" s="39" t="n"/>
      <c r="BZ174" s="291" t="n"/>
      <c r="CA174" s="39" t="n"/>
      <c r="CB174" s="291" t="n"/>
      <c r="CC174" s="39" t="n"/>
      <c r="CD174" s="291" t="n"/>
      <c r="CE174" s="39" t="n"/>
      <c r="CF174" s="291" t="n"/>
      <c r="CG174" s="39" t="n"/>
      <c r="CH174" s="291" t="n"/>
      <c r="CI174" s="39" t="n"/>
      <c r="CJ174" s="291" t="n"/>
      <c r="CK174" s="39" t="n"/>
      <c r="CL174" s="291" t="n"/>
      <c r="CM174" s="39" t="n"/>
      <c r="CN174" s="291" t="n"/>
      <c r="CW174" s="291" t="n"/>
      <c r="CX174" s="39" t="n"/>
      <c r="CY174" s="291" t="n"/>
      <c r="CZ174" s="39" t="n"/>
      <c r="DA174" s="291" t="n"/>
      <c r="DB174" s="39" t="n"/>
      <c r="DC174" s="291" t="n"/>
      <c r="DD174" s="39" t="n"/>
      <c r="DE174" s="291" t="n"/>
      <c r="DF174" s="337" t="n"/>
    </row>
    <row r="175" ht="13" customFormat="1" customHeight="1" s="40">
      <c r="A175" s="326" t="n"/>
      <c r="B175" s="291" t="n"/>
      <c r="C175" s="39" t="n"/>
      <c r="D175" s="39" t="n"/>
      <c r="E175" s="291" t="n"/>
      <c r="F175" s="39" t="n"/>
      <c r="G175" s="39" t="n"/>
      <c r="H175" s="291" t="n"/>
      <c r="I175" s="39" t="n"/>
      <c r="J175" s="39" t="n"/>
      <c r="K175" s="291" t="n"/>
      <c r="L175" s="39" t="n"/>
      <c r="M175" s="39" t="n"/>
      <c r="N175" s="291" t="n"/>
      <c r="O175" s="39" t="n"/>
      <c r="P175" s="39" t="n"/>
      <c r="Q175" s="291" t="n"/>
      <c r="R175" s="39" t="n"/>
      <c r="S175" s="39" t="n"/>
      <c r="T175" s="291" t="n"/>
      <c r="U175" s="39" t="n"/>
      <c r="V175" s="39" t="n"/>
      <c r="W175" s="291" t="n"/>
      <c r="X175" s="39" t="n"/>
      <c r="Y175" s="39" t="n"/>
      <c r="Z175" s="291" t="n"/>
      <c r="AA175" s="39" t="n"/>
      <c r="AB175" s="39" t="n"/>
      <c r="AC175" s="291" t="n"/>
      <c r="AD175" s="39" t="n"/>
      <c r="AE175" s="39" t="n"/>
      <c r="AF175" s="291" t="n"/>
      <c r="AG175" s="39" t="n"/>
      <c r="AH175" s="39" t="n"/>
      <c r="AI175" s="291" t="n"/>
      <c r="AJ175" s="39" t="n"/>
      <c r="AK175" s="39" t="n"/>
      <c r="AL175" s="291" t="n"/>
      <c r="AM175" s="291" t="n"/>
      <c r="AN175" s="291" t="n"/>
      <c r="AO175" s="291" t="n"/>
      <c r="AP175" s="291" t="n"/>
      <c r="AQ175" s="291" t="n"/>
      <c r="AR175" s="291" t="n"/>
      <c r="AS175" s="291" t="n"/>
      <c r="AT175" s="291" t="n"/>
      <c r="AU175" s="291" t="n"/>
      <c r="AV175" s="291" t="n"/>
      <c r="AW175" s="291" t="n"/>
      <c r="AX175" s="291" t="n"/>
      <c r="AY175" s="291" t="n"/>
      <c r="AZ175" s="39" t="n"/>
      <c r="BA175" s="291" t="n"/>
      <c r="BB175" s="39" t="n"/>
      <c r="BC175" s="291" t="n"/>
      <c r="BD175" s="39" t="n"/>
      <c r="BE175" s="291" t="n"/>
      <c r="BF175" s="39" t="n"/>
      <c r="BG175" s="291" t="n"/>
      <c r="BH175" s="39" t="n"/>
      <c r="BI175" s="291" t="n"/>
      <c r="BJ175" s="39" t="n"/>
      <c r="BK175" s="291" t="n"/>
      <c r="BL175" s="39" t="n"/>
      <c r="BM175" s="291" t="n"/>
      <c r="BN175" s="39" t="n"/>
      <c r="BO175" s="291" t="n"/>
      <c r="BP175" s="291" t="n"/>
      <c r="BQ175" s="39" t="n"/>
      <c r="BR175" s="291" t="n"/>
      <c r="BS175" s="39" t="n"/>
      <c r="BT175" s="291" t="n"/>
      <c r="BU175" s="39" t="n"/>
      <c r="BV175" s="291" t="n"/>
      <c r="BW175" s="39" t="n"/>
      <c r="BX175" s="291" t="n"/>
      <c r="BY175" s="39" t="n"/>
      <c r="BZ175" s="291" t="n"/>
      <c r="CA175" s="39" t="n"/>
      <c r="CB175" s="291" t="n"/>
      <c r="CC175" s="39" t="n"/>
      <c r="CD175" s="291" t="n"/>
      <c r="CE175" s="39" t="n"/>
      <c r="CF175" s="291" t="n"/>
      <c r="CG175" s="39" t="n"/>
      <c r="CH175" s="291" t="n"/>
      <c r="CI175" s="39" t="n"/>
      <c r="CJ175" s="291" t="n"/>
      <c r="CK175" s="39" t="n"/>
      <c r="CL175" s="291" t="n"/>
      <c r="CM175" s="39" t="n"/>
      <c r="CN175" s="291" t="n"/>
      <c r="CW175" s="291" t="n"/>
      <c r="CX175" s="39" t="n"/>
      <c r="CY175" s="291" t="n"/>
      <c r="CZ175" s="39" t="n"/>
      <c r="DA175" s="291" t="n"/>
      <c r="DB175" s="39" t="n"/>
      <c r="DC175" s="291" t="n"/>
      <c r="DD175" s="39" t="n"/>
      <c r="DE175" s="291" t="n"/>
      <c r="DF175" s="337" t="n"/>
    </row>
    <row r="176" ht="13" customFormat="1" customHeight="1" s="40">
      <c r="A176" s="326" t="n"/>
      <c r="B176" s="291" t="n"/>
      <c r="C176" s="39" t="n"/>
      <c r="D176" s="39" t="n"/>
      <c r="E176" s="291" t="n"/>
      <c r="F176" s="39" t="n"/>
      <c r="G176" s="39" t="n"/>
      <c r="H176" s="291" t="n"/>
      <c r="I176" s="39" t="n"/>
      <c r="J176" s="39" t="n"/>
      <c r="K176" s="291" t="n"/>
      <c r="L176" s="39" t="n"/>
      <c r="M176" s="39" t="n"/>
      <c r="N176" s="291" t="n"/>
      <c r="O176" s="39" t="n"/>
      <c r="P176" s="39" t="n"/>
      <c r="Q176" s="291" t="n"/>
      <c r="R176" s="39" t="n"/>
      <c r="S176" s="39" t="n"/>
      <c r="T176" s="291" t="n"/>
      <c r="U176" s="39" t="n"/>
      <c r="V176" s="39" t="n"/>
      <c r="W176" s="291" t="n"/>
      <c r="X176" s="39" t="n"/>
      <c r="Y176" s="39" t="n"/>
      <c r="Z176" s="291" t="n"/>
      <c r="AA176" s="39" t="n"/>
      <c r="AB176" s="39" t="n"/>
      <c r="AC176" s="291" t="n"/>
      <c r="AD176" s="39" t="n"/>
      <c r="AE176" s="39" t="n"/>
      <c r="AF176" s="291" t="n"/>
      <c r="AG176" s="39" t="n"/>
      <c r="AH176" s="39" t="n"/>
      <c r="AI176" s="291" t="n"/>
      <c r="AJ176" s="39" t="n"/>
      <c r="AK176" s="39" t="n"/>
      <c r="AL176" s="291" t="n"/>
      <c r="AM176" s="291" t="n"/>
      <c r="AN176" s="291" t="n"/>
      <c r="AO176" s="291" t="n"/>
      <c r="AP176" s="291" t="n"/>
      <c r="AQ176" s="291" t="n"/>
      <c r="AR176" s="291" t="n"/>
      <c r="AS176" s="291" t="n"/>
      <c r="AT176" s="291" t="n"/>
      <c r="AU176" s="291" t="n"/>
      <c r="AV176" s="291" t="n"/>
      <c r="AW176" s="291" t="n"/>
      <c r="AX176" s="291" t="n"/>
      <c r="AY176" s="291" t="n"/>
      <c r="AZ176" s="39" t="n"/>
      <c r="BA176" s="291" t="n"/>
      <c r="BB176" s="39" t="n"/>
      <c r="BC176" s="291" t="n"/>
      <c r="BD176" s="39" t="n"/>
      <c r="BE176" s="291" t="n"/>
      <c r="BF176" s="39" t="n"/>
      <c r="BG176" s="291" t="n"/>
      <c r="BH176" s="39" t="n"/>
      <c r="BI176" s="291" t="n"/>
      <c r="BJ176" s="39" t="n"/>
      <c r="BK176" s="291" t="n"/>
      <c r="BL176" s="39" t="n"/>
      <c r="BM176" s="291" t="n"/>
      <c r="BN176" s="39" t="n"/>
      <c r="BO176" s="291" t="n"/>
      <c r="BP176" s="291" t="n"/>
      <c r="BQ176" s="39" t="n"/>
      <c r="BR176" s="291" t="n"/>
      <c r="BS176" s="39" t="n"/>
      <c r="BT176" s="291" t="n"/>
      <c r="BU176" s="39" t="n"/>
      <c r="BV176" s="291" t="n"/>
      <c r="BW176" s="39" t="n"/>
      <c r="BX176" s="291" t="n"/>
      <c r="BY176" s="39" t="n"/>
      <c r="BZ176" s="291" t="n"/>
      <c r="CA176" s="39" t="n"/>
      <c r="CB176" s="291" t="n"/>
      <c r="CC176" s="39" t="n"/>
      <c r="CD176" s="291" t="n"/>
      <c r="CE176" s="39" t="n"/>
      <c r="CF176" s="291" t="n"/>
      <c r="CG176" s="39" t="n"/>
      <c r="CH176" s="291" t="n"/>
      <c r="CI176" s="39" t="n"/>
      <c r="CJ176" s="291" t="n"/>
      <c r="CK176" s="39" t="n"/>
      <c r="CL176" s="291" t="n"/>
      <c r="CM176" s="39" t="n"/>
      <c r="CN176" s="291" t="n"/>
      <c r="CW176" s="291" t="n"/>
      <c r="CX176" s="39" t="n"/>
      <c r="CY176" s="291" t="n"/>
      <c r="CZ176" s="39" t="n"/>
      <c r="DA176" s="291" t="n"/>
      <c r="DB176" s="39" t="n"/>
      <c r="DC176" s="291" t="n"/>
      <c r="DD176" s="39" t="n"/>
      <c r="DE176" s="291" t="n"/>
      <c r="DF176" s="337" t="n"/>
    </row>
    <row r="177" customFormat="1" s="40">
      <c r="C177" s="41" t="n"/>
      <c r="D177" s="41" t="n"/>
      <c r="F177" s="41" t="n"/>
      <c r="G177" s="41" t="n"/>
      <c r="I177" s="41" t="n"/>
      <c r="J177" s="41" t="n"/>
      <c r="L177" s="41" t="n"/>
      <c r="M177" s="41" t="n"/>
      <c r="O177" s="41" t="n"/>
      <c r="P177" s="41" t="n"/>
      <c r="R177" s="41" t="n"/>
      <c r="S177" s="41" t="n"/>
      <c r="U177" s="41" t="n"/>
      <c r="V177" s="41" t="n"/>
      <c r="X177" s="41" t="n"/>
      <c r="Y177" s="41" t="n"/>
      <c r="AA177" s="41" t="n"/>
      <c r="AB177" s="41" t="n"/>
      <c r="AD177" s="41" t="n"/>
      <c r="AE177" s="41" t="n"/>
      <c r="AG177" s="41" t="n"/>
      <c r="AH177" s="41" t="n"/>
      <c r="AJ177" s="41" t="n"/>
      <c r="AK177" s="41" t="n"/>
      <c r="AP177" s="291" t="n"/>
      <c r="AQ177" s="291" t="n"/>
      <c r="AS177" s="291" t="n"/>
      <c r="AT177" s="291" t="n"/>
      <c r="AV177" s="291" t="n"/>
      <c r="AW177" s="291" t="n"/>
      <c r="AY177" s="291" t="n"/>
      <c r="AZ177" s="39" t="n"/>
      <c r="BA177" s="291" t="n"/>
      <c r="BB177" s="39" t="n"/>
      <c r="BC177" s="291" t="n"/>
      <c r="BD177" s="39" t="n"/>
      <c r="BE177" s="291" t="n"/>
      <c r="BF177" s="39" t="n"/>
      <c r="BG177" s="291" t="n"/>
      <c r="BH177" s="39" t="n"/>
      <c r="BI177" s="291" t="n"/>
      <c r="BJ177" s="39" t="n"/>
      <c r="BK177" s="291" t="n"/>
      <c r="BL177" s="39" t="n"/>
      <c r="BM177" s="291" t="n"/>
      <c r="BN177" s="39" t="n"/>
      <c r="BO177" s="291" t="n"/>
      <c r="BP177" s="291" t="n"/>
      <c r="BQ177" s="39" t="n"/>
      <c r="BR177" s="291" t="n"/>
      <c r="BS177" s="39" t="n"/>
      <c r="BT177" s="291" t="n"/>
      <c r="BU177" s="39" t="n"/>
      <c r="BV177" s="291" t="n"/>
      <c r="BW177" s="39" t="n"/>
      <c r="BX177" s="291" t="n"/>
      <c r="BY177" s="39" t="n"/>
      <c r="BZ177" s="291" t="n"/>
      <c r="CA177" s="39" t="n"/>
      <c r="CB177" s="291" t="n"/>
      <c r="CC177" s="39" t="n"/>
      <c r="CD177" s="291" t="n"/>
      <c r="CE177" s="39" t="n"/>
      <c r="CF177" s="291" t="n"/>
      <c r="CG177" s="39" t="n"/>
      <c r="CH177" s="291" t="n"/>
      <c r="CI177" s="39" t="n"/>
      <c r="CJ177" s="291" t="n"/>
      <c r="CK177" s="39" t="n"/>
      <c r="CL177" s="291" t="n"/>
      <c r="CM177" s="39" t="n"/>
      <c r="CN177" s="291" t="n"/>
      <c r="CW177" s="291" t="n"/>
      <c r="CX177" s="39" t="n"/>
      <c r="CY177" s="291" t="n"/>
      <c r="CZ177" s="39" t="n"/>
      <c r="DA177" s="291" t="n"/>
      <c r="DB177" s="39" t="n"/>
      <c r="DC177" s="291" t="n"/>
      <c r="DD177" s="39" t="n"/>
      <c r="DE177" s="291" t="n"/>
      <c r="DF177" s="337" t="n"/>
    </row>
    <row r="178" ht="13" customFormat="1" customHeight="1" s="40">
      <c r="A178" s="326" t="n"/>
      <c r="B178" s="291" t="n"/>
      <c r="C178" s="39" t="n"/>
      <c r="D178" s="39" t="n"/>
      <c r="E178" s="291" t="n"/>
      <c r="F178" s="39" t="n"/>
      <c r="G178" s="39" t="n"/>
      <c r="H178" s="291" t="n"/>
      <c r="I178" s="39" t="n"/>
      <c r="J178" s="39" t="n"/>
      <c r="K178" s="291" t="n"/>
      <c r="L178" s="39" t="n"/>
      <c r="M178" s="39" t="n"/>
      <c r="N178" s="291" t="n"/>
      <c r="O178" s="39" t="n"/>
      <c r="P178" s="39" t="n"/>
      <c r="Q178" s="291" t="n"/>
      <c r="R178" s="39" t="n"/>
      <c r="S178" s="39" t="n"/>
      <c r="T178" s="291" t="n"/>
      <c r="U178" s="39" t="n"/>
      <c r="V178" s="39" t="n"/>
      <c r="W178" s="291" t="n"/>
      <c r="X178" s="39" t="n"/>
      <c r="Y178" s="39" t="n"/>
      <c r="Z178" s="291" t="n"/>
      <c r="AA178" s="39" t="n"/>
      <c r="AB178" s="39" t="n"/>
      <c r="AC178" s="291" t="n"/>
      <c r="AD178" s="39" t="n"/>
      <c r="AE178" s="39" t="n"/>
      <c r="AF178" s="291" t="n"/>
      <c r="AG178" s="39" t="n"/>
      <c r="AH178" s="39" t="n"/>
      <c r="AI178" s="291" t="n"/>
      <c r="AJ178" s="39" t="n"/>
      <c r="AK178" s="39" t="n"/>
      <c r="AL178" s="291" t="n"/>
      <c r="AM178" s="338" t="n"/>
      <c r="AN178" s="179" t="n"/>
      <c r="AO178" s="291" t="n"/>
      <c r="AP178" s="291" t="n"/>
      <c r="AQ178" s="179" t="n"/>
      <c r="AR178" s="291" t="n"/>
      <c r="AS178" s="291" t="n"/>
      <c r="AT178" s="179" t="n"/>
      <c r="AU178" s="291" t="n"/>
      <c r="AV178" s="291" t="n"/>
      <c r="AW178" s="179" t="n"/>
      <c r="AX178" s="291" t="n"/>
      <c r="AY178" s="291" t="n"/>
      <c r="AZ178" s="39" t="n"/>
      <c r="BA178" s="291" t="n"/>
      <c r="BB178" s="39" t="n"/>
      <c r="BC178" s="291" t="n"/>
      <c r="BD178" s="39" t="n"/>
      <c r="BE178" s="291" t="n"/>
      <c r="BF178" s="39" t="n"/>
      <c r="BG178" s="291" t="n"/>
      <c r="BH178" s="39" t="n"/>
      <c r="BI178" s="291" t="n"/>
      <c r="BJ178" s="39" t="n"/>
      <c r="BK178" s="291" t="n"/>
      <c r="BL178" s="39" t="n"/>
      <c r="BM178" s="291" t="n"/>
      <c r="BN178" s="39" t="n"/>
      <c r="BO178" s="291" t="n"/>
      <c r="BP178" s="291" t="n"/>
      <c r="BQ178" s="39" t="n"/>
      <c r="BR178" s="291" t="n"/>
      <c r="BS178" s="39" t="n"/>
      <c r="BT178" s="291" t="n"/>
      <c r="BU178" s="39" t="n"/>
      <c r="BV178" s="291" t="n"/>
      <c r="BW178" s="39" t="n"/>
      <c r="BX178" s="291" t="n"/>
      <c r="BY178" s="39" t="n"/>
      <c r="BZ178" s="291" t="n"/>
      <c r="CA178" s="39" t="n"/>
      <c r="CB178" s="291" t="n"/>
      <c r="CC178" s="39" t="n"/>
      <c r="CD178" s="291" t="n"/>
      <c r="CE178" s="39" t="n"/>
      <c r="CF178" s="291" t="n"/>
      <c r="CG178" s="39" t="n"/>
      <c r="CH178" s="291" t="n"/>
      <c r="CI178" s="39" t="n"/>
      <c r="CJ178" s="291" t="n"/>
      <c r="CK178" s="39" t="n"/>
      <c r="CL178" s="291" t="n"/>
      <c r="CM178" s="39" t="n"/>
      <c r="CN178" s="291" t="n"/>
      <c r="CW178" s="291" t="n"/>
      <c r="CX178" s="39" t="n"/>
      <c r="CY178" s="291" t="n"/>
      <c r="CZ178" s="39" t="n"/>
      <c r="DA178" s="291" t="n"/>
      <c r="DB178" s="39" t="n"/>
      <c r="DC178" s="291" t="n"/>
      <c r="DD178" s="39" t="n"/>
      <c r="DE178" s="291" t="n"/>
      <c r="DF178" s="337" t="n"/>
    </row>
    <row r="179" ht="13" customFormat="1" customHeight="1" s="40">
      <c r="A179" s="326" t="n"/>
      <c r="B179" s="291" t="n"/>
      <c r="C179" s="39" t="n"/>
      <c r="D179" s="39" t="n"/>
      <c r="E179" s="291" t="n"/>
      <c r="F179" s="39" t="n"/>
      <c r="G179" s="39" t="n"/>
      <c r="H179" s="291" t="n"/>
      <c r="I179" s="39" t="n"/>
      <c r="J179" s="39" t="n"/>
      <c r="K179" s="291" t="n"/>
      <c r="L179" s="39" t="n"/>
      <c r="M179" s="39" t="n"/>
      <c r="N179" s="291" t="n"/>
      <c r="O179" s="39" t="n"/>
      <c r="P179" s="39" t="n"/>
      <c r="Q179" s="291" t="n"/>
      <c r="R179" s="39" t="n"/>
      <c r="S179" s="39" t="n"/>
      <c r="T179" s="291" t="n"/>
      <c r="U179" s="39" t="n"/>
      <c r="V179" s="39" t="n"/>
      <c r="W179" s="291" t="n"/>
      <c r="X179" s="39" t="n"/>
      <c r="Y179" s="39" t="n"/>
      <c r="Z179" s="291" t="n"/>
      <c r="AA179" s="39" t="n"/>
      <c r="AB179" s="39" t="n"/>
      <c r="AC179" s="291" t="n"/>
      <c r="AD179" s="39" t="n"/>
      <c r="AE179" s="39" t="n"/>
      <c r="AF179" s="291" t="n"/>
      <c r="AG179" s="39" t="n"/>
      <c r="AH179" s="39" t="n"/>
      <c r="AI179" s="291" t="n"/>
      <c r="AJ179" s="39" t="n"/>
      <c r="AK179" s="39" t="n"/>
      <c r="AL179" s="291" t="n"/>
      <c r="AM179" s="338" t="n"/>
      <c r="AN179" s="179" t="n"/>
      <c r="AO179" s="291" t="n"/>
      <c r="AP179" s="291" t="n"/>
      <c r="AQ179" s="179" t="n"/>
      <c r="AR179" s="291" t="n"/>
      <c r="AS179" s="291" t="n"/>
      <c r="AT179" s="179" t="n"/>
      <c r="AU179" s="291" t="n"/>
      <c r="AV179" s="291" t="n"/>
      <c r="AW179" s="179" t="n"/>
      <c r="AX179" s="291" t="n"/>
      <c r="BN179" s="39" t="n"/>
      <c r="BO179" s="291" t="n"/>
      <c r="BP179" s="291" t="n"/>
      <c r="BQ179" s="39" t="n"/>
      <c r="BR179" s="291" t="n"/>
      <c r="BS179" s="39" t="n"/>
      <c r="BT179" s="291" t="n"/>
      <c r="BU179" s="39" t="n"/>
      <c r="BV179" s="291" t="n"/>
      <c r="BW179" s="39" t="n"/>
      <c r="BX179" s="291" t="n"/>
      <c r="BY179" s="39" t="n"/>
      <c r="BZ179" s="291" t="n"/>
      <c r="CA179" s="39" t="n"/>
      <c r="CB179" s="291" t="n"/>
      <c r="CC179" s="39" t="n"/>
      <c r="CD179" s="291" t="n"/>
      <c r="CE179" s="39" t="n"/>
      <c r="CF179" s="291" t="n"/>
      <c r="CG179" s="39" t="n"/>
      <c r="CH179" s="291" t="n"/>
      <c r="CI179" s="39" t="n"/>
      <c r="CJ179" s="291" t="n"/>
      <c r="CK179" s="39" t="n"/>
      <c r="CL179" s="291" t="n"/>
      <c r="CM179" s="39" t="n"/>
      <c r="CN179" s="291" t="n"/>
      <c r="CW179" s="291" t="n"/>
      <c r="CX179" s="39" t="n"/>
      <c r="CY179" s="291" t="n"/>
      <c r="CZ179" s="39" t="n"/>
      <c r="DA179" s="291" t="n"/>
      <c r="DB179" s="39" t="n"/>
      <c r="DC179" s="291" t="n"/>
      <c r="DD179" s="39" t="n"/>
      <c r="DE179" s="291" t="n"/>
      <c r="DF179" s="337" t="n"/>
    </row>
    <row r="180" ht="13" customFormat="1" customHeight="1" s="40">
      <c r="A180" s="326" t="n"/>
      <c r="B180" s="291" t="n"/>
      <c r="C180" s="39" t="n"/>
      <c r="D180" s="39" t="n"/>
      <c r="E180" s="291" t="n"/>
      <c r="F180" s="39" t="n"/>
      <c r="G180" s="39" t="n"/>
      <c r="H180" s="291" t="n"/>
      <c r="I180" s="39" t="n"/>
      <c r="J180" s="39" t="n"/>
      <c r="K180" s="291" t="n"/>
      <c r="L180" s="39" t="n"/>
      <c r="M180" s="39" t="n"/>
      <c r="N180" s="291" t="n"/>
      <c r="O180" s="39" t="n"/>
      <c r="P180" s="39" t="n"/>
      <c r="Q180" s="291" t="n"/>
      <c r="R180" s="39" t="n"/>
      <c r="S180" s="39" t="n"/>
      <c r="T180" s="291" t="n"/>
      <c r="U180" s="39" t="n"/>
      <c r="V180" s="39" t="n"/>
      <c r="W180" s="291" t="n"/>
      <c r="X180" s="39" t="n"/>
      <c r="Y180" s="39" t="n"/>
      <c r="Z180" s="291" t="n"/>
      <c r="AA180" s="39" t="n"/>
      <c r="AB180" s="39" t="n"/>
      <c r="AC180" s="291" t="n"/>
      <c r="AD180" s="39" t="n"/>
      <c r="AE180" s="39" t="n"/>
      <c r="AF180" s="291" t="n"/>
      <c r="AG180" s="39" t="n"/>
      <c r="AH180" s="39" t="n"/>
      <c r="AI180" s="291" t="n"/>
      <c r="AJ180" s="39" t="n"/>
      <c r="AK180" s="39" t="n"/>
      <c r="AL180" s="291" t="n"/>
      <c r="AM180" s="338" t="n"/>
      <c r="AN180" s="179" t="n"/>
      <c r="AO180" s="291" t="n"/>
      <c r="AP180" s="291" t="n"/>
      <c r="AQ180" s="179" t="n"/>
      <c r="AR180" s="291" t="n"/>
      <c r="AS180" s="291" t="n"/>
      <c r="AT180" s="179" t="n"/>
      <c r="AU180" s="291" t="n"/>
      <c r="AV180" s="291" t="n"/>
      <c r="AW180" s="179" t="n"/>
      <c r="AX180" s="291" t="n"/>
      <c r="AY180" s="291" t="n"/>
      <c r="AZ180" s="39" t="n"/>
      <c r="BA180" s="291" t="n"/>
      <c r="BB180" s="39" t="n"/>
      <c r="BC180" s="291" t="n"/>
      <c r="BD180" s="39" t="n"/>
      <c r="BE180" s="291" t="n"/>
      <c r="BF180" s="39" t="n"/>
      <c r="BG180" s="291" t="n"/>
      <c r="BH180" s="39" t="n"/>
      <c r="BI180" s="291" t="n"/>
      <c r="BJ180" s="39" t="n"/>
      <c r="BK180" s="291" t="n"/>
      <c r="BL180" s="39" t="n"/>
      <c r="BM180" s="291" t="n"/>
      <c r="BN180" s="39" t="n"/>
      <c r="BO180" s="291" t="n"/>
      <c r="BP180" s="291" t="n"/>
      <c r="BQ180" s="39" t="n"/>
      <c r="BR180" s="291" t="n"/>
      <c r="BS180" s="39" t="n"/>
      <c r="BT180" s="291" t="n"/>
      <c r="BU180" s="39" t="n"/>
      <c r="BV180" s="291" t="n"/>
      <c r="BW180" s="39" t="n"/>
      <c r="BX180" s="291" t="n"/>
      <c r="BY180" s="39" t="n"/>
      <c r="BZ180" s="291" t="n"/>
      <c r="CA180" s="39" t="n"/>
      <c r="CB180" s="291" t="n"/>
      <c r="CC180" s="39" t="n"/>
      <c r="CD180" s="291" t="n"/>
      <c r="CE180" s="39" t="n"/>
      <c r="CF180" s="291" t="n"/>
      <c r="CG180" s="39" t="n"/>
      <c r="CH180" s="291" t="n"/>
      <c r="CI180" s="39" t="n"/>
      <c r="CJ180" s="291" t="n"/>
      <c r="CK180" s="39" t="n"/>
      <c r="CL180" s="291" t="n"/>
      <c r="CM180" s="39" t="n"/>
      <c r="CN180" s="291" t="n"/>
      <c r="CW180" s="291" t="n"/>
      <c r="CX180" s="39" t="n"/>
      <c r="CY180" s="291" t="n"/>
      <c r="CZ180" s="39" t="n"/>
      <c r="DA180" s="291" t="n"/>
      <c r="DB180" s="39" t="n"/>
      <c r="DC180" s="291" t="n"/>
      <c r="DD180" s="39" t="n"/>
      <c r="DE180" s="291" t="n"/>
      <c r="DF180" s="337" t="n"/>
    </row>
    <row r="181" ht="13" customFormat="1" customHeight="1" s="119">
      <c r="A181" s="342" t="n"/>
      <c r="B181" s="317" t="n"/>
      <c r="C181" s="39" t="n"/>
      <c r="D181" s="39" t="n"/>
      <c r="E181" s="317" t="n"/>
      <c r="F181" s="39" t="n"/>
      <c r="G181" s="39" t="n"/>
      <c r="H181" s="317" t="n"/>
      <c r="I181" s="39" t="n"/>
      <c r="J181" s="39" t="n"/>
      <c r="K181" s="317" t="n"/>
      <c r="L181" s="39" t="n"/>
      <c r="M181" s="39" t="n"/>
      <c r="N181" s="317" t="n"/>
      <c r="O181" s="39" t="n"/>
      <c r="P181" s="39" t="n"/>
      <c r="Q181" s="317" t="n"/>
      <c r="R181" s="39" t="n"/>
      <c r="S181" s="39" t="n"/>
      <c r="T181" s="317" t="n"/>
      <c r="U181" s="39" t="n"/>
      <c r="V181" s="39" t="n"/>
      <c r="W181" s="317" t="n"/>
      <c r="X181" s="39" t="n"/>
      <c r="Y181" s="39" t="n"/>
      <c r="Z181" s="317" t="n"/>
      <c r="AA181" s="39" t="n"/>
      <c r="AB181" s="39" t="n"/>
      <c r="AC181" s="317" t="n"/>
      <c r="AD181" s="39" t="n"/>
      <c r="AE181" s="39" t="n"/>
      <c r="AF181" s="317" t="n"/>
      <c r="AG181" s="39" t="n"/>
      <c r="AH181" s="39" t="n"/>
      <c r="AI181" s="317" t="n"/>
      <c r="AJ181" s="39" t="n"/>
      <c r="AK181" s="39" t="n"/>
      <c r="AL181" s="317" t="n"/>
      <c r="AM181" s="338" t="n"/>
      <c r="AN181" s="179" t="n"/>
      <c r="AO181" s="317" t="n"/>
      <c r="AP181" s="317" t="n"/>
      <c r="AQ181" s="179" t="n"/>
      <c r="AR181" s="317" t="n"/>
      <c r="AS181" s="317" t="n"/>
      <c r="AT181" s="179" t="n"/>
      <c r="AU181" s="317" t="n"/>
      <c r="AV181" s="317" t="n"/>
      <c r="AW181" s="179" t="n"/>
      <c r="AX181" s="317" t="n"/>
      <c r="AY181" s="340" t="n"/>
      <c r="AZ181" s="93" t="n"/>
      <c r="BA181" s="340" t="n"/>
      <c r="BB181" s="93" t="n"/>
      <c r="BC181" s="340" t="n"/>
      <c r="BD181" s="93" t="n"/>
      <c r="BE181" s="340" t="n"/>
      <c r="BF181" s="93" t="n"/>
      <c r="BG181" s="340" t="n"/>
      <c r="BH181" s="93" t="n"/>
      <c r="BI181" s="340" t="n"/>
      <c r="BJ181" s="93" t="n"/>
      <c r="BK181" s="340" t="n"/>
      <c r="BL181" s="93" t="n"/>
      <c r="BM181" s="340" t="n"/>
      <c r="BN181" s="340" t="n"/>
      <c r="BO181" s="340" t="n"/>
      <c r="BP181" s="340" t="n"/>
      <c r="BQ181" s="340" t="n"/>
      <c r="BR181" s="340" t="n"/>
      <c r="BS181" s="340" t="n"/>
      <c r="BT181" s="340" t="n"/>
      <c r="BU181" s="340" t="n"/>
      <c r="BV181" s="340" t="n"/>
      <c r="BW181" s="340" t="n"/>
      <c r="BX181" s="340" t="n"/>
      <c r="BY181" s="340" t="n"/>
      <c r="BZ181" s="340" t="n"/>
      <c r="CA181" s="340" t="n"/>
      <c r="CB181" s="340" t="n"/>
      <c r="CC181" s="340" t="n"/>
      <c r="CD181" s="340" t="n"/>
      <c r="CE181" s="340" t="n"/>
      <c r="CF181" s="340" t="n"/>
      <c r="CG181" s="340" t="n"/>
      <c r="CH181" s="340" t="n"/>
      <c r="CI181" s="340" t="n"/>
      <c r="CJ181" s="340" t="n"/>
      <c r="CK181" s="340" t="n"/>
      <c r="CL181" s="340" t="n"/>
      <c r="CM181" s="340" t="n"/>
      <c r="CN181" s="340" t="n"/>
      <c r="CO181" s="340" t="n"/>
      <c r="CP181" s="340" t="n"/>
      <c r="CQ181" s="340" t="n"/>
      <c r="CR181" s="340" t="n"/>
      <c r="CS181" s="340" t="n"/>
      <c r="CT181" s="340" t="n"/>
      <c r="CU181" s="340" t="n"/>
      <c r="CV181" s="340" t="n"/>
      <c r="CW181" s="340" t="n"/>
      <c r="CX181" s="340" t="n"/>
      <c r="CY181" s="340" t="n"/>
      <c r="CZ181" s="340" t="n"/>
      <c r="DA181" s="340" t="n"/>
      <c r="DB181" s="340" t="n"/>
      <c r="DC181" s="340" t="n"/>
      <c r="DD181" s="340" t="n"/>
      <c r="DE181" s="341" t="n"/>
      <c r="DF181" s="341" t="n"/>
    </row>
    <row r="182" ht="13" customFormat="1" customHeight="1" s="119">
      <c r="A182" s="342" t="n"/>
      <c r="B182" s="317" t="n"/>
      <c r="C182" s="39" t="n"/>
      <c r="D182" s="39" t="n"/>
      <c r="E182" s="317" t="n"/>
      <c r="F182" s="39" t="n"/>
      <c r="G182" s="39" t="n"/>
      <c r="H182" s="317" t="n"/>
      <c r="I182" s="39" t="n"/>
      <c r="J182" s="39" t="n"/>
      <c r="K182" s="317" t="n"/>
      <c r="L182" s="39" t="n"/>
      <c r="M182" s="39" t="n"/>
      <c r="N182" s="317" t="n"/>
      <c r="O182" s="39" t="n"/>
      <c r="P182" s="39" t="n"/>
      <c r="Q182" s="317" t="n"/>
      <c r="R182" s="39" t="n"/>
      <c r="S182" s="39" t="n"/>
      <c r="T182" s="317" t="n"/>
      <c r="U182" s="39" t="n"/>
      <c r="V182" s="39" t="n"/>
      <c r="W182" s="317" t="n"/>
      <c r="X182" s="39" t="n"/>
      <c r="Y182" s="39" t="n"/>
      <c r="Z182" s="317" t="n"/>
      <c r="AA182" s="39" t="n"/>
      <c r="AB182" s="39" t="n"/>
      <c r="AC182" s="317" t="n"/>
      <c r="AD182" s="39" t="n"/>
      <c r="AE182" s="39" t="n"/>
      <c r="AF182" s="317" t="n"/>
      <c r="AG182" s="39" t="n"/>
      <c r="AH182" s="39" t="n"/>
      <c r="AI182" s="317" t="n"/>
      <c r="AJ182" s="39" t="n"/>
      <c r="AK182" s="39" t="n"/>
      <c r="AL182" s="317" t="n"/>
      <c r="AM182" s="338" t="n"/>
      <c r="AN182" s="39" t="n"/>
      <c r="AO182" s="317" t="n"/>
      <c r="AP182" s="317" t="n"/>
      <c r="AQ182" s="39" t="n"/>
      <c r="AR182" s="317" t="n"/>
      <c r="AS182" s="317" t="n"/>
      <c r="AT182" s="39" t="n"/>
      <c r="AU182" s="317" t="n"/>
      <c r="AV182" s="317" t="n"/>
      <c r="AW182" s="39" t="n"/>
      <c r="AX182" s="317" t="n"/>
      <c r="AY182" s="340" t="n"/>
      <c r="AZ182" s="93" t="n"/>
      <c r="BA182" s="340" t="n"/>
      <c r="BB182" s="93" t="n"/>
      <c r="BC182" s="340" t="n"/>
      <c r="BD182" s="93" t="n"/>
      <c r="BE182" s="340" t="n"/>
      <c r="BF182" s="93" t="n"/>
      <c r="BG182" s="340" t="n"/>
      <c r="BH182" s="93" t="n"/>
      <c r="BI182" s="340" t="n"/>
      <c r="BJ182" s="93" t="n"/>
      <c r="BK182" s="340" t="n"/>
      <c r="BL182" s="93" t="n"/>
      <c r="BM182" s="340" t="n"/>
      <c r="BN182" s="340" t="n"/>
      <c r="BO182" s="340" t="n"/>
      <c r="BP182" s="340" t="n"/>
      <c r="BQ182" s="340" t="n"/>
      <c r="BR182" s="340" t="n"/>
      <c r="BS182" s="340" t="n"/>
      <c r="BT182" s="340" t="n"/>
      <c r="BU182" s="340" t="n"/>
      <c r="BV182" s="340" t="n"/>
      <c r="BW182" s="340" t="n"/>
      <c r="BX182" s="340" t="n"/>
      <c r="BY182" s="340" t="n"/>
      <c r="BZ182" s="340" t="n"/>
      <c r="CA182" s="340" t="n"/>
      <c r="CB182" s="340" t="n"/>
      <c r="CC182" s="340" t="n"/>
      <c r="CD182" s="340" t="n"/>
      <c r="CE182" s="340" t="n"/>
      <c r="CF182" s="340" t="n"/>
      <c r="CG182" s="340" t="n"/>
      <c r="CH182" s="340" t="n"/>
      <c r="CI182" s="340" t="n"/>
      <c r="CJ182" s="340" t="n"/>
      <c r="CK182" s="340" t="n"/>
      <c r="CL182" s="340" t="n"/>
      <c r="CM182" s="340" t="n"/>
      <c r="CN182" s="340" t="n"/>
      <c r="CO182" s="340" t="n"/>
      <c r="CP182" s="340" t="n"/>
      <c r="CQ182" s="340" t="n"/>
      <c r="CR182" s="340" t="n"/>
      <c r="CS182" s="340" t="n"/>
      <c r="CT182" s="340" t="n"/>
      <c r="CU182" s="340" t="n"/>
      <c r="CV182" s="340" t="n"/>
      <c r="CW182" s="340" t="n"/>
      <c r="CX182" s="340" t="n"/>
      <c r="CY182" s="340" t="n"/>
      <c r="CZ182" s="340" t="n"/>
      <c r="DA182" s="340" t="n"/>
      <c r="DB182" s="340" t="n"/>
      <c r="DC182" s="340" t="n"/>
      <c r="DD182" s="340" t="n"/>
      <c r="DE182" s="341" t="n"/>
      <c r="DF182" s="341" t="n"/>
    </row>
    <row r="183" ht="13" customFormat="1" customHeight="1" s="119">
      <c r="A183" s="342" t="n"/>
      <c r="B183" s="317" t="n"/>
      <c r="C183" s="142" t="n"/>
      <c r="D183" s="142" t="n"/>
      <c r="E183" s="317" t="n"/>
      <c r="F183" s="142" t="n"/>
      <c r="G183" s="142" t="n"/>
      <c r="H183" s="317" t="n"/>
      <c r="I183" s="142" t="n"/>
      <c r="J183" s="142" t="n"/>
      <c r="K183" s="317" t="n"/>
      <c r="L183" s="142" t="n"/>
      <c r="M183" s="142" t="n"/>
      <c r="N183" s="317" t="n"/>
      <c r="O183" s="142" t="n"/>
      <c r="P183" s="142" t="n"/>
      <c r="Q183" s="317" t="n"/>
      <c r="R183" s="142" t="n"/>
      <c r="S183" s="142" t="n"/>
      <c r="T183" s="317" t="n"/>
      <c r="U183" s="142" t="n"/>
      <c r="V183" s="142" t="n"/>
      <c r="W183" s="317" t="n"/>
      <c r="X183" s="142" t="n"/>
      <c r="Y183" s="142" t="n"/>
      <c r="Z183" s="317" t="n"/>
      <c r="AA183" s="142" t="n"/>
      <c r="AB183" s="142" t="n"/>
      <c r="AC183" s="317" t="n"/>
      <c r="AD183" s="142" t="n"/>
      <c r="AE183" s="142" t="n"/>
      <c r="AF183" s="317" t="n"/>
      <c r="AG183" s="142" t="n"/>
      <c r="AH183" s="142" t="n"/>
      <c r="AI183" s="317" t="n"/>
      <c r="AJ183" s="142" t="n"/>
      <c r="AK183" s="142" t="n"/>
      <c r="AL183" s="317" t="n"/>
      <c r="AM183" s="317" t="n"/>
      <c r="AN183" s="182" t="n"/>
      <c r="AO183" s="317" t="n"/>
      <c r="AP183" s="317" t="n"/>
      <c r="AQ183" s="182" t="n"/>
      <c r="AR183" s="317" t="n"/>
      <c r="AS183" s="317" t="n"/>
      <c r="AT183" s="182" t="n"/>
      <c r="AU183" s="317" t="n"/>
      <c r="AV183" s="317" t="n"/>
      <c r="AW183" s="182" t="n"/>
      <c r="AX183" s="317" t="n"/>
      <c r="AY183" s="340" t="n"/>
      <c r="AZ183" s="93" t="n"/>
      <c r="BA183" s="340" t="n"/>
      <c r="BB183" s="93" t="n"/>
      <c r="BC183" s="340" t="n"/>
      <c r="BD183" s="93" t="n"/>
      <c r="BE183" s="340" t="n"/>
      <c r="BF183" s="93" t="n"/>
      <c r="BG183" s="340" t="n"/>
      <c r="BH183" s="93" t="n"/>
      <c r="BI183" s="340" t="n"/>
      <c r="BJ183" s="93" t="n"/>
      <c r="BK183" s="340" t="n"/>
      <c r="BL183" s="93" t="n"/>
      <c r="BM183" s="340" t="n"/>
      <c r="BN183" s="340" t="n"/>
      <c r="BO183" s="340" t="n"/>
      <c r="BP183" s="340" t="n"/>
      <c r="BQ183" s="340" t="n"/>
      <c r="BR183" s="340" t="n"/>
      <c r="BS183" s="340" t="n"/>
      <c r="BT183" s="340" t="n"/>
      <c r="BU183" s="340" t="n"/>
      <c r="BV183" s="340" t="n"/>
      <c r="BW183" s="340" t="n"/>
      <c r="BX183" s="340" t="n"/>
      <c r="BY183" s="340" t="n"/>
      <c r="BZ183" s="340" t="n"/>
      <c r="CA183" s="340" t="n"/>
      <c r="CB183" s="340" t="n"/>
      <c r="CC183" s="340" t="n"/>
      <c r="CD183" s="340" t="n"/>
      <c r="CE183" s="340" t="n"/>
      <c r="CF183" s="340" t="n"/>
      <c r="CG183" s="340" t="n"/>
      <c r="CH183" s="340" t="n"/>
      <c r="CI183" s="340" t="n"/>
      <c r="CJ183" s="340" t="n"/>
      <c r="CK183" s="340" t="n"/>
      <c r="CL183" s="340" t="n"/>
      <c r="CM183" s="340" t="n"/>
      <c r="CN183" s="340" t="n"/>
      <c r="CO183" s="340" t="n"/>
      <c r="CP183" s="340" t="n"/>
      <c r="CQ183" s="340" t="n"/>
      <c r="CR183" s="340" t="n"/>
      <c r="CS183" s="340" t="n"/>
      <c r="CT183" s="340" t="n"/>
      <c r="CU183" s="340" t="n"/>
      <c r="CV183" s="340" t="n"/>
      <c r="CW183" s="340" t="n"/>
      <c r="CX183" s="340" t="n"/>
      <c r="CY183" s="340" t="n"/>
      <c r="CZ183" s="340" t="n"/>
      <c r="DA183" s="340" t="n"/>
      <c r="DB183" s="340" t="n"/>
      <c r="DC183" s="340" t="n"/>
      <c r="DD183" s="340" t="n"/>
      <c r="DE183" s="341" t="n"/>
      <c r="DF183" s="341" t="n"/>
    </row>
    <row r="184" ht="13" customFormat="1" customHeight="1" s="119">
      <c r="A184" s="342" t="n"/>
      <c r="B184" s="317" t="n"/>
      <c r="C184" s="142" t="n"/>
      <c r="D184" s="142" t="n"/>
      <c r="E184" s="317" t="n"/>
      <c r="F184" s="142" t="n"/>
      <c r="G184" s="142" t="n"/>
      <c r="H184" s="317" t="n"/>
      <c r="I184" s="142" t="n"/>
      <c r="J184" s="142" t="n"/>
      <c r="K184" s="317" t="n"/>
      <c r="L184" s="142" t="n"/>
      <c r="M184" s="142" t="n"/>
      <c r="N184" s="317" t="n"/>
      <c r="O184" s="142" t="n"/>
      <c r="P184" s="142" t="n"/>
      <c r="Q184" s="317" t="n"/>
      <c r="R184" s="142" t="n"/>
      <c r="S184" s="142" t="n"/>
      <c r="T184" s="317" t="n"/>
      <c r="U184" s="142" t="n"/>
      <c r="V184" s="142" t="n"/>
      <c r="W184" s="317" t="n"/>
      <c r="X184" s="142" t="n"/>
      <c r="Y184" s="142" t="n"/>
      <c r="Z184" s="317" t="n"/>
      <c r="AA184" s="142" t="n"/>
      <c r="AB184" s="142" t="n"/>
      <c r="AC184" s="317" t="n"/>
      <c r="AD184" s="142" t="n"/>
      <c r="AE184" s="142" t="n"/>
      <c r="AF184" s="317" t="n"/>
      <c r="AG184" s="142" t="n"/>
      <c r="AH184" s="142" t="n"/>
      <c r="AI184" s="317" t="n"/>
      <c r="AJ184" s="142" t="n"/>
      <c r="AK184" s="142" t="n"/>
      <c r="AL184" s="317" t="n"/>
      <c r="AM184" s="317" t="n"/>
      <c r="AN184" s="182" t="n"/>
      <c r="AO184" s="317" t="n"/>
      <c r="AP184" s="317" t="n"/>
      <c r="AQ184" s="182" t="n"/>
      <c r="AR184" s="317" t="n"/>
      <c r="AS184" s="317" t="n"/>
      <c r="AT184" s="182" t="n"/>
      <c r="AU184" s="317" t="n"/>
      <c r="AV184" s="317" t="n"/>
      <c r="AW184" s="182" t="n"/>
      <c r="AX184" s="317" t="n"/>
      <c r="AY184" s="340" t="n"/>
      <c r="AZ184" s="93" t="n"/>
      <c r="BA184" s="340" t="n"/>
      <c r="BB184" s="93" t="n"/>
      <c r="BC184" s="340" t="n"/>
      <c r="BD184" s="93" t="n"/>
      <c r="BE184" s="340" t="n"/>
      <c r="BF184" s="93" t="n"/>
      <c r="BG184" s="340" t="n"/>
      <c r="BH184" s="93" t="n"/>
      <c r="BI184" s="340" t="n"/>
      <c r="BJ184" s="93" t="n"/>
      <c r="BK184" s="340" t="n"/>
      <c r="BL184" s="93" t="n"/>
      <c r="BM184" s="340" t="n"/>
      <c r="BN184" s="340" t="n"/>
      <c r="BO184" s="340" t="n"/>
      <c r="BP184" s="340" t="n"/>
      <c r="BQ184" s="340" t="n"/>
      <c r="BR184" s="340" t="n"/>
      <c r="BS184" s="340" t="n"/>
      <c r="BT184" s="340" t="n"/>
      <c r="BU184" s="340" t="n"/>
      <c r="BV184" s="340" t="n"/>
      <c r="BW184" s="340" t="n"/>
      <c r="BX184" s="340" t="n"/>
      <c r="BY184" s="340" t="n"/>
      <c r="BZ184" s="340" t="n"/>
      <c r="CA184" s="340" t="n"/>
      <c r="CB184" s="340" t="n"/>
      <c r="CC184" s="340" t="n"/>
      <c r="CD184" s="340" t="n"/>
      <c r="CE184" s="340" t="n"/>
      <c r="CF184" s="340" t="n"/>
      <c r="CG184" s="340" t="n"/>
      <c r="CH184" s="340" t="n"/>
      <c r="CI184" s="340" t="n"/>
      <c r="CJ184" s="340" t="n"/>
      <c r="CK184" s="340" t="n"/>
      <c r="CL184" s="340" t="n"/>
      <c r="CM184" s="340" t="n"/>
      <c r="CN184" s="340" t="n"/>
      <c r="CO184" s="340" t="n"/>
      <c r="CP184" s="340" t="n"/>
      <c r="CQ184" s="340" t="n"/>
      <c r="CR184" s="340" t="n"/>
      <c r="CS184" s="340" t="n"/>
      <c r="CT184" s="340" t="n"/>
      <c r="CU184" s="340" t="n"/>
      <c r="CV184" s="340" t="n"/>
      <c r="CW184" s="340" t="n"/>
      <c r="CX184" s="340" t="n"/>
      <c r="CY184" s="340" t="n"/>
      <c r="CZ184" s="340" t="n"/>
      <c r="DA184" s="340" t="n"/>
      <c r="DB184" s="340" t="n"/>
      <c r="DC184" s="340" t="n"/>
      <c r="DD184" s="340" t="n"/>
      <c r="DE184" s="341" t="n"/>
      <c r="DF184" s="341" t="n"/>
    </row>
    <row r="185" ht="13" customFormat="1" customHeight="1" s="119">
      <c r="A185" s="342" t="n"/>
      <c r="B185" s="317" t="n"/>
      <c r="C185" s="142" t="n"/>
      <c r="D185" s="142" t="n"/>
      <c r="E185" s="317" t="n"/>
      <c r="F185" s="142" t="n"/>
      <c r="G185" s="142" t="n"/>
      <c r="H185" s="317" t="n"/>
      <c r="I185" s="142" t="n"/>
      <c r="J185" s="142" t="n"/>
      <c r="K185" s="317" t="n"/>
      <c r="L185" s="142" t="n"/>
      <c r="M185" s="142" t="n"/>
      <c r="N185" s="317" t="n"/>
      <c r="O185" s="142" t="n"/>
      <c r="P185" s="142" t="n"/>
      <c r="Q185" s="317" t="n"/>
      <c r="R185" s="142" t="n"/>
      <c r="S185" s="142" t="n"/>
      <c r="T185" s="317" t="n"/>
      <c r="U185" s="142" t="n"/>
      <c r="V185" s="142" t="n"/>
      <c r="W185" s="317" t="n"/>
      <c r="X185" s="142" t="n"/>
      <c r="Y185" s="142" t="n"/>
      <c r="Z185" s="317" t="n"/>
      <c r="AA185" s="142" t="n"/>
      <c r="AB185" s="142" t="n"/>
      <c r="AC185" s="317" t="n"/>
      <c r="AD185" s="142" t="n"/>
      <c r="AE185" s="142" t="n"/>
      <c r="AF185" s="317" t="n"/>
      <c r="AG185" s="142" t="n"/>
      <c r="AH185" s="142" t="n"/>
      <c r="AI185" s="317" t="n"/>
      <c r="AJ185" s="142" t="n"/>
      <c r="AK185" s="142" t="n"/>
      <c r="AL185" s="317" t="n"/>
      <c r="AM185" s="317" t="n"/>
      <c r="AN185" s="182" t="n"/>
      <c r="AO185" s="317" t="n"/>
      <c r="AP185" s="317" t="n"/>
      <c r="AQ185" s="182" t="n"/>
      <c r="AR185" s="317" t="n"/>
      <c r="AS185" s="317" t="n"/>
      <c r="AT185" s="182" t="n"/>
      <c r="AU185" s="317" t="n"/>
      <c r="AV185" s="317" t="n"/>
      <c r="AW185" s="182" t="n"/>
      <c r="AX185" s="183" t="n"/>
      <c r="AY185" s="340" t="n"/>
      <c r="AZ185" s="93" t="n"/>
      <c r="BA185" s="340" t="n"/>
      <c r="BB185" s="93" t="n"/>
      <c r="BC185" s="340" t="n"/>
      <c r="BD185" s="93" t="n"/>
      <c r="BE185" s="340" t="n"/>
      <c r="BF185" s="93" t="n"/>
      <c r="BG185" s="340" t="n"/>
      <c r="BH185" s="93" t="n"/>
      <c r="BI185" s="340" t="n"/>
      <c r="BJ185" s="93" t="n"/>
      <c r="BK185" s="340" t="n"/>
      <c r="BL185" s="93" t="n"/>
      <c r="BM185" s="340" t="n"/>
      <c r="BN185" s="340" t="n"/>
      <c r="BO185" s="340" t="n"/>
      <c r="BP185" s="340" t="n"/>
      <c r="BQ185" s="340" t="n"/>
      <c r="BR185" s="340" t="n"/>
      <c r="BS185" s="340" t="n"/>
      <c r="BT185" s="340" t="n"/>
      <c r="BU185" s="340" t="n"/>
      <c r="BV185" s="340" t="n"/>
      <c r="BW185" s="340" t="n"/>
      <c r="BX185" s="340" t="n"/>
      <c r="BY185" s="340" t="n"/>
      <c r="BZ185" s="340" t="n"/>
      <c r="CA185" s="340" t="n"/>
      <c r="CB185" s="340" t="n"/>
      <c r="CC185" s="340" t="n"/>
      <c r="CD185" s="340" t="n"/>
      <c r="CE185" s="340" t="n"/>
      <c r="CF185" s="340" t="n"/>
      <c r="CG185" s="340" t="n"/>
      <c r="CH185" s="340" t="n"/>
      <c r="CI185" s="340" t="n"/>
      <c r="CJ185" s="340" t="n"/>
      <c r="CK185" s="340" t="n"/>
      <c r="CL185" s="340" t="n"/>
      <c r="CM185" s="340" t="n"/>
      <c r="CN185" s="340" t="n"/>
      <c r="CO185" s="340" t="n"/>
      <c r="CP185" s="340" t="n"/>
      <c r="CQ185" s="340" t="n"/>
      <c r="CR185" s="340" t="n"/>
      <c r="CS185" s="340" t="n"/>
      <c r="CT185" s="340" t="n"/>
      <c r="CU185" s="340" t="n"/>
      <c r="CV185" s="340" t="n"/>
      <c r="CW185" s="340" t="n"/>
      <c r="CX185" s="340" t="n"/>
      <c r="CY185" s="340" t="n"/>
      <c r="CZ185" s="340" t="n"/>
      <c r="DA185" s="340" t="n"/>
      <c r="DB185" s="340" t="n"/>
      <c r="DC185" s="340" t="n"/>
      <c r="DD185" s="340" t="n"/>
      <c r="DE185" s="341" t="n"/>
      <c r="DF185" s="341" t="n"/>
    </row>
    <row r="186" ht="13" customFormat="1" customHeight="1" s="119">
      <c r="A186" s="342" t="n"/>
      <c r="B186" s="317" t="n"/>
      <c r="C186" s="142" t="n"/>
      <c r="D186" s="142" t="n"/>
      <c r="E186" s="317" t="n"/>
      <c r="F186" s="142" t="n"/>
      <c r="G186" s="142" t="n"/>
      <c r="H186" s="317" t="n"/>
      <c r="I186" s="142" t="n"/>
      <c r="J186" s="142" t="n"/>
      <c r="K186" s="317" t="n"/>
      <c r="L186" s="142" t="n"/>
      <c r="M186" s="142" t="n"/>
      <c r="N186" s="317" t="n"/>
      <c r="O186" s="142" t="n"/>
      <c r="P186" s="142" t="n"/>
      <c r="Q186" s="317" t="n"/>
      <c r="R186" s="142" t="n"/>
      <c r="S186" s="142" t="n"/>
      <c r="T186" s="317" t="n"/>
      <c r="U186" s="142" t="n"/>
      <c r="V186" s="142" t="n"/>
      <c r="W186" s="317" t="n"/>
      <c r="X186" s="142" t="n"/>
      <c r="Y186" s="142" t="n"/>
      <c r="Z186" s="317" t="n"/>
      <c r="AA186" s="142" t="n"/>
      <c r="AB186" s="142" t="n"/>
      <c r="AC186" s="317" t="n"/>
      <c r="AD186" s="142" t="n"/>
      <c r="AE186" s="142" t="n"/>
      <c r="AF186" s="317" t="n"/>
      <c r="AG186" s="142" t="n"/>
      <c r="AH186" s="142" t="n"/>
      <c r="AI186" s="317" t="n"/>
      <c r="AJ186" s="142" t="n"/>
      <c r="AK186" s="142" t="n"/>
      <c r="AL186" s="317" t="n"/>
      <c r="AM186" s="317" t="n"/>
      <c r="AN186" s="182" t="n"/>
      <c r="AO186" s="317" t="n"/>
      <c r="AP186" s="317" t="n"/>
      <c r="AQ186" s="182" t="n"/>
      <c r="AR186" s="317" t="n"/>
      <c r="AS186" s="317" t="n"/>
      <c r="AT186" s="182" t="n"/>
      <c r="AU186" s="317" t="n"/>
      <c r="AV186" s="317" t="n"/>
      <c r="AW186" s="182" t="n"/>
      <c r="AX186" s="183" t="n"/>
      <c r="AY186" s="340" t="n"/>
      <c r="AZ186" s="93" t="n"/>
      <c r="BA186" s="340" t="n"/>
      <c r="BB186" s="93" t="n"/>
      <c r="BC186" s="340" t="n"/>
      <c r="BD186" s="93" t="n"/>
      <c r="BE186" s="340" t="n"/>
      <c r="BF186" s="93" t="n"/>
      <c r="BG186" s="340" t="n"/>
      <c r="BH186" s="93" t="n"/>
      <c r="BI186" s="340" t="n"/>
      <c r="BJ186" s="93" t="n"/>
      <c r="BK186" s="340" t="n"/>
      <c r="BL186" s="93" t="n"/>
      <c r="BM186" s="340" t="n"/>
      <c r="BN186" s="340" t="n"/>
      <c r="BO186" s="340" t="n"/>
      <c r="BP186" s="340" t="n"/>
      <c r="BQ186" s="340" t="n"/>
      <c r="BR186" s="340" t="n"/>
      <c r="BS186" s="340" t="n"/>
      <c r="BT186" s="340" t="n"/>
      <c r="BU186" s="340" t="n"/>
      <c r="BV186" s="340" t="n"/>
      <c r="BW186" s="340" t="n"/>
      <c r="BX186" s="340" t="n"/>
      <c r="BY186" s="340" t="n"/>
      <c r="BZ186" s="340" t="n"/>
      <c r="CA186" s="340" t="n"/>
      <c r="CB186" s="340" t="n"/>
      <c r="CC186" s="340" t="n"/>
      <c r="CD186" s="340" t="n"/>
      <c r="CE186" s="340" t="n"/>
      <c r="CF186" s="340" t="n"/>
      <c r="CG186" s="340" t="n"/>
      <c r="CH186" s="340" t="n"/>
      <c r="CI186" s="340" t="n"/>
      <c r="CJ186" s="340" t="n"/>
      <c r="CK186" s="340" t="n"/>
      <c r="CL186" s="340" t="n"/>
      <c r="CM186" s="340" t="n"/>
      <c r="CN186" s="340" t="n"/>
      <c r="CO186" s="340" t="n"/>
      <c r="CP186" s="340" t="n"/>
      <c r="CQ186" s="340" t="n"/>
      <c r="CR186" s="340" t="n"/>
      <c r="CS186" s="340" t="n"/>
      <c r="CT186" s="340" t="n"/>
      <c r="CU186" s="340" t="n"/>
      <c r="CV186" s="340" t="n"/>
      <c r="CW186" s="340" t="n"/>
      <c r="CX186" s="340" t="n"/>
      <c r="CY186" s="340" t="n"/>
      <c r="CZ186" s="340" t="n"/>
      <c r="DA186" s="340" t="n"/>
      <c r="DB186" s="340" t="n"/>
      <c r="DC186" s="340" t="n"/>
      <c r="DD186" s="340" t="n"/>
      <c r="DE186" s="341" t="n"/>
      <c r="DF186" s="341" t="n"/>
    </row>
    <row r="187" ht="13" customFormat="1" customHeight="1" s="119">
      <c r="A187" s="342" t="n"/>
      <c r="B187" s="317" t="n"/>
      <c r="C187" s="142" t="n"/>
      <c r="D187" s="142" t="n"/>
      <c r="E187" s="317" t="n"/>
      <c r="F187" s="142" t="n"/>
      <c r="G187" s="142" t="n"/>
      <c r="H187" s="317" t="n"/>
      <c r="I187" s="142" t="n"/>
      <c r="J187" s="142" t="n"/>
      <c r="K187" s="317" t="n"/>
      <c r="L187" s="142" t="n"/>
      <c r="M187" s="142" t="n"/>
      <c r="N187" s="317" t="n"/>
      <c r="O187" s="142" t="n"/>
      <c r="P187" s="142" t="n"/>
      <c r="Q187" s="317" t="n"/>
      <c r="R187" s="142" t="n"/>
      <c r="S187" s="142" t="n"/>
      <c r="T187" s="317" t="n"/>
      <c r="U187" s="142" t="n"/>
      <c r="V187" s="142" t="n"/>
      <c r="W187" s="317" t="n"/>
      <c r="X187" s="142" t="n"/>
      <c r="Y187" s="142" t="n"/>
      <c r="Z187" s="317" t="n"/>
      <c r="AA187" s="142" t="n"/>
      <c r="AB187" s="142" t="n"/>
      <c r="AC187" s="317" t="n"/>
      <c r="AD187" s="142" t="n"/>
      <c r="AE187" s="142" t="n"/>
      <c r="AF187" s="317" t="n"/>
      <c r="AG187" s="142" t="n"/>
      <c r="AH187" s="142" t="n"/>
      <c r="AI187" s="317" t="n"/>
      <c r="AJ187" s="142" t="n"/>
      <c r="AK187" s="142" t="n"/>
      <c r="AL187" s="317" t="n"/>
      <c r="AM187" s="317" t="n"/>
      <c r="AN187" s="317" t="n"/>
      <c r="AO187" s="317" t="n"/>
      <c r="AP187" s="317" t="n"/>
      <c r="AQ187" s="317" t="n"/>
      <c r="AR187" s="317" t="n"/>
      <c r="AS187" s="317" t="n"/>
      <c r="AT187" s="317" t="n"/>
      <c r="AU187" s="317" t="n"/>
      <c r="AV187" s="317" t="n"/>
      <c r="AW187" s="317" t="n"/>
      <c r="AX187" s="317" t="n"/>
      <c r="AY187" s="340" t="n"/>
      <c r="AZ187" s="93" t="n"/>
      <c r="BA187" s="340" t="n"/>
      <c r="BB187" s="93" t="n"/>
      <c r="BC187" s="340" t="n"/>
      <c r="BD187" s="93" t="n"/>
      <c r="BE187" s="340" t="n"/>
      <c r="BF187" s="93" t="n"/>
      <c r="BG187" s="340" t="n"/>
      <c r="BH187" s="93" t="n"/>
      <c r="BI187" s="340" t="n"/>
      <c r="BJ187" s="93" t="n"/>
      <c r="BK187" s="340" t="n"/>
      <c r="BL187" s="93" t="n"/>
      <c r="BM187" s="340" t="n"/>
      <c r="BN187" s="340" t="n"/>
      <c r="BO187" s="340" t="n"/>
      <c r="BP187" s="340" t="n"/>
      <c r="BQ187" s="340" t="n"/>
      <c r="BR187" s="340" t="n"/>
      <c r="BS187" s="340" t="n"/>
      <c r="BT187" s="340" t="n"/>
      <c r="BU187" s="340" t="n"/>
      <c r="BV187" s="340" t="n"/>
      <c r="BW187" s="340" t="n"/>
      <c r="BX187" s="340" t="n"/>
      <c r="BY187" s="340" t="n"/>
      <c r="BZ187" s="340" t="n"/>
      <c r="CA187" s="340" t="n"/>
      <c r="CB187" s="340" t="n"/>
      <c r="CC187" s="340" t="n"/>
      <c r="CD187" s="340" t="n"/>
      <c r="CE187" s="340" t="n"/>
      <c r="CF187" s="340" t="n"/>
      <c r="CG187" s="340" t="n"/>
      <c r="CH187" s="340" t="n"/>
      <c r="CI187" s="340" t="n"/>
      <c r="CJ187" s="340" t="n"/>
      <c r="CK187" s="340" t="n"/>
      <c r="CL187" s="340" t="n"/>
      <c r="CM187" s="340" t="n"/>
      <c r="CN187" s="340" t="n"/>
      <c r="CO187" s="340" t="n"/>
      <c r="CP187" s="340" t="n"/>
      <c r="CQ187" s="340" t="n"/>
      <c r="CR187" s="340" t="n"/>
      <c r="CS187" s="340" t="n"/>
      <c r="CT187" s="340" t="n"/>
      <c r="CU187" s="340" t="n"/>
      <c r="CV187" s="340" t="n"/>
      <c r="CW187" s="340" t="n"/>
      <c r="CX187" s="340" t="n"/>
      <c r="CY187" s="340" t="n"/>
      <c r="CZ187" s="340" t="n"/>
      <c r="DA187" s="340" t="n"/>
      <c r="DB187" s="340" t="n"/>
      <c r="DC187" s="340" t="n"/>
      <c r="DD187" s="340" t="n"/>
      <c r="DE187" s="341" t="n"/>
      <c r="DF187" s="341" t="n"/>
    </row>
    <row r="188" ht="13" customFormat="1" customHeight="1" s="119">
      <c r="A188" s="342" t="n"/>
      <c r="B188" s="317" t="n"/>
      <c r="C188" s="142" t="n"/>
      <c r="D188" s="142" t="n"/>
      <c r="E188" s="317" t="n"/>
      <c r="F188" s="142" t="n"/>
      <c r="G188" s="142" t="n"/>
      <c r="H188" s="317" t="n"/>
      <c r="I188" s="142" t="n"/>
      <c r="J188" s="142" t="n"/>
      <c r="K188" s="317" t="n"/>
      <c r="L188" s="142" t="n"/>
      <c r="M188" s="142" t="n"/>
      <c r="N188" s="317" t="n"/>
      <c r="O188" s="142" t="n"/>
      <c r="P188" s="142" t="n"/>
      <c r="Q188" s="317" t="n"/>
      <c r="R188" s="142" t="n"/>
      <c r="S188" s="142" t="n"/>
      <c r="T188" s="317" t="n"/>
      <c r="U188" s="142" t="n"/>
      <c r="V188" s="142" t="n"/>
      <c r="W188" s="317" t="n"/>
      <c r="X188" s="142" t="n"/>
      <c r="Y188" s="142" t="n"/>
      <c r="Z188" s="317" t="n"/>
      <c r="AA188" s="142" t="n"/>
      <c r="AB188" s="142" t="n"/>
      <c r="AC188" s="317" t="n"/>
      <c r="AD188" s="142" t="n"/>
      <c r="AE188" s="142" t="n"/>
      <c r="AF188" s="317" t="n"/>
      <c r="AG188" s="142" t="n"/>
      <c r="AH188" s="142" t="n"/>
      <c r="AI188" s="317" t="n"/>
      <c r="AJ188" s="142" t="n"/>
      <c r="AK188" s="142" t="n"/>
      <c r="AL188" s="317" t="n"/>
      <c r="AM188" s="317" t="n"/>
      <c r="AN188" s="182" t="n"/>
      <c r="AO188" s="317" t="n"/>
      <c r="AP188" s="317" t="n"/>
      <c r="AQ188" s="182" t="n"/>
      <c r="AR188" s="317" t="n"/>
      <c r="AS188" s="317" t="n"/>
      <c r="AT188" s="182" t="n"/>
      <c r="AU188" s="317" t="n"/>
      <c r="AV188" s="317" t="n"/>
      <c r="AW188" s="182" t="n"/>
      <c r="AX188" s="317" t="n"/>
      <c r="AY188" s="340" t="n"/>
      <c r="AZ188" s="93" t="n"/>
      <c r="BA188" s="340" t="n"/>
      <c r="BB188" s="93" t="n"/>
      <c r="BC188" s="340" t="n"/>
      <c r="BD188" s="93" t="n"/>
      <c r="BE188" s="340" t="n"/>
      <c r="BF188" s="93" t="n"/>
      <c r="BG188" s="340" t="n"/>
      <c r="BH188" s="93" t="n"/>
      <c r="BI188" s="340" t="n"/>
      <c r="BJ188" s="93" t="n"/>
      <c r="BK188" s="340" t="n"/>
      <c r="BL188" s="93" t="n"/>
      <c r="BM188" s="340" t="n"/>
      <c r="BN188" s="340" t="n"/>
      <c r="BO188" s="340" t="n"/>
      <c r="BP188" s="340" t="n"/>
      <c r="BQ188" s="340" t="n"/>
      <c r="BR188" s="340" t="n"/>
      <c r="BS188" s="340" t="n"/>
      <c r="BT188" s="340" t="n"/>
      <c r="BU188" s="340" t="n"/>
      <c r="BV188" s="340" t="n"/>
      <c r="BW188" s="340" t="n"/>
      <c r="BX188" s="340" t="n"/>
      <c r="BY188" s="340" t="n"/>
      <c r="BZ188" s="340" t="n"/>
      <c r="CA188" s="340" t="n"/>
      <c r="CB188" s="340" t="n"/>
      <c r="CC188" s="340" t="n"/>
      <c r="CD188" s="340" t="n"/>
      <c r="CE188" s="340" t="n"/>
      <c r="CF188" s="340" t="n"/>
      <c r="CG188" s="340" t="n"/>
      <c r="CH188" s="340" t="n"/>
      <c r="CI188" s="340" t="n"/>
      <c r="CJ188" s="340" t="n"/>
      <c r="CK188" s="340" t="n"/>
      <c r="CL188" s="340" t="n"/>
      <c r="CM188" s="340" t="n"/>
      <c r="CN188" s="340" t="n"/>
      <c r="CO188" s="340" t="n"/>
      <c r="CP188" s="340" t="n"/>
      <c r="CQ188" s="340" t="n"/>
      <c r="CR188" s="340" t="n"/>
      <c r="CS188" s="340" t="n"/>
      <c r="CT188" s="340" t="n"/>
      <c r="CU188" s="340" t="n"/>
      <c r="CV188" s="340" t="n"/>
      <c r="CW188" s="340" t="n"/>
      <c r="CX188" s="340" t="n"/>
      <c r="CY188" s="340" t="n"/>
      <c r="CZ188" s="340" t="n"/>
      <c r="DA188" s="340" t="n"/>
      <c r="DB188" s="340" t="n"/>
      <c r="DC188" s="340" t="n"/>
      <c r="DD188" s="340" t="n"/>
      <c r="DE188" s="341" t="n"/>
      <c r="DF188" s="341" t="n"/>
    </row>
    <row r="189" ht="13" customFormat="1" customHeight="1" s="119">
      <c r="A189" s="342" t="n"/>
      <c r="B189" s="317" t="n"/>
      <c r="C189" s="142" t="n"/>
      <c r="D189" s="142" t="n"/>
      <c r="E189" s="317" t="n"/>
      <c r="F189" s="142" t="n"/>
      <c r="G189" s="142" t="n"/>
      <c r="H189" s="317" t="n"/>
      <c r="I189" s="142" t="n"/>
      <c r="J189" s="142" t="n"/>
      <c r="K189" s="317" t="n"/>
      <c r="L189" s="142" t="n"/>
      <c r="M189" s="142" t="n"/>
      <c r="N189" s="317" t="n"/>
      <c r="O189" s="142" t="n"/>
      <c r="P189" s="142" t="n"/>
      <c r="Q189" s="317" t="n"/>
      <c r="R189" s="142" t="n"/>
      <c r="S189" s="142" t="n"/>
      <c r="T189" s="317" t="n"/>
      <c r="U189" s="142" t="n"/>
      <c r="V189" s="142" t="n"/>
      <c r="W189" s="317" t="n"/>
      <c r="X189" s="142" t="n"/>
      <c r="Y189" s="142" t="n"/>
      <c r="Z189" s="317" t="n"/>
      <c r="AA189" s="142" t="n"/>
      <c r="AB189" s="142" t="n"/>
      <c r="AC189" s="317" t="n"/>
      <c r="AD189" s="142" t="n"/>
      <c r="AE189" s="142" t="n"/>
      <c r="AF189" s="317" t="n"/>
      <c r="AG189" s="142" t="n"/>
      <c r="AH189" s="142" t="n"/>
      <c r="AI189" s="317" t="n"/>
      <c r="AJ189" s="142" t="n"/>
      <c r="AK189" s="142" t="n"/>
      <c r="AL189" s="317" t="n"/>
      <c r="AM189" s="317" t="n"/>
      <c r="AN189" s="182" t="n"/>
      <c r="AO189" s="317" t="n"/>
      <c r="AP189" s="317" t="n"/>
      <c r="AQ189" s="182" t="n"/>
      <c r="AR189" s="317" t="n"/>
      <c r="AS189" s="317" t="n"/>
      <c r="AT189" s="182" t="n"/>
      <c r="AU189" s="317" t="n"/>
      <c r="AV189" s="317" t="n"/>
      <c r="AW189" s="182" t="n"/>
      <c r="AX189" s="317" t="n"/>
      <c r="AY189" s="340" t="n"/>
      <c r="AZ189" s="93" t="n"/>
      <c r="BA189" s="340" t="n"/>
      <c r="BB189" s="93" t="n"/>
      <c r="BC189" s="340" t="n"/>
      <c r="BD189" s="93" t="n"/>
      <c r="BE189" s="340" t="n"/>
      <c r="BF189" s="93" t="n"/>
      <c r="BG189" s="340" t="n"/>
      <c r="BH189" s="93" t="n"/>
      <c r="BI189" s="340" t="n"/>
      <c r="BJ189" s="93" t="n"/>
      <c r="BK189" s="340" t="n"/>
      <c r="BL189" s="93" t="n"/>
      <c r="BM189" s="340" t="n"/>
      <c r="BN189" s="340" t="n"/>
      <c r="BO189" s="340" t="n"/>
      <c r="BP189" s="340" t="n"/>
      <c r="BQ189" s="340" t="n"/>
      <c r="BR189" s="340" t="n"/>
      <c r="BS189" s="340" t="n"/>
      <c r="BT189" s="340" t="n"/>
      <c r="BU189" s="340" t="n"/>
      <c r="BV189" s="340" t="n"/>
      <c r="BW189" s="340" t="n"/>
      <c r="BX189" s="340" t="n"/>
      <c r="BY189" s="340" t="n"/>
      <c r="BZ189" s="340" t="n"/>
      <c r="CA189" s="340" t="n"/>
      <c r="CB189" s="340" t="n"/>
      <c r="CC189" s="340" t="n"/>
      <c r="CD189" s="340" t="n"/>
      <c r="CE189" s="340" t="n"/>
      <c r="CF189" s="340" t="n"/>
      <c r="CG189" s="340" t="n"/>
      <c r="CH189" s="340" t="n"/>
      <c r="CI189" s="340" t="n"/>
      <c r="CJ189" s="340" t="n"/>
      <c r="CK189" s="340" t="n"/>
      <c r="CL189" s="340" t="n"/>
      <c r="CM189" s="340" t="n"/>
      <c r="CN189" s="340" t="n"/>
      <c r="CO189" s="340" t="n"/>
      <c r="CP189" s="340" t="n"/>
      <c r="CQ189" s="340" t="n"/>
      <c r="CR189" s="340" t="n"/>
      <c r="CS189" s="340" t="n"/>
      <c r="CT189" s="340" t="n"/>
      <c r="CU189" s="340" t="n"/>
      <c r="CV189" s="340" t="n"/>
      <c r="CW189" s="340" t="n"/>
      <c r="CX189" s="340" t="n"/>
      <c r="CY189" s="340" t="n"/>
      <c r="CZ189" s="340" t="n"/>
      <c r="DA189" s="340" t="n"/>
      <c r="DB189" s="340" t="n"/>
      <c r="DC189" s="340" t="n"/>
      <c r="DD189" s="340" t="n"/>
      <c r="DE189" s="341" t="n"/>
      <c r="DF189" s="341" t="n"/>
    </row>
    <row r="190" ht="13" customFormat="1" customHeight="1" s="119">
      <c r="A190" s="342" t="n"/>
      <c r="B190" s="317" t="n"/>
      <c r="C190" s="142" t="n"/>
      <c r="D190" s="142" t="n"/>
      <c r="E190" s="317" t="n"/>
      <c r="F190" s="142" t="n"/>
      <c r="G190" s="142" t="n"/>
      <c r="H190" s="317" t="n"/>
      <c r="I190" s="142" t="n"/>
      <c r="J190" s="142" t="n"/>
      <c r="K190" s="317" t="n"/>
      <c r="L190" s="142" t="n"/>
      <c r="M190" s="142" t="n"/>
      <c r="N190" s="317" t="n"/>
      <c r="O190" s="142" t="n"/>
      <c r="P190" s="142" t="n"/>
      <c r="Q190" s="317" t="n"/>
      <c r="R190" s="142" t="n"/>
      <c r="S190" s="142" t="n"/>
      <c r="T190" s="317" t="n"/>
      <c r="U190" s="142" t="n"/>
      <c r="V190" s="142" t="n"/>
      <c r="W190" s="317" t="n"/>
      <c r="X190" s="142" t="n"/>
      <c r="Y190" s="142" t="n"/>
      <c r="Z190" s="317" t="n"/>
      <c r="AA190" s="142" t="n"/>
      <c r="AB190" s="142" t="n"/>
      <c r="AC190" s="317" t="n"/>
      <c r="AD190" s="142" t="n"/>
      <c r="AE190" s="142" t="n"/>
      <c r="AF190" s="317" t="n"/>
      <c r="AG190" s="142" t="n"/>
      <c r="AH190" s="142" t="n"/>
      <c r="AI190" s="317" t="n"/>
      <c r="AJ190" s="142" t="n"/>
      <c r="AK190" s="142" t="n"/>
      <c r="AL190" s="317" t="n"/>
      <c r="AM190" s="317" t="n"/>
      <c r="AN190" s="182" t="n"/>
      <c r="AO190" s="317" t="n"/>
      <c r="AP190" s="317" t="n"/>
      <c r="AQ190" s="182" t="n"/>
      <c r="AR190" s="317" t="n"/>
      <c r="AS190" s="317" t="n"/>
      <c r="AT190" s="182" t="n"/>
      <c r="AU190" s="317" t="n"/>
      <c r="AV190" s="317" t="n"/>
      <c r="AW190" s="182" t="n"/>
      <c r="AX190" s="317" t="n"/>
      <c r="AY190" s="340" t="n"/>
      <c r="AZ190" s="93" t="n"/>
      <c r="BA190" s="340" t="n"/>
      <c r="BB190" s="93" t="n"/>
      <c r="BC190" s="340" t="n"/>
      <c r="BD190" s="93" t="n"/>
      <c r="BE190" s="340" t="n"/>
      <c r="BF190" s="93" t="n"/>
      <c r="BG190" s="340" t="n"/>
      <c r="BH190" s="93" t="n"/>
      <c r="BI190" s="340" t="n"/>
      <c r="BJ190" s="93" t="n"/>
      <c r="BK190" s="340" t="n"/>
      <c r="BL190" s="93" t="n"/>
      <c r="BM190" s="340" t="n"/>
      <c r="BN190" s="340" t="n"/>
      <c r="BO190" s="340" t="n"/>
      <c r="BP190" s="340" t="n"/>
      <c r="BQ190" s="340" t="n"/>
      <c r="BR190" s="340" t="n"/>
      <c r="BS190" s="340" t="n"/>
      <c r="BT190" s="340" t="n"/>
      <c r="BU190" s="340" t="n"/>
      <c r="BV190" s="340" t="n"/>
      <c r="BW190" s="340" t="n"/>
      <c r="BX190" s="340" t="n"/>
      <c r="BY190" s="340" t="n"/>
      <c r="BZ190" s="340" t="n"/>
      <c r="CA190" s="340" t="n"/>
      <c r="CB190" s="340" t="n"/>
      <c r="CC190" s="340" t="n"/>
      <c r="CD190" s="340" t="n"/>
      <c r="CE190" s="340" t="n"/>
      <c r="CF190" s="340" t="n"/>
      <c r="CG190" s="340" t="n"/>
      <c r="CH190" s="340" t="n"/>
      <c r="CI190" s="340" t="n"/>
      <c r="CJ190" s="340" t="n"/>
      <c r="CK190" s="340" t="n"/>
      <c r="CL190" s="340" t="n"/>
      <c r="CM190" s="340" t="n"/>
      <c r="CN190" s="340" t="n"/>
      <c r="CO190" s="340" t="n"/>
      <c r="CP190" s="340" t="n"/>
      <c r="CQ190" s="340" t="n"/>
      <c r="CR190" s="340" t="n"/>
      <c r="CS190" s="340" t="n"/>
      <c r="CT190" s="340" t="n"/>
      <c r="CU190" s="340" t="n"/>
      <c r="CV190" s="340" t="n"/>
      <c r="CW190" s="340" t="n"/>
      <c r="CX190" s="340" t="n"/>
      <c r="CY190" s="340" t="n"/>
      <c r="CZ190" s="340" t="n"/>
      <c r="DA190" s="340" t="n"/>
      <c r="DB190" s="340" t="n"/>
      <c r="DC190" s="340" t="n"/>
      <c r="DD190" s="340" t="n"/>
      <c r="DE190" s="341" t="n"/>
      <c r="DF190" s="341" t="n"/>
    </row>
    <row r="191" ht="13" customFormat="1" customHeight="1" s="119">
      <c r="A191" s="342" t="n"/>
      <c r="B191" s="317" t="n"/>
      <c r="C191" s="142" t="n"/>
      <c r="D191" s="142" t="n"/>
      <c r="E191" s="317" t="n"/>
      <c r="F191" s="142" t="n"/>
      <c r="G191" s="142" t="n"/>
      <c r="H191" s="317" t="n"/>
      <c r="I191" s="142" t="n"/>
      <c r="J191" s="142" t="n"/>
      <c r="K191" s="317" t="n"/>
      <c r="L191" s="142" t="n"/>
      <c r="M191" s="142" t="n"/>
      <c r="N191" s="317" t="n"/>
      <c r="O191" s="142" t="n"/>
      <c r="P191" s="142" t="n"/>
      <c r="Q191" s="317" t="n"/>
      <c r="R191" s="142" t="n"/>
      <c r="S191" s="142" t="n"/>
      <c r="T191" s="317" t="n"/>
      <c r="U191" s="142" t="n"/>
      <c r="V191" s="142" t="n"/>
      <c r="W191" s="317" t="n"/>
      <c r="X191" s="142" t="n"/>
      <c r="Y191" s="142" t="n"/>
      <c r="Z191" s="317" t="n"/>
      <c r="AA191" s="142" t="n"/>
      <c r="AB191" s="142" t="n"/>
      <c r="AC191" s="317" t="n"/>
      <c r="AD191" s="142" t="n"/>
      <c r="AE191" s="142" t="n"/>
      <c r="AF191" s="317" t="n"/>
      <c r="AG191" s="142" t="n"/>
      <c r="AH191" s="142" t="n"/>
      <c r="AI191" s="317" t="n"/>
      <c r="AJ191" s="142" t="n"/>
      <c r="AK191" s="142" t="n"/>
      <c r="AL191" s="317" t="n"/>
      <c r="AM191" s="317" t="n"/>
      <c r="AN191" s="182" t="n"/>
      <c r="AO191" s="317" t="n"/>
      <c r="AP191" s="317" t="n"/>
      <c r="AQ191" s="182" t="n"/>
      <c r="AR191" s="317" t="n"/>
      <c r="AS191" s="317" t="n"/>
      <c r="AT191" s="182" t="n"/>
      <c r="AU191" s="317" t="n"/>
      <c r="AV191" s="317" t="n"/>
      <c r="AW191" s="182" t="n"/>
      <c r="AX191" s="317" t="n"/>
      <c r="AY191" s="340" t="n"/>
      <c r="AZ191" s="93" t="n"/>
      <c r="BA191" s="340" t="n"/>
      <c r="BB191" s="93" t="n"/>
      <c r="BC191" s="340" t="n"/>
      <c r="BD191" s="93" t="n"/>
      <c r="BE191" s="340" t="n"/>
      <c r="BF191" s="93" t="n"/>
      <c r="BG191" s="340" t="n"/>
      <c r="BH191" s="93" t="n"/>
      <c r="BI191" s="340" t="n"/>
      <c r="BJ191" s="93" t="n"/>
      <c r="BK191" s="340" t="n"/>
      <c r="BL191" s="93" t="n"/>
      <c r="BM191" s="340" t="n"/>
      <c r="BN191" s="340" t="n"/>
      <c r="BO191" s="340" t="n"/>
      <c r="BP191" s="340" t="n"/>
      <c r="BQ191" s="340" t="n"/>
      <c r="BR191" s="340" t="n"/>
      <c r="BS191" s="340" t="n"/>
      <c r="BT191" s="340" t="n"/>
      <c r="BU191" s="340" t="n"/>
      <c r="BV191" s="340" t="n"/>
      <c r="BW191" s="340" t="n"/>
      <c r="BX191" s="340" t="n"/>
      <c r="BY191" s="340" t="n"/>
      <c r="BZ191" s="340" t="n"/>
      <c r="CA191" s="340" t="n"/>
      <c r="CB191" s="340" t="n"/>
      <c r="CC191" s="340" t="n"/>
      <c r="CD191" s="340" t="n"/>
      <c r="CE191" s="340" t="n"/>
      <c r="CF191" s="340" t="n"/>
      <c r="CG191" s="340" t="n"/>
      <c r="CH191" s="340" t="n"/>
      <c r="CI191" s="340" t="n"/>
      <c r="CJ191" s="340" t="n"/>
      <c r="CK191" s="340" t="n"/>
      <c r="CL191" s="340" t="n"/>
      <c r="CM191" s="340" t="n"/>
      <c r="CN191" s="340" t="n"/>
      <c r="CO191" s="340" t="n"/>
      <c r="CP191" s="340" t="n"/>
      <c r="CQ191" s="340" t="n"/>
      <c r="CR191" s="340" t="n"/>
      <c r="CS191" s="340" t="n"/>
      <c r="CT191" s="340" t="n"/>
      <c r="CU191" s="340" t="n"/>
      <c r="CV191" s="340" t="n"/>
      <c r="CW191" s="340" t="n"/>
      <c r="CX191" s="340" t="n"/>
      <c r="CY191" s="340" t="n"/>
      <c r="CZ191" s="340" t="n"/>
      <c r="DA191" s="340" t="n"/>
      <c r="DB191" s="340" t="n"/>
      <c r="DC191" s="340" t="n"/>
      <c r="DD191" s="340" t="n"/>
      <c r="DE191" s="341" t="n"/>
      <c r="DF191" s="341" t="n"/>
    </row>
    <row r="192" ht="13" customFormat="1" customHeight="1" s="119">
      <c r="A192" s="342" t="n"/>
      <c r="B192" s="317" t="n"/>
      <c r="C192" s="142" t="n"/>
      <c r="D192" s="142" t="n"/>
      <c r="E192" s="317" t="n"/>
      <c r="F192" s="142" t="n"/>
      <c r="G192" s="142" t="n"/>
      <c r="H192" s="317" t="n"/>
      <c r="I192" s="142" t="n"/>
      <c r="J192" s="142" t="n"/>
      <c r="K192" s="317" t="n"/>
      <c r="L192" s="142" t="n"/>
      <c r="M192" s="142" t="n"/>
      <c r="N192" s="317" t="n"/>
      <c r="O192" s="142" t="n"/>
      <c r="P192" s="142" t="n"/>
      <c r="Q192" s="317" t="n"/>
      <c r="R192" s="142" t="n"/>
      <c r="S192" s="142" t="n"/>
      <c r="T192" s="317" t="n"/>
      <c r="U192" s="142" t="n"/>
      <c r="V192" s="142" t="n"/>
      <c r="W192" s="317" t="n"/>
      <c r="X192" s="142" t="n"/>
      <c r="Y192" s="142" t="n"/>
      <c r="Z192" s="317" t="n"/>
      <c r="AA192" s="142" t="n"/>
      <c r="AB192" s="142" t="n"/>
      <c r="AC192" s="317" t="n"/>
      <c r="AD192" s="142" t="n"/>
      <c r="AE192" s="142" t="n"/>
      <c r="AF192" s="317" t="n"/>
      <c r="AG192" s="142" t="n"/>
      <c r="AH192" s="142" t="n"/>
      <c r="AI192" s="317" t="n"/>
      <c r="AJ192" s="142" t="n"/>
      <c r="AK192" s="142" t="n"/>
      <c r="AL192" s="317" t="n"/>
      <c r="AM192" s="317" t="n"/>
      <c r="AN192" s="182" t="n"/>
      <c r="AO192" s="317" t="n"/>
      <c r="AP192" s="317" t="n"/>
      <c r="AQ192" s="182" t="n"/>
      <c r="AR192" s="317" t="n"/>
      <c r="AS192" s="317" t="n"/>
      <c r="AT192" s="182" t="n"/>
      <c r="AU192" s="317" t="n"/>
      <c r="AV192" s="317" t="n"/>
      <c r="AW192" s="182" t="n"/>
      <c r="AX192" s="317" t="n"/>
      <c r="AY192" s="340" t="n"/>
      <c r="AZ192" s="93" t="n"/>
      <c r="BA192" s="340" t="n"/>
      <c r="BB192" s="93" t="n"/>
      <c r="BC192" s="340" t="n"/>
      <c r="BD192" s="93" t="n"/>
      <c r="BE192" s="340" t="n"/>
      <c r="BF192" s="93" t="n"/>
      <c r="BG192" s="340" t="n"/>
      <c r="BH192" s="93" t="n"/>
      <c r="BI192" s="340" t="n"/>
      <c r="BJ192" s="93" t="n"/>
      <c r="BK192" s="340" t="n"/>
      <c r="BL192" s="93" t="n"/>
      <c r="BM192" s="340" t="n"/>
      <c r="BN192" s="340" t="n"/>
      <c r="BO192" s="340" t="n"/>
      <c r="BP192" s="340" t="n"/>
      <c r="BQ192" s="340" t="n"/>
      <c r="BR192" s="340" t="n"/>
      <c r="BS192" s="340" t="n"/>
      <c r="BT192" s="340" t="n"/>
      <c r="BU192" s="340" t="n"/>
      <c r="BV192" s="340" t="n"/>
      <c r="BW192" s="340" t="n"/>
      <c r="BX192" s="340" t="n"/>
      <c r="BY192" s="340" t="n"/>
      <c r="BZ192" s="340" t="n"/>
      <c r="CA192" s="340" t="n"/>
      <c r="CB192" s="340" t="n"/>
      <c r="CC192" s="340" t="n"/>
      <c r="CD192" s="340" t="n"/>
      <c r="CE192" s="340" t="n"/>
      <c r="CF192" s="340" t="n"/>
      <c r="CG192" s="340" t="n"/>
      <c r="CH192" s="340" t="n"/>
      <c r="CI192" s="340" t="n"/>
      <c r="CJ192" s="340" t="n"/>
      <c r="CK192" s="340" t="n"/>
      <c r="CL192" s="340" t="n"/>
      <c r="CM192" s="340" t="n"/>
      <c r="CN192" s="340" t="n"/>
      <c r="CO192" s="340" t="n"/>
      <c r="CP192" s="340" t="n"/>
      <c r="CQ192" s="340" t="n"/>
      <c r="CR192" s="340" t="n"/>
      <c r="CS192" s="340" t="n"/>
      <c r="CT192" s="340" t="n"/>
      <c r="CU192" s="340" t="n"/>
      <c r="CV192" s="340" t="n"/>
      <c r="CW192" s="340" t="n"/>
      <c r="CX192" s="340" t="n"/>
      <c r="CY192" s="340" t="n"/>
      <c r="CZ192" s="340" t="n"/>
      <c r="DA192" s="340" t="n"/>
      <c r="DB192" s="340" t="n"/>
      <c r="DC192" s="340" t="n"/>
      <c r="DD192" s="340" t="n"/>
      <c r="DE192" s="341" t="n"/>
      <c r="DF192" s="341" t="n"/>
    </row>
    <row r="193" ht="13" customFormat="1" customHeight="1" s="119">
      <c r="A193" s="342" t="n"/>
      <c r="B193" s="317" t="n"/>
      <c r="C193" s="142" t="n"/>
      <c r="D193" s="142" t="n"/>
      <c r="E193" s="317" t="n"/>
      <c r="F193" s="142" t="n"/>
      <c r="G193" s="142" t="n"/>
      <c r="H193" s="317" t="n"/>
      <c r="I193" s="142" t="n"/>
      <c r="J193" s="142" t="n"/>
      <c r="K193" s="317" t="n"/>
      <c r="L193" s="142" t="n"/>
      <c r="M193" s="142" t="n"/>
      <c r="N193" s="317" t="n"/>
      <c r="O193" s="142" t="n"/>
      <c r="P193" s="142" t="n"/>
      <c r="Q193" s="317" t="n"/>
      <c r="R193" s="142" t="n"/>
      <c r="S193" s="142" t="n"/>
      <c r="T193" s="317" t="n"/>
      <c r="U193" s="142" t="n"/>
      <c r="V193" s="142" t="n"/>
      <c r="W193" s="317" t="n"/>
      <c r="X193" s="142" t="n"/>
      <c r="Y193" s="142" t="n"/>
      <c r="Z193" s="317" t="n"/>
      <c r="AA193" s="142" t="n"/>
      <c r="AB193" s="142" t="n"/>
      <c r="AC193" s="317" t="n"/>
      <c r="AD193" s="142" t="n"/>
      <c r="AE193" s="142" t="n"/>
      <c r="AF193" s="317" t="n"/>
      <c r="AG193" s="142" t="n"/>
      <c r="AH193" s="142" t="n"/>
      <c r="AI193" s="317" t="n"/>
      <c r="AJ193" s="142" t="n"/>
      <c r="AK193" s="142" t="n"/>
      <c r="AL193" s="317" t="n"/>
      <c r="AM193" s="317" t="n"/>
      <c r="AN193" s="182" t="n"/>
      <c r="AO193" s="317" t="n"/>
      <c r="AP193" s="317" t="n"/>
      <c r="AQ193" s="182" t="n"/>
      <c r="AR193" s="317" t="n"/>
      <c r="AS193" s="317" t="n"/>
      <c r="AT193" s="182" t="n"/>
      <c r="AU193" s="317" t="n"/>
      <c r="AV193" s="317" t="n"/>
      <c r="AW193" s="182" t="n"/>
      <c r="AX193" s="317" t="n"/>
      <c r="AY193" s="340" t="n"/>
      <c r="AZ193" s="93" t="n"/>
      <c r="BA193" s="340" t="n"/>
      <c r="BB193" s="93" t="n"/>
      <c r="BC193" s="340" t="n"/>
      <c r="BD193" s="93" t="n"/>
      <c r="BE193" s="340" t="n"/>
      <c r="BF193" s="93" t="n"/>
      <c r="BG193" s="340" t="n"/>
      <c r="BH193" s="93" t="n"/>
      <c r="BI193" s="340" t="n"/>
      <c r="BJ193" s="93" t="n"/>
      <c r="BK193" s="340" t="n"/>
      <c r="BL193" s="93" t="n"/>
      <c r="BM193" s="340" t="n"/>
      <c r="BN193" s="340" t="n"/>
      <c r="BO193" s="340" t="n"/>
      <c r="BP193" s="340" t="n"/>
      <c r="BQ193" s="340" t="n"/>
      <c r="BR193" s="340" t="n"/>
      <c r="BS193" s="340" t="n"/>
      <c r="BT193" s="340" t="n"/>
      <c r="BU193" s="340" t="n"/>
      <c r="BV193" s="340" t="n"/>
      <c r="BW193" s="340" t="n"/>
      <c r="BX193" s="340" t="n"/>
      <c r="BY193" s="340" t="n"/>
      <c r="BZ193" s="340" t="n"/>
      <c r="CA193" s="340" t="n"/>
      <c r="CB193" s="340" t="n"/>
      <c r="CC193" s="340" t="n"/>
      <c r="CD193" s="340" t="n"/>
      <c r="CE193" s="340" t="n"/>
      <c r="CF193" s="340" t="n"/>
      <c r="CG193" s="340" t="n"/>
      <c r="CH193" s="340" t="n"/>
      <c r="CI193" s="340" t="n"/>
      <c r="CJ193" s="340" t="n"/>
      <c r="CK193" s="340" t="n"/>
      <c r="CL193" s="340" t="n"/>
      <c r="CM193" s="340" t="n"/>
      <c r="CN193" s="340" t="n"/>
      <c r="CO193" s="340" t="n"/>
      <c r="CP193" s="340" t="n"/>
      <c r="CQ193" s="340" t="n"/>
      <c r="CR193" s="340" t="n"/>
      <c r="CS193" s="340" t="n"/>
      <c r="CT193" s="340" t="n"/>
      <c r="CU193" s="340" t="n"/>
      <c r="CV193" s="340" t="n"/>
      <c r="CW193" s="340" t="n"/>
      <c r="CX193" s="340" t="n"/>
      <c r="CY193" s="340" t="n"/>
      <c r="CZ193" s="340" t="n"/>
      <c r="DA193" s="340" t="n"/>
      <c r="DB193" s="340" t="n"/>
      <c r="DC193" s="340" t="n"/>
      <c r="DD193" s="340" t="n"/>
      <c r="DE193" s="341" t="n"/>
      <c r="DF193" s="341" t="n"/>
    </row>
    <row r="194" ht="13" customFormat="1" customHeight="1" s="119">
      <c r="A194" s="342" t="n"/>
      <c r="B194" s="317" t="n"/>
      <c r="C194" s="142" t="n"/>
      <c r="D194" s="142" t="n"/>
      <c r="E194" s="317" t="n"/>
      <c r="F194" s="142" t="n"/>
      <c r="G194" s="142" t="n"/>
      <c r="H194" s="317" t="n"/>
      <c r="I194" s="142" t="n"/>
      <c r="J194" s="142" t="n"/>
      <c r="K194" s="317" t="n"/>
      <c r="L194" s="142" t="n"/>
      <c r="M194" s="142" t="n"/>
      <c r="N194" s="317" t="n"/>
      <c r="O194" s="142" t="n"/>
      <c r="P194" s="142" t="n"/>
      <c r="Q194" s="317" t="n"/>
      <c r="R194" s="142" t="n"/>
      <c r="S194" s="142" t="n"/>
      <c r="T194" s="317" t="n"/>
      <c r="U194" s="142" t="n"/>
      <c r="V194" s="142" t="n"/>
      <c r="W194" s="317" t="n"/>
      <c r="X194" s="142" t="n"/>
      <c r="Y194" s="142" t="n"/>
      <c r="Z194" s="317" t="n"/>
      <c r="AA194" s="142" t="n"/>
      <c r="AB194" s="142" t="n"/>
      <c r="AC194" s="317" t="n"/>
      <c r="AD194" s="142" t="n"/>
      <c r="AE194" s="142" t="n"/>
      <c r="AF194" s="317" t="n"/>
      <c r="AG194" s="142" t="n"/>
      <c r="AH194" s="142" t="n"/>
      <c r="AI194" s="317" t="n"/>
      <c r="AJ194" s="142" t="n"/>
      <c r="AK194" s="142" t="n"/>
      <c r="AL194" s="317" t="n"/>
      <c r="AM194" s="317" t="n"/>
      <c r="AN194" s="317" t="n"/>
      <c r="AO194" s="317" t="n"/>
      <c r="AP194" s="317" t="n"/>
      <c r="AQ194" s="317" t="n"/>
      <c r="AR194" s="317" t="n"/>
      <c r="AS194" s="317" t="n"/>
      <c r="AT194" s="317" t="n"/>
      <c r="AU194" s="317" t="n"/>
      <c r="AV194" s="317" t="n"/>
      <c r="AW194" s="317" t="n"/>
      <c r="AX194" s="317" t="n"/>
      <c r="AY194" s="340" t="n"/>
      <c r="AZ194" s="93" t="n"/>
      <c r="BA194" s="340" t="n"/>
      <c r="BB194" s="93" t="n"/>
      <c r="BC194" s="340" t="n"/>
      <c r="BD194" s="93" t="n"/>
      <c r="BE194" s="340" t="n"/>
      <c r="BF194" s="93" t="n"/>
      <c r="BG194" s="340" t="n"/>
      <c r="BH194" s="93" t="n"/>
      <c r="BI194" s="340" t="n"/>
      <c r="BJ194" s="93" t="n"/>
      <c r="BK194" s="340" t="n"/>
      <c r="BL194" s="93" t="n"/>
      <c r="BM194" s="340" t="n"/>
      <c r="BN194" s="340" t="n"/>
      <c r="BO194" s="340" t="n"/>
      <c r="BP194" s="340" t="n"/>
      <c r="BQ194" s="340" t="n"/>
      <c r="BR194" s="340" t="n"/>
      <c r="BS194" s="340" t="n"/>
      <c r="BT194" s="340" t="n"/>
      <c r="BU194" s="340" t="n"/>
      <c r="BV194" s="340" t="n"/>
      <c r="BW194" s="340" t="n"/>
      <c r="BX194" s="340" t="n"/>
      <c r="BY194" s="340" t="n"/>
      <c r="BZ194" s="340" t="n"/>
      <c r="CA194" s="340" t="n"/>
      <c r="CB194" s="340" t="n"/>
      <c r="CC194" s="340" t="n"/>
      <c r="CD194" s="340" t="n"/>
      <c r="CE194" s="340" t="n"/>
      <c r="CF194" s="340" t="n"/>
      <c r="CG194" s="340" t="n"/>
      <c r="CH194" s="340" t="n"/>
      <c r="CI194" s="340" t="n"/>
      <c r="CJ194" s="340" t="n"/>
      <c r="CK194" s="340" t="n"/>
      <c r="CL194" s="340" t="n"/>
      <c r="CM194" s="340" t="n"/>
      <c r="CN194" s="340" t="n"/>
      <c r="CO194" s="340" t="n"/>
      <c r="CP194" s="340" t="n"/>
      <c r="CQ194" s="340" t="n"/>
      <c r="CR194" s="340" t="n"/>
      <c r="CS194" s="340" t="n"/>
      <c r="CT194" s="340" t="n"/>
      <c r="CU194" s="340" t="n"/>
      <c r="CV194" s="340" t="n"/>
      <c r="CW194" s="340" t="n"/>
      <c r="CX194" s="340" t="n"/>
      <c r="CY194" s="340" t="n"/>
      <c r="CZ194" s="340" t="n"/>
      <c r="DA194" s="340" t="n"/>
      <c r="DB194" s="340" t="n"/>
      <c r="DC194" s="340" t="n"/>
      <c r="DD194" s="340" t="n"/>
      <c r="DE194" s="341" t="n"/>
      <c r="DF194" s="341" t="n"/>
    </row>
    <row r="195" ht="13" customFormat="1" customHeight="1" s="40">
      <c r="A195" s="335" t="n"/>
      <c r="B195" s="291" t="n"/>
      <c r="C195" s="37" t="n"/>
      <c r="D195" s="37" t="n"/>
      <c r="E195" s="291" t="n"/>
      <c r="F195" s="37" t="n"/>
      <c r="G195" s="37" t="n"/>
      <c r="H195" s="291" t="n"/>
      <c r="I195" s="37" t="n"/>
      <c r="J195" s="37" t="n"/>
      <c r="K195" s="291" t="n"/>
      <c r="L195" s="37" t="n"/>
      <c r="M195" s="37" t="n"/>
      <c r="N195" s="291" t="n"/>
      <c r="O195" s="37" t="n"/>
      <c r="P195" s="37" t="n"/>
      <c r="Q195" s="291" t="n"/>
      <c r="R195" s="37" t="n"/>
      <c r="S195" s="37" t="n"/>
      <c r="T195" s="291" t="n"/>
      <c r="U195" s="37" t="n"/>
      <c r="V195" s="37" t="n"/>
      <c r="W195" s="291" t="n"/>
      <c r="X195" s="37" t="n"/>
      <c r="Y195" s="37" t="n"/>
      <c r="Z195" s="291" t="n"/>
      <c r="AA195" s="37" t="n"/>
      <c r="AB195" s="37" t="n"/>
      <c r="AC195" s="291" t="n"/>
      <c r="AD195" s="37" t="n"/>
      <c r="AE195" s="37" t="n"/>
      <c r="AF195" s="291" t="n"/>
      <c r="AG195" s="37" t="n"/>
      <c r="AH195" s="37" t="n"/>
      <c r="AI195" s="291" t="n"/>
      <c r="AJ195" s="37" t="n"/>
      <c r="AK195" s="37" t="n"/>
      <c r="AL195" s="291" t="n"/>
      <c r="AM195" s="291" t="n"/>
      <c r="AN195" s="291" t="n"/>
      <c r="AO195" s="291" t="n"/>
      <c r="AP195" s="291" t="n"/>
      <c r="AQ195" s="291" t="n"/>
      <c r="AR195" s="291" t="n"/>
      <c r="AS195" s="291" t="n"/>
      <c r="AT195" s="291" t="n"/>
      <c r="AU195" s="291" t="n"/>
      <c r="AV195" s="291" t="n"/>
      <c r="AW195" s="291" t="n"/>
      <c r="AX195" s="291" t="n"/>
      <c r="AY195" s="291" t="n"/>
      <c r="AZ195" s="291" t="n"/>
      <c r="BA195" s="291" t="n"/>
      <c r="BB195" s="291" t="n"/>
      <c r="BC195" s="291" t="n"/>
      <c r="BD195" s="291" t="n"/>
      <c r="BE195" s="291" t="n"/>
      <c r="BF195" s="291" t="n"/>
      <c r="BG195" s="291" t="n"/>
      <c r="BH195" s="291" t="n"/>
      <c r="BI195" s="291" t="n"/>
      <c r="BJ195" s="291" t="n"/>
      <c r="BK195" s="291" t="n"/>
      <c r="BL195" s="291" t="n"/>
      <c r="BM195" s="291" t="n"/>
      <c r="BN195" s="291" t="n"/>
      <c r="BO195" s="291" t="n"/>
      <c r="BP195" s="291" t="n"/>
      <c r="BQ195" s="291" t="n"/>
      <c r="BR195" s="291" t="n"/>
      <c r="BS195" s="291" t="n"/>
      <c r="BT195" s="291" t="n"/>
      <c r="BU195" s="291" t="n"/>
      <c r="BV195" s="291" t="n"/>
      <c r="BW195" s="291" t="n"/>
      <c r="BX195" s="291" t="n"/>
      <c r="BY195" s="291" t="n"/>
      <c r="BZ195" s="291" t="n"/>
      <c r="CA195" s="291" t="n"/>
      <c r="CB195" s="291" t="n"/>
      <c r="CC195" s="291" t="n"/>
      <c r="CD195" s="291" t="n"/>
      <c r="CE195" s="291" t="n"/>
      <c r="CF195" s="291" t="n"/>
      <c r="CG195" s="291" t="n"/>
      <c r="CH195" s="291" t="n"/>
      <c r="CI195" s="291" t="n"/>
      <c r="CJ195" s="291" t="n"/>
      <c r="CK195" s="291" t="n"/>
      <c r="CL195" s="291" t="n"/>
      <c r="CM195" s="291" t="n"/>
      <c r="CN195" s="291" t="n"/>
      <c r="CO195" s="291" t="n"/>
      <c r="CP195" s="343" t="n"/>
      <c r="CQ195" s="291" t="n"/>
      <c r="CR195" s="343" t="n"/>
      <c r="CS195" s="291" t="n"/>
      <c r="CT195" s="343" t="n"/>
      <c r="CU195" s="291" t="n"/>
      <c r="CV195" s="343" t="n"/>
      <c r="CW195" s="291" t="n"/>
      <c r="CX195" s="291" t="n"/>
      <c r="CY195" s="291" t="n"/>
      <c r="CZ195" s="291" t="n"/>
      <c r="DA195" s="291" t="n"/>
      <c r="DB195" s="291" t="n"/>
      <c r="DC195" s="291" t="n"/>
      <c r="DD195" s="291" t="n"/>
      <c r="DE195" s="311" t="n"/>
      <c r="DF195" s="311" t="n"/>
    </row>
    <row r="196" ht="13" customFormat="1" customHeight="1" s="40">
      <c r="B196" s="291" t="n"/>
      <c r="C196" s="37" t="n"/>
      <c r="D196" s="37" t="n"/>
      <c r="E196" s="291" t="n"/>
      <c r="F196" s="37" t="n"/>
      <c r="G196" s="37" t="n"/>
      <c r="H196" s="291" t="n"/>
      <c r="I196" s="37" t="n"/>
      <c r="J196" s="37" t="n"/>
      <c r="K196" s="291" t="n"/>
      <c r="L196" s="37" t="n"/>
      <c r="M196" s="37" t="n"/>
      <c r="N196" s="291" t="n"/>
      <c r="O196" s="37" t="n"/>
      <c r="P196" s="37" t="n"/>
      <c r="Q196" s="291" t="n"/>
      <c r="R196" s="37" t="n"/>
      <c r="S196" s="37" t="n"/>
      <c r="T196" s="291" t="n"/>
      <c r="U196" s="37" t="n"/>
      <c r="V196" s="37" t="n"/>
      <c r="W196" s="291" t="n"/>
      <c r="X196" s="37" t="n"/>
      <c r="Y196" s="37" t="n"/>
      <c r="Z196" s="291" t="n"/>
      <c r="AA196" s="37" t="n"/>
      <c r="AB196" s="37" t="n"/>
      <c r="AC196" s="291" t="n"/>
      <c r="AD196" s="37" t="n"/>
      <c r="AE196" s="37" t="n"/>
      <c r="AF196" s="291" t="n"/>
      <c r="AG196" s="37" t="n"/>
      <c r="AH196" s="37" t="n"/>
      <c r="AI196" s="291" t="n"/>
      <c r="AJ196" s="37" t="n"/>
      <c r="AK196" s="37" t="n"/>
      <c r="AL196" s="291" t="n"/>
      <c r="AM196" s="291" t="n"/>
      <c r="AN196" s="291" t="n"/>
      <c r="AO196" s="291" t="n"/>
      <c r="AP196" s="291" t="n"/>
      <c r="AQ196" s="291" t="n"/>
      <c r="AR196" s="291" t="n"/>
      <c r="AS196" s="291" t="n"/>
      <c r="AT196" s="291" t="n"/>
      <c r="AU196" s="291" t="n"/>
      <c r="AV196" s="291" t="n"/>
      <c r="AW196" s="291" t="n"/>
      <c r="AX196" s="291" t="n"/>
      <c r="AY196" s="291" t="n"/>
      <c r="AZ196" s="291" t="n"/>
      <c r="BA196" s="291" t="n"/>
      <c r="BB196" s="291" t="n"/>
      <c r="BC196" s="291" t="n"/>
      <c r="BD196" s="291" t="n"/>
      <c r="BE196" s="291" t="n"/>
      <c r="BF196" s="291" t="n"/>
      <c r="BG196" s="291" t="n"/>
      <c r="BH196" s="291" t="n"/>
      <c r="BI196" s="291" t="n"/>
      <c r="BJ196" s="291" t="n"/>
      <c r="BK196" s="291" t="n"/>
      <c r="BL196" s="291" t="n"/>
      <c r="BM196" s="291" t="n"/>
      <c r="BN196" s="291" t="n"/>
      <c r="BO196" s="291" t="n"/>
      <c r="BP196" s="291" t="n"/>
      <c r="BQ196" s="291" t="n"/>
      <c r="BR196" s="291" t="n"/>
      <c r="BS196" s="291" t="n"/>
      <c r="BT196" s="291" t="n"/>
      <c r="BU196" s="291" t="n"/>
      <c r="BV196" s="291" t="n"/>
      <c r="BW196" s="291" t="n"/>
      <c r="BX196" s="291" t="n"/>
      <c r="BY196" s="291" t="n"/>
      <c r="BZ196" s="291" t="n"/>
      <c r="CA196" s="291" t="n"/>
      <c r="CB196" s="291" t="n"/>
      <c r="CC196" s="291" t="n"/>
      <c r="CD196" s="291" t="n"/>
      <c r="CE196" s="291" t="n"/>
      <c r="CF196" s="291" t="n"/>
      <c r="CG196" s="291" t="n"/>
      <c r="CH196" s="291" t="n"/>
      <c r="CI196" s="291" t="n"/>
      <c r="CJ196" s="291" t="n"/>
      <c r="CK196" s="291" t="n"/>
      <c r="CL196" s="291" t="n"/>
      <c r="CM196" s="291" t="n"/>
      <c r="CN196" s="291" t="n"/>
      <c r="CO196" s="291" t="n"/>
      <c r="CP196" s="343" t="n"/>
      <c r="CQ196" s="291" t="n"/>
      <c r="CR196" s="343" t="n"/>
      <c r="CS196" s="291" t="n"/>
      <c r="CT196" s="343" t="n"/>
      <c r="CU196" s="291" t="n"/>
      <c r="CV196" s="343" t="n"/>
      <c r="CW196" s="291" t="n"/>
      <c r="CX196" s="291" t="n"/>
      <c r="CY196" s="291" t="n"/>
      <c r="CZ196" s="291" t="n"/>
      <c r="DA196" s="291" t="n"/>
      <c r="DB196" s="291" t="n"/>
      <c r="DC196" s="291" t="n"/>
      <c r="DD196" s="291" t="n"/>
      <c r="DE196" s="311" t="n"/>
      <c r="DF196" s="311" t="n"/>
    </row>
    <row r="197" ht="13" customFormat="1" customHeight="1" s="40">
      <c r="A197" s="344" t="n"/>
      <c r="B197" s="291" t="n"/>
      <c r="C197" s="37" t="n"/>
      <c r="D197" s="37" t="n"/>
      <c r="E197" s="291" t="n"/>
      <c r="F197" s="37" t="n"/>
      <c r="G197" s="37" t="n"/>
      <c r="H197" s="291" t="n"/>
      <c r="I197" s="37" t="n"/>
      <c r="J197" s="37" t="n"/>
      <c r="K197" s="291" t="n"/>
      <c r="L197" s="37" t="n"/>
      <c r="M197" s="37" t="n"/>
      <c r="N197" s="291" t="n"/>
      <c r="O197" s="37" t="n"/>
      <c r="P197" s="37" t="n"/>
      <c r="Q197" s="291" t="n"/>
      <c r="R197" s="37" t="n"/>
      <c r="S197" s="37" t="n"/>
      <c r="T197" s="291" t="n"/>
      <c r="U197" s="37" t="n"/>
      <c r="V197" s="37" t="n"/>
      <c r="W197" s="291" t="n"/>
      <c r="X197" s="37" t="n"/>
      <c r="Y197" s="37" t="n"/>
      <c r="Z197" s="291" t="n"/>
      <c r="AA197" s="37" t="n"/>
      <c r="AB197" s="37" t="n"/>
      <c r="AC197" s="291" t="n"/>
      <c r="AD197" s="37" t="n"/>
      <c r="AE197" s="37" t="n"/>
      <c r="AF197" s="291" t="n"/>
      <c r="AG197" s="37" t="n"/>
      <c r="AH197" s="37" t="n"/>
      <c r="AI197" s="291" t="n"/>
      <c r="AJ197" s="37" t="n"/>
      <c r="AK197" s="37" t="n"/>
      <c r="AL197" s="291" t="n"/>
      <c r="AM197" s="291" t="n"/>
      <c r="AN197" s="291" t="n"/>
      <c r="AO197" s="291" t="n"/>
      <c r="AP197" s="291" t="n"/>
      <c r="AQ197" s="291" t="n"/>
      <c r="AR197" s="291" t="n"/>
      <c r="AS197" s="291" t="n"/>
      <c r="AT197" s="291" t="n"/>
      <c r="AU197" s="291" t="n"/>
      <c r="AV197" s="291" t="n"/>
      <c r="AW197" s="291" t="n"/>
      <c r="AX197" s="291" t="n"/>
      <c r="AY197" s="291" t="n"/>
      <c r="AZ197" s="291" t="n"/>
      <c r="BA197" s="291" t="n"/>
      <c r="BB197" s="291" t="n"/>
      <c r="BC197" s="291" t="n"/>
      <c r="BD197" s="291" t="n"/>
      <c r="BE197" s="291" t="n"/>
      <c r="BF197" s="291" t="n"/>
      <c r="BG197" s="291" t="n"/>
      <c r="BH197" s="291" t="n"/>
      <c r="BI197" s="291" t="n"/>
      <c r="BJ197" s="291" t="n"/>
      <c r="BK197" s="291" t="n"/>
      <c r="BL197" s="291" t="n"/>
      <c r="BM197" s="291" t="n"/>
      <c r="BN197" s="291" t="n"/>
      <c r="BO197" s="291" t="n"/>
      <c r="BP197" s="291" t="n"/>
      <c r="BQ197" s="291" t="n"/>
      <c r="BR197" s="291" t="n"/>
      <c r="BS197" s="291" t="n"/>
      <c r="BT197" s="291" t="n"/>
      <c r="BU197" s="291" t="n"/>
      <c r="BV197" s="291" t="n"/>
      <c r="BW197" s="291" t="n"/>
      <c r="BX197" s="291" t="n"/>
      <c r="BY197" s="291" t="n"/>
      <c r="BZ197" s="291" t="n"/>
      <c r="CA197" s="291" t="n"/>
      <c r="CB197" s="291" t="n"/>
      <c r="CC197" s="291" t="n"/>
      <c r="CD197" s="291" t="n"/>
      <c r="CE197" s="291" t="n"/>
      <c r="CF197" s="291" t="n"/>
      <c r="CG197" s="291" t="n"/>
      <c r="CH197" s="291" t="n"/>
      <c r="CI197" s="291" t="n"/>
      <c r="CJ197" s="291" t="n"/>
      <c r="CK197" s="291" t="n"/>
      <c r="CL197" s="291" t="n"/>
      <c r="CM197" s="291" t="n"/>
      <c r="CN197" s="291" t="n"/>
      <c r="CO197" s="291" t="n"/>
      <c r="CP197" s="343" t="n"/>
      <c r="CQ197" s="291" t="n"/>
      <c r="CR197" s="343" t="n"/>
      <c r="CS197" s="291" t="n"/>
      <c r="CT197" s="343" t="n"/>
      <c r="CU197" s="291" t="n"/>
      <c r="CV197" s="343" t="n"/>
      <c r="CW197" s="291" t="n"/>
      <c r="CX197" s="291" t="n"/>
      <c r="CY197" s="291" t="n"/>
      <c r="CZ197" s="291" t="n"/>
      <c r="DA197" s="291" t="n"/>
      <c r="DB197" s="291" t="n"/>
      <c r="DC197" s="291" t="n"/>
      <c r="DD197" s="291" t="n"/>
      <c r="DE197" s="311" t="n"/>
      <c r="DF197" s="311" t="n"/>
    </row>
    <row r="198" ht="13" customFormat="1" customHeight="1" s="40">
      <c r="A198" s="345" t="n"/>
      <c r="B198" s="291" t="n"/>
      <c r="C198" s="97" t="n"/>
      <c r="D198" s="97" t="n"/>
      <c r="E198" s="291" t="n"/>
      <c r="F198" s="97" t="n"/>
      <c r="G198" s="97" t="n"/>
      <c r="H198" s="291" t="n"/>
      <c r="I198" s="97" t="n"/>
      <c r="J198" s="97" t="n"/>
      <c r="K198" s="291" t="n"/>
      <c r="L198" s="97" t="n"/>
      <c r="M198" s="97" t="n"/>
      <c r="N198" s="291" t="n"/>
      <c r="O198" s="97" t="n"/>
      <c r="P198" s="97" t="n"/>
      <c r="Q198" s="291" t="n"/>
      <c r="R198" s="97" t="n"/>
      <c r="S198" s="97" t="n"/>
      <c r="T198" s="291" t="n"/>
      <c r="U198" s="97" t="n"/>
      <c r="V198" s="97" t="n"/>
      <c r="W198" s="291" t="n"/>
      <c r="X198" s="97" t="n"/>
      <c r="Y198" s="97" t="n"/>
      <c r="Z198" s="291" t="n"/>
      <c r="AA198" s="97" t="n"/>
      <c r="AB198" s="97" t="n"/>
      <c r="AC198" s="291" t="n"/>
      <c r="AD198" s="97" t="n"/>
      <c r="AE198" s="97" t="n"/>
      <c r="AF198" s="291" t="n"/>
      <c r="AG198" s="97" t="n"/>
      <c r="AH198" s="97" t="n"/>
      <c r="AI198" s="291" t="n"/>
      <c r="AJ198" s="97" t="n"/>
      <c r="AK198" s="97" t="n"/>
      <c r="AL198" s="291" t="n"/>
      <c r="AM198" s="186" t="n"/>
      <c r="AN198" s="97" t="n"/>
      <c r="AO198" s="291" t="n"/>
      <c r="AP198" s="186" t="n"/>
      <c r="AQ198" s="97" t="n"/>
      <c r="AR198" s="291" t="n"/>
      <c r="AS198" s="186" t="n"/>
      <c r="AT198" s="97" t="n"/>
      <c r="AU198" s="291" t="n"/>
      <c r="AV198" s="186" t="n"/>
      <c r="AW198" s="97" t="n"/>
      <c r="AX198" s="291" t="n"/>
      <c r="AY198" s="291" t="n"/>
      <c r="AZ198" s="97" t="n"/>
      <c r="BA198" s="291" t="n"/>
      <c r="BB198" s="97" t="n"/>
      <c r="BC198" s="291" t="n"/>
      <c r="BD198" s="97" t="n"/>
      <c r="BE198" s="291" t="n"/>
      <c r="BF198" s="97" t="n"/>
      <c r="BG198" s="291" t="n"/>
      <c r="BH198" s="97" t="n"/>
      <c r="BI198" s="291" t="n"/>
      <c r="BJ198" s="97" t="n"/>
      <c r="BK198" s="291" t="n"/>
      <c r="BL198" s="97" t="n"/>
      <c r="BM198" s="291" t="n"/>
      <c r="BN198" s="97" t="n"/>
      <c r="BO198" s="291" t="n"/>
      <c r="BP198" s="291" t="n"/>
      <c r="BQ198" s="97" t="n"/>
      <c r="BR198" s="291" t="n"/>
      <c r="BS198" s="97" t="n"/>
      <c r="BT198" s="291" t="n"/>
      <c r="BU198" s="97" t="n"/>
      <c r="BV198" s="291" t="n"/>
      <c r="BW198" s="97" t="n"/>
      <c r="BX198" s="291" t="n"/>
      <c r="BY198" s="97" t="n"/>
      <c r="BZ198" s="291" t="n"/>
      <c r="CA198" s="97" t="n"/>
      <c r="CB198" s="291" t="n"/>
      <c r="CC198" s="97" t="n"/>
      <c r="CD198" s="291" t="n"/>
      <c r="CE198" s="97" t="n"/>
      <c r="CF198" s="291" t="n"/>
      <c r="CG198" s="97" t="n"/>
      <c r="CH198" s="291" t="n"/>
      <c r="CI198" s="97" t="n"/>
      <c r="CJ198" s="291" t="n"/>
      <c r="CK198" s="97" t="n"/>
      <c r="CL198" s="291" t="n"/>
      <c r="CM198" s="97" t="n"/>
      <c r="CN198" s="291" t="n"/>
      <c r="CO198" s="97" t="n"/>
      <c r="CP198" s="291" t="n"/>
      <c r="CQ198" s="97" t="n"/>
      <c r="CR198" s="291" t="n"/>
      <c r="CS198" s="97" t="n"/>
      <c r="CT198" s="291" t="n"/>
      <c r="CU198" s="97" t="n"/>
      <c r="CV198" s="346" t="n"/>
      <c r="CW198" s="291" t="n"/>
      <c r="CX198" s="97" t="n"/>
      <c r="CY198" s="291" t="n"/>
      <c r="CZ198" s="97" t="n"/>
      <c r="DA198" s="291" t="n"/>
      <c r="DB198" s="97" t="n"/>
      <c r="DC198" s="291" t="n"/>
      <c r="DD198" s="97" t="n"/>
      <c r="DE198" s="311" t="n"/>
      <c r="DF198" s="311" t="n"/>
    </row>
    <row r="199" ht="13" customFormat="1" customHeight="1" s="40">
      <c r="A199" s="52" t="n"/>
      <c r="B199" s="291" t="n"/>
      <c r="C199" s="39" t="n"/>
      <c r="D199" s="39" t="n"/>
      <c r="E199" s="291" t="n"/>
      <c r="F199" s="39" t="n"/>
      <c r="G199" s="39" t="n"/>
      <c r="H199" s="291" t="n"/>
      <c r="I199" s="39" t="n"/>
      <c r="J199" s="39" t="n"/>
      <c r="K199" s="291" t="n"/>
      <c r="L199" s="39" t="n"/>
      <c r="M199" s="39" t="n"/>
      <c r="N199" s="291" t="n"/>
      <c r="O199" s="39" t="n"/>
      <c r="P199" s="39" t="n"/>
      <c r="Q199" s="291" t="n"/>
      <c r="R199" s="39" t="n"/>
      <c r="S199" s="39" t="n"/>
      <c r="T199" s="291" t="n"/>
      <c r="U199" s="39" t="n"/>
      <c r="V199" s="39" t="n"/>
      <c r="W199" s="291" t="n"/>
      <c r="X199" s="39" t="n"/>
      <c r="Y199" s="39" t="n"/>
      <c r="Z199" s="291" t="n"/>
      <c r="AA199" s="39" t="n"/>
      <c r="AB199" s="39" t="n"/>
      <c r="AC199" s="291" t="n"/>
      <c r="AD199" s="39" t="n"/>
      <c r="AE199" s="39" t="n"/>
      <c r="AF199" s="291" t="n"/>
      <c r="AG199" s="39" t="n"/>
      <c r="AH199" s="39" t="n"/>
      <c r="AI199" s="291" t="n"/>
      <c r="AJ199" s="39" t="n"/>
      <c r="AK199" s="39" t="n"/>
      <c r="AL199" s="291" t="n"/>
      <c r="AM199" s="53" t="n"/>
      <c r="AN199" s="291" t="n"/>
      <c r="AO199" s="291" t="n"/>
      <c r="AP199" s="53" t="n"/>
      <c r="AQ199" s="291" t="n"/>
      <c r="AR199" s="291" t="n"/>
      <c r="AS199" s="53" t="n"/>
      <c r="AT199" s="291" t="n"/>
      <c r="AU199" s="291" t="n"/>
      <c r="AV199" s="53" t="n"/>
      <c r="AW199" s="291" t="n"/>
      <c r="AX199" s="291" t="n"/>
      <c r="AY199" s="291" t="n"/>
      <c r="AZ199" s="39" t="n"/>
      <c r="BA199" s="291" t="n"/>
      <c r="BB199" s="39" t="n"/>
      <c r="BC199" s="291" t="n"/>
      <c r="BD199" s="39" t="n"/>
      <c r="BE199" s="291" t="n"/>
      <c r="BF199" s="39" t="n"/>
      <c r="BG199" s="291" t="n"/>
      <c r="BH199" s="39" t="n"/>
      <c r="BI199" s="291" t="n"/>
      <c r="BJ199" s="39" t="n"/>
      <c r="BK199" s="291" t="n"/>
      <c r="BL199" s="39" t="n"/>
      <c r="BM199" s="291" t="n"/>
      <c r="BN199" s="39" t="n"/>
      <c r="BO199" s="291" t="n"/>
      <c r="BP199" s="291" t="n"/>
      <c r="BQ199" s="39" t="n"/>
      <c r="BR199" s="291" t="n"/>
      <c r="BS199" s="39" t="n"/>
      <c r="BT199" s="291" t="n"/>
      <c r="BU199" s="39" t="n"/>
      <c r="BV199" s="291" t="n"/>
      <c r="BW199" s="39" t="n"/>
      <c r="BX199" s="291" t="n"/>
      <c r="BY199" s="39" t="n"/>
      <c r="BZ199" s="291" t="n"/>
      <c r="CA199" s="39" t="n"/>
      <c r="CB199" s="291" t="n"/>
      <c r="CC199" s="39" t="n"/>
      <c r="CD199" s="291" t="n"/>
      <c r="CE199" s="39" t="n"/>
      <c r="CF199" s="291" t="n"/>
      <c r="CG199" s="291" t="n"/>
      <c r="CH199" s="291" t="n"/>
      <c r="CI199" s="291" t="n"/>
      <c r="CJ199" s="291" t="n"/>
      <c r="CK199" s="291" t="n"/>
      <c r="CL199" s="291" t="n"/>
      <c r="CM199" s="291" t="n"/>
      <c r="CN199" s="291" t="n"/>
      <c r="CO199" s="291" t="n"/>
      <c r="CP199" s="291" t="n"/>
      <c r="CQ199" s="291" t="n"/>
      <c r="CR199" s="291" t="n"/>
      <c r="CS199" s="291" t="n"/>
      <c r="CT199" s="291" t="n"/>
      <c r="CU199" s="291" t="n"/>
      <c r="CV199" s="343" t="n"/>
      <c r="CW199" s="291" t="n"/>
      <c r="CX199" s="39" t="n"/>
      <c r="CY199" s="291" t="n"/>
      <c r="CZ199" s="39" t="n"/>
      <c r="DA199" s="291" t="n"/>
      <c r="DB199" s="39" t="n"/>
      <c r="DC199" s="291" t="n"/>
      <c r="DD199" s="39" t="n"/>
      <c r="DE199" s="311" t="n"/>
      <c r="DF199" s="311" t="n"/>
    </row>
    <row r="200" ht="13" customFormat="1" customHeight="1" s="40">
      <c r="A200" s="345" t="n"/>
      <c r="B200" s="291" t="n"/>
      <c r="C200" s="39" t="n"/>
      <c r="D200" s="39" t="n"/>
      <c r="E200" s="291" t="n"/>
      <c r="F200" s="39" t="n"/>
      <c r="G200" s="39" t="n"/>
      <c r="H200" s="291" t="n"/>
      <c r="I200" s="39" t="n"/>
      <c r="J200" s="39" t="n"/>
      <c r="K200" s="291" t="n"/>
      <c r="L200" s="39" t="n"/>
      <c r="M200" s="39" t="n"/>
      <c r="N200" s="291" t="n"/>
      <c r="O200" s="39" t="n"/>
      <c r="P200" s="39" t="n"/>
      <c r="Q200" s="291" t="n"/>
      <c r="R200" s="39" t="n"/>
      <c r="S200" s="39" t="n"/>
      <c r="T200" s="291" t="n"/>
      <c r="U200" s="39" t="n"/>
      <c r="V200" s="39" t="n"/>
      <c r="W200" s="291" t="n"/>
      <c r="X200" s="39" t="n"/>
      <c r="Y200" s="39" t="n"/>
      <c r="Z200" s="291" t="n"/>
      <c r="AA200" s="39" t="n"/>
      <c r="AB200" s="39" t="n"/>
      <c r="AC200" s="291" t="n"/>
      <c r="AD200" s="39" t="n"/>
      <c r="AE200" s="39" t="n"/>
      <c r="AF200" s="291" t="n"/>
      <c r="AG200" s="39" t="n"/>
      <c r="AH200" s="39" t="n"/>
      <c r="AI200" s="291" t="n"/>
      <c r="AJ200" s="39" t="n"/>
      <c r="AK200" s="39" t="n"/>
      <c r="AL200" s="291" t="n"/>
      <c r="AM200" s="352" t="n"/>
      <c r="AN200" s="39" t="n"/>
      <c r="AO200" s="291" t="n"/>
      <c r="AP200" s="352" t="n"/>
      <c r="AQ200" s="39" t="n"/>
      <c r="AR200" s="291" t="n"/>
      <c r="AS200" s="352" t="n"/>
      <c r="AT200" s="39" t="n"/>
      <c r="AU200" s="291" t="n"/>
      <c r="AV200" s="352" t="n"/>
      <c r="AW200" s="39" t="n"/>
      <c r="AX200" s="291" t="n"/>
      <c r="AY200" s="291" t="n"/>
      <c r="AZ200" s="39" t="n"/>
      <c r="BA200" s="291" t="n"/>
      <c r="BB200" s="39" t="n"/>
      <c r="BC200" s="291" t="n"/>
      <c r="BD200" s="39" t="n"/>
      <c r="BE200" s="291" t="n"/>
      <c r="BF200" s="39" t="n"/>
      <c r="BG200" s="291" t="n"/>
      <c r="BH200" s="39" t="n"/>
      <c r="BI200" s="291" t="n"/>
      <c r="BJ200" s="39" t="n"/>
      <c r="BK200" s="291" t="n"/>
      <c r="BL200" s="39" t="n"/>
      <c r="BM200" s="291" t="n"/>
      <c r="BN200" s="39" t="n"/>
      <c r="BO200" s="291" t="n"/>
      <c r="BP200" s="291" t="n"/>
      <c r="BQ200" s="39" t="n"/>
      <c r="BR200" s="291" t="n"/>
      <c r="BS200" s="39" t="n"/>
      <c r="BT200" s="291" t="n"/>
      <c r="BU200" s="39" t="n"/>
      <c r="BV200" s="291" t="n"/>
      <c r="BW200" s="39" t="n"/>
      <c r="BX200" s="291" t="n"/>
      <c r="BY200" s="39" t="n"/>
      <c r="BZ200" s="291" t="n"/>
      <c r="CA200" s="39" t="n"/>
      <c r="CB200" s="291" t="n"/>
      <c r="CC200" s="39" t="n"/>
      <c r="CD200" s="291" t="n"/>
      <c r="CE200" s="39" t="n"/>
      <c r="CF200" s="291" t="n"/>
      <c r="CG200" s="39" t="n"/>
      <c r="CH200" s="291" t="n"/>
      <c r="CI200" s="39" t="n"/>
      <c r="CJ200" s="291" t="n"/>
      <c r="CK200" s="39" t="n"/>
      <c r="CL200" s="291" t="n"/>
      <c r="CM200" s="39" t="n"/>
      <c r="CN200" s="291" t="n"/>
      <c r="CO200" s="39" t="n"/>
      <c r="CP200" s="291" t="n"/>
      <c r="CQ200" s="39" t="n"/>
      <c r="CR200" s="291" t="n"/>
      <c r="CS200" s="39" t="n"/>
      <c r="CT200" s="291" t="n"/>
      <c r="CU200" s="39" t="n"/>
      <c r="CV200" s="343" t="n"/>
      <c r="CW200" s="291" t="n"/>
      <c r="CX200" s="39" t="n"/>
      <c r="CY200" s="291" t="n"/>
      <c r="CZ200" s="39" t="n"/>
      <c r="DA200" s="291" t="n"/>
      <c r="DB200" s="39" t="n"/>
      <c r="DC200" s="291" t="n"/>
      <c r="DD200" s="39" t="n"/>
      <c r="DE200" s="311" t="n"/>
      <c r="DF200" s="311" t="n"/>
    </row>
    <row r="201" ht="13" customFormat="1" customHeight="1" s="40">
      <c r="A201" s="52" t="n"/>
      <c r="B201" s="291" t="n"/>
      <c r="C201" s="39" t="n"/>
      <c r="D201" s="39" t="n"/>
      <c r="E201" s="291" t="n"/>
      <c r="F201" s="39" t="n"/>
      <c r="G201" s="39" t="n"/>
      <c r="H201" s="291" t="n"/>
      <c r="I201" s="39" t="n"/>
      <c r="J201" s="39" t="n"/>
      <c r="K201" s="291" t="n"/>
      <c r="L201" s="39" t="n"/>
      <c r="M201" s="39" t="n"/>
      <c r="N201" s="291" t="n"/>
      <c r="O201" s="39" t="n"/>
      <c r="P201" s="39" t="n"/>
      <c r="Q201" s="291" t="n"/>
      <c r="R201" s="39" t="n"/>
      <c r="S201" s="39" t="n"/>
      <c r="T201" s="291" t="n"/>
      <c r="U201" s="39" t="n"/>
      <c r="V201" s="39" t="n"/>
      <c r="W201" s="291" t="n"/>
      <c r="X201" s="39" t="n"/>
      <c r="Y201" s="39" t="n"/>
      <c r="Z201" s="291" t="n"/>
      <c r="AA201" s="39" t="n"/>
      <c r="AB201" s="39" t="n"/>
      <c r="AC201" s="291" t="n"/>
      <c r="AD201" s="39" t="n"/>
      <c r="AE201" s="39" t="n"/>
      <c r="AF201" s="291" t="n"/>
      <c r="AG201" s="39" t="n"/>
      <c r="AH201" s="39" t="n"/>
      <c r="AI201" s="291" t="n"/>
      <c r="AJ201" s="39" t="n"/>
      <c r="AK201" s="39" t="n"/>
      <c r="AL201" s="291" t="n"/>
      <c r="AM201" s="352" t="n"/>
      <c r="AN201" s="39" t="n"/>
      <c r="AO201" s="291" t="n"/>
      <c r="AP201" s="352" t="n"/>
      <c r="AQ201" s="39" t="n"/>
      <c r="AR201" s="291" t="n"/>
      <c r="AS201" s="352" t="n"/>
      <c r="AT201" s="39" t="n"/>
      <c r="AU201" s="291" t="n"/>
      <c r="AV201" s="352" t="n"/>
      <c r="AW201" s="39" t="n"/>
      <c r="AX201" s="291" t="n"/>
      <c r="AY201" s="291" t="n"/>
      <c r="AZ201" s="39" t="n"/>
      <c r="BA201" s="291" t="n"/>
      <c r="BB201" s="39" t="n"/>
      <c r="BC201" s="291" t="n"/>
      <c r="BD201" s="39" t="n"/>
      <c r="BE201" s="291" t="n"/>
      <c r="BF201" s="39" t="n"/>
      <c r="BG201" s="291" t="n"/>
      <c r="BH201" s="39" t="n"/>
      <c r="BI201" s="291" t="n"/>
      <c r="BJ201" s="39" t="n"/>
      <c r="BK201" s="291" t="n"/>
      <c r="BL201" s="39" t="n"/>
      <c r="BM201" s="291" t="n"/>
      <c r="BN201" s="39" t="n"/>
      <c r="BO201" s="291" t="n"/>
      <c r="BP201" s="291" t="n"/>
      <c r="BQ201" s="39" t="n"/>
      <c r="BR201" s="291" t="n"/>
      <c r="BS201" s="39" t="n"/>
      <c r="BT201" s="291" t="n"/>
      <c r="BU201" s="39" t="n"/>
      <c r="BV201" s="291" t="n"/>
      <c r="BW201" s="39" t="n"/>
      <c r="BX201" s="291" t="n"/>
      <c r="BY201" s="39" t="n"/>
      <c r="BZ201" s="291" t="n"/>
      <c r="CA201" s="39" t="n"/>
      <c r="CB201" s="291" t="n"/>
      <c r="CC201" s="39" t="n"/>
      <c r="CD201" s="291" t="n"/>
      <c r="CE201" s="39" t="n"/>
      <c r="CF201" s="291" t="n"/>
      <c r="CG201" s="39" t="n"/>
      <c r="CH201" s="291" t="n"/>
      <c r="CI201" s="39" t="n"/>
      <c r="CJ201" s="291" t="n"/>
      <c r="CK201" s="39" t="n"/>
      <c r="CL201" s="291" t="n"/>
      <c r="CM201" s="39" t="n"/>
      <c r="CN201" s="291" t="n"/>
      <c r="CO201" s="39" t="n"/>
      <c r="CP201" s="291" t="n"/>
      <c r="CQ201" s="39" t="n"/>
      <c r="CR201" s="291" t="n"/>
      <c r="CS201" s="39" t="n"/>
      <c r="CT201" s="291" t="n"/>
      <c r="CU201" s="39" t="n"/>
      <c r="CV201" s="343" t="n"/>
      <c r="CW201" s="291" t="n"/>
      <c r="CX201" s="39" t="n"/>
      <c r="CY201" s="291" t="n"/>
      <c r="CZ201" s="39" t="n"/>
      <c r="DA201" s="291" t="n"/>
      <c r="DB201" s="39" t="n"/>
      <c r="DC201" s="291" t="n"/>
      <c r="DD201" s="39" t="n"/>
      <c r="DE201" s="311" t="n"/>
      <c r="DF201" s="311" t="n"/>
    </row>
    <row r="202" ht="13" customFormat="1" customHeight="1" s="40">
      <c r="A202" s="345" t="n"/>
      <c r="B202" s="291" t="n"/>
      <c r="C202" s="39" t="n"/>
      <c r="D202" s="39" t="n"/>
      <c r="E202" s="291" t="n"/>
      <c r="F202" s="39" t="n"/>
      <c r="G202" s="39" t="n"/>
      <c r="H202" s="291" t="n"/>
      <c r="I202" s="39" t="n"/>
      <c r="J202" s="39" t="n"/>
      <c r="K202" s="291" t="n"/>
      <c r="L202" s="39" t="n"/>
      <c r="M202" s="39" t="n"/>
      <c r="N202" s="291" t="n"/>
      <c r="O202" s="39" t="n"/>
      <c r="P202" s="39" t="n"/>
      <c r="Q202" s="291" t="n"/>
      <c r="R202" s="39" t="n"/>
      <c r="S202" s="39" t="n"/>
      <c r="T202" s="291" t="n"/>
      <c r="U202" s="39" t="n"/>
      <c r="V202" s="39" t="n"/>
      <c r="W202" s="291" t="n"/>
      <c r="X202" s="39" t="n"/>
      <c r="Y202" s="39" t="n"/>
      <c r="Z202" s="291" t="n"/>
      <c r="AA202" s="39" t="n"/>
      <c r="AB202" s="39" t="n"/>
      <c r="AC202" s="291" t="n"/>
      <c r="AD202" s="39" t="n"/>
      <c r="AE202" s="39" t="n"/>
      <c r="AF202" s="291" t="n"/>
      <c r="AG202" s="39" t="n"/>
      <c r="AH202" s="39" t="n"/>
      <c r="AI202" s="291" t="n"/>
      <c r="AJ202" s="39" t="n"/>
      <c r="AK202" s="39" t="n"/>
      <c r="AL202" s="291" t="n"/>
      <c r="AM202" s="352" t="n"/>
      <c r="AN202" s="39" t="n"/>
      <c r="AO202" s="291" t="n"/>
      <c r="AP202" s="352" t="n"/>
      <c r="AQ202" s="39" t="n"/>
      <c r="AR202" s="291" t="n"/>
      <c r="AS202" s="352" t="n"/>
      <c r="AT202" s="39" t="n"/>
      <c r="AU202" s="291" t="n"/>
      <c r="AV202" s="352" t="n"/>
      <c r="AW202" s="39" t="n"/>
      <c r="AX202" s="291" t="n"/>
      <c r="AY202" s="291" t="n"/>
      <c r="AZ202" s="39" t="n"/>
      <c r="BA202" s="291" t="n"/>
      <c r="BB202" s="39" t="n"/>
      <c r="BC202" s="291" t="n"/>
      <c r="BD202" s="39" t="n"/>
      <c r="BE202" s="291" t="n"/>
      <c r="BF202" s="39" t="n"/>
      <c r="BG202" s="291" t="n"/>
      <c r="BH202" s="39" t="n"/>
      <c r="BI202" s="291" t="n"/>
      <c r="BJ202" s="39" t="n"/>
      <c r="BK202" s="291" t="n"/>
      <c r="BL202" s="39" t="n"/>
      <c r="BM202" s="291" t="n"/>
      <c r="BN202" s="39" t="n"/>
      <c r="BO202" s="291" t="n"/>
      <c r="BP202" s="291" t="n"/>
      <c r="BQ202" s="39" t="n"/>
      <c r="BR202" s="291" t="n"/>
      <c r="BS202" s="39" t="n"/>
      <c r="BT202" s="291" t="n"/>
      <c r="BU202" s="39" t="n"/>
      <c r="BV202" s="291" t="n"/>
      <c r="BW202" s="39" t="n"/>
      <c r="BX202" s="291" t="n"/>
      <c r="BY202" s="39" t="n"/>
      <c r="BZ202" s="291" t="n"/>
      <c r="CA202" s="39" t="n"/>
      <c r="CB202" s="291" t="n"/>
      <c r="CC202" s="39" t="n"/>
      <c r="CD202" s="291" t="n"/>
      <c r="CE202" s="39" t="n"/>
      <c r="CF202" s="291" t="n"/>
      <c r="CG202" s="39" t="n"/>
      <c r="CH202" s="291" t="n"/>
      <c r="CI202" s="39" t="n"/>
      <c r="CJ202" s="291" t="n"/>
      <c r="CK202" s="39" t="n"/>
      <c r="CL202" s="291" t="n"/>
      <c r="CM202" s="39" t="n"/>
      <c r="CN202" s="291" t="n"/>
      <c r="CO202" s="39" t="n"/>
      <c r="CP202" s="291" t="n"/>
      <c r="CQ202" s="39" t="n"/>
      <c r="CR202" s="291" t="n"/>
      <c r="CS202" s="39" t="n"/>
      <c r="CT202" s="291" t="n"/>
      <c r="CU202" s="39" t="n"/>
      <c r="CV202" s="343" t="n"/>
      <c r="CW202" s="291" t="n"/>
      <c r="CX202" s="39" t="n"/>
      <c r="CY202" s="291" t="n"/>
      <c r="CZ202" s="39" t="n"/>
      <c r="DA202" s="291" t="n"/>
      <c r="DB202" s="39" t="n"/>
      <c r="DC202" s="291" t="n"/>
      <c r="DD202" s="39" t="n"/>
      <c r="DE202" s="311" t="n"/>
      <c r="DF202" s="311" t="n"/>
    </row>
    <row r="203" ht="13" customFormat="1" customHeight="1" s="40">
      <c r="A203" s="52" t="n"/>
      <c r="B203" s="291" t="n"/>
      <c r="C203" s="39" t="n"/>
      <c r="D203" s="39" t="n"/>
      <c r="E203" s="291" t="n"/>
      <c r="F203" s="39" t="n"/>
      <c r="G203" s="39" t="n"/>
      <c r="H203" s="291" t="n"/>
      <c r="I203" s="39" t="n"/>
      <c r="J203" s="39" t="n"/>
      <c r="K203" s="291" t="n"/>
      <c r="L203" s="39" t="n"/>
      <c r="M203" s="39" t="n"/>
      <c r="N203" s="291" t="n"/>
      <c r="O203" s="39" t="n"/>
      <c r="P203" s="39" t="n"/>
      <c r="Q203" s="291" t="n"/>
      <c r="R203" s="39" t="n"/>
      <c r="S203" s="39" t="n"/>
      <c r="T203" s="291" t="n"/>
      <c r="U203" s="39" t="n"/>
      <c r="V203" s="39" t="n"/>
      <c r="W203" s="291" t="n"/>
      <c r="X203" s="39" t="n"/>
      <c r="Y203" s="39" t="n"/>
      <c r="Z203" s="291" t="n"/>
      <c r="AA203" s="39" t="n"/>
      <c r="AB203" s="39" t="n"/>
      <c r="AC203" s="291" t="n"/>
      <c r="AD203" s="39" t="n"/>
      <c r="AE203" s="39" t="n"/>
      <c r="AF203" s="291" t="n"/>
      <c r="AG203" s="39" t="n"/>
      <c r="AH203" s="39" t="n"/>
      <c r="AI203" s="291" t="n"/>
      <c r="AJ203" s="39" t="n"/>
      <c r="AK203" s="39" t="n"/>
      <c r="AL203" s="291" t="n"/>
      <c r="AM203" s="352" t="n"/>
      <c r="AN203" s="39" t="n"/>
      <c r="AO203" s="291" t="n"/>
      <c r="AP203" s="352" t="n"/>
      <c r="AQ203" s="39" t="n"/>
      <c r="AR203" s="291" t="n"/>
      <c r="AS203" s="352" t="n"/>
      <c r="AT203" s="39" t="n"/>
      <c r="AU203" s="291" t="n"/>
      <c r="AV203" s="352" t="n"/>
      <c r="AW203" s="39" t="n"/>
      <c r="AX203" s="291" t="n"/>
      <c r="AY203" s="291" t="n"/>
      <c r="AZ203" s="39" t="n"/>
      <c r="BA203" s="291" t="n"/>
      <c r="BB203" s="39" t="n"/>
      <c r="BC203" s="291" t="n"/>
      <c r="BD203" s="39" t="n"/>
      <c r="BE203" s="291" t="n"/>
      <c r="BF203" s="39" t="n"/>
      <c r="BG203" s="291" t="n"/>
      <c r="BH203" s="39" t="n"/>
      <c r="BI203" s="291" t="n"/>
      <c r="BJ203" s="39" t="n"/>
      <c r="BK203" s="291" t="n"/>
      <c r="BL203" s="39" t="n"/>
      <c r="BM203" s="291" t="n"/>
      <c r="BN203" s="39" t="n"/>
      <c r="BO203" s="291" t="n"/>
      <c r="BP203" s="291" t="n"/>
      <c r="BQ203" s="39" t="n"/>
      <c r="BR203" s="291" t="n"/>
      <c r="BS203" s="39" t="n"/>
      <c r="BT203" s="291" t="n"/>
      <c r="BU203" s="39" t="n"/>
      <c r="BV203" s="291" t="n"/>
      <c r="BW203" s="39" t="n"/>
      <c r="BX203" s="291" t="n"/>
      <c r="BY203" s="39" t="n"/>
      <c r="BZ203" s="291" t="n"/>
      <c r="CA203" s="39" t="n"/>
      <c r="CB203" s="291" t="n"/>
      <c r="CC203" s="39" t="n"/>
      <c r="CD203" s="291" t="n"/>
      <c r="CE203" s="39" t="n"/>
      <c r="CF203" s="291" t="n"/>
      <c r="CG203" s="39" t="n"/>
      <c r="CH203" s="291" t="n"/>
      <c r="CI203" s="39" t="n"/>
      <c r="CJ203" s="291" t="n"/>
      <c r="CK203" s="39" t="n"/>
      <c r="CL203" s="291" t="n"/>
      <c r="CM203" s="39" t="n"/>
      <c r="CN203" s="291" t="n"/>
      <c r="CO203" s="39" t="n"/>
      <c r="CP203" s="291" t="n"/>
      <c r="CQ203" s="39" t="n"/>
      <c r="CR203" s="291" t="n"/>
      <c r="CS203" s="39" t="n"/>
      <c r="CT203" s="291" t="n"/>
      <c r="CU203" s="39" t="n"/>
      <c r="CV203" s="343" t="n"/>
      <c r="CW203" s="291" t="n"/>
      <c r="CX203" s="39" t="n"/>
      <c r="CY203" s="291" t="n"/>
      <c r="CZ203" s="39" t="n"/>
      <c r="DA203" s="291" t="n"/>
      <c r="DB203" s="39" t="n"/>
      <c r="DC203" s="291" t="n"/>
      <c r="DD203" s="39" t="n"/>
      <c r="DE203" s="311" t="n"/>
      <c r="DF203" s="311" t="n"/>
    </row>
    <row r="204" ht="13" customFormat="1" customHeight="1" s="40">
      <c r="A204" s="345" t="n"/>
      <c r="B204" s="291" t="n"/>
      <c r="C204" s="39" t="n"/>
      <c r="D204" s="39" t="n"/>
      <c r="E204" s="291" t="n"/>
      <c r="F204" s="39" t="n"/>
      <c r="G204" s="39" t="n"/>
      <c r="H204" s="291" t="n"/>
      <c r="I204" s="39" t="n"/>
      <c r="J204" s="39" t="n"/>
      <c r="K204" s="291" t="n"/>
      <c r="L204" s="39" t="n"/>
      <c r="M204" s="39" t="n"/>
      <c r="N204" s="291" t="n"/>
      <c r="O204" s="39" t="n"/>
      <c r="P204" s="39" t="n"/>
      <c r="Q204" s="291" t="n"/>
      <c r="R204" s="39" t="n"/>
      <c r="S204" s="39" t="n"/>
      <c r="T204" s="291" t="n"/>
      <c r="U204" s="39" t="n"/>
      <c r="V204" s="39" t="n"/>
      <c r="W204" s="291" t="n"/>
      <c r="X204" s="39" t="n"/>
      <c r="Y204" s="39" t="n"/>
      <c r="Z204" s="291" t="n"/>
      <c r="AA204" s="39" t="n"/>
      <c r="AB204" s="39" t="n"/>
      <c r="AC204" s="291" t="n"/>
      <c r="AD204" s="39" t="n"/>
      <c r="AE204" s="39" t="n"/>
      <c r="AF204" s="291" t="n"/>
      <c r="AG204" s="39" t="n"/>
      <c r="AH204" s="39" t="n"/>
      <c r="AI204" s="291" t="n"/>
      <c r="AJ204" s="39" t="n"/>
      <c r="AK204" s="39" t="n"/>
      <c r="AL204" s="291" t="n"/>
      <c r="AM204" s="352" t="n"/>
      <c r="AN204" s="39" t="n"/>
      <c r="AO204" s="291" t="n"/>
      <c r="AP204" s="352" t="n"/>
      <c r="AQ204" s="39" t="n"/>
      <c r="AR204" s="291" t="n"/>
      <c r="AS204" s="352" t="n"/>
      <c r="AT204" s="39" t="n"/>
      <c r="AU204" s="291" t="n"/>
      <c r="AV204" s="352" t="n"/>
      <c r="AW204" s="39" t="n"/>
      <c r="AX204" s="291" t="n"/>
      <c r="AY204" s="291" t="n"/>
      <c r="AZ204" s="39" t="n"/>
      <c r="BA204" s="291" t="n"/>
      <c r="BB204" s="39" t="n"/>
      <c r="BC204" s="291" t="n"/>
      <c r="BD204" s="39" t="n"/>
      <c r="BE204" s="291" t="n"/>
      <c r="BF204" s="39" t="n"/>
      <c r="BG204" s="291" t="n"/>
      <c r="BH204" s="39" t="n"/>
      <c r="BI204" s="291" t="n"/>
      <c r="BJ204" s="39" t="n"/>
      <c r="BK204" s="291" t="n"/>
      <c r="BL204" s="39" t="n"/>
      <c r="BM204" s="291" t="n"/>
      <c r="BN204" s="39" t="n"/>
      <c r="BO204" s="291" t="n"/>
      <c r="BP204" s="291" t="n"/>
      <c r="BQ204" s="39" t="n"/>
      <c r="BR204" s="291" t="n"/>
      <c r="BS204" s="39" t="n"/>
      <c r="BT204" s="291" t="n"/>
      <c r="BU204" s="39" t="n"/>
      <c r="BV204" s="291" t="n"/>
      <c r="BW204" s="39" t="n"/>
      <c r="BX204" s="291" t="n"/>
      <c r="BY204" s="39" t="n"/>
      <c r="BZ204" s="291" t="n"/>
      <c r="CA204" s="39" t="n"/>
      <c r="CB204" s="291" t="n"/>
      <c r="CC204" s="39" t="n"/>
      <c r="CD204" s="291" t="n"/>
      <c r="CE204" s="39" t="n"/>
      <c r="CF204" s="291" t="n"/>
      <c r="CG204" s="39" t="n"/>
      <c r="CH204" s="291" t="n"/>
      <c r="CI204" s="39" t="n"/>
      <c r="CJ204" s="291" t="n"/>
      <c r="CK204" s="39" t="n"/>
      <c r="CL204" s="291" t="n"/>
      <c r="CM204" s="39" t="n"/>
      <c r="CN204" s="291" t="n"/>
      <c r="CO204" s="39" t="n"/>
      <c r="CP204" s="291" t="n"/>
      <c r="CQ204" s="39" t="n"/>
      <c r="CR204" s="291" t="n"/>
      <c r="CS204" s="39" t="n"/>
      <c r="CT204" s="291" t="n"/>
      <c r="CU204" s="39" t="n"/>
      <c r="CV204" s="343" t="n"/>
      <c r="CW204" s="291" t="n"/>
      <c r="CX204" s="39" t="n"/>
      <c r="CY204" s="291" t="n"/>
      <c r="CZ204" s="39" t="n"/>
      <c r="DA204" s="291" t="n"/>
      <c r="DB204" s="39" t="n"/>
      <c r="DC204" s="291" t="n"/>
      <c r="DD204" s="39" t="n"/>
      <c r="DE204" s="311" t="n"/>
      <c r="DF204" s="311" t="n"/>
    </row>
    <row r="205" ht="13" customFormat="1" customHeight="1" s="40">
      <c r="A205" s="345" t="n"/>
      <c r="B205" s="291" t="n"/>
      <c r="C205" s="39" t="n"/>
      <c r="D205" s="39" t="n"/>
      <c r="E205" s="291" t="n"/>
      <c r="F205" s="39" t="n"/>
      <c r="G205" s="39" t="n"/>
      <c r="H205" s="291" t="n"/>
      <c r="I205" s="39" t="n"/>
      <c r="J205" s="39" t="n"/>
      <c r="K205" s="291" t="n"/>
      <c r="L205" s="39" t="n"/>
      <c r="M205" s="39" t="n"/>
      <c r="N205" s="291" t="n"/>
      <c r="O205" s="39" t="n"/>
      <c r="P205" s="39" t="n"/>
      <c r="Q205" s="291" t="n"/>
      <c r="R205" s="39" t="n"/>
      <c r="S205" s="39" t="n"/>
      <c r="T205" s="291" t="n"/>
      <c r="U205" s="39" t="n"/>
      <c r="V205" s="39" t="n"/>
      <c r="W205" s="291" t="n"/>
      <c r="X205" s="39" t="n"/>
      <c r="Y205" s="39" t="n"/>
      <c r="Z205" s="291" t="n"/>
      <c r="AA205" s="39" t="n"/>
      <c r="AB205" s="39" t="n"/>
      <c r="AC205" s="291" t="n"/>
      <c r="AD205" s="39" t="n"/>
      <c r="AE205" s="39" t="n"/>
      <c r="AF205" s="291" t="n"/>
      <c r="AG205" s="39" t="n"/>
      <c r="AH205" s="39" t="n"/>
      <c r="AI205" s="291" t="n"/>
      <c r="AJ205" s="39" t="n"/>
      <c r="AK205" s="39" t="n"/>
      <c r="AL205" s="291" t="n"/>
      <c r="AM205" s="352" t="n"/>
      <c r="AN205" s="39" t="n"/>
      <c r="AO205" s="291" t="n"/>
      <c r="AP205" s="352" t="n"/>
      <c r="AQ205" s="39" t="n"/>
      <c r="AR205" s="291" t="n"/>
      <c r="AS205" s="352" t="n"/>
      <c r="AT205" s="39" t="n"/>
      <c r="AU205" s="291" t="n"/>
      <c r="AV205" s="352" t="n"/>
      <c r="AW205" s="39" t="n"/>
      <c r="AX205" s="291" t="n"/>
      <c r="AY205" s="291" t="n"/>
      <c r="AZ205" s="39" t="n"/>
      <c r="BA205" s="291" t="n"/>
      <c r="BB205" s="39" t="n"/>
      <c r="BC205" s="291" t="n"/>
      <c r="BD205" s="39" t="n"/>
      <c r="BE205" s="291" t="n"/>
      <c r="BF205" s="39" t="n"/>
      <c r="BG205" s="291" t="n"/>
      <c r="BH205" s="39" t="n"/>
      <c r="BI205" s="291" t="n"/>
      <c r="BJ205" s="39" t="n"/>
      <c r="BK205" s="291" t="n"/>
      <c r="BL205" s="39" t="n"/>
      <c r="BM205" s="291" t="n"/>
      <c r="BN205" s="39" t="n"/>
      <c r="BO205" s="291" t="n"/>
      <c r="BP205" s="291" t="n"/>
      <c r="BQ205" s="39" t="n"/>
      <c r="BR205" s="291" t="n"/>
      <c r="BS205" s="39" t="n"/>
      <c r="BT205" s="291" t="n"/>
      <c r="BU205" s="39" t="n"/>
      <c r="BV205" s="291" t="n"/>
      <c r="BW205" s="39" t="n"/>
      <c r="BX205" s="291" t="n"/>
      <c r="BY205" s="39" t="n"/>
      <c r="BZ205" s="291" t="n"/>
      <c r="CA205" s="39" t="n"/>
      <c r="CB205" s="291" t="n"/>
      <c r="CC205" s="39" t="n"/>
      <c r="CD205" s="291" t="n"/>
      <c r="CE205" s="39" t="n"/>
      <c r="CF205" s="291" t="n"/>
      <c r="CG205" s="39" t="n"/>
      <c r="CH205" s="291" t="n"/>
      <c r="CI205" s="39" t="n"/>
      <c r="CJ205" s="291" t="n"/>
      <c r="CK205" s="39" t="n"/>
      <c r="CL205" s="291" t="n"/>
      <c r="CM205" s="39" t="n"/>
      <c r="CN205" s="291" t="n"/>
      <c r="CO205" s="39" t="n"/>
      <c r="CP205" s="291" t="n"/>
      <c r="CQ205" s="39" t="n"/>
      <c r="CR205" s="291" t="n"/>
      <c r="CS205" s="39" t="n"/>
      <c r="CT205" s="291" t="n"/>
      <c r="CU205" s="39" t="n"/>
      <c r="CV205" s="343" t="n"/>
      <c r="CW205" s="291" t="n"/>
      <c r="CX205" s="39" t="n"/>
      <c r="CY205" s="291" t="n"/>
      <c r="CZ205" s="39" t="n"/>
      <c r="DA205" s="291" t="n"/>
      <c r="DB205" s="39" t="n"/>
      <c r="DC205" s="291" t="n"/>
      <c r="DD205" s="39" t="n"/>
      <c r="DE205" s="311" t="n"/>
      <c r="DF205" s="311" t="n"/>
    </row>
    <row r="206" customFormat="1" s="40">
      <c r="A206" s="345" t="n"/>
      <c r="B206" s="291" t="n"/>
      <c r="C206" s="39" t="n"/>
      <c r="D206" s="39" t="n"/>
      <c r="E206" s="291" t="n"/>
      <c r="F206" s="39" t="n"/>
      <c r="G206" s="39" t="n"/>
      <c r="H206" s="291" t="n"/>
      <c r="I206" s="39" t="n"/>
      <c r="J206" s="39" t="n"/>
      <c r="K206" s="291" t="n"/>
      <c r="L206" s="39" t="n"/>
      <c r="M206" s="39" t="n"/>
      <c r="N206" s="291" t="n"/>
      <c r="O206" s="39" t="n"/>
      <c r="P206" s="39" t="n"/>
      <c r="Q206" s="291" t="n"/>
      <c r="R206" s="39" t="n"/>
      <c r="S206" s="39" t="n"/>
      <c r="T206" s="291" t="n"/>
      <c r="U206" s="39" t="n"/>
      <c r="V206" s="39" t="n"/>
      <c r="W206" s="291" t="n"/>
      <c r="X206" s="39" t="n"/>
      <c r="Y206" s="39" t="n"/>
      <c r="Z206" s="291" t="n"/>
      <c r="AA206" s="39" t="n"/>
      <c r="AB206" s="39" t="n"/>
      <c r="AC206" s="291" t="n"/>
      <c r="AD206" s="39" t="n"/>
      <c r="AE206" s="39" t="n"/>
      <c r="AF206" s="291" t="n"/>
      <c r="AG206" s="39" t="n"/>
      <c r="AH206" s="39" t="n"/>
      <c r="AI206" s="291" t="n"/>
      <c r="AJ206" s="39" t="n"/>
      <c r="AK206" s="39" t="n"/>
      <c r="AL206" s="291" t="n"/>
      <c r="AM206" s="352" t="n"/>
      <c r="AN206" s="39" t="n"/>
      <c r="AO206" s="291" t="n"/>
      <c r="AP206" s="352" t="n"/>
      <c r="AQ206" s="39" t="n"/>
      <c r="AR206" s="291" t="n"/>
      <c r="AS206" s="352" t="n"/>
      <c r="AT206" s="39" t="n"/>
      <c r="AU206" s="291" t="n"/>
      <c r="AV206" s="352" t="n"/>
      <c r="AW206" s="39" t="n"/>
      <c r="AX206" s="291" t="n"/>
      <c r="AY206" s="291" t="n"/>
      <c r="AZ206" s="39" t="n"/>
      <c r="BA206" s="291" t="n"/>
      <c r="BB206" s="39" t="n"/>
      <c r="BC206" s="291" t="n"/>
      <c r="BD206" s="39" t="n"/>
      <c r="BE206" s="291" t="n"/>
      <c r="BF206" s="39" t="n"/>
      <c r="BG206" s="291" t="n"/>
      <c r="BH206" s="39" t="n"/>
      <c r="BI206" s="291" t="n"/>
      <c r="BJ206" s="39" t="n"/>
      <c r="BK206" s="291" t="n"/>
      <c r="BL206" s="39" t="n"/>
      <c r="BM206" s="291" t="n"/>
      <c r="BN206" s="39" t="n"/>
      <c r="BO206" s="291" t="n"/>
      <c r="BP206" s="349" t="n"/>
      <c r="BQ206" s="39" t="n"/>
      <c r="BR206" s="291" t="n"/>
      <c r="BS206" s="39" t="n"/>
      <c r="BT206" s="291" t="n"/>
      <c r="BU206" s="39" t="n"/>
      <c r="BV206" s="291" t="n"/>
      <c r="BW206" s="39" t="n"/>
      <c r="BX206" s="291" t="n"/>
      <c r="BY206" s="39" t="n"/>
      <c r="BZ206" s="291" t="n"/>
      <c r="CA206" s="39" t="n"/>
      <c r="CB206" s="291" t="n"/>
      <c r="CC206" s="39" t="n"/>
      <c r="CD206" s="291" t="n"/>
      <c r="CE206" s="39" t="n"/>
      <c r="CF206" s="291" t="n"/>
      <c r="CG206" s="39" t="n"/>
      <c r="CH206" s="291" t="n"/>
      <c r="CI206" s="39" t="n"/>
      <c r="CJ206" s="291" t="n"/>
      <c r="CK206" s="39" t="n"/>
      <c r="CL206" s="291" t="n"/>
      <c r="CM206" s="39" t="n"/>
      <c r="CN206" s="291" t="n"/>
      <c r="CO206" s="39" t="n"/>
      <c r="CP206" s="291" t="n"/>
      <c r="CQ206" s="39" t="n"/>
      <c r="CR206" s="291" t="n"/>
      <c r="CS206" s="39" t="n"/>
      <c r="CT206" s="291" t="n"/>
      <c r="CU206" s="39" t="n"/>
      <c r="CV206" s="39" t="n"/>
      <c r="CW206" s="350" t="n"/>
      <c r="CX206" s="39" t="n"/>
      <c r="CY206" s="350" t="n"/>
      <c r="CZ206" s="39" t="n"/>
      <c r="DA206" s="350" t="n"/>
      <c r="DB206" s="39" t="n"/>
      <c r="DC206" s="1" t="n"/>
      <c r="DD206" s="39" t="n"/>
      <c r="DE206" s="270" t="n"/>
      <c r="DF206" s="270" t="n"/>
    </row>
    <row r="207" customFormat="1" s="40">
      <c r="A207" s="345" t="n"/>
      <c r="B207" s="291" t="n"/>
      <c r="C207" s="39" t="n"/>
      <c r="D207" s="39" t="n"/>
      <c r="E207" s="291" t="n"/>
      <c r="F207" s="39" t="n"/>
      <c r="G207" s="39" t="n"/>
      <c r="H207" s="291" t="n"/>
      <c r="I207" s="39" t="n"/>
      <c r="J207" s="39" t="n"/>
      <c r="K207" s="291" t="n"/>
      <c r="L207" s="39" t="n"/>
      <c r="M207" s="39" t="n"/>
      <c r="N207" s="291" t="n"/>
      <c r="O207" s="39" t="n"/>
      <c r="P207" s="39" t="n"/>
      <c r="Q207" s="291" t="n"/>
      <c r="R207" s="39" t="n"/>
      <c r="S207" s="39" t="n"/>
      <c r="T207" s="291" t="n"/>
      <c r="U207" s="39" t="n"/>
      <c r="V207" s="39" t="n"/>
      <c r="W207" s="291" t="n"/>
      <c r="X207" s="39" t="n"/>
      <c r="Y207" s="39" t="n"/>
      <c r="Z207" s="291" t="n"/>
      <c r="AA207" s="39" t="n"/>
      <c r="AB207" s="39" t="n"/>
      <c r="AC207" s="291" t="n"/>
      <c r="AD207" s="39" t="n"/>
      <c r="AE207" s="39" t="n"/>
      <c r="AF207" s="291" t="n"/>
      <c r="AG207" s="39" t="n"/>
      <c r="AH207" s="39" t="n"/>
      <c r="AI207" s="291" t="n"/>
      <c r="AJ207" s="39" t="n"/>
      <c r="AK207" s="39" t="n"/>
      <c r="AL207" s="291" t="n"/>
      <c r="AM207" s="352" t="n"/>
      <c r="AN207" s="39" t="n"/>
      <c r="AO207" s="291" t="n"/>
      <c r="AP207" s="352" t="n"/>
      <c r="AQ207" s="39" t="n"/>
      <c r="AR207" s="291" t="n"/>
      <c r="AS207" s="352" t="n"/>
      <c r="AT207" s="39" t="n"/>
      <c r="AU207" s="291" t="n"/>
      <c r="AV207" s="352" t="n"/>
      <c r="AW207" s="39" t="n"/>
      <c r="AX207" s="291" t="n"/>
      <c r="AY207" s="291" t="n"/>
      <c r="AZ207" s="39" t="n"/>
      <c r="BA207" s="291" t="n"/>
      <c r="BB207" s="39" t="n"/>
      <c r="BC207" s="291" t="n"/>
      <c r="BD207" s="39" t="n"/>
      <c r="BE207" s="291" t="n"/>
      <c r="BF207" s="39" t="n"/>
      <c r="BG207" s="291" t="n"/>
      <c r="BH207" s="39" t="n"/>
      <c r="BI207" s="291" t="n"/>
      <c r="BJ207" s="39" t="n"/>
      <c r="BK207" s="291" t="n"/>
      <c r="BL207" s="39" t="n"/>
      <c r="BM207" s="291" t="n"/>
      <c r="BN207" s="39" t="n"/>
      <c r="BO207" s="291" t="n"/>
      <c r="BP207" s="349" t="n"/>
      <c r="BQ207" s="39" t="n"/>
      <c r="BR207" s="291" t="n"/>
      <c r="BS207" s="39" t="n"/>
      <c r="BT207" s="291" t="n"/>
      <c r="BU207" s="39" t="n"/>
      <c r="BV207" s="291" t="n"/>
      <c r="BW207" s="39" t="n"/>
      <c r="BX207" s="291" t="n"/>
      <c r="BY207" s="39" t="n"/>
      <c r="BZ207" s="291" t="n"/>
      <c r="CA207" s="39" t="n"/>
      <c r="CB207" s="291" t="n"/>
      <c r="CC207" s="39" t="n"/>
      <c r="CD207" s="291" t="n"/>
      <c r="CE207" s="39" t="n"/>
      <c r="CF207" s="291" t="n"/>
      <c r="CG207" s="39" t="n"/>
      <c r="CH207" s="291" t="n"/>
      <c r="CI207" s="39" t="n"/>
      <c r="CJ207" s="291" t="n"/>
      <c r="CK207" s="39" t="n"/>
      <c r="CL207" s="291" t="n"/>
      <c r="CM207" s="39" t="n"/>
      <c r="CN207" s="291" t="n"/>
      <c r="CO207" s="39" t="n"/>
      <c r="CP207" s="291" t="n"/>
      <c r="CQ207" s="39" t="n"/>
      <c r="CR207" s="291" t="n"/>
      <c r="CS207" s="39" t="n"/>
      <c r="CT207" s="291" t="n"/>
      <c r="CU207" s="39" t="n"/>
      <c r="CV207" s="39" t="n"/>
      <c r="CW207" s="350" t="n"/>
      <c r="CX207" s="39" t="n"/>
      <c r="CY207" s="350" t="n"/>
      <c r="CZ207" s="39" t="n"/>
      <c r="DA207" s="350" t="n"/>
      <c r="DB207" s="39" t="n"/>
      <c r="DC207" s="1" t="n"/>
      <c r="DD207" s="39" t="n"/>
      <c r="DE207" s="270" t="n"/>
      <c r="DF207" s="270" t="n"/>
    </row>
    <row r="208" customFormat="1" s="116">
      <c r="A208" s="351" t="n"/>
      <c r="B208" s="317" t="n"/>
      <c r="C208" s="39" t="n"/>
      <c r="D208" s="39" t="n"/>
      <c r="E208" s="317" t="n"/>
      <c r="F208" s="39" t="n"/>
      <c r="G208" s="39" t="n"/>
      <c r="H208" s="317" t="n"/>
      <c r="I208" s="39" t="n"/>
      <c r="J208" s="39" t="n"/>
      <c r="K208" s="317" t="n"/>
      <c r="L208" s="39" t="n"/>
      <c r="M208" s="39" t="n"/>
      <c r="N208" s="317" t="n"/>
      <c r="O208" s="39" t="n"/>
      <c r="P208" s="39" t="n"/>
      <c r="Q208" s="317" t="n"/>
      <c r="R208" s="39" t="n"/>
      <c r="S208" s="39" t="n"/>
      <c r="T208" s="317" t="n"/>
      <c r="U208" s="39" t="n"/>
      <c r="V208" s="39" t="n"/>
      <c r="W208" s="317" t="n"/>
      <c r="X208" s="39" t="n"/>
      <c r="Y208" s="39" t="n"/>
      <c r="Z208" s="317" t="n"/>
      <c r="AA208" s="39" t="n"/>
      <c r="AB208" s="39" t="n"/>
      <c r="AC208" s="317" t="n"/>
      <c r="AD208" s="39" t="n"/>
      <c r="AE208" s="39" t="n"/>
      <c r="AF208" s="317" t="n"/>
      <c r="AG208" s="39" t="n"/>
      <c r="AH208" s="39" t="n"/>
      <c r="AI208" s="317" t="n"/>
      <c r="AJ208" s="39" t="n"/>
      <c r="AK208" s="39" t="n"/>
      <c r="AL208" s="317" t="n"/>
      <c r="AM208" s="352" t="n"/>
      <c r="AN208" s="352" t="n"/>
      <c r="AO208" s="317" t="n"/>
      <c r="AP208" s="352" t="n"/>
      <c r="AQ208" s="352" t="n"/>
      <c r="AR208" s="317" t="n"/>
      <c r="AS208" s="352" t="n"/>
      <c r="AT208" s="352" t="n"/>
      <c r="AU208" s="317" t="n"/>
      <c r="AV208" s="352" t="n"/>
      <c r="AW208" s="352" t="n"/>
      <c r="AX208" s="317" t="n"/>
      <c r="AY208" s="317" t="n"/>
      <c r="AZ208" s="39" t="n"/>
      <c r="BA208" s="317" t="n"/>
      <c r="BB208" s="39" t="n"/>
      <c r="BC208" s="317" t="n"/>
      <c r="BD208" s="39" t="n"/>
      <c r="BE208" s="317" t="n"/>
      <c r="BF208" s="39" t="n"/>
      <c r="BG208" s="317" t="n"/>
      <c r="BH208" s="39" t="n"/>
      <c r="BI208" s="317" t="n"/>
      <c r="BJ208" s="39" t="n"/>
      <c r="BK208" s="317" t="n"/>
      <c r="BL208" s="39" t="n"/>
      <c r="BM208" s="317" t="n"/>
      <c r="BN208" s="39" t="n"/>
      <c r="BO208" s="317" t="n"/>
      <c r="BP208" s="354" t="n"/>
      <c r="BQ208" s="39" t="n"/>
      <c r="BR208" s="317" t="n"/>
      <c r="BS208" s="39" t="n"/>
      <c r="BT208" s="317" t="n"/>
      <c r="BU208" s="39" t="n"/>
      <c r="BV208" s="317" t="n"/>
      <c r="BW208" s="39" t="n"/>
      <c r="BX208" s="317" t="n"/>
      <c r="BY208" s="39" t="n"/>
      <c r="BZ208" s="317" t="n"/>
      <c r="CA208" s="39" t="n"/>
      <c r="CB208" s="317" t="n"/>
      <c r="CC208" s="39" t="n"/>
      <c r="CD208" s="317" t="n"/>
      <c r="CE208" s="39" t="n"/>
      <c r="CF208" s="317" t="n"/>
      <c r="CG208" s="39" t="n"/>
      <c r="CH208" s="317" t="n"/>
      <c r="CI208" s="39" t="n"/>
      <c r="CJ208" s="317" t="n"/>
      <c r="CK208" s="39" t="n"/>
      <c r="CL208" s="317" t="n"/>
      <c r="CM208" s="39" t="n"/>
      <c r="CN208" s="317" t="n"/>
      <c r="CO208" s="39" t="n"/>
      <c r="CP208" s="317" t="n"/>
      <c r="CQ208" s="39" t="n"/>
      <c r="CR208" s="317" t="n"/>
      <c r="CS208" s="39" t="n"/>
      <c r="CT208" s="317" t="n"/>
      <c r="CU208" s="39" t="n"/>
      <c r="CV208" s="39" t="n"/>
      <c r="CW208" s="355" t="n"/>
      <c r="CX208" s="39" t="n"/>
      <c r="CY208" s="355" t="n"/>
      <c r="CZ208" s="39" t="n"/>
      <c r="DA208" s="355" t="n"/>
      <c r="DB208" s="39" t="n"/>
      <c r="DC208" s="117" t="n"/>
      <c r="DD208" s="39" t="n"/>
      <c r="DE208" s="356" t="n"/>
      <c r="DF208" s="356" t="n"/>
    </row>
    <row r="209" customFormat="1" s="116">
      <c r="A209" s="351" t="n"/>
      <c r="B209" s="317" t="n"/>
      <c r="C209" s="39" t="n"/>
      <c r="D209" s="39" t="n"/>
      <c r="E209" s="317" t="n"/>
      <c r="F209" s="39" t="n"/>
      <c r="G209" s="39" t="n"/>
      <c r="H209" s="317" t="n"/>
      <c r="I209" s="39" t="n"/>
      <c r="J209" s="39" t="n"/>
      <c r="K209" s="317" t="n"/>
      <c r="L209" s="39" t="n"/>
      <c r="M209" s="39" t="n"/>
      <c r="N209" s="317" t="n"/>
      <c r="O209" s="39" t="n"/>
      <c r="P209" s="39" t="n"/>
      <c r="Q209" s="317" t="n"/>
      <c r="R209" s="39" t="n"/>
      <c r="S209" s="39" t="n"/>
      <c r="T209" s="317" t="n"/>
      <c r="U209" s="39" t="n"/>
      <c r="V209" s="39" t="n"/>
      <c r="W209" s="317" t="n"/>
      <c r="X209" s="39" t="n"/>
      <c r="Y209" s="39" t="n"/>
      <c r="Z209" s="317" t="n"/>
      <c r="AA209" s="39" t="n"/>
      <c r="AB209" s="39" t="n"/>
      <c r="AC209" s="317" t="n"/>
      <c r="AD209" s="39" t="n"/>
      <c r="AE209" s="39" t="n"/>
      <c r="AF209" s="317" t="n"/>
      <c r="AG209" s="39" t="n"/>
      <c r="AH209" s="39" t="n"/>
      <c r="AI209" s="317" t="n"/>
      <c r="AJ209" s="39" t="n"/>
      <c r="AK209" s="39" t="n"/>
      <c r="AL209" s="317" t="n"/>
      <c r="AM209" s="352" t="n"/>
      <c r="AN209" s="352" t="n"/>
      <c r="AO209" s="317" t="n"/>
      <c r="AP209" s="352" t="n"/>
      <c r="AQ209" s="352" t="n"/>
      <c r="AR209" s="317" t="n"/>
      <c r="AS209" s="352" t="n"/>
      <c r="AT209" s="352" t="n"/>
      <c r="AU209" s="317" t="n"/>
      <c r="AV209" s="352" t="n"/>
      <c r="AW209" s="352" t="n"/>
      <c r="AX209" s="317" t="n"/>
      <c r="AY209" s="317" t="n"/>
      <c r="AZ209" s="39" t="n"/>
      <c r="BA209" s="317" t="n"/>
      <c r="BB209" s="39" t="n"/>
      <c r="BC209" s="317" t="n"/>
      <c r="BD209" s="39" t="n"/>
      <c r="BE209" s="317" t="n"/>
      <c r="BF209" s="39" t="n"/>
      <c r="BG209" s="317" t="n"/>
      <c r="BH209" s="39" t="n"/>
      <c r="BI209" s="317" t="n"/>
      <c r="BJ209" s="39" t="n"/>
      <c r="BK209" s="317" t="n"/>
      <c r="BL209" s="39" t="n"/>
      <c r="BM209" s="317" t="n"/>
      <c r="BN209" s="39" t="n"/>
      <c r="BO209" s="317" t="n"/>
      <c r="BP209" s="354" t="n"/>
      <c r="BQ209" s="39" t="n"/>
      <c r="BR209" s="317" t="n"/>
      <c r="BS209" s="39" t="n"/>
      <c r="BT209" s="317" t="n"/>
      <c r="BU209" s="39" t="n"/>
      <c r="BV209" s="317" t="n"/>
      <c r="BW209" s="39" t="n"/>
      <c r="BX209" s="317" t="n"/>
      <c r="BY209" s="39" t="n"/>
      <c r="BZ209" s="317" t="n"/>
      <c r="CA209" s="39" t="n"/>
      <c r="CB209" s="317" t="n"/>
      <c r="CC209" s="39" t="n"/>
      <c r="CD209" s="317" t="n"/>
      <c r="CE209" s="39" t="n"/>
      <c r="CF209" s="317" t="n"/>
      <c r="CG209" s="39" t="n"/>
      <c r="CH209" s="317" t="n"/>
      <c r="CI209" s="39" t="n"/>
      <c r="CJ209" s="317" t="n"/>
      <c r="CK209" s="39" t="n"/>
      <c r="CL209" s="317" t="n"/>
      <c r="CM209" s="39" t="n"/>
      <c r="CN209" s="317" t="n"/>
      <c r="CO209" s="39" t="n"/>
      <c r="CP209" s="317" t="n"/>
      <c r="CQ209" s="39" t="n"/>
      <c r="CR209" s="317" t="n"/>
      <c r="CS209" s="39" t="n"/>
      <c r="CT209" s="317" t="n"/>
      <c r="CU209" s="39" t="n"/>
      <c r="CV209" s="39" t="n"/>
      <c r="CW209" s="355" t="n"/>
      <c r="CX209" s="39" t="n"/>
      <c r="CY209" s="355" t="n"/>
      <c r="CZ209" s="39" t="n"/>
      <c r="DA209" s="355" t="n"/>
      <c r="DB209" s="39" t="n"/>
      <c r="DC209" s="117" t="n"/>
      <c r="DD209" s="39" t="n"/>
      <c r="DE209" s="356" t="n"/>
      <c r="DF209" s="356" t="n"/>
    </row>
    <row r="210" customFormat="1" s="116">
      <c r="A210" s="351" t="n"/>
      <c r="B210" s="317" t="n"/>
      <c r="C210" s="39" t="n"/>
      <c r="D210" s="39" t="n"/>
      <c r="E210" s="317" t="n"/>
      <c r="F210" s="39" t="n"/>
      <c r="G210" s="39" t="n"/>
      <c r="H210" s="317" t="n"/>
      <c r="I210" s="39" t="n"/>
      <c r="J210" s="39" t="n"/>
      <c r="K210" s="317" t="n"/>
      <c r="L210" s="39" t="n"/>
      <c r="M210" s="39" t="n"/>
      <c r="N210" s="317" t="n"/>
      <c r="O210" s="39" t="n"/>
      <c r="P210" s="39" t="n"/>
      <c r="Q210" s="317" t="n"/>
      <c r="R210" s="39" t="n"/>
      <c r="S210" s="39" t="n"/>
      <c r="T210" s="317" t="n"/>
      <c r="U210" s="39" t="n"/>
      <c r="V210" s="39" t="n"/>
      <c r="W210" s="317" t="n"/>
      <c r="X210" s="39" t="n"/>
      <c r="Y210" s="39" t="n"/>
      <c r="Z210" s="317" t="n"/>
      <c r="AA210" s="39" t="n"/>
      <c r="AB210" s="39" t="n"/>
      <c r="AC210" s="317" t="n"/>
      <c r="AD210" s="39" t="n"/>
      <c r="AE210" s="39" t="n"/>
      <c r="AF210" s="317" t="n"/>
      <c r="AG210" s="39" t="n"/>
      <c r="AH210" s="39" t="n"/>
      <c r="AI210" s="317" t="n"/>
      <c r="AJ210" s="39" t="n"/>
      <c r="AK210" s="39" t="n"/>
      <c r="AL210" s="317" t="n"/>
      <c r="AM210" s="352" t="n"/>
      <c r="AN210" s="352" t="n"/>
      <c r="AO210" s="317" t="n"/>
      <c r="AP210" s="352" t="n"/>
      <c r="AQ210" s="352" t="n"/>
      <c r="AR210" s="317" t="n"/>
      <c r="AS210" s="352" t="n"/>
      <c r="AT210" s="352" t="n"/>
      <c r="AU210" s="317" t="n"/>
      <c r="AV210" s="352" t="n"/>
      <c r="AW210" s="352" t="n"/>
      <c r="AX210" s="317" t="n"/>
      <c r="AY210" s="317" t="n"/>
      <c r="AZ210" s="39" t="n"/>
      <c r="BA210" s="317" t="n"/>
      <c r="BB210" s="39" t="n"/>
      <c r="BC210" s="317" t="n"/>
      <c r="BD210" s="39" t="n"/>
      <c r="BE210" s="317" t="n"/>
      <c r="BF210" s="39" t="n"/>
      <c r="BG210" s="317" t="n"/>
      <c r="BH210" s="39" t="n"/>
      <c r="BI210" s="317" t="n"/>
      <c r="BJ210" s="39" t="n"/>
      <c r="BK210" s="317" t="n"/>
      <c r="BL210" s="39" t="n"/>
      <c r="BM210" s="317" t="n"/>
      <c r="BN210" s="39" t="n"/>
      <c r="BO210" s="317" t="n"/>
      <c r="BP210" s="354" t="n"/>
      <c r="BQ210" s="39" t="n"/>
      <c r="BR210" s="317" t="n"/>
      <c r="BS210" s="39" t="n"/>
      <c r="BT210" s="317" t="n"/>
      <c r="BU210" s="39" t="n"/>
      <c r="BV210" s="317" t="n"/>
      <c r="BW210" s="39" t="n"/>
      <c r="BX210" s="317" t="n"/>
      <c r="BY210" s="39" t="n"/>
      <c r="BZ210" s="317" t="n"/>
      <c r="CA210" s="39" t="n"/>
      <c r="CB210" s="317" t="n"/>
      <c r="CC210" s="39" t="n"/>
      <c r="CD210" s="317" t="n"/>
      <c r="CE210" s="39" t="n"/>
      <c r="CF210" s="317" t="n"/>
      <c r="CG210" s="39" t="n"/>
      <c r="CH210" s="317" t="n"/>
      <c r="CI210" s="39" t="n"/>
      <c r="CJ210" s="317" t="n"/>
      <c r="CK210" s="39" t="n"/>
      <c r="CL210" s="317" t="n"/>
      <c r="CM210" s="39" t="n"/>
      <c r="CN210" s="317" t="n"/>
      <c r="CO210" s="39" t="n"/>
      <c r="CP210" s="317" t="n"/>
      <c r="CQ210" s="39" t="n"/>
      <c r="CR210" s="317" t="n"/>
      <c r="CS210" s="39" t="n"/>
      <c r="CT210" s="317" t="n"/>
      <c r="CU210" s="39" t="n"/>
      <c r="CV210" s="39" t="n"/>
      <c r="CW210" s="355" t="n"/>
      <c r="CX210" s="39" t="n"/>
      <c r="CY210" s="355" t="n"/>
      <c r="CZ210" s="39" t="n"/>
      <c r="DA210" s="355" t="n"/>
      <c r="DB210" s="39" t="n"/>
      <c r="DC210" s="117" t="n"/>
      <c r="DD210" s="39" t="n"/>
      <c r="DE210" s="356" t="n"/>
      <c r="DF210" s="356" t="n"/>
    </row>
    <row r="211" ht="13" customFormat="1" customHeight="1" s="40">
      <c r="A211" s="326" t="n"/>
      <c r="B211" s="291" t="n"/>
      <c r="C211" s="39" t="n"/>
      <c r="D211" s="39" t="n"/>
      <c r="E211" s="291" t="n"/>
      <c r="F211" s="39" t="n"/>
      <c r="G211" s="39" t="n"/>
      <c r="H211" s="291" t="n"/>
      <c r="I211" s="39" t="n"/>
      <c r="J211" s="39" t="n"/>
      <c r="K211" s="291" t="n"/>
      <c r="L211" s="39" t="n"/>
      <c r="M211" s="39" t="n"/>
      <c r="N211" s="291" t="n"/>
      <c r="O211" s="39" t="n"/>
      <c r="P211" s="39" t="n"/>
      <c r="Q211" s="291" t="n"/>
      <c r="R211" s="39" t="n"/>
      <c r="S211" s="39" t="n"/>
      <c r="T211" s="291" t="n"/>
      <c r="U211" s="39" t="n"/>
      <c r="V211" s="39" t="n"/>
      <c r="W211" s="291" t="n"/>
      <c r="X211" s="39" t="n"/>
      <c r="Y211" s="39" t="n"/>
      <c r="Z211" s="291" t="n"/>
      <c r="AA211" s="39" t="n"/>
      <c r="AB211" s="39" t="n"/>
      <c r="AC211" s="291" t="n"/>
      <c r="AD211" s="39" t="n"/>
      <c r="AE211" s="39" t="n"/>
      <c r="AF211" s="291" t="n"/>
      <c r="AG211" s="39" t="n"/>
      <c r="AH211" s="39" t="n"/>
      <c r="AI211" s="291" t="n"/>
      <c r="AJ211" s="39" t="n"/>
      <c r="AK211" s="39" t="n"/>
      <c r="AL211" s="291" t="n"/>
      <c r="AM211" s="291" t="n"/>
      <c r="AN211" s="291" t="n"/>
      <c r="AO211" s="291" t="n"/>
      <c r="AP211" s="291" t="n"/>
      <c r="AQ211" s="291" t="n"/>
      <c r="AR211" s="291" t="n"/>
      <c r="AS211" s="291" t="n"/>
      <c r="AT211" s="291" t="n"/>
      <c r="AU211" s="291" t="n"/>
      <c r="AV211" s="291" t="n"/>
      <c r="AW211" s="291" t="n"/>
      <c r="AX211" s="291" t="n"/>
      <c r="AY211" s="291" t="n"/>
      <c r="AZ211" s="39" t="n"/>
      <c r="BA211" s="291" t="n"/>
      <c r="BB211" s="39" t="n"/>
      <c r="BC211" s="291" t="n"/>
      <c r="BD211" s="39" t="n"/>
      <c r="BE211" s="291" t="n"/>
      <c r="BF211" s="39" t="n"/>
      <c r="BG211" s="291" t="n"/>
      <c r="BH211" s="39" t="n"/>
      <c r="BI211" s="291" t="n"/>
      <c r="BJ211" s="39" t="n"/>
      <c r="BK211" s="291" t="n"/>
      <c r="BL211" s="39" t="n"/>
      <c r="BM211" s="291" t="n"/>
      <c r="BN211" s="39" t="n"/>
      <c r="BO211" s="291" t="n"/>
      <c r="BP211" s="291" t="n"/>
      <c r="BQ211" s="39" t="n"/>
      <c r="BR211" s="291" t="n"/>
      <c r="BS211" s="39" t="n"/>
      <c r="BT211" s="291" t="n"/>
      <c r="BU211" s="39" t="n"/>
      <c r="BV211" s="291" t="n"/>
      <c r="BW211" s="39" t="n"/>
      <c r="BX211" s="291" t="n"/>
      <c r="BY211" s="39" t="n"/>
      <c r="BZ211" s="291" t="n"/>
      <c r="CA211" s="39" t="n"/>
      <c r="CB211" s="291" t="n"/>
      <c r="CC211" s="39" t="n"/>
      <c r="CD211" s="291" t="n"/>
      <c r="CE211" s="39" t="n"/>
      <c r="CF211" s="291" t="n"/>
      <c r="CG211" s="291" t="n"/>
      <c r="CH211" s="291" t="n"/>
      <c r="CI211" s="291" t="n"/>
      <c r="CJ211" s="291" t="n"/>
      <c r="CK211" s="291" t="n"/>
      <c r="CL211" s="291" t="n"/>
      <c r="CM211" s="291" t="n"/>
      <c r="CN211" s="291" t="n"/>
      <c r="CO211" s="291" t="n"/>
      <c r="CP211" s="343" t="n"/>
      <c r="CQ211" s="291" t="n"/>
      <c r="CR211" s="343" t="n"/>
      <c r="CS211" s="291" t="n"/>
      <c r="CT211" s="343" t="n"/>
      <c r="CU211" s="291" t="n"/>
      <c r="CV211" s="343" t="n"/>
      <c r="CW211" s="291" t="n"/>
      <c r="CX211" s="39" t="n"/>
      <c r="CY211" s="291" t="n"/>
      <c r="CZ211" s="39" t="n"/>
      <c r="DA211" s="291" t="n"/>
      <c r="DB211" s="39" t="n"/>
      <c r="DC211" s="291" t="n"/>
      <c r="DD211" s="39" t="n"/>
      <c r="DE211" s="311" t="n"/>
      <c r="DF211" s="311" t="n"/>
    </row>
    <row r="212" ht="13" customFormat="1" customHeight="1" s="40">
      <c r="A212" s="335" t="n"/>
      <c r="B212" s="291" t="n"/>
      <c r="C212" s="37" t="n"/>
      <c r="D212" s="37" t="n"/>
      <c r="E212" s="291" t="n"/>
      <c r="F212" s="37" t="n"/>
      <c r="G212" s="37" t="n"/>
      <c r="H212" s="291" t="n"/>
      <c r="I212" s="37" t="n"/>
      <c r="J212" s="37" t="n"/>
      <c r="K212" s="291" t="n"/>
      <c r="L212" s="37" t="n"/>
      <c r="M212" s="37" t="n"/>
      <c r="N212" s="291" t="n"/>
      <c r="O212" s="37" t="n"/>
      <c r="P212" s="37" t="n"/>
      <c r="Q212" s="291" t="n"/>
      <c r="R212" s="37" t="n"/>
      <c r="S212" s="37" t="n"/>
      <c r="T212" s="291" t="n"/>
      <c r="U212" s="37" t="n"/>
      <c r="V212" s="37" t="n"/>
      <c r="W212" s="291" t="n"/>
      <c r="X212" s="37" t="n"/>
      <c r="Y212" s="37" t="n"/>
      <c r="Z212" s="291" t="n"/>
      <c r="AA212" s="37" t="n"/>
      <c r="AB212" s="37" t="n"/>
      <c r="AC212" s="291" t="n"/>
      <c r="AD212" s="37" t="n"/>
      <c r="AE212" s="37" t="n"/>
      <c r="AF212" s="291" t="n"/>
      <c r="AG212" s="37" t="n"/>
      <c r="AH212" s="37" t="n"/>
      <c r="AI212" s="291" t="n"/>
      <c r="AJ212" s="37" t="n"/>
      <c r="AK212" s="37" t="n"/>
      <c r="AL212" s="291" t="n"/>
      <c r="AM212" s="291" t="n"/>
      <c r="AN212" s="291" t="n"/>
      <c r="AO212" s="291" t="n"/>
      <c r="AP212" s="291" t="n"/>
      <c r="AQ212" s="291" t="n"/>
      <c r="AR212" s="291" t="n"/>
      <c r="AS212" s="291" t="n"/>
      <c r="AT212" s="291" t="n"/>
      <c r="AU212" s="291" t="n"/>
      <c r="AV212" s="291" t="n"/>
      <c r="AW212" s="291" t="n"/>
      <c r="AX212" s="291" t="n"/>
      <c r="AY212" s="291" t="n"/>
      <c r="AZ212" s="291" t="n"/>
      <c r="BA212" s="291" t="n"/>
      <c r="BB212" s="291" t="n"/>
      <c r="BC212" s="291" t="n"/>
      <c r="BD212" s="291" t="n"/>
      <c r="BE212" s="291" t="n"/>
      <c r="BF212" s="291" t="n"/>
      <c r="BG212" s="291" t="n"/>
      <c r="BH212" s="291" t="n"/>
      <c r="BI212" s="291" t="n"/>
      <c r="BJ212" s="291" t="n"/>
      <c r="BK212" s="291" t="n"/>
      <c r="BL212" s="291" t="n"/>
      <c r="BM212" s="291" t="n"/>
      <c r="BN212" s="291" t="n"/>
      <c r="BO212" s="291" t="n"/>
      <c r="BP212" s="291" t="n"/>
      <c r="BQ212" s="291" t="n"/>
      <c r="BR212" s="291" t="n"/>
      <c r="BS212" s="291" t="n"/>
      <c r="BT212" s="291" t="n"/>
      <c r="BU212" s="291" t="n"/>
      <c r="BV212" s="291" t="n"/>
      <c r="BW212" s="291" t="n"/>
      <c r="BX212" s="291" t="n"/>
      <c r="BY212" s="291" t="n"/>
      <c r="BZ212" s="291" t="n"/>
      <c r="CA212" s="291" t="n"/>
      <c r="CB212" s="291" t="n"/>
      <c r="CC212" s="291" t="n"/>
      <c r="CD212" s="291" t="n"/>
      <c r="CE212" s="291" t="n"/>
      <c r="CF212" s="291" t="n"/>
      <c r="CG212" s="291" t="n"/>
      <c r="CH212" s="291" t="n"/>
      <c r="CI212" s="291" t="n"/>
      <c r="CJ212" s="291" t="n"/>
      <c r="CK212" s="291" t="n"/>
      <c r="CL212" s="291" t="n"/>
      <c r="CM212" s="291" t="n"/>
      <c r="CN212" s="291" t="n"/>
      <c r="CO212" s="291" t="n"/>
      <c r="CP212" s="343" t="n"/>
      <c r="CQ212" s="291" t="n"/>
      <c r="CR212" s="343" t="n"/>
      <c r="CS212" s="291" t="n"/>
      <c r="CT212" s="343" t="n"/>
      <c r="CU212" s="291" t="n"/>
      <c r="CV212" s="343" t="n"/>
      <c r="CW212" s="291" t="n"/>
      <c r="CX212" s="291" t="n"/>
      <c r="CY212" s="291" t="n"/>
      <c r="CZ212" s="291" t="n"/>
      <c r="DA212" s="291" t="n"/>
      <c r="DB212" s="291" t="n"/>
      <c r="DC212" s="291" t="n"/>
      <c r="DD212" s="291" t="n"/>
      <c r="DE212" s="311" t="n"/>
      <c r="DF212" s="311" t="n"/>
    </row>
    <row r="213" ht="13" customFormat="1" customHeight="1" s="40">
      <c r="A213" s="326" t="n"/>
      <c r="B213" s="291" t="n"/>
      <c r="C213" s="37" t="n"/>
      <c r="D213" s="37" t="n"/>
      <c r="E213" s="291" t="n"/>
      <c r="F213" s="37" t="n"/>
      <c r="G213" s="37" t="n"/>
      <c r="H213" s="291" t="n"/>
      <c r="I213" s="37" t="n"/>
      <c r="J213" s="37" t="n"/>
      <c r="K213" s="291" t="n"/>
      <c r="L213" s="37" t="n"/>
      <c r="M213" s="37" t="n"/>
      <c r="N213" s="291" t="n"/>
      <c r="O213" s="37" t="n"/>
      <c r="P213" s="37" t="n"/>
      <c r="Q213" s="291" t="n"/>
      <c r="R213" s="37" t="n"/>
      <c r="S213" s="37" t="n"/>
      <c r="T213" s="291" t="n"/>
      <c r="U213" s="37" t="n"/>
      <c r="V213" s="37" t="n"/>
      <c r="W213" s="291" t="n"/>
      <c r="X213" s="37" t="n"/>
      <c r="Y213" s="37" t="n"/>
      <c r="Z213" s="291" t="n"/>
      <c r="AA213" s="37" t="n"/>
      <c r="AB213" s="37" t="n"/>
      <c r="AC213" s="291" t="n"/>
      <c r="AD213" s="37" t="n"/>
      <c r="AE213" s="37" t="n"/>
      <c r="AF213" s="291" t="n"/>
      <c r="AG213" s="37" t="n"/>
      <c r="AH213" s="37" t="n"/>
      <c r="AI213" s="291" t="n"/>
      <c r="AJ213" s="37" t="n"/>
      <c r="AK213" s="37" t="n"/>
      <c r="AL213" s="291" t="n"/>
      <c r="AM213" s="291" t="n"/>
      <c r="AN213" s="291" t="n"/>
      <c r="AO213" s="291" t="n"/>
      <c r="AP213" s="291" t="n"/>
      <c r="AQ213" s="291" t="n"/>
      <c r="AR213" s="291" t="n"/>
      <c r="AS213" s="291" t="n"/>
      <c r="AT213" s="291" t="n"/>
      <c r="AU213" s="291" t="n"/>
      <c r="AV213" s="39" t="n"/>
      <c r="AW213" s="39" t="n"/>
      <c r="AX213" s="291" t="n"/>
      <c r="AY213" s="291" t="n"/>
      <c r="AZ213" s="291" t="n"/>
      <c r="BA213" s="291" t="n"/>
      <c r="BB213" s="291" t="n"/>
      <c r="BC213" s="291" t="n"/>
      <c r="BD213" s="291" t="n"/>
      <c r="BE213" s="291" t="n"/>
      <c r="BF213" s="291" t="n"/>
      <c r="BG213" s="291" t="n"/>
      <c r="BH213" s="291" t="n"/>
      <c r="BI213" s="291" t="n"/>
      <c r="BJ213" s="291" t="n"/>
      <c r="BK213" s="291" t="n"/>
      <c r="BL213" s="291" t="n"/>
      <c r="BM213" s="291" t="n"/>
      <c r="BN213" s="291" t="n"/>
      <c r="BO213" s="291" t="n"/>
      <c r="BP213" s="291" t="n"/>
      <c r="BQ213" s="291" t="n"/>
      <c r="BR213" s="291" t="n"/>
      <c r="BS213" s="291" t="n"/>
      <c r="BT213" s="291" t="n"/>
      <c r="BU213" s="291" t="n"/>
      <c r="BV213" s="291" t="n"/>
      <c r="BW213" s="291" t="n"/>
      <c r="BX213" s="291" t="n"/>
      <c r="BY213" s="291" t="n"/>
      <c r="BZ213" s="291" t="n"/>
      <c r="CA213" s="291" t="n"/>
      <c r="CB213" s="291" t="n"/>
      <c r="CC213" s="291" t="n"/>
      <c r="CD213" s="291" t="n"/>
      <c r="CE213" s="291" t="n"/>
      <c r="CF213" s="291" t="n"/>
      <c r="CG213" s="291" t="n"/>
      <c r="CH213" s="291" t="n"/>
      <c r="CI213" s="291" t="n"/>
      <c r="CJ213" s="291" t="n"/>
      <c r="CK213" s="291" t="n"/>
      <c r="CL213" s="291" t="n"/>
      <c r="CM213" s="291" t="n"/>
      <c r="CN213" s="291" t="n"/>
      <c r="CO213" s="291" t="n"/>
      <c r="CP213" s="291" t="n"/>
      <c r="CQ213" s="291" t="n"/>
      <c r="CR213" s="291" t="n"/>
      <c r="CS213" s="291" t="n"/>
      <c r="CT213" s="291" t="n"/>
      <c r="CU213" s="291" t="n"/>
      <c r="CV213" s="343" t="n"/>
      <c r="CW213" s="291" t="n"/>
      <c r="CX213" s="291" t="n"/>
      <c r="CY213" s="291" t="n"/>
      <c r="CZ213" s="291" t="n"/>
      <c r="DA213" s="291" t="n"/>
      <c r="DB213" s="291" t="n"/>
      <c r="DC213" s="291" t="n"/>
      <c r="DD213" s="291" t="n"/>
      <c r="DE213" s="311" t="n"/>
      <c r="DF213" s="311" t="n"/>
    </row>
    <row r="214" ht="13" customFormat="1" customHeight="1" s="40">
      <c r="A214" s="326" t="n"/>
      <c r="B214" s="291" t="n"/>
      <c r="C214" s="37" t="n"/>
      <c r="D214" s="37" t="n"/>
      <c r="E214" s="291" t="n"/>
      <c r="F214" s="37" t="n"/>
      <c r="G214" s="37" t="n"/>
      <c r="H214" s="291" t="n"/>
      <c r="I214" s="37" t="n"/>
      <c r="J214" s="37" t="n"/>
      <c r="K214" s="291" t="n"/>
      <c r="L214" s="37" t="n"/>
      <c r="M214" s="37" t="n"/>
      <c r="N214" s="291" t="n"/>
      <c r="O214" s="37" t="n"/>
      <c r="P214" s="37" t="n"/>
      <c r="Q214" s="291" t="n"/>
      <c r="R214" s="37" t="n"/>
      <c r="S214" s="37" t="n"/>
      <c r="T214" s="291" t="n"/>
      <c r="U214" s="37" t="n"/>
      <c r="V214" s="37" t="n"/>
      <c r="W214" s="291" t="n"/>
      <c r="X214" s="37" t="n"/>
      <c r="Y214" s="37" t="n"/>
      <c r="Z214" s="291" t="n"/>
      <c r="AA214" s="37" t="n"/>
      <c r="AB214" s="37" t="n"/>
      <c r="AC214" s="291" t="n"/>
      <c r="AD214" s="37" t="n"/>
      <c r="AE214" s="37" t="n"/>
      <c r="AF214" s="291" t="n"/>
      <c r="AG214" s="37" t="n"/>
      <c r="AH214" s="37" t="n"/>
      <c r="AI214" s="291" t="n"/>
      <c r="AJ214" s="37" t="n"/>
      <c r="AK214" s="37" t="n"/>
      <c r="AL214" s="291" t="n"/>
      <c r="AM214" s="291" t="n"/>
      <c r="AN214" s="291" t="n"/>
      <c r="AO214" s="291" t="n"/>
      <c r="AP214" s="291" t="n"/>
      <c r="AQ214" s="291" t="n"/>
      <c r="AR214" s="291" t="n"/>
      <c r="AS214" s="291" t="n"/>
      <c r="AT214" s="291" t="n"/>
      <c r="AU214" s="291" t="n"/>
      <c r="AV214" s="39" t="n"/>
      <c r="AW214" s="39" t="n"/>
      <c r="AX214" s="291" t="n"/>
      <c r="AY214" s="291" t="n"/>
      <c r="AZ214" s="291" t="n"/>
      <c r="BA214" s="291" t="n"/>
      <c r="BB214" s="291" t="n"/>
      <c r="BC214" s="291" t="n"/>
      <c r="BD214" s="291" t="n"/>
      <c r="BE214" s="291" t="n"/>
      <c r="BF214" s="291" t="n"/>
      <c r="BG214" s="291" t="n"/>
      <c r="BH214" s="291" t="n"/>
      <c r="BI214" s="291" t="n"/>
      <c r="BJ214" s="291" t="n"/>
      <c r="BK214" s="291" t="n"/>
      <c r="BL214" s="291" t="n"/>
      <c r="BM214" s="291" t="n"/>
      <c r="BN214" s="291" t="n"/>
      <c r="BO214" s="291" t="n"/>
      <c r="BP214" s="291" t="n"/>
      <c r="BQ214" s="291" t="n"/>
      <c r="BR214" s="291" t="n"/>
      <c r="BS214" s="291" t="n"/>
      <c r="BT214" s="291" t="n"/>
      <c r="BU214" s="291" t="n"/>
      <c r="BV214" s="291" t="n"/>
      <c r="BW214" s="291" t="n"/>
      <c r="BX214" s="291" t="n"/>
      <c r="BY214" s="291" t="n"/>
      <c r="BZ214" s="291" t="n"/>
      <c r="CA214" s="291" t="n"/>
      <c r="CB214" s="291" t="n"/>
      <c r="CC214" s="291" t="n"/>
      <c r="CD214" s="291" t="n"/>
      <c r="CE214" s="291" t="n"/>
      <c r="CF214" s="291" t="n"/>
      <c r="CG214" s="291" t="n"/>
      <c r="CH214" s="291" t="n"/>
      <c r="CI214" s="291" t="n"/>
      <c r="CJ214" s="291" t="n"/>
      <c r="CK214" s="291" t="n"/>
      <c r="CL214" s="291" t="n"/>
      <c r="CM214" s="291" t="n"/>
      <c r="CN214" s="291" t="n"/>
      <c r="CO214" s="291" t="n"/>
      <c r="CP214" s="291" t="n"/>
      <c r="CQ214" s="291" t="n"/>
      <c r="CR214" s="291" t="n"/>
      <c r="CS214" s="291" t="n"/>
      <c r="CT214" s="291" t="n"/>
      <c r="CU214" s="291" t="n"/>
      <c r="CV214" s="343" t="n"/>
      <c r="CW214" s="291" t="n"/>
      <c r="CX214" s="291" t="n"/>
      <c r="CY214" s="291" t="n"/>
      <c r="CZ214" s="291" t="n"/>
      <c r="DA214" s="291" t="n"/>
      <c r="DB214" s="291" t="n"/>
      <c r="DC214" s="291" t="n"/>
      <c r="DD214" s="291" t="n"/>
      <c r="DE214" s="311" t="n"/>
      <c r="DF214" s="311" t="n"/>
    </row>
    <row r="215" ht="13" customFormat="1" customHeight="1" s="40">
      <c r="A215" s="326" t="n"/>
      <c r="B215" s="291" t="n"/>
      <c r="C215" s="37" t="n"/>
      <c r="D215" s="37" t="n"/>
      <c r="E215" s="291" t="n"/>
      <c r="F215" s="37" t="n"/>
      <c r="G215" s="37" t="n"/>
      <c r="H215" s="291" t="n"/>
      <c r="I215" s="37" t="n"/>
      <c r="J215" s="37" t="n"/>
      <c r="K215" s="291" t="n"/>
      <c r="L215" s="37" t="n"/>
      <c r="M215" s="37" t="n"/>
      <c r="N215" s="291" t="n"/>
      <c r="O215" s="37" t="n"/>
      <c r="P215" s="37" t="n"/>
      <c r="Q215" s="291" t="n"/>
      <c r="R215" s="37" t="n"/>
      <c r="S215" s="37" t="n"/>
      <c r="T215" s="291" t="n"/>
      <c r="U215" s="37" t="n"/>
      <c r="V215" s="37" t="n"/>
      <c r="W215" s="291" t="n"/>
      <c r="X215" s="37" t="n"/>
      <c r="Y215" s="37" t="n"/>
      <c r="Z215" s="291" t="n"/>
      <c r="AA215" s="37" t="n"/>
      <c r="AB215" s="37" t="n"/>
      <c r="AC215" s="291" t="n"/>
      <c r="AD215" s="37" t="n"/>
      <c r="AE215" s="37" t="n"/>
      <c r="AF215" s="291" t="n"/>
      <c r="AG215" s="37" t="n"/>
      <c r="AH215" s="37" t="n"/>
      <c r="AI215" s="291" t="n"/>
      <c r="AJ215" s="37" t="n"/>
      <c r="AK215" s="37" t="n"/>
      <c r="AL215" s="291" t="n"/>
      <c r="AM215" s="291" t="n"/>
      <c r="AN215" s="291" t="n"/>
      <c r="AO215" s="291" t="n"/>
      <c r="AP215" s="291" t="n"/>
      <c r="AQ215" s="291" t="n"/>
      <c r="AR215" s="291" t="n"/>
      <c r="AS215" s="291" t="n"/>
      <c r="AT215" s="291" t="n"/>
      <c r="AU215" s="291" t="n"/>
      <c r="AV215" s="39" t="n"/>
      <c r="AW215" s="39" t="n"/>
      <c r="AX215" s="291" t="n"/>
      <c r="AY215" s="291" t="n"/>
      <c r="AZ215" s="291" t="n"/>
      <c r="BA215" s="291" t="n"/>
      <c r="BB215" s="291" t="n"/>
      <c r="BC215" s="291" t="n"/>
      <c r="BD215" s="291" t="n"/>
      <c r="BE215" s="291" t="n"/>
      <c r="BF215" s="291" t="n"/>
      <c r="BG215" s="291" t="n"/>
      <c r="BH215" s="291" t="n"/>
      <c r="BI215" s="291" t="n"/>
      <c r="BJ215" s="291" t="n"/>
      <c r="BK215" s="291" t="n"/>
      <c r="BL215" s="291" t="n"/>
      <c r="BM215" s="291" t="n"/>
      <c r="BN215" s="291" t="n"/>
      <c r="BO215" s="291" t="n"/>
      <c r="BP215" s="291" t="n"/>
      <c r="BQ215" s="291" t="n"/>
      <c r="BR215" s="291" t="n"/>
      <c r="BS215" s="291" t="n"/>
      <c r="BT215" s="291" t="n"/>
      <c r="BU215" s="291" t="n"/>
      <c r="BV215" s="291" t="n"/>
      <c r="BW215" s="291" t="n"/>
      <c r="BX215" s="291" t="n"/>
      <c r="BY215" s="291" t="n"/>
      <c r="BZ215" s="291" t="n"/>
      <c r="CA215" s="291" t="n"/>
      <c r="CB215" s="291" t="n"/>
      <c r="CC215" s="291" t="n"/>
      <c r="CD215" s="291" t="n"/>
      <c r="CE215" s="291" t="n"/>
      <c r="CF215" s="291" t="n"/>
      <c r="CG215" s="291" t="n"/>
      <c r="CH215" s="291" t="n"/>
      <c r="CI215" s="291" t="n"/>
      <c r="CJ215" s="291" t="n"/>
      <c r="CK215" s="291" t="n"/>
      <c r="CL215" s="291" t="n"/>
      <c r="CM215" s="291" t="n"/>
      <c r="CN215" s="291" t="n"/>
      <c r="CO215" s="291" t="n"/>
      <c r="CP215" s="291" t="n"/>
      <c r="CQ215" s="291" t="n"/>
      <c r="CR215" s="291" t="n"/>
      <c r="CS215" s="291" t="n"/>
      <c r="CT215" s="291" t="n"/>
      <c r="CU215" s="291" t="n"/>
      <c r="CV215" s="343" t="n"/>
      <c r="CW215" s="291" t="n"/>
      <c r="CX215" s="291" t="n"/>
      <c r="CY215" s="291" t="n"/>
      <c r="CZ215" s="291" t="n"/>
      <c r="DA215" s="291" t="n"/>
      <c r="DB215" s="291" t="n"/>
      <c r="DC215" s="291" t="n"/>
      <c r="DD215" s="291" t="n"/>
      <c r="DE215" s="311" t="n"/>
      <c r="DF215" s="311" t="n"/>
    </row>
    <row r="216" ht="13" customFormat="1" customHeight="1" s="40">
      <c r="A216" s="326" t="n"/>
      <c r="B216" s="291" t="n"/>
      <c r="C216" s="39" t="n"/>
      <c r="D216" s="39" t="n"/>
      <c r="E216" s="291" t="n"/>
      <c r="F216" s="39" t="n"/>
      <c r="G216" s="39" t="n"/>
      <c r="H216" s="291" t="n"/>
      <c r="I216" s="39" t="n"/>
      <c r="J216" s="39" t="n"/>
      <c r="K216" s="291" t="n"/>
      <c r="L216" s="39" t="n"/>
      <c r="M216" s="39" t="n"/>
      <c r="N216" s="291" t="n"/>
      <c r="O216" s="39" t="n"/>
      <c r="P216" s="39" t="n"/>
      <c r="Q216" s="291" t="n"/>
      <c r="R216" s="39" t="n"/>
      <c r="S216" s="39" t="n"/>
      <c r="T216" s="291" t="n"/>
      <c r="U216" s="39" t="n"/>
      <c r="V216" s="39" t="n"/>
      <c r="W216" s="291" t="n"/>
      <c r="X216" s="39" t="n"/>
      <c r="Y216" s="39" t="n"/>
      <c r="Z216" s="291" t="n"/>
      <c r="AA216" s="39" t="n"/>
      <c r="AB216" s="39" t="n"/>
      <c r="AC216" s="291" t="n"/>
      <c r="AD216" s="39" t="n"/>
      <c r="AE216" s="39" t="n"/>
      <c r="AF216" s="291" t="n"/>
      <c r="AG216" s="39" t="n"/>
      <c r="AH216" s="39" t="n"/>
      <c r="AI216" s="291" t="n"/>
      <c r="AJ216" s="39" t="n"/>
      <c r="AK216" s="39" t="n"/>
      <c r="AL216" s="291" t="n"/>
      <c r="AM216" s="39" t="n"/>
      <c r="AN216" s="39" t="n"/>
      <c r="AO216" s="291" t="n"/>
      <c r="AP216" s="39" t="n"/>
      <c r="AQ216" s="39" t="n"/>
      <c r="AR216" s="291" t="n"/>
      <c r="AS216" s="39" t="n"/>
      <c r="AT216" s="39" t="n"/>
      <c r="AU216" s="291" t="n"/>
      <c r="AV216" s="39" t="n"/>
      <c r="AW216" s="39" t="n"/>
      <c r="AX216" s="291" t="n"/>
      <c r="AY216" s="291" t="n"/>
      <c r="AZ216" s="39" t="n"/>
      <c r="BA216" s="291" t="n"/>
      <c r="BB216" s="39" t="n"/>
      <c r="BC216" s="291" t="n"/>
      <c r="BD216" s="39" t="n"/>
      <c r="BE216" s="291" t="n"/>
      <c r="BF216" s="39" t="n"/>
      <c r="BG216" s="291" t="n"/>
      <c r="BH216" s="39" t="n"/>
      <c r="BI216" s="291" t="n"/>
      <c r="BJ216" s="39" t="n"/>
      <c r="BK216" s="291" t="n"/>
      <c r="BL216" s="39" t="n"/>
      <c r="BM216" s="291" t="n"/>
      <c r="BN216" s="39" t="n"/>
      <c r="BO216" s="291" t="n"/>
      <c r="BP216" s="291" t="n"/>
      <c r="BQ216" s="39" t="n"/>
      <c r="BR216" s="291" t="n"/>
      <c r="BS216" s="39" t="n"/>
      <c r="BT216" s="291" t="n"/>
      <c r="BU216" s="39" t="n"/>
      <c r="BV216" s="291" t="n"/>
      <c r="BW216" s="39" t="n"/>
      <c r="BX216" s="291" t="n"/>
      <c r="BY216" s="39" t="n"/>
      <c r="BZ216" s="291" t="n"/>
      <c r="CA216" s="39" t="n"/>
      <c r="CB216" s="291" t="n"/>
      <c r="CC216" s="39" t="n"/>
      <c r="CD216" s="291" t="n"/>
      <c r="CE216" s="39" t="n"/>
      <c r="CF216" s="291" t="n"/>
      <c r="CG216" s="39" t="n"/>
      <c r="CH216" s="291" t="n"/>
      <c r="CI216" s="39" t="n"/>
      <c r="CJ216" s="291" t="n"/>
      <c r="CK216" s="39" t="n"/>
      <c r="CL216" s="291" t="n"/>
      <c r="CM216" s="39" t="n"/>
      <c r="CN216" s="291" t="n"/>
      <c r="CO216" s="39" t="n"/>
      <c r="CP216" s="291" t="n"/>
      <c r="CQ216" s="39" t="n"/>
      <c r="CR216" s="291" t="n"/>
      <c r="CS216" s="39" t="n"/>
      <c r="CT216" s="291" t="n"/>
      <c r="CU216" s="39" t="n"/>
      <c r="CV216" s="343" t="n"/>
      <c r="CW216" s="291" t="n"/>
      <c r="CX216" s="39" t="n"/>
      <c r="CY216" s="291" t="n"/>
      <c r="CZ216" s="39" t="n"/>
      <c r="DA216" s="291" t="n"/>
      <c r="DB216" s="39" t="n"/>
      <c r="DC216" s="291" t="n"/>
      <c r="DD216" s="39" t="n"/>
      <c r="DE216" s="311" t="n"/>
      <c r="DF216" s="311" t="n"/>
    </row>
    <row r="217" ht="13" customFormat="1" customHeight="1" s="40">
      <c r="A217" s="326" t="n"/>
      <c r="B217" s="291" t="n"/>
      <c r="C217" s="39" t="n"/>
      <c r="D217" s="39" t="n"/>
      <c r="E217" s="291" t="n"/>
      <c r="F217" s="39" t="n"/>
      <c r="G217" s="39" t="n"/>
      <c r="H217" s="291" t="n"/>
      <c r="I217" s="39" t="n"/>
      <c r="J217" s="39" t="n"/>
      <c r="K217" s="291" t="n"/>
      <c r="L217" s="39" t="n"/>
      <c r="M217" s="39" t="n"/>
      <c r="N217" s="291" t="n"/>
      <c r="O217" s="39" t="n"/>
      <c r="P217" s="39" t="n"/>
      <c r="Q217" s="291" t="n"/>
      <c r="R217" s="39" t="n"/>
      <c r="S217" s="39" t="n"/>
      <c r="T217" s="291" t="n"/>
      <c r="U217" s="39" t="n"/>
      <c r="V217" s="39" t="n"/>
      <c r="W217" s="291" t="n"/>
      <c r="X217" s="39" t="n"/>
      <c r="Y217" s="39" t="n"/>
      <c r="Z217" s="291" t="n"/>
      <c r="AA217" s="39" t="n"/>
      <c r="AB217" s="39" t="n"/>
      <c r="AC217" s="291" t="n"/>
      <c r="AD217" s="39" t="n"/>
      <c r="AE217" s="39" t="n"/>
      <c r="AF217" s="291" t="n"/>
      <c r="AG217" s="39" t="n"/>
      <c r="AH217" s="39" t="n"/>
      <c r="AI217" s="291" t="n"/>
      <c r="AJ217" s="39" t="n"/>
      <c r="AK217" s="39" t="n"/>
      <c r="AL217" s="291" t="n"/>
      <c r="AM217" s="39" t="n"/>
      <c r="AN217" s="39" t="n"/>
      <c r="AO217" s="291" t="n"/>
      <c r="AP217" s="39" t="n"/>
      <c r="AQ217" s="39" t="n"/>
      <c r="AR217" s="291" t="n"/>
      <c r="AS217" s="39" t="n"/>
      <c r="AT217" s="39" t="n"/>
      <c r="AU217" s="291" t="n"/>
      <c r="AV217" s="39" t="n"/>
      <c r="AW217" s="39" t="n"/>
      <c r="AX217" s="291" t="n"/>
      <c r="AY217" s="291" t="n"/>
      <c r="AZ217" s="39" t="n"/>
      <c r="BA217" s="291" t="n"/>
      <c r="BB217" s="39" t="n"/>
      <c r="BC217" s="291" t="n"/>
      <c r="BD217" s="39" t="n"/>
      <c r="BE217" s="291" t="n"/>
      <c r="BF217" s="39" t="n"/>
      <c r="BG217" s="291" t="n"/>
      <c r="BH217" s="39" t="n"/>
      <c r="BI217" s="291" t="n"/>
      <c r="BJ217" s="39" t="n"/>
      <c r="BK217" s="291" t="n"/>
      <c r="BL217" s="39" t="n"/>
      <c r="BM217" s="291" t="n"/>
      <c r="BN217" s="39" t="n"/>
      <c r="BO217" s="291" t="n"/>
      <c r="BP217" s="291" t="n"/>
      <c r="BQ217" s="39" t="n"/>
      <c r="BR217" s="291" t="n"/>
      <c r="BS217" s="39" t="n"/>
      <c r="BT217" s="291" t="n"/>
      <c r="BU217" s="39" t="n"/>
      <c r="BV217" s="291" t="n"/>
      <c r="BW217" s="39" t="n"/>
      <c r="BX217" s="291" t="n"/>
      <c r="BY217" s="39" t="n"/>
      <c r="BZ217" s="291" t="n"/>
      <c r="CA217" s="39" t="n"/>
      <c r="CB217" s="291" t="n"/>
      <c r="CC217" s="39" t="n"/>
      <c r="CD217" s="291" t="n"/>
      <c r="CE217" s="39" t="n"/>
      <c r="CF217" s="291" t="n"/>
      <c r="CG217" s="39" t="n"/>
      <c r="CH217" s="291" t="n"/>
      <c r="CI217" s="39" t="n"/>
      <c r="CJ217" s="291" t="n"/>
      <c r="CK217" s="39" t="n"/>
      <c r="CL217" s="291" t="n"/>
      <c r="CM217" s="39" t="n"/>
      <c r="CN217" s="291" t="n"/>
      <c r="CO217" s="39" t="n"/>
      <c r="CP217" s="291" t="n"/>
      <c r="CQ217" s="39" t="n"/>
      <c r="CR217" s="291" t="n"/>
      <c r="CS217" s="39" t="n"/>
      <c r="CT217" s="291" t="n"/>
      <c r="CU217" s="39" t="n"/>
      <c r="CV217" s="343" t="n"/>
      <c r="CW217" s="291" t="n"/>
      <c r="CX217" s="39" t="n"/>
      <c r="CY217" s="291" t="n"/>
      <c r="CZ217" s="39" t="n"/>
      <c r="DA217" s="291" t="n"/>
      <c r="DB217" s="39" t="n"/>
      <c r="DC217" s="291" t="n"/>
      <c r="DD217" s="39" t="n"/>
      <c r="DE217" s="311" t="n"/>
      <c r="DF217" s="311" t="n"/>
    </row>
    <row r="218" ht="13" customFormat="1" customHeight="1" s="40">
      <c r="A218" s="326" t="n"/>
      <c r="B218" s="291" t="n"/>
      <c r="C218" s="39" t="n"/>
      <c r="D218" s="39" t="n"/>
      <c r="E218" s="291" t="n"/>
      <c r="F218" s="39" t="n"/>
      <c r="G218" s="39" t="n"/>
      <c r="H218" s="291" t="n"/>
      <c r="I218" s="39" t="n"/>
      <c r="J218" s="39" t="n"/>
      <c r="K218" s="291" t="n"/>
      <c r="L218" s="39" t="n"/>
      <c r="M218" s="39" t="n"/>
      <c r="N218" s="291" t="n"/>
      <c r="O218" s="39" t="n"/>
      <c r="P218" s="39" t="n"/>
      <c r="Q218" s="291" t="n"/>
      <c r="R218" s="39" t="n"/>
      <c r="S218" s="39" t="n"/>
      <c r="T218" s="291" t="n"/>
      <c r="U218" s="39" t="n"/>
      <c r="V218" s="39" t="n"/>
      <c r="W218" s="291" t="n"/>
      <c r="X218" s="39" t="n"/>
      <c r="Y218" s="39" t="n"/>
      <c r="Z218" s="291" t="n"/>
      <c r="AA218" s="39" t="n"/>
      <c r="AB218" s="39" t="n"/>
      <c r="AC218" s="291" t="n"/>
      <c r="AD218" s="39" t="n"/>
      <c r="AE218" s="39" t="n"/>
      <c r="AF218" s="291" t="n"/>
      <c r="AG218" s="39" t="n"/>
      <c r="AH218" s="39" t="n"/>
      <c r="AI218" s="291" t="n"/>
      <c r="AJ218" s="39" t="n"/>
      <c r="AK218" s="39" t="n"/>
      <c r="AL218" s="291" t="n"/>
      <c r="AM218" s="39" t="n"/>
      <c r="AN218" s="39" t="n"/>
      <c r="AO218" s="291" t="n"/>
      <c r="AP218" s="39" t="n"/>
      <c r="AQ218" s="39" t="n"/>
      <c r="AR218" s="291" t="n"/>
      <c r="AS218" s="39" t="n"/>
      <c r="AT218" s="39" t="n"/>
      <c r="AU218" s="291" t="n"/>
      <c r="AV218" s="39" t="n"/>
      <c r="AW218" s="39" t="n"/>
      <c r="AX218" s="291" t="n"/>
      <c r="AY218" s="291" t="n"/>
      <c r="AZ218" s="39" t="n"/>
      <c r="BA218" s="291" t="n"/>
      <c r="BB218" s="39" t="n"/>
      <c r="BC218" s="291" t="n"/>
      <c r="BD218" s="39" t="n"/>
      <c r="BE218" s="291" t="n"/>
      <c r="BF218" s="39" t="n"/>
      <c r="BG218" s="291" t="n"/>
      <c r="BH218" s="39" t="n"/>
      <c r="BI218" s="291" t="n"/>
      <c r="BJ218" s="39" t="n"/>
      <c r="BK218" s="291" t="n"/>
      <c r="BL218" s="39" t="n"/>
      <c r="BM218" s="291" t="n"/>
      <c r="BN218" s="39" t="n"/>
      <c r="BO218" s="291" t="n"/>
      <c r="BP218" s="291" t="n"/>
      <c r="BQ218" s="39" t="n"/>
      <c r="BR218" s="291" t="n"/>
      <c r="BS218" s="39" t="n"/>
      <c r="BT218" s="291" t="n"/>
      <c r="BU218" s="39" t="n"/>
      <c r="BV218" s="291" t="n"/>
      <c r="BW218" s="39" t="n"/>
      <c r="BX218" s="291" t="n"/>
      <c r="BY218" s="39" t="n"/>
      <c r="BZ218" s="291" t="n"/>
      <c r="CA218" s="39" t="n"/>
      <c r="CB218" s="291" t="n"/>
      <c r="CC218" s="39" t="n"/>
      <c r="CD218" s="291" t="n"/>
      <c r="CE218" s="39" t="n"/>
      <c r="CF218" s="291" t="n"/>
      <c r="CG218" s="39" t="n"/>
      <c r="CH218" s="291" t="n"/>
      <c r="CI218" s="39" t="n"/>
      <c r="CJ218" s="291" t="n"/>
      <c r="CK218" s="39" t="n"/>
      <c r="CL218" s="291" t="n"/>
      <c r="CM218" s="39" t="n"/>
      <c r="CN218" s="291" t="n"/>
      <c r="CO218" s="39" t="n"/>
      <c r="CP218" s="291" t="n"/>
      <c r="CQ218" s="39" t="n"/>
      <c r="CR218" s="291" t="n"/>
      <c r="CS218" s="39" t="n"/>
      <c r="CT218" s="291" t="n"/>
      <c r="CU218" s="39" t="n"/>
      <c r="CV218" s="343" t="n"/>
      <c r="CW218" s="291" t="n"/>
      <c r="CX218" s="39" t="n"/>
      <c r="CY218" s="291" t="n"/>
      <c r="CZ218" s="39" t="n"/>
      <c r="DA218" s="291" t="n"/>
      <c r="DB218" s="39" t="n"/>
      <c r="DC218" s="291" t="n"/>
      <c r="DD218" s="39" t="n"/>
      <c r="DE218" s="311" t="n"/>
      <c r="DF218" s="311" t="n"/>
    </row>
    <row r="219" ht="13" customFormat="1" customHeight="1" s="40">
      <c r="A219" s="326" t="n"/>
      <c r="B219" s="291" t="n"/>
      <c r="C219" s="39" t="n"/>
      <c r="D219" s="39" t="n"/>
      <c r="E219" s="291" t="n"/>
      <c r="F219" s="39" t="n"/>
      <c r="G219" s="39" t="n"/>
      <c r="H219" s="291" t="n"/>
      <c r="I219" s="39" t="n"/>
      <c r="J219" s="39" t="n"/>
      <c r="K219" s="291" t="n"/>
      <c r="L219" s="39" t="n"/>
      <c r="M219" s="39" t="n"/>
      <c r="N219" s="291" t="n"/>
      <c r="O219" s="39" t="n"/>
      <c r="P219" s="39" t="n"/>
      <c r="Q219" s="291" t="n"/>
      <c r="R219" s="39" t="n"/>
      <c r="S219" s="39" t="n"/>
      <c r="T219" s="291" t="n"/>
      <c r="U219" s="39" t="n"/>
      <c r="V219" s="39" t="n"/>
      <c r="W219" s="291" t="n"/>
      <c r="X219" s="39" t="n"/>
      <c r="Y219" s="39" t="n"/>
      <c r="Z219" s="291" t="n"/>
      <c r="AA219" s="39" t="n"/>
      <c r="AB219" s="39" t="n"/>
      <c r="AC219" s="291" t="n"/>
      <c r="AD219" s="39" t="n"/>
      <c r="AE219" s="39" t="n"/>
      <c r="AF219" s="291" t="n"/>
      <c r="AG219" s="39" t="n"/>
      <c r="AH219" s="39" t="n"/>
      <c r="AI219" s="291" t="n"/>
      <c r="AJ219" s="39" t="n"/>
      <c r="AK219" s="39" t="n"/>
      <c r="AL219" s="291" t="n"/>
      <c r="AM219" s="39" t="n"/>
      <c r="AN219" s="39" t="n"/>
      <c r="AO219" s="291" t="n"/>
      <c r="AP219" s="39" t="n"/>
      <c r="AQ219" s="39" t="n"/>
      <c r="AR219" s="291" t="n"/>
      <c r="AS219" s="39" t="n"/>
      <c r="AT219" s="39" t="n"/>
      <c r="AU219" s="291" t="n"/>
      <c r="AV219" s="39" t="n"/>
      <c r="AW219" s="39" t="n"/>
      <c r="AX219" s="291" t="n"/>
      <c r="AY219" s="291" t="n"/>
      <c r="AZ219" s="39" t="n"/>
      <c r="BA219" s="291" t="n"/>
      <c r="BB219" s="39" t="n"/>
      <c r="BC219" s="291" t="n"/>
      <c r="BD219" s="39" t="n"/>
      <c r="BE219" s="291" t="n"/>
      <c r="BF219" s="39" t="n"/>
      <c r="BG219" s="291" t="n"/>
      <c r="BH219" s="39" t="n"/>
      <c r="BI219" s="291" t="n"/>
      <c r="BJ219" s="39" t="n"/>
      <c r="BK219" s="291" t="n"/>
      <c r="BL219" s="39" t="n"/>
      <c r="BM219" s="291" t="n"/>
      <c r="BN219" s="39" t="n"/>
      <c r="BO219" s="291" t="n"/>
      <c r="BP219" s="291" t="n"/>
      <c r="BQ219" s="39" t="n"/>
      <c r="BR219" s="291" t="n"/>
      <c r="BS219" s="39" t="n"/>
      <c r="BT219" s="291" t="n"/>
      <c r="BU219" s="39" t="n"/>
      <c r="BV219" s="291" t="n"/>
      <c r="BW219" s="39" t="n"/>
      <c r="BX219" s="291" t="n"/>
      <c r="BY219" s="39" t="n"/>
      <c r="BZ219" s="291" t="n"/>
      <c r="CA219" s="39" t="n"/>
      <c r="CB219" s="291" t="n"/>
      <c r="CC219" s="39" t="n"/>
      <c r="CD219" s="291" t="n"/>
      <c r="CE219" s="39" t="n"/>
      <c r="CF219" s="291" t="n"/>
      <c r="CG219" s="39" t="n"/>
      <c r="CH219" s="291" t="n"/>
      <c r="CI219" s="39" t="n"/>
      <c r="CJ219" s="291" t="n"/>
      <c r="CK219" s="39" t="n"/>
      <c r="CL219" s="291" t="n"/>
      <c r="CM219" s="39" t="n"/>
      <c r="CN219" s="291" t="n"/>
      <c r="CO219" s="39" t="n"/>
      <c r="CP219" s="291" t="n"/>
      <c r="CQ219" s="39" t="n"/>
      <c r="CR219" s="291" t="n"/>
      <c r="CS219" s="39" t="n"/>
      <c r="CT219" s="291" t="n"/>
      <c r="CU219" s="39" t="n"/>
      <c r="CV219" s="343" t="n"/>
      <c r="CW219" s="291" t="n"/>
      <c r="CX219" s="39" t="n"/>
      <c r="CY219" s="291" t="n"/>
      <c r="CZ219" s="39" t="n"/>
      <c r="DA219" s="291" t="n"/>
      <c r="DB219" s="39" t="n"/>
      <c r="DC219" s="291" t="n"/>
      <c r="DD219" s="39" t="n"/>
      <c r="DE219" s="311" t="n"/>
      <c r="DF219" s="311" t="n"/>
    </row>
    <row r="220" ht="13" customFormat="1" customHeight="1" s="40">
      <c r="A220" s="326" t="n"/>
      <c r="B220" s="291" t="n"/>
      <c r="C220" s="39" t="n"/>
      <c r="D220" s="39" t="n"/>
      <c r="E220" s="291" t="n"/>
      <c r="F220" s="39" t="n"/>
      <c r="G220" s="39" t="n"/>
      <c r="H220" s="291" t="n"/>
      <c r="I220" s="39" t="n"/>
      <c r="J220" s="39" t="n"/>
      <c r="K220" s="291" t="n"/>
      <c r="L220" s="39" t="n"/>
      <c r="M220" s="39" t="n"/>
      <c r="N220" s="291" t="n"/>
      <c r="O220" s="39" t="n"/>
      <c r="P220" s="39" t="n"/>
      <c r="Q220" s="291" t="n"/>
      <c r="R220" s="39" t="n"/>
      <c r="S220" s="39" t="n"/>
      <c r="T220" s="291" t="n"/>
      <c r="U220" s="39" t="n"/>
      <c r="V220" s="39" t="n"/>
      <c r="W220" s="291" t="n"/>
      <c r="X220" s="39" t="n"/>
      <c r="Y220" s="39" t="n"/>
      <c r="Z220" s="291" t="n"/>
      <c r="AA220" s="39" t="n"/>
      <c r="AB220" s="39" t="n"/>
      <c r="AC220" s="291" t="n"/>
      <c r="AD220" s="39" t="n"/>
      <c r="AE220" s="39" t="n"/>
      <c r="AF220" s="291" t="n"/>
      <c r="AG220" s="39" t="n"/>
      <c r="AH220" s="39" t="n"/>
      <c r="AI220" s="291" t="n"/>
      <c r="AJ220" s="39" t="n"/>
      <c r="AK220" s="39" t="n"/>
      <c r="AL220" s="291" t="n"/>
      <c r="AM220" s="39" t="n"/>
      <c r="AN220" s="39" t="n"/>
      <c r="AO220" s="291" t="n"/>
      <c r="AP220" s="39" t="n"/>
      <c r="AQ220" s="39" t="n"/>
      <c r="AR220" s="291" t="n"/>
      <c r="AS220" s="39" t="n"/>
      <c r="AT220" s="39" t="n"/>
      <c r="AU220" s="291" t="n"/>
      <c r="AV220" s="39" t="n"/>
      <c r="AW220" s="39" t="n"/>
      <c r="AX220" s="291" t="n"/>
      <c r="AY220" s="291" t="n"/>
      <c r="AZ220" s="39" t="n"/>
      <c r="BA220" s="291" t="n"/>
      <c r="BB220" s="39" t="n"/>
      <c r="BC220" s="291" t="n"/>
      <c r="BD220" s="39" t="n"/>
      <c r="BE220" s="291" t="n"/>
      <c r="BF220" s="39" t="n"/>
      <c r="BG220" s="291" t="n"/>
      <c r="BH220" s="39" t="n"/>
      <c r="BI220" s="291" t="n"/>
      <c r="BJ220" s="39" t="n"/>
      <c r="BK220" s="291" t="n"/>
      <c r="BL220" s="39" t="n"/>
      <c r="BM220" s="291" t="n"/>
      <c r="BN220" s="39" t="n"/>
      <c r="BO220" s="291" t="n"/>
      <c r="BP220" s="291" t="n"/>
      <c r="BQ220" s="39" t="n"/>
      <c r="BR220" s="291" t="n"/>
      <c r="BS220" s="39" t="n"/>
      <c r="BT220" s="291" t="n"/>
      <c r="BU220" s="39" t="n"/>
      <c r="BV220" s="291" t="n"/>
      <c r="BW220" s="39" t="n"/>
      <c r="BX220" s="291" t="n"/>
      <c r="BY220" s="39" t="n"/>
      <c r="BZ220" s="291" t="n"/>
      <c r="CA220" s="39" t="n"/>
      <c r="CB220" s="291" t="n"/>
      <c r="CC220" s="39" t="n"/>
      <c r="CD220" s="291" t="n"/>
      <c r="CE220" s="39" t="n"/>
      <c r="CF220" s="291" t="n"/>
      <c r="CG220" s="39" t="n"/>
      <c r="CH220" s="291" t="n"/>
      <c r="CI220" s="39" t="n"/>
      <c r="CJ220" s="291" t="n"/>
      <c r="CK220" s="39" t="n"/>
      <c r="CL220" s="291" t="n"/>
      <c r="CM220" s="39" t="n"/>
      <c r="CN220" s="291" t="n"/>
      <c r="CO220" s="39" t="n"/>
      <c r="CP220" s="291" t="n"/>
      <c r="CQ220" s="39" t="n"/>
      <c r="CR220" s="291" t="n"/>
      <c r="CS220" s="39" t="n"/>
      <c r="CT220" s="291" t="n"/>
      <c r="CU220" s="39" t="n"/>
      <c r="CV220" s="343" t="n"/>
      <c r="CW220" s="291" t="n"/>
      <c r="CX220" s="39" t="n"/>
      <c r="CY220" s="291" t="n"/>
      <c r="CZ220" s="39" t="n"/>
      <c r="DA220" s="291" t="n"/>
      <c r="DB220" s="39" t="n"/>
      <c r="DC220" s="291" t="n"/>
      <c r="DD220" s="39" t="n"/>
      <c r="DE220" s="311" t="n"/>
      <c r="DF220" s="311" t="n"/>
    </row>
    <row r="221" ht="13" customFormat="1" customHeight="1" s="116">
      <c r="A221" s="342" t="n"/>
      <c r="B221" s="317" t="n"/>
      <c r="C221" s="39" t="n"/>
      <c r="D221" s="39" t="n"/>
      <c r="E221" s="317" t="n"/>
      <c r="F221" s="39" t="n"/>
      <c r="G221" s="39" t="n"/>
      <c r="H221" s="317" t="n"/>
      <c r="I221" s="39" t="n"/>
      <c r="J221" s="39" t="n"/>
      <c r="K221" s="317" t="n"/>
      <c r="L221" s="39" t="n"/>
      <c r="M221" s="39" t="n"/>
      <c r="N221" s="317" t="n"/>
      <c r="O221" s="39" t="n"/>
      <c r="P221" s="39" t="n"/>
      <c r="Q221" s="317" t="n"/>
      <c r="R221" s="39" t="n"/>
      <c r="S221" s="39" t="n"/>
      <c r="T221" s="317" t="n"/>
      <c r="U221" s="39" t="n"/>
      <c r="V221" s="39" t="n"/>
      <c r="W221" s="317" t="n"/>
      <c r="X221" s="39" t="n"/>
      <c r="Y221" s="39" t="n"/>
      <c r="Z221" s="317" t="n"/>
      <c r="AA221" s="39" t="n"/>
      <c r="AB221" s="39" t="n"/>
      <c r="AC221" s="317" t="n"/>
      <c r="AD221" s="39" t="n"/>
      <c r="AE221" s="39" t="n"/>
      <c r="AF221" s="317" t="n"/>
      <c r="AG221" s="39" t="n"/>
      <c r="AH221" s="39" t="n"/>
      <c r="AI221" s="317" t="n"/>
      <c r="AJ221" s="39" t="n"/>
      <c r="AK221" s="39" t="n"/>
      <c r="AL221" s="317" t="n"/>
      <c r="AM221" s="39" t="n"/>
      <c r="AN221" s="39" t="n"/>
      <c r="AO221" s="317" t="n"/>
      <c r="AP221" s="39" t="n"/>
      <c r="AQ221" s="39" t="n"/>
      <c r="AR221" s="317" t="n"/>
      <c r="AS221" s="39" t="n"/>
      <c r="AT221" s="39" t="n"/>
      <c r="AU221" s="317" t="n"/>
      <c r="AV221" s="39" t="n"/>
      <c r="AW221" s="39" t="n"/>
      <c r="AX221" s="317" t="n"/>
      <c r="AY221" s="317" t="n"/>
      <c r="AZ221" s="39" t="n"/>
      <c r="BA221" s="317" t="n"/>
      <c r="BB221" s="39" t="n"/>
      <c r="BC221" s="317" t="n"/>
      <c r="BD221" s="39" t="n"/>
      <c r="BE221" s="317" t="n"/>
      <c r="BF221" s="39" t="n"/>
      <c r="BG221" s="317" t="n"/>
      <c r="BH221" s="39" t="n"/>
      <c r="BI221" s="317" t="n"/>
      <c r="BJ221" s="39" t="n"/>
      <c r="BK221" s="317" t="n"/>
      <c r="BL221" s="39" t="n"/>
      <c r="BM221" s="317" t="n"/>
      <c r="BN221" s="39" t="n"/>
      <c r="BO221" s="317" t="n"/>
      <c r="BP221" s="317" t="n"/>
      <c r="BQ221" s="39" t="n"/>
      <c r="BR221" s="317" t="n"/>
      <c r="BS221" s="39" t="n"/>
      <c r="BT221" s="317" t="n"/>
      <c r="BU221" s="39" t="n"/>
      <c r="BV221" s="317" t="n"/>
      <c r="BW221" s="39" t="n"/>
      <c r="BX221" s="317" t="n"/>
      <c r="BY221" s="39" t="n"/>
      <c r="BZ221" s="317" t="n"/>
      <c r="CA221" s="39" t="n"/>
      <c r="CB221" s="317" t="n"/>
      <c r="CC221" s="39" t="n"/>
      <c r="CD221" s="317" t="n"/>
      <c r="CE221" s="39" t="n"/>
      <c r="CF221" s="317" t="n"/>
      <c r="CG221" s="39" t="n"/>
      <c r="CH221" s="317" t="n"/>
      <c r="CI221" s="39" t="n"/>
      <c r="CJ221" s="317" t="n"/>
      <c r="CK221" s="39" t="n"/>
      <c r="CL221" s="317" t="n"/>
      <c r="CM221" s="39" t="n"/>
      <c r="CN221" s="317" t="n"/>
      <c r="CO221" s="39" t="n"/>
      <c r="CP221" s="317" t="n"/>
      <c r="CQ221" s="39" t="n"/>
      <c r="CR221" s="317" t="n"/>
      <c r="CS221" s="39" t="n"/>
      <c r="CT221" s="317" t="n"/>
      <c r="CU221" s="39" t="n"/>
      <c r="CV221" s="343" t="n"/>
      <c r="CW221" s="317" t="n"/>
      <c r="CX221" s="39" t="n"/>
      <c r="CY221" s="317" t="n"/>
      <c r="CZ221" s="39" t="n"/>
      <c r="DA221" s="317" t="n"/>
      <c r="DB221" s="39" t="n"/>
      <c r="DC221" s="317" t="n"/>
      <c r="DD221" s="39" t="n"/>
      <c r="DE221" s="319" t="n"/>
      <c r="DF221" s="319" t="n"/>
    </row>
    <row r="222" ht="13" customFormat="1" customHeight="1" s="40">
      <c r="A222" s="326" t="n"/>
      <c r="B222" s="291" t="n"/>
      <c r="C222" s="39" t="n"/>
      <c r="D222" s="39" t="n"/>
      <c r="E222" s="291" t="n"/>
      <c r="F222" s="39" t="n"/>
      <c r="G222" s="39" t="n"/>
      <c r="H222" s="291" t="n"/>
      <c r="I222" s="39" t="n"/>
      <c r="J222" s="39" t="n"/>
      <c r="K222" s="291" t="n"/>
      <c r="L222" s="39" t="n"/>
      <c r="M222" s="39" t="n"/>
      <c r="N222" s="291" t="n"/>
      <c r="O222" s="39" t="n"/>
      <c r="P222" s="39" t="n"/>
      <c r="Q222" s="291" t="n"/>
      <c r="R222" s="39" t="n"/>
      <c r="S222" s="39" t="n"/>
      <c r="T222" s="291" t="n"/>
      <c r="U222" s="39" t="n"/>
      <c r="V222" s="39" t="n"/>
      <c r="W222" s="291" t="n"/>
      <c r="X222" s="39" t="n"/>
      <c r="Y222" s="39" t="n"/>
      <c r="Z222" s="291" t="n"/>
      <c r="AA222" s="39" t="n"/>
      <c r="AB222" s="39" t="n"/>
      <c r="AC222" s="291" t="n"/>
      <c r="AD222" s="39" t="n"/>
      <c r="AE222" s="39" t="n"/>
      <c r="AF222" s="291" t="n"/>
      <c r="AG222" s="39" t="n"/>
      <c r="AH222" s="39" t="n"/>
      <c r="AI222" s="291" t="n"/>
      <c r="AJ222" s="39" t="n"/>
      <c r="AK222" s="39" t="n"/>
      <c r="AL222" s="291" t="n"/>
      <c r="AM222" s="39" t="n"/>
      <c r="AN222" s="39" t="n"/>
      <c r="AO222" s="291" t="n"/>
      <c r="AP222" s="39" t="n"/>
      <c r="AQ222" s="39" t="n"/>
      <c r="AR222" s="291" t="n"/>
      <c r="AS222" s="39" t="n"/>
      <c r="AT222" s="39" t="n"/>
      <c r="AU222" s="291" t="n"/>
      <c r="AV222" s="39" t="n"/>
      <c r="AW222" s="39" t="n"/>
      <c r="AX222" s="291" t="n"/>
      <c r="AY222" s="291" t="n"/>
      <c r="AZ222" s="39" t="n"/>
      <c r="BA222" s="291" t="n"/>
      <c r="BB222" s="39" t="n"/>
      <c r="BC222" s="291" t="n"/>
      <c r="BD222" s="39" t="n"/>
      <c r="BE222" s="291" t="n"/>
      <c r="BF222" s="39" t="n"/>
      <c r="BG222" s="291" t="n"/>
      <c r="BH222" s="39" t="n"/>
      <c r="BI222" s="291" t="n"/>
      <c r="BJ222" s="39" t="n"/>
      <c r="BK222" s="291" t="n"/>
      <c r="BL222" s="39" t="n"/>
      <c r="BM222" s="291" t="n"/>
      <c r="BN222" s="39" t="n"/>
      <c r="BO222" s="291" t="n"/>
      <c r="BP222" s="291" t="n"/>
      <c r="BQ222" s="39" t="n"/>
      <c r="BR222" s="291" t="n"/>
      <c r="BS222" s="39" t="n"/>
      <c r="BT222" s="291" t="n"/>
      <c r="BU222" s="39" t="n"/>
      <c r="BV222" s="291" t="n"/>
      <c r="BW222" s="39" t="n"/>
      <c r="BX222" s="291" t="n"/>
      <c r="BY222" s="39" t="n"/>
      <c r="BZ222" s="291" t="n"/>
      <c r="CA222" s="39" t="n"/>
      <c r="CB222" s="291" t="n"/>
      <c r="CC222" s="39" t="n"/>
      <c r="CD222" s="291" t="n"/>
      <c r="CE222" s="39" t="n"/>
      <c r="CF222" s="291" t="n"/>
      <c r="CG222" s="39" t="n"/>
      <c r="CH222" s="291" t="n"/>
      <c r="CI222" s="39" t="n"/>
      <c r="CJ222" s="291" t="n"/>
      <c r="CK222" s="39" t="n"/>
      <c r="CL222" s="291" t="n"/>
      <c r="CM222" s="39" t="n"/>
      <c r="CN222" s="291" t="n"/>
      <c r="CO222" s="39" t="n"/>
      <c r="CP222" s="291" t="n"/>
      <c r="CQ222" s="39" t="n"/>
      <c r="CR222" s="291" t="n"/>
      <c r="CS222" s="39" t="n"/>
      <c r="CT222" s="291" t="n"/>
      <c r="CU222" s="39" t="n"/>
      <c r="CV222" s="343" t="n"/>
      <c r="CW222" s="291" t="n"/>
      <c r="CX222" s="39" t="n"/>
      <c r="CY222" s="291" t="n"/>
      <c r="CZ222" s="39" t="n"/>
      <c r="DA222" s="291" t="n"/>
      <c r="DB222" s="39" t="n"/>
      <c r="DC222" s="291" t="n"/>
      <c r="DD222" s="39" t="n"/>
      <c r="DE222" s="311" t="n"/>
      <c r="DF222" s="311" t="n"/>
    </row>
    <row r="223" ht="13" customFormat="1" customHeight="1" s="64">
      <c r="A223" s="342" t="n"/>
      <c r="B223" s="317" t="n"/>
      <c r="C223" s="39" t="n"/>
      <c r="D223" s="39" t="n"/>
      <c r="E223" s="317" t="n"/>
      <c r="F223" s="39" t="n"/>
      <c r="G223" s="39" t="n"/>
      <c r="H223" s="317" t="n"/>
      <c r="I223" s="39" t="n"/>
      <c r="J223" s="39" t="n"/>
      <c r="K223" s="317" t="n"/>
      <c r="L223" s="39" t="n"/>
      <c r="M223" s="39" t="n"/>
      <c r="N223" s="317" t="n"/>
      <c r="O223" s="39" t="n"/>
      <c r="P223" s="39" t="n"/>
      <c r="Q223" s="317" t="n"/>
      <c r="R223" s="39" t="n"/>
      <c r="S223" s="39" t="n"/>
      <c r="T223" s="317" t="n"/>
      <c r="U223" s="39" t="n"/>
      <c r="V223" s="39" t="n"/>
      <c r="W223" s="317" t="n"/>
      <c r="X223" s="39" t="n"/>
      <c r="Y223" s="39" t="n"/>
      <c r="Z223" s="317" t="n"/>
      <c r="AA223" s="39" t="n"/>
      <c r="AB223" s="39" t="n"/>
      <c r="AC223" s="317" t="n"/>
      <c r="AD223" s="39" t="n"/>
      <c r="AE223" s="39" t="n"/>
      <c r="AF223" s="317" t="n"/>
      <c r="AG223" s="39" t="n"/>
      <c r="AH223" s="39" t="n"/>
      <c r="AI223" s="317" t="n"/>
      <c r="AJ223" s="39" t="n"/>
      <c r="AK223" s="39" t="n"/>
      <c r="AL223" s="317" t="n"/>
      <c r="AM223" s="39" t="n"/>
      <c r="AN223" s="39" t="n"/>
      <c r="AO223" s="317" t="n"/>
      <c r="AP223" s="39" t="n"/>
      <c r="AQ223" s="39" t="n"/>
      <c r="AR223" s="317" t="n"/>
      <c r="AS223" s="39" t="n"/>
      <c r="AT223" s="39" t="n"/>
      <c r="AU223" s="317" t="n"/>
      <c r="AV223" s="39" t="n"/>
      <c r="AW223" s="39" t="n"/>
      <c r="AX223" s="357" t="n"/>
      <c r="AY223" s="357" t="n"/>
      <c r="AZ223" s="357" t="n"/>
      <c r="BA223" s="357" t="n"/>
      <c r="BB223" s="357" t="n"/>
      <c r="BC223" s="357" t="n"/>
      <c r="BD223" s="357" t="n"/>
      <c r="BE223" s="357" t="n"/>
      <c r="BF223" s="357" t="n"/>
      <c r="BG223" s="357" t="n"/>
      <c r="BH223" s="357" t="n"/>
      <c r="BI223" s="357" t="n"/>
      <c r="BJ223" s="357" t="n"/>
      <c r="BK223" s="357" t="n"/>
      <c r="BL223" s="357" t="n"/>
      <c r="BM223" s="357" t="n"/>
      <c r="BN223" s="357" t="n"/>
      <c r="BO223" s="357" t="n"/>
      <c r="BP223" s="357" t="n"/>
      <c r="BQ223" s="357" t="n"/>
      <c r="BR223" s="357" t="n"/>
      <c r="BS223" s="357" t="n"/>
      <c r="BT223" s="357" t="n"/>
      <c r="BU223" s="357" t="n"/>
      <c r="BV223" s="357" t="n"/>
      <c r="BW223" s="357" t="n"/>
      <c r="BX223" s="357" t="n"/>
      <c r="BY223" s="357" t="n"/>
      <c r="BZ223" s="357" t="n"/>
      <c r="CA223" s="357" t="n"/>
      <c r="CB223" s="357" t="n"/>
      <c r="CC223" s="357" t="n"/>
      <c r="CD223" s="357" t="n"/>
      <c r="CE223" s="357" t="n"/>
      <c r="CF223" s="357" t="n"/>
      <c r="CG223" s="357" t="n"/>
      <c r="CH223" s="357" t="n"/>
      <c r="CI223" s="357" t="n"/>
      <c r="CJ223" s="357" t="n"/>
      <c r="CK223" s="357" t="n"/>
      <c r="CL223" s="357" t="n"/>
      <c r="CM223" s="357" t="n"/>
      <c r="CN223" s="357" t="n"/>
      <c r="CO223" s="357" t="n"/>
      <c r="CP223" s="357" t="n"/>
      <c r="CQ223" s="357" t="n"/>
      <c r="CR223" s="357" t="n"/>
      <c r="CS223" s="357" t="n"/>
      <c r="CT223" s="357" t="n"/>
      <c r="CU223" s="357" t="n"/>
      <c r="CV223" s="357" t="n"/>
      <c r="CW223" s="357" t="n"/>
      <c r="CX223" s="357" t="n"/>
      <c r="CY223" s="357" t="n"/>
      <c r="CZ223" s="357" t="n"/>
      <c r="DA223" s="357" t="n"/>
      <c r="DB223" s="357" t="n"/>
      <c r="DC223" s="357" t="n"/>
      <c r="DD223" s="357" t="n"/>
      <c r="DE223" s="357" t="n"/>
      <c r="DF223" s="357" t="n"/>
    </row>
    <row r="224" ht="13" customFormat="1" customHeight="1" s="64">
      <c r="A224" s="358" t="n"/>
      <c r="B224" s="357" t="n"/>
      <c r="C224" s="39" t="n"/>
      <c r="D224" s="39" t="n"/>
      <c r="E224" s="357" t="n"/>
      <c r="F224" s="39" t="n"/>
      <c r="G224" s="39" t="n"/>
      <c r="H224" s="357" t="n"/>
      <c r="I224" s="39" t="n"/>
      <c r="J224" s="39" t="n"/>
      <c r="K224" s="357" t="n"/>
      <c r="L224" s="39" t="n"/>
      <c r="M224" s="39" t="n"/>
      <c r="N224" s="357" t="n"/>
      <c r="O224" s="39" t="n"/>
      <c r="P224" s="39" t="n"/>
      <c r="Q224" s="357" t="n"/>
      <c r="R224" s="39" t="n"/>
      <c r="S224" s="39" t="n"/>
      <c r="T224" s="357" t="n"/>
      <c r="U224" s="39" t="n"/>
      <c r="V224" s="39" t="n"/>
      <c r="W224" s="357" t="n"/>
      <c r="X224" s="39" t="n"/>
      <c r="Y224" s="39" t="n"/>
      <c r="Z224" s="357" t="n"/>
      <c r="AA224" s="39" t="n"/>
      <c r="AB224" s="39" t="n"/>
      <c r="AC224" s="357" t="n"/>
      <c r="AD224" s="39" t="n"/>
      <c r="AE224" s="39" t="n"/>
      <c r="AF224" s="357" t="n"/>
      <c r="AG224" s="39" t="n"/>
      <c r="AH224" s="39" t="n"/>
      <c r="AI224" s="357" t="n"/>
      <c r="AJ224" s="39" t="n"/>
      <c r="AK224" s="39" t="n"/>
      <c r="AL224" s="357" t="n"/>
      <c r="AM224" s="357" t="n"/>
      <c r="AN224" s="357" t="n"/>
      <c r="AO224" s="357" t="n"/>
      <c r="AP224" s="357" t="n"/>
      <c r="AQ224" s="357" t="n"/>
      <c r="AR224" s="357" t="n"/>
      <c r="AS224" s="357" t="n"/>
      <c r="AT224" s="357" t="n"/>
      <c r="AU224" s="357" t="n"/>
      <c r="AV224" s="357" t="n"/>
      <c r="AW224" s="357" t="n"/>
      <c r="AX224" s="357" t="n"/>
      <c r="AY224" s="357" t="n"/>
      <c r="AZ224" s="357" t="n"/>
      <c r="BA224" s="357" t="n"/>
      <c r="BB224" s="357" t="n"/>
      <c r="BC224" s="357" t="n"/>
      <c r="BD224" s="357" t="n"/>
      <c r="BE224" s="357" t="n"/>
      <c r="BF224" s="357" t="n"/>
      <c r="BG224" s="357" t="n"/>
      <c r="BH224" s="357" t="n"/>
      <c r="BI224" s="357" t="n"/>
      <c r="BJ224" s="357" t="n"/>
      <c r="BK224" s="357" t="n"/>
      <c r="BL224" s="357" t="n"/>
      <c r="BM224" s="357" t="n"/>
      <c r="BN224" s="357" t="n"/>
      <c r="BO224" s="357" t="n"/>
      <c r="BP224" s="357" t="n"/>
      <c r="BQ224" s="357" t="n"/>
      <c r="BR224" s="357" t="n"/>
      <c r="BS224" s="357" t="n"/>
      <c r="BT224" s="357" t="n"/>
      <c r="BU224" s="357" t="n"/>
      <c r="BV224" s="357" t="n"/>
      <c r="BW224" s="357" t="n"/>
      <c r="BX224" s="357" t="n"/>
      <c r="BY224" s="357" t="n"/>
      <c r="BZ224" s="357" t="n"/>
      <c r="CA224" s="357" t="n"/>
      <c r="CB224" s="357" t="n"/>
      <c r="CC224" s="357" t="n"/>
      <c r="CD224" s="357" t="n"/>
      <c r="CE224" s="357" t="n"/>
      <c r="CF224" s="357" t="n"/>
      <c r="CG224" s="357" t="n"/>
      <c r="CH224" s="357" t="n"/>
      <c r="CI224" s="357" t="n"/>
      <c r="CJ224" s="357" t="n"/>
      <c r="CK224" s="357" t="n"/>
      <c r="CL224" s="357" t="n"/>
      <c r="CM224" s="357" t="n"/>
      <c r="CN224" s="357" t="n"/>
      <c r="CO224" s="357" t="n"/>
      <c r="CP224" s="357" t="n"/>
      <c r="CQ224" s="357" t="n"/>
      <c r="CR224" s="357" t="n"/>
      <c r="CS224" s="357" t="n"/>
      <c r="CT224" s="357" t="n"/>
      <c r="CU224" s="357" t="n"/>
      <c r="CV224" s="357" t="n"/>
      <c r="CW224" s="357" t="n"/>
      <c r="CX224" s="357" t="n"/>
      <c r="CY224" s="357" t="n"/>
      <c r="CZ224" s="357" t="n"/>
      <c r="DA224" s="357" t="n"/>
      <c r="DB224" s="357" t="n"/>
      <c r="DC224" s="357" t="n"/>
      <c r="DD224" s="357" t="n"/>
      <c r="DE224" s="357" t="n"/>
      <c r="DF224" s="357" t="n"/>
    </row>
    <row r="225" ht="13" customFormat="1" customHeight="1" s="40">
      <c r="A225" s="326" t="n"/>
      <c r="B225" s="291" t="n"/>
      <c r="C225" s="37" t="n"/>
      <c r="D225" s="37" t="n"/>
      <c r="E225" s="291" t="n"/>
      <c r="F225" s="37" t="n"/>
      <c r="G225" s="37" t="n"/>
      <c r="H225" s="291" t="n"/>
      <c r="I225" s="37" t="n"/>
      <c r="J225" s="37" t="n"/>
      <c r="K225" s="291" t="n"/>
      <c r="L225" s="37" t="n"/>
      <c r="M225" s="37" t="n"/>
      <c r="N225" s="291" t="n"/>
      <c r="O225" s="37" t="n"/>
      <c r="P225" s="37" t="n"/>
      <c r="Q225" s="291" t="n"/>
      <c r="R225" s="37" t="n"/>
      <c r="S225" s="37" t="n"/>
      <c r="T225" s="291" t="n"/>
      <c r="U225" s="37" t="n"/>
      <c r="V225" s="37" t="n"/>
      <c r="W225" s="291" t="n"/>
      <c r="X225" s="37" t="n"/>
      <c r="Y225" s="37" t="n"/>
      <c r="Z225" s="291" t="n"/>
      <c r="AA225" s="37" t="n"/>
      <c r="AB225" s="37" t="n"/>
      <c r="AC225" s="291" t="n"/>
      <c r="AD225" s="37" t="n"/>
      <c r="AE225" s="37" t="n"/>
      <c r="AF225" s="291" t="n"/>
      <c r="AG225" s="37" t="n"/>
      <c r="AH225" s="37" t="n"/>
      <c r="AI225" s="291" t="n"/>
      <c r="AJ225" s="37" t="n"/>
      <c r="AK225" s="37" t="n"/>
      <c r="AL225" s="291" t="n"/>
      <c r="AM225" s="291" t="n"/>
      <c r="AN225" s="291" t="n"/>
      <c r="AO225" s="291" t="n"/>
      <c r="AP225" s="291" t="n"/>
      <c r="AQ225" s="291" t="n"/>
      <c r="AR225" s="291" t="n"/>
      <c r="AS225" s="291" t="n"/>
      <c r="AT225" s="291" t="n"/>
      <c r="AU225" s="291" t="n"/>
      <c r="AV225" s="359" t="n"/>
      <c r="AW225" s="359" t="n"/>
      <c r="AX225" s="291" t="n"/>
      <c r="AY225" s="291" t="n"/>
      <c r="AZ225" s="37" t="n"/>
      <c r="BA225" s="291" t="n"/>
      <c r="BB225" s="37" t="n"/>
      <c r="BC225" s="291" t="n"/>
      <c r="BD225" s="37" t="n"/>
      <c r="BE225" s="291" t="n"/>
      <c r="BF225" s="37" t="n"/>
      <c r="BG225" s="291" t="n"/>
      <c r="BH225" s="291" t="n"/>
      <c r="BI225" s="291" t="n"/>
      <c r="BJ225" s="291" t="n"/>
      <c r="BK225" s="291" t="n"/>
      <c r="BL225" s="291" t="n"/>
      <c r="BM225" s="291" t="n"/>
      <c r="BN225" s="291" t="n"/>
      <c r="BO225" s="291" t="n"/>
      <c r="BP225" s="291" t="n"/>
      <c r="BQ225" s="37" t="n"/>
      <c r="BR225" s="291" t="n"/>
      <c r="BS225" s="37" t="n"/>
      <c r="BT225" s="291" t="n"/>
      <c r="BU225" s="37" t="n"/>
      <c r="BV225" s="291" t="n"/>
      <c r="BW225" s="37" t="n"/>
      <c r="BX225" s="291" t="n"/>
      <c r="BY225" s="37" t="n"/>
      <c r="BZ225" s="291" t="n"/>
      <c r="CA225" s="37" t="n"/>
      <c r="CB225" s="291" t="n"/>
      <c r="CC225" s="37" t="n"/>
      <c r="CD225" s="291" t="n"/>
      <c r="CE225" s="37" t="n"/>
      <c r="CF225" s="291" t="n"/>
      <c r="CG225" s="291" t="n"/>
      <c r="CH225" s="291" t="n"/>
      <c r="CI225" s="291" t="n"/>
      <c r="CJ225" s="291" t="n"/>
      <c r="CK225" s="291" t="n"/>
      <c r="CL225" s="291" t="n"/>
      <c r="CM225" s="291" t="n"/>
      <c r="CN225" s="291" t="n"/>
      <c r="CO225" s="291" t="n"/>
      <c r="CP225" s="37" t="n"/>
      <c r="CQ225" s="291" t="n"/>
      <c r="CR225" s="37" t="n"/>
      <c r="CS225" s="291" t="n"/>
      <c r="CT225" s="37" t="n"/>
      <c r="CU225" s="291" t="n"/>
      <c r="CV225" s="37" t="n"/>
      <c r="CW225" s="291" t="n"/>
      <c r="CX225" s="37" t="n"/>
      <c r="CY225" s="291" t="n"/>
      <c r="CZ225" s="37" t="n"/>
      <c r="DA225" s="291" t="n"/>
      <c r="DB225" s="37" t="n"/>
      <c r="DC225" s="291" t="n"/>
      <c r="DD225" s="37" t="n"/>
      <c r="DE225" s="291" t="n"/>
      <c r="DF225" s="291" t="n"/>
    </row>
    <row r="226" ht="13" customFormat="1" customHeight="1" s="64">
      <c r="A226" s="358" t="n"/>
      <c r="B226" s="357" t="n"/>
      <c r="C226" s="58" t="n"/>
      <c r="D226" s="58" t="n"/>
      <c r="E226" s="357" t="n"/>
      <c r="F226" s="58" t="n"/>
      <c r="G226" s="58" t="n"/>
      <c r="H226" s="357" t="n"/>
      <c r="I226" s="58" t="n"/>
      <c r="J226" s="58" t="n"/>
      <c r="K226" s="357" t="n"/>
      <c r="L226" s="58" t="n"/>
      <c r="M226" s="58" t="n"/>
      <c r="N226" s="357" t="n"/>
      <c r="O226" s="58" t="n"/>
      <c r="P226" s="58" t="n"/>
      <c r="Q226" s="357" t="n"/>
      <c r="R226" s="58" t="n"/>
      <c r="S226" s="58" t="n"/>
      <c r="T226" s="357" t="n"/>
      <c r="U226" s="58" t="n"/>
      <c r="V226" s="58" t="n"/>
      <c r="W226" s="357" t="n"/>
      <c r="X226" s="58" t="n"/>
      <c r="Y226" s="58" t="n"/>
      <c r="Z226" s="357" t="n"/>
      <c r="AA226" s="58" t="n"/>
      <c r="AB226" s="58" t="n"/>
      <c r="AC226" s="357" t="n"/>
      <c r="AD226" s="58" t="n"/>
      <c r="AE226" s="58" t="n"/>
      <c r="AF226" s="357" t="n"/>
      <c r="AG226" s="58" t="n"/>
      <c r="AH226" s="58" t="n"/>
      <c r="AI226" s="357" t="n"/>
      <c r="AJ226" s="58" t="n"/>
      <c r="AK226" s="58" t="n"/>
      <c r="AL226" s="357" t="n"/>
      <c r="AM226" s="357" t="n"/>
      <c r="AN226" s="357" t="n"/>
      <c r="AO226" s="357" t="n"/>
      <c r="AP226" s="357" t="n"/>
      <c r="AQ226" s="357" t="n"/>
      <c r="AR226" s="357" t="n"/>
      <c r="AS226" s="357" t="n"/>
      <c r="AT226" s="357" t="n"/>
      <c r="AU226" s="357" t="n"/>
      <c r="AV226" s="357" t="n"/>
      <c r="AW226" s="357" t="n"/>
      <c r="AX226" s="357" t="n"/>
      <c r="AY226" s="357" t="n"/>
      <c r="AZ226" s="357" t="n"/>
      <c r="BA226" s="357" t="n"/>
      <c r="BB226" s="357" t="n"/>
      <c r="BC226" s="357" t="n"/>
      <c r="BD226" s="357" t="n"/>
      <c r="BE226" s="357" t="n"/>
      <c r="BF226" s="357" t="n"/>
      <c r="BG226" s="357" t="n"/>
      <c r="BH226" s="357" t="n"/>
      <c r="BI226" s="357" t="n"/>
      <c r="BJ226" s="357" t="n"/>
      <c r="BK226" s="357" t="n"/>
      <c r="BL226" s="357" t="n"/>
      <c r="BM226" s="357" t="n"/>
      <c r="BN226" s="357" t="n"/>
      <c r="BO226" s="357" t="n"/>
      <c r="BP226" s="357" t="n"/>
      <c r="BQ226" s="357" t="n"/>
      <c r="BR226" s="357" t="n"/>
      <c r="BS226" s="357" t="n"/>
      <c r="BT226" s="357" t="n"/>
      <c r="BU226" s="357" t="n"/>
      <c r="BV226" s="357" t="n"/>
      <c r="BW226" s="357" t="n"/>
      <c r="BX226" s="357" t="n"/>
      <c r="BY226" s="357" t="n"/>
      <c r="BZ226" s="357" t="n"/>
      <c r="CA226" s="357" t="n"/>
      <c r="CB226" s="357" t="n"/>
      <c r="CC226" s="357" t="n"/>
      <c r="CD226" s="357" t="n"/>
      <c r="CE226" s="357" t="n"/>
      <c r="CF226" s="357" t="n"/>
      <c r="CG226" s="357" t="n"/>
      <c r="CH226" s="357" t="n"/>
      <c r="CI226" s="357" t="n"/>
      <c r="CJ226" s="357" t="n"/>
      <c r="CK226" s="357" t="n"/>
      <c r="CL226" s="357" t="n"/>
      <c r="CM226" s="357" t="n"/>
      <c r="CN226" s="357" t="n"/>
      <c r="CO226" s="357" t="n"/>
      <c r="CP226" s="357" t="n"/>
      <c r="CQ226" s="357" t="n"/>
      <c r="CR226" s="357" t="n"/>
      <c r="CS226" s="357" t="n"/>
      <c r="CT226" s="357" t="n"/>
      <c r="CU226" s="357" t="n"/>
      <c r="CV226" s="357" t="n"/>
      <c r="CW226" s="357" t="n"/>
      <c r="CX226" s="357" t="n"/>
      <c r="CY226" s="357" t="n"/>
      <c r="CZ226" s="357" t="n"/>
      <c r="DA226" s="357" t="n"/>
      <c r="DB226" s="357" t="n"/>
      <c r="DC226" s="357" t="n"/>
      <c r="DD226" s="357" t="n"/>
      <c r="DE226" s="357" t="n"/>
      <c r="DF226" s="357" t="n"/>
      <c r="DG226" s="357" t="n"/>
    </row>
    <row r="227" ht="13" customFormat="1" customHeight="1" s="64">
      <c r="A227" s="358" t="n"/>
      <c r="B227" s="357" t="n"/>
      <c r="C227" s="58" t="n"/>
      <c r="D227" s="58" t="n"/>
      <c r="E227" s="357" t="n"/>
      <c r="F227" s="58" t="n"/>
      <c r="G227" s="58" t="n"/>
      <c r="H227" s="357" t="n"/>
      <c r="I227" s="58" t="n"/>
      <c r="J227" s="58" t="n"/>
      <c r="K227" s="357" t="n"/>
      <c r="L227" s="58" t="n"/>
      <c r="M227" s="58" t="n"/>
      <c r="N227" s="357" t="n"/>
      <c r="O227" s="58" t="n"/>
      <c r="P227" s="58" t="n"/>
      <c r="Q227" s="357" t="n"/>
      <c r="R227" s="58" t="n"/>
      <c r="S227" s="58" t="n"/>
      <c r="T227" s="357" t="n"/>
      <c r="U227" s="58" t="n"/>
      <c r="V227" s="58" t="n"/>
      <c r="W227" s="357" t="n"/>
      <c r="X227" s="58" t="n"/>
      <c r="Y227" s="58" t="n"/>
      <c r="Z227" s="357" t="n"/>
      <c r="AA227" s="58" t="n"/>
      <c r="AB227" s="58" t="n"/>
      <c r="AC227" s="357" t="n"/>
      <c r="AD227" s="58" t="n"/>
      <c r="AE227" s="58" t="n"/>
      <c r="AF227" s="357" t="n"/>
      <c r="AG227" s="58" t="n"/>
      <c r="AH227" s="58" t="n"/>
      <c r="AI227" s="357" t="n"/>
      <c r="AJ227" s="58" t="n"/>
      <c r="AK227" s="58" t="n"/>
      <c r="AL227" s="357" t="n"/>
      <c r="AM227" s="357" t="n"/>
      <c r="AN227" s="357" t="n"/>
      <c r="AO227" s="357" t="n"/>
      <c r="AP227" s="357" t="n"/>
      <c r="AQ227" s="357" t="n"/>
      <c r="AR227" s="357" t="n"/>
      <c r="AS227" s="357" t="n"/>
      <c r="AT227" s="357" t="n"/>
      <c r="AU227" s="357" t="n"/>
      <c r="AV227" s="357" t="n"/>
      <c r="AW227" s="357" t="n"/>
      <c r="AX227" s="357" t="n"/>
      <c r="AY227" s="357" t="n"/>
      <c r="AZ227" s="357" t="n"/>
      <c r="BA227" s="357" t="n"/>
      <c r="BB227" s="357" t="n"/>
      <c r="BC227" s="357" t="n"/>
      <c r="BD227" s="357" t="n"/>
      <c r="BE227" s="357" t="n"/>
      <c r="BF227" s="357" t="n"/>
      <c r="BG227" s="357" t="n"/>
      <c r="BH227" s="357" t="n"/>
      <c r="BI227" s="357" t="n"/>
      <c r="BJ227" s="357" t="n"/>
      <c r="BK227" s="357" t="n"/>
      <c r="BL227" s="357" t="n"/>
      <c r="BM227" s="357" t="n"/>
      <c r="BN227" s="357" t="n"/>
      <c r="BO227" s="357" t="n"/>
      <c r="BP227" s="357" t="n"/>
      <c r="BQ227" s="357" t="n"/>
      <c r="BR227" s="357" t="n"/>
      <c r="BS227" s="357" t="n"/>
      <c r="BT227" s="357" t="n"/>
      <c r="BU227" s="357" t="n"/>
      <c r="BV227" s="357" t="n"/>
      <c r="BW227" s="357" t="n"/>
      <c r="BX227" s="357" t="n"/>
      <c r="BY227" s="357" t="n"/>
      <c r="BZ227" s="357" t="n"/>
      <c r="CA227" s="357" t="n"/>
      <c r="CB227" s="357" t="n"/>
      <c r="CC227" s="357" t="n"/>
      <c r="CD227" s="357" t="n"/>
      <c r="CE227" s="357" t="n"/>
      <c r="CF227" s="357" t="n"/>
      <c r="CG227" s="357" t="n"/>
      <c r="CH227" s="357" t="n"/>
      <c r="CI227" s="357" t="n"/>
      <c r="CJ227" s="357" t="n"/>
      <c r="CK227" s="357" t="n"/>
      <c r="CL227" s="357" t="n"/>
      <c r="CM227" s="357" t="n"/>
      <c r="CN227" s="357" t="n"/>
      <c r="CO227" s="357" t="n"/>
      <c r="CP227" s="357" t="n"/>
      <c r="CQ227" s="357" t="n"/>
      <c r="CR227" s="357" t="n"/>
      <c r="CS227" s="357" t="n"/>
      <c r="CT227" s="357" t="n"/>
      <c r="CU227" s="357" t="n"/>
      <c r="CV227" s="357" t="n"/>
      <c r="CW227" s="357" t="n"/>
      <c r="CX227" s="357" t="n"/>
      <c r="CY227" s="357" t="n"/>
      <c r="CZ227" s="357" t="n"/>
      <c r="DA227" s="357" t="n"/>
      <c r="DB227" s="357" t="n"/>
      <c r="DC227" s="357" t="n"/>
      <c r="DD227" s="357" t="n"/>
      <c r="DE227" s="357" t="n"/>
      <c r="DF227" s="357" t="n"/>
      <c r="DG227" s="357" t="n"/>
    </row>
    <row r="228" ht="13" customFormat="1" customHeight="1" s="64">
      <c r="A228" s="358" t="n"/>
      <c r="B228" s="357" t="n"/>
      <c r="C228" s="58" t="n"/>
      <c r="D228" s="58" t="n"/>
      <c r="E228" s="357" t="n"/>
      <c r="F228" s="58" t="n"/>
      <c r="G228" s="58" t="n"/>
      <c r="H228" s="357" t="n"/>
      <c r="I228" s="58" t="n"/>
      <c r="J228" s="58" t="n"/>
      <c r="K228" s="357" t="n"/>
      <c r="L228" s="58" t="n"/>
      <c r="M228" s="58" t="n"/>
      <c r="N228" s="357" t="n"/>
      <c r="O228" s="58" t="n"/>
      <c r="P228" s="58" t="n"/>
      <c r="Q228" s="357" t="n"/>
      <c r="R228" s="58" t="n"/>
      <c r="S228" s="58" t="n"/>
      <c r="T228" s="357" t="n"/>
      <c r="U228" s="58" t="n"/>
      <c r="V228" s="58" t="n"/>
      <c r="W228" s="357" t="n"/>
      <c r="X228" s="58" t="n"/>
      <c r="Y228" s="58" t="n"/>
      <c r="Z228" s="357" t="n"/>
      <c r="AA228" s="58" t="n"/>
      <c r="AB228" s="58" t="n"/>
      <c r="AC228" s="357" t="n"/>
      <c r="AD228" s="58" t="n"/>
      <c r="AE228" s="58" t="n"/>
      <c r="AF228" s="357" t="n"/>
      <c r="AG228" s="58" t="n"/>
      <c r="AH228" s="58" t="n"/>
      <c r="AI228" s="357" t="n"/>
      <c r="AJ228" s="58" t="n"/>
      <c r="AK228" s="58" t="n"/>
      <c r="AL228" s="357" t="n"/>
      <c r="AM228" s="357" t="n"/>
      <c r="AN228" s="357" t="n"/>
      <c r="AO228" s="357" t="n"/>
      <c r="AP228" s="357" t="n"/>
      <c r="AQ228" s="357" t="n"/>
      <c r="AR228" s="357" t="n"/>
      <c r="AS228" s="357" t="n"/>
      <c r="AT228" s="357" t="n"/>
      <c r="AU228" s="357" t="n"/>
      <c r="AV228" s="360" t="n"/>
      <c r="AW228" s="360" t="n"/>
      <c r="AX228" s="357" t="n"/>
      <c r="AY228" s="357" t="n"/>
      <c r="AZ228" s="58" t="n"/>
      <c r="BA228" s="357" t="n"/>
      <c r="BB228" s="58" t="n"/>
      <c r="BC228" s="357" t="n"/>
      <c r="BD228" s="58" t="n"/>
      <c r="BE228" s="357" t="n"/>
      <c r="BF228" s="58" t="n"/>
      <c r="BG228" s="357" t="n"/>
      <c r="BH228" s="357" t="n"/>
      <c r="BI228" s="357" t="n"/>
      <c r="BJ228" s="357" t="n"/>
      <c r="BK228" s="357" t="n"/>
      <c r="BL228" s="357" t="n"/>
      <c r="BM228" s="357" t="n"/>
      <c r="BN228" s="357" t="n"/>
      <c r="BO228" s="357" t="n"/>
      <c r="BP228" s="357" t="n"/>
      <c r="BQ228" s="58" t="n"/>
      <c r="BR228" s="357" t="n"/>
      <c r="BS228" s="58" t="n"/>
      <c r="BT228" s="357" t="n"/>
      <c r="BU228" s="58" t="n"/>
      <c r="BV228" s="357" t="n"/>
      <c r="BW228" s="58" t="n"/>
      <c r="BX228" s="357" t="n"/>
      <c r="BY228" s="58" t="n"/>
      <c r="BZ228" s="357" t="n"/>
      <c r="CA228" s="58" t="n"/>
      <c r="CB228" s="357" t="n"/>
      <c r="CC228" s="58" t="n"/>
      <c r="CD228" s="357" t="n"/>
      <c r="CE228" s="58" t="n"/>
      <c r="CF228" s="357" t="n"/>
      <c r="CG228" s="357" t="n"/>
      <c r="CH228" s="357" t="n"/>
      <c r="CI228" s="357" t="n"/>
      <c r="CJ228" s="357" t="n"/>
      <c r="CK228" s="357" t="n"/>
      <c r="CL228" s="357" t="n"/>
      <c r="CM228" s="357" t="n"/>
      <c r="CN228" s="357" t="n"/>
      <c r="CO228" s="357" t="n"/>
      <c r="CP228" s="58" t="n"/>
      <c r="CQ228" s="357" t="n"/>
      <c r="CR228" s="58" t="n"/>
      <c r="CS228" s="357" t="n"/>
      <c r="CT228" s="58" t="n"/>
      <c r="CU228" s="357" t="n"/>
      <c r="CV228" s="58" t="n"/>
      <c r="CW228" s="357" t="n"/>
      <c r="CX228" s="58" t="n"/>
      <c r="CY228" s="357" t="n"/>
      <c r="CZ228" s="58" t="n"/>
      <c r="DA228" s="357" t="n"/>
      <c r="DB228" s="58" t="n"/>
      <c r="DC228" s="357" t="n"/>
      <c r="DD228" s="58" t="n"/>
      <c r="DE228" s="357" t="n"/>
      <c r="DF228" s="357" t="n"/>
    </row>
    <row r="229" ht="13" customFormat="1" customHeight="1" s="64">
      <c r="A229" s="358" t="n"/>
      <c r="B229" s="357" t="n"/>
      <c r="C229" s="58" t="n"/>
      <c r="D229" s="58" t="n"/>
      <c r="E229" s="357" t="n"/>
      <c r="F229" s="58" t="n"/>
      <c r="G229" s="58" t="n"/>
      <c r="H229" s="357" t="n"/>
      <c r="I229" s="58" t="n"/>
      <c r="J229" s="58" t="n"/>
      <c r="K229" s="357" t="n"/>
      <c r="L229" s="58" t="n"/>
      <c r="M229" s="58" t="n"/>
      <c r="N229" s="357" t="n"/>
      <c r="O229" s="58" t="n"/>
      <c r="P229" s="58" t="n"/>
      <c r="Q229" s="357" t="n"/>
      <c r="R229" s="58" t="n"/>
      <c r="S229" s="58" t="n"/>
      <c r="T229" s="357" t="n"/>
      <c r="U229" s="58" t="n"/>
      <c r="V229" s="58" t="n"/>
      <c r="W229" s="357" t="n"/>
      <c r="X229" s="58" t="n"/>
      <c r="Y229" s="58" t="n"/>
      <c r="Z229" s="357" t="n"/>
      <c r="AA229" s="58" t="n"/>
      <c r="AB229" s="58" t="n"/>
      <c r="AC229" s="357" t="n"/>
      <c r="AD229" s="58" t="n"/>
      <c r="AE229" s="58" t="n"/>
      <c r="AF229" s="357" t="n"/>
      <c r="AG229" s="58" t="n"/>
      <c r="AH229" s="58" t="n"/>
      <c r="AI229" s="357" t="n"/>
      <c r="AJ229" s="58" t="n"/>
      <c r="AK229" s="58" t="n"/>
      <c r="AL229" s="357" t="n"/>
      <c r="AM229" s="357" t="n"/>
      <c r="AN229" s="357" t="n"/>
      <c r="AO229" s="357" t="n"/>
      <c r="AP229" s="357" t="n"/>
      <c r="AQ229" s="357" t="n"/>
      <c r="AR229" s="357" t="n"/>
      <c r="AS229" s="357" t="n"/>
      <c r="AT229" s="357" t="n"/>
      <c r="AU229" s="357" t="n"/>
      <c r="AV229" s="360" t="n"/>
      <c r="AW229" s="360" t="n"/>
      <c r="AX229" s="357" t="n"/>
      <c r="AY229" s="357" t="n"/>
      <c r="AZ229" s="58" t="n"/>
      <c r="BA229" s="357" t="n"/>
      <c r="BB229" s="58" t="n"/>
      <c r="BC229" s="357" t="n"/>
      <c r="BD229" s="58" t="n"/>
      <c r="BE229" s="357" t="n"/>
      <c r="BF229" s="58" t="n"/>
      <c r="BG229" s="357" t="n"/>
      <c r="BH229" s="357" t="n"/>
      <c r="BI229" s="357" t="n"/>
      <c r="BJ229" s="357" t="n"/>
      <c r="BK229" s="357" t="n"/>
      <c r="BL229" s="357" t="n"/>
      <c r="BM229" s="357" t="n"/>
      <c r="BN229" s="357" t="n"/>
      <c r="BO229" s="357" t="n"/>
      <c r="BP229" s="357" t="n"/>
      <c r="BQ229" s="58" t="n"/>
      <c r="BR229" s="357" t="n"/>
      <c r="BS229" s="58" t="n"/>
      <c r="BT229" s="357" t="n"/>
      <c r="BU229" s="58" t="n"/>
      <c r="BV229" s="357" t="n"/>
      <c r="BW229" s="58" t="n"/>
      <c r="BX229" s="357" t="n"/>
      <c r="BY229" s="58" t="n"/>
      <c r="BZ229" s="357" t="n"/>
      <c r="CA229" s="58" t="n"/>
      <c r="CB229" s="357" t="n"/>
      <c r="CC229" s="58" t="n"/>
      <c r="CD229" s="357" t="n"/>
      <c r="CE229" s="58" t="n"/>
      <c r="CF229" s="357" t="n"/>
      <c r="CG229" s="357" t="n"/>
      <c r="CH229" s="357" t="n"/>
      <c r="CI229" s="357" t="n"/>
      <c r="CJ229" s="357" t="n"/>
      <c r="CK229" s="357" t="n"/>
      <c r="CL229" s="357" t="n"/>
      <c r="CM229" s="357" t="n"/>
      <c r="CN229" s="357" t="n"/>
      <c r="CO229" s="357" t="n"/>
      <c r="CP229" s="58" t="n"/>
      <c r="CQ229" s="357" t="n"/>
      <c r="CR229" s="58" t="n"/>
      <c r="CS229" s="357" t="n"/>
      <c r="CT229" s="58" t="n"/>
      <c r="CU229" s="357" t="n"/>
      <c r="CV229" s="58" t="n"/>
      <c r="CW229" s="357" t="n"/>
      <c r="CX229" s="58" t="n"/>
      <c r="CY229" s="357" t="n"/>
      <c r="CZ229" s="58" t="n"/>
      <c r="DA229" s="357" t="n"/>
      <c r="DB229" s="58" t="n"/>
      <c r="DC229" s="357" t="n"/>
      <c r="DD229" s="58" t="n"/>
      <c r="DE229" s="357" t="n"/>
      <c r="DF229" s="357" t="n"/>
    </row>
    <row r="230" ht="13" customFormat="1" customHeight="1" s="64">
      <c r="A230" s="358" t="n"/>
      <c r="B230" s="357" t="n"/>
      <c r="C230" s="58" t="n"/>
      <c r="D230" s="58" t="n"/>
      <c r="E230" s="357" t="n"/>
      <c r="F230" s="58" t="n"/>
      <c r="G230" s="58" t="n"/>
      <c r="H230" s="357" t="n"/>
      <c r="I230" s="58" t="n"/>
      <c r="J230" s="58" t="n"/>
      <c r="K230" s="357" t="n"/>
      <c r="L230" s="58" t="n"/>
      <c r="M230" s="58" t="n"/>
      <c r="N230" s="357" t="n"/>
      <c r="O230" s="58" t="n"/>
      <c r="P230" s="58" t="n"/>
      <c r="Q230" s="357" t="n"/>
      <c r="R230" s="58" t="n"/>
      <c r="S230" s="58" t="n"/>
      <c r="T230" s="357" t="n"/>
      <c r="U230" s="58" t="n"/>
      <c r="V230" s="58" t="n"/>
      <c r="W230" s="357" t="n"/>
      <c r="X230" s="58" t="n"/>
      <c r="Y230" s="58" t="n"/>
      <c r="Z230" s="357" t="n"/>
      <c r="AA230" s="58" t="n"/>
      <c r="AB230" s="58" t="n"/>
      <c r="AC230" s="357" t="n"/>
      <c r="AD230" s="58" t="n"/>
      <c r="AE230" s="58" t="n"/>
      <c r="AF230" s="357" t="n"/>
      <c r="AG230" s="58" t="n"/>
      <c r="AH230" s="58" t="n"/>
      <c r="AI230" s="357" t="n"/>
      <c r="AJ230" s="58" t="n"/>
      <c r="AK230" s="58" t="n"/>
      <c r="AL230" s="357" t="n"/>
      <c r="AM230" s="357" t="n"/>
      <c r="AN230" s="357" t="n"/>
      <c r="AO230" s="357" t="n"/>
      <c r="AP230" s="357" t="n"/>
      <c r="AQ230" s="357" t="n"/>
      <c r="AR230" s="357" t="n"/>
      <c r="AS230" s="357" t="n"/>
      <c r="AT230" s="357" t="n"/>
      <c r="AU230" s="357" t="n"/>
      <c r="AV230" s="357" t="n"/>
      <c r="AW230" s="357" t="n"/>
      <c r="AX230" s="357" t="n"/>
      <c r="AY230" s="357" t="n"/>
      <c r="AZ230" s="357" t="n"/>
      <c r="BA230" s="357" t="n"/>
      <c r="BB230" s="357" t="n"/>
      <c r="BC230" s="357" t="n"/>
      <c r="BD230" s="357" t="n"/>
      <c r="BE230" s="357" t="n"/>
      <c r="BF230" s="357" t="n"/>
      <c r="BG230" s="357" t="n"/>
      <c r="BH230" s="357" t="n"/>
      <c r="BI230" s="357" t="n"/>
      <c r="BJ230" s="357" t="n"/>
      <c r="BK230" s="357" t="n"/>
      <c r="BL230" s="357" t="n"/>
      <c r="BM230" s="357" t="n"/>
      <c r="BN230" s="357" t="n"/>
      <c r="BO230" s="357" t="n"/>
      <c r="BP230" s="357" t="n"/>
      <c r="BQ230" s="357" t="n"/>
      <c r="BR230" s="357" t="n"/>
      <c r="BS230" s="357" t="n"/>
      <c r="BT230" s="357" t="n"/>
      <c r="BU230" s="357" t="n"/>
      <c r="BV230" s="357" t="n"/>
      <c r="BW230" s="357" t="n"/>
      <c r="BX230" s="357" t="n"/>
      <c r="BY230" s="357" t="n"/>
      <c r="BZ230" s="357" t="n"/>
      <c r="CA230" s="357" t="n"/>
      <c r="CB230" s="357" t="n"/>
      <c r="CC230" s="357" t="n"/>
      <c r="CD230" s="357" t="n"/>
      <c r="CE230" s="357" t="n"/>
      <c r="CF230" s="357" t="n"/>
      <c r="CG230" s="357" t="n"/>
      <c r="CH230" s="357" t="n"/>
      <c r="CI230" s="357" t="n"/>
      <c r="CJ230" s="357" t="n"/>
      <c r="CK230" s="357" t="n"/>
      <c r="CL230" s="357" t="n"/>
      <c r="CM230" s="357" t="n"/>
      <c r="CN230" s="357" t="n"/>
      <c r="CO230" s="357" t="n"/>
      <c r="CP230" s="357" t="n"/>
      <c r="CQ230" s="357" t="n"/>
      <c r="CR230" s="357" t="n"/>
      <c r="CS230" s="357" t="n"/>
      <c r="CT230" s="357" t="n"/>
      <c r="CU230" s="357" t="n"/>
      <c r="CV230" s="357" t="n"/>
      <c r="CW230" s="357" t="n"/>
      <c r="CX230" s="357" t="n"/>
      <c r="CY230" s="357" t="n"/>
      <c r="CZ230" s="357" t="n"/>
      <c r="DA230" s="357" t="n"/>
      <c r="DB230" s="357" t="n"/>
      <c r="DC230" s="357" t="n"/>
      <c r="DD230" s="357" t="n"/>
      <c r="DE230" s="357" t="n"/>
      <c r="DF230" s="357" t="n"/>
      <c r="DG230" s="357" t="n"/>
      <c r="DH230" s="357" t="n"/>
      <c r="DI230" s="357" t="n"/>
      <c r="DJ230" s="357" t="n"/>
      <c r="DK230" s="357" t="n"/>
      <c r="DL230" s="357" t="n"/>
      <c r="DM230" s="357" t="n"/>
      <c r="DN230" s="357" t="n"/>
      <c r="DO230" s="357" t="n"/>
      <c r="DP230" s="357" t="n"/>
      <c r="DQ230" s="357" t="n"/>
      <c r="DR230" s="357" t="n"/>
      <c r="DS230" s="357" t="n"/>
      <c r="DT230" s="357" t="n"/>
      <c r="DU230" s="357" t="n"/>
      <c r="DV230" s="357" t="n"/>
    </row>
    <row r="231" ht="13" customFormat="1" customHeight="1" s="64">
      <c r="A231" s="358" t="n"/>
      <c r="B231" s="357" t="n"/>
      <c r="C231" s="58" t="n"/>
      <c r="D231" s="58" t="n"/>
      <c r="E231" s="357" t="n"/>
      <c r="F231" s="58" t="n"/>
      <c r="G231" s="58" t="n"/>
      <c r="H231" s="357" t="n"/>
      <c r="I231" s="58" t="n"/>
      <c r="J231" s="58" t="n"/>
      <c r="K231" s="357" t="n"/>
      <c r="L231" s="58" t="n"/>
      <c r="M231" s="58" t="n"/>
      <c r="N231" s="357" t="n"/>
      <c r="O231" s="58" t="n"/>
      <c r="P231" s="58" t="n"/>
      <c r="Q231" s="357" t="n"/>
      <c r="R231" s="58" t="n"/>
      <c r="S231" s="58" t="n"/>
      <c r="T231" s="357" t="n"/>
      <c r="U231" s="58" t="n"/>
      <c r="V231" s="58" t="n"/>
      <c r="W231" s="357" t="n"/>
      <c r="X231" s="58" t="n"/>
      <c r="Y231" s="58" t="n"/>
      <c r="Z231" s="357" t="n"/>
      <c r="AA231" s="58" t="n"/>
      <c r="AB231" s="58" t="n"/>
      <c r="AC231" s="357" t="n"/>
      <c r="AD231" s="58" t="n"/>
      <c r="AE231" s="58" t="n"/>
      <c r="AF231" s="357" t="n"/>
      <c r="AG231" s="58" t="n"/>
      <c r="AH231" s="58" t="n"/>
      <c r="AI231" s="357" t="n"/>
      <c r="AJ231" s="58" t="n"/>
      <c r="AK231" s="58" t="n"/>
      <c r="AL231" s="357" t="n"/>
      <c r="AM231" s="357" t="n"/>
      <c r="AN231" s="357" t="n"/>
      <c r="AO231" s="357" t="n"/>
      <c r="AP231" s="357" t="n"/>
      <c r="AQ231" s="357" t="n"/>
      <c r="AR231" s="357" t="n"/>
      <c r="AS231" s="357" t="n"/>
      <c r="AT231" s="357" t="n"/>
      <c r="AU231" s="357" t="n"/>
      <c r="AV231" s="357" t="n"/>
      <c r="AW231" s="357" t="n"/>
      <c r="AX231" s="357" t="n"/>
      <c r="AY231" s="357" t="n"/>
      <c r="AZ231" s="357" t="n"/>
      <c r="BA231" s="357" t="n"/>
      <c r="BB231" s="357" t="n"/>
      <c r="BC231" s="357" t="n"/>
      <c r="BD231" s="357" t="n"/>
      <c r="BE231" s="357" t="n"/>
      <c r="BF231" s="357" t="n"/>
      <c r="BG231" s="357" t="n"/>
      <c r="BH231" s="357" t="n"/>
      <c r="BI231" s="357" t="n"/>
      <c r="BJ231" s="357" t="n"/>
      <c r="BK231" s="357" t="n"/>
      <c r="BL231" s="357" t="n"/>
      <c r="BM231" s="357" t="n"/>
      <c r="BN231" s="357" t="n"/>
      <c r="BO231" s="357" t="n"/>
      <c r="BP231" s="357" t="n"/>
      <c r="BQ231" s="357" t="n"/>
      <c r="BR231" s="357" t="n"/>
      <c r="BS231" s="357" t="n"/>
      <c r="BT231" s="357" t="n"/>
      <c r="BU231" s="357" t="n"/>
      <c r="BV231" s="357" t="n"/>
      <c r="BW231" s="357" t="n"/>
      <c r="BX231" s="357" t="n"/>
      <c r="BY231" s="357" t="n"/>
      <c r="BZ231" s="357" t="n"/>
      <c r="CA231" s="357" t="n"/>
      <c r="CB231" s="357" t="n"/>
      <c r="CC231" s="357" t="n"/>
      <c r="CD231" s="357" t="n"/>
      <c r="CE231" s="357" t="n"/>
      <c r="CF231" s="357" t="n"/>
      <c r="CG231" s="357" t="n"/>
      <c r="CH231" s="357" t="n"/>
      <c r="CI231" s="357" t="n"/>
      <c r="CJ231" s="357" t="n"/>
      <c r="CK231" s="357" t="n"/>
      <c r="CL231" s="357" t="n"/>
      <c r="CM231" s="357" t="n"/>
      <c r="CN231" s="357" t="n"/>
      <c r="CO231" s="357" t="n"/>
      <c r="CP231" s="357" t="n"/>
      <c r="CQ231" s="357" t="n"/>
      <c r="CR231" s="357" t="n"/>
      <c r="CS231" s="357" t="n"/>
      <c r="CT231" s="357" t="n"/>
      <c r="CU231" s="357" t="n"/>
      <c r="CV231" s="357" t="n"/>
      <c r="CW231" s="357" t="n"/>
      <c r="CX231" s="357" t="n"/>
      <c r="CY231" s="357" t="n"/>
      <c r="CZ231" s="357" t="n"/>
      <c r="DA231" s="357" t="n"/>
      <c r="DB231" s="357" t="n"/>
      <c r="DC231" s="357" t="n"/>
      <c r="DD231" s="357" t="n"/>
      <c r="DE231" s="357" t="n"/>
      <c r="DF231" s="357" t="n"/>
      <c r="DG231" s="357" t="n"/>
      <c r="DH231" s="357" t="n"/>
      <c r="DI231" s="357" t="n"/>
      <c r="DJ231" s="357" t="n"/>
      <c r="DK231" s="357" t="n"/>
      <c r="DL231" s="357" t="n"/>
      <c r="DM231" s="357" t="n"/>
      <c r="DN231" s="357" t="n"/>
      <c r="DO231" s="357" t="n"/>
      <c r="DP231" s="357" t="n"/>
      <c r="DQ231" s="357" t="n"/>
      <c r="DR231" s="357" t="n"/>
      <c r="DS231" s="357" t="n"/>
      <c r="DT231" s="357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theme="7" tint="0.799920651875362"/>
    <outlinePr summaryBelow="1" summaryRight="1"/>
    <pageSetUpPr/>
  </sheetPr>
  <dimension ref="A1:DV231"/>
  <sheetViews>
    <sheetView zoomScale="90" zoomScaleNormal="90" workbookViewId="0">
      <pane xSplit="1" ySplit="3" topLeftCell="B214" activePane="bottomRight" state="frozen"/>
      <selection activeCell="A1" sqref="A1"/>
      <selection pane="topRight" activeCell="A1" sqref="A1"/>
      <selection pane="bottomLeft" activeCell="A1" sqref="A1"/>
      <selection pane="bottomRight" activeCell="A4" sqref="$A4:$XFD223"/>
    </sheetView>
  </sheetViews>
  <sheetFormatPr baseColWidth="8" defaultColWidth="8.75" defaultRowHeight="14"/>
  <cols>
    <col width="8.75" customWidth="1" style="1" min="1" max="1"/>
    <col width="16.75" customWidth="1" style="1" min="2" max="2"/>
    <col width="9.75" customWidth="1" style="2" min="3" max="3"/>
    <col width="8" customWidth="1" style="2" min="4" max="4"/>
    <col width="16.75" customWidth="1" style="1" min="5" max="5"/>
    <col width="9.75" customWidth="1" style="2" min="6" max="6"/>
    <col width="7.875" customWidth="1" style="2" min="7" max="7"/>
    <col width="16.75" customWidth="1" style="1" min="8" max="8"/>
    <col width="9.75" customWidth="1" style="2" min="9" max="9"/>
    <col width="8" customWidth="1" style="2" min="10" max="10"/>
    <col width="16.75" customWidth="1" style="1" min="11" max="11"/>
    <col width="9.75" customWidth="1" style="2" min="12" max="12"/>
    <col width="8" customWidth="1" style="2" min="13" max="13"/>
    <col width="16.75" customWidth="1" style="1" min="14" max="14"/>
    <col width="9.75" customWidth="1" style="2" min="15" max="15"/>
    <col width="8" customWidth="1" style="2" min="16" max="16"/>
    <col width="16.75" customWidth="1" style="1" min="17" max="17"/>
    <col width="9.375" customWidth="1" style="2" min="18" max="19"/>
    <col width="16.75" customWidth="1" style="1" min="20" max="20"/>
    <col width="8.375" customWidth="1" style="2" min="21" max="22"/>
    <col width="16.75" customWidth="1" style="1" min="23" max="23"/>
    <col width="10" customWidth="1" style="2" min="24" max="24"/>
    <col width="8" customWidth="1" style="2" min="25" max="25"/>
    <col width="16.75" customWidth="1" style="1" min="26" max="26"/>
    <col width="9.75" customWidth="1" style="2" min="27" max="27"/>
    <col width="8" customWidth="1" style="2" min="28" max="28"/>
    <col width="16.75" customWidth="1" style="1" min="29" max="29"/>
    <col width="9.75" customWidth="1" style="2" min="30" max="30"/>
    <col width="7.875" customWidth="1" style="2" min="31" max="31"/>
    <col width="16.75" customWidth="1" style="1" min="32" max="32"/>
    <col width="9.75" customWidth="1" style="2" min="33" max="33"/>
    <col width="8" customWidth="1" style="2" min="34" max="34"/>
    <col width="16.75" customWidth="1" style="1" min="35" max="35"/>
    <col width="10" customWidth="1" style="2" min="36" max="36"/>
    <col width="8" customWidth="1" style="2" min="37" max="37"/>
    <col width="16.75" customWidth="1" style="1" min="38" max="38"/>
    <col width="9.75" customWidth="1" style="1" min="39" max="39"/>
    <col width="10" customWidth="1" style="1" min="40" max="40"/>
    <col width="16.75" customWidth="1" style="1" min="41" max="41"/>
    <col width="9.75" customWidth="1" style="1" min="42" max="42"/>
    <col width="7.875" customWidth="1" style="1" min="43" max="43"/>
    <col width="16.75" customWidth="1" style="1" min="44" max="44"/>
    <col width="9.75" customWidth="1" style="1" min="45" max="45"/>
    <col width="7.875" customWidth="1" style="1" min="46" max="46"/>
    <col width="16.75" customWidth="1" style="1" min="47" max="47"/>
    <col width="9.75" customWidth="1" style="1" min="48" max="48"/>
    <col width="7.875" customWidth="1" style="1" min="49" max="49"/>
    <col width="16.75" customWidth="1" style="1" min="50" max="50"/>
    <col width="11.375" customWidth="1" style="1" min="51" max="51"/>
    <col width="8.375" customWidth="1" style="1" min="52" max="52"/>
    <col width="10.375" customWidth="1" style="1" min="53" max="53"/>
    <col width="8.375" customWidth="1" style="1" min="54" max="54"/>
    <col width="9" customWidth="1" style="1" min="55" max="55"/>
    <col width="8.375" customWidth="1" style="1" min="56" max="57"/>
    <col width="17.375" customWidth="1" style="1" min="58" max="58"/>
    <col width="31" customWidth="1" style="1" min="59" max="59"/>
    <col width="20.375" customWidth="1" style="1" min="60" max="60"/>
    <col width="16.125" customWidth="1" style="1" min="61" max="61"/>
    <col width="18.375" customWidth="1" style="1" min="62" max="62"/>
    <col width="16.375" customWidth="1" style="1" min="63" max="63"/>
    <col width="14.625" customWidth="1" style="1" min="64" max="64"/>
    <col width="8.375" customWidth="1" style="1" min="65" max="65"/>
    <col width="27" customWidth="1" style="1" min="66" max="66"/>
    <col width="9" customWidth="1" style="1" min="67" max="67"/>
    <col width="16" customWidth="1" style="1" min="68" max="68"/>
    <col width="8.375" customWidth="1" style="1" min="69" max="73"/>
    <col width="14.625" customWidth="1" style="1" min="74" max="74"/>
    <col width="8.375" customWidth="1" style="1" min="75" max="75"/>
    <col width="16" customWidth="1" style="1" min="76" max="76"/>
    <col width="8.375" customWidth="1" style="1" min="77" max="79"/>
    <col width="18.375" customWidth="1" style="1" min="80" max="80"/>
    <col width="17.375" customWidth="1" style="1" min="81" max="81"/>
    <col width="13.625" customWidth="1" style="1" min="82" max="82"/>
    <col width="24" customWidth="1" style="1" min="83" max="83"/>
    <col width="12" customWidth="1" style="1" min="84" max="84"/>
    <col width="17.625" customWidth="1" style="1" min="85" max="85"/>
    <col width="15.75" customWidth="1" style="1" min="86" max="86"/>
    <col width="20.375" customWidth="1" style="1" min="87" max="87"/>
    <col width="18.75" customWidth="1" style="1" min="88" max="88"/>
    <col width="21.75" customWidth="1" style="1" min="89" max="89"/>
    <col width="12.375" customWidth="1" style="1" min="90" max="90"/>
    <col width="14.375" customWidth="1" style="1" min="91" max="91"/>
    <col width="10.375" customWidth="1" style="1" min="92" max="92"/>
    <col width="14.375" customWidth="1" style="1" min="93" max="93"/>
    <col width="15.375" customWidth="1" style="269" min="94" max="94"/>
    <col width="15.125" customWidth="1" style="1" min="95" max="95"/>
    <col width="19.375" customWidth="1" style="269" min="96" max="96"/>
    <col width="15.125" customWidth="1" style="1" min="97" max="97"/>
    <col width="10" customWidth="1" style="269" min="98" max="98"/>
    <col width="16.375" customWidth="1" style="1" min="99" max="99"/>
    <col width="14.625" customWidth="1" style="269" min="100" max="100"/>
    <col width="12" customWidth="1" style="1" min="101" max="101"/>
    <col width="8.375" customWidth="1" style="1" min="102" max="102"/>
    <col width="10.375" customWidth="1" style="1" min="103" max="103"/>
    <col width="8.375" customWidth="1" style="1" min="104" max="104"/>
    <col width="10.375" customWidth="1" style="1" min="105" max="105"/>
    <col width="13.625" customWidth="1" style="1" min="106" max="106"/>
    <col width="18.625" customWidth="1" style="1" min="107" max="107"/>
    <col width="17.75" customWidth="1" style="1" min="108" max="108"/>
    <col width="8.75" customWidth="1" style="270" min="109" max="110"/>
    <col width="8.75" customWidth="1" style="1" min="111" max="16384"/>
  </cols>
  <sheetData>
    <row r="1" customFormat="1" s="59">
      <c r="A1" s="271" t="inlineStr">
        <is>
          <t>指标名称</t>
        </is>
      </c>
      <c r="B1" s="432" t="inlineStr">
        <is>
          <t>可用座公里（百万）</t>
        </is>
      </c>
      <c r="C1" s="4" t="inlineStr">
        <is>
          <t>同比上年</t>
        </is>
      </c>
      <c r="D1" s="4" t="inlineStr">
        <is>
          <t>同比19</t>
        </is>
      </c>
      <c r="E1" s="271" t="inlineStr">
        <is>
          <t>可用座公里:国内</t>
        </is>
      </c>
      <c r="F1" s="4" t="inlineStr">
        <is>
          <t>同比上年</t>
        </is>
      </c>
      <c r="G1" s="4" t="inlineStr">
        <is>
          <t>同比19</t>
        </is>
      </c>
      <c r="H1" s="271" t="inlineStr">
        <is>
          <t>可用座公里:国际</t>
        </is>
      </c>
      <c r="I1" s="4" t="inlineStr">
        <is>
          <t>同比上年</t>
        </is>
      </c>
      <c r="J1" s="4" t="inlineStr">
        <is>
          <t>同比19</t>
        </is>
      </c>
      <c r="K1" s="271" t="inlineStr">
        <is>
          <t>可用座公里:地区</t>
        </is>
      </c>
      <c r="L1" s="4" t="inlineStr">
        <is>
          <t>同比上年</t>
        </is>
      </c>
      <c r="M1" s="4" t="inlineStr">
        <is>
          <t>同比19</t>
        </is>
      </c>
      <c r="N1" s="271" t="inlineStr">
        <is>
          <t>收入客公里（百万）</t>
        </is>
      </c>
      <c r="O1" s="4" t="inlineStr">
        <is>
          <t>同比上年</t>
        </is>
      </c>
      <c r="P1" s="4" t="inlineStr">
        <is>
          <t>同比19</t>
        </is>
      </c>
      <c r="Q1" s="271" t="inlineStr">
        <is>
          <t>收入客公里:国内</t>
        </is>
      </c>
      <c r="R1" s="4" t="inlineStr">
        <is>
          <t>同比上年</t>
        </is>
      </c>
      <c r="S1" s="4" t="inlineStr">
        <is>
          <t>同比19</t>
        </is>
      </c>
      <c r="T1" s="271" t="inlineStr">
        <is>
          <t>收入客公里:国际</t>
        </is>
      </c>
      <c r="U1" s="4" t="inlineStr">
        <is>
          <t>同比上年</t>
        </is>
      </c>
      <c r="V1" s="4" t="inlineStr">
        <is>
          <t>同比19</t>
        </is>
      </c>
      <c r="W1" s="271" t="inlineStr">
        <is>
          <t>收入客公里:地区</t>
        </is>
      </c>
      <c r="X1" s="4" t="inlineStr">
        <is>
          <t>同比上年</t>
        </is>
      </c>
      <c r="Y1" s="4" t="inlineStr">
        <is>
          <t>同比19</t>
        </is>
      </c>
      <c r="Z1" s="271" t="inlineStr">
        <is>
          <t>客运量（千人次）</t>
        </is>
      </c>
      <c r="AA1" s="4" t="inlineStr">
        <is>
          <t>同比上年</t>
        </is>
      </c>
      <c r="AB1" s="4" t="inlineStr">
        <is>
          <t>同比19</t>
        </is>
      </c>
      <c r="AC1" s="271" t="inlineStr">
        <is>
          <t>客运量:国内</t>
        </is>
      </c>
      <c r="AD1" s="4" t="inlineStr">
        <is>
          <t>同比上年</t>
        </is>
      </c>
      <c r="AE1" s="4" t="inlineStr">
        <is>
          <t>同比19</t>
        </is>
      </c>
      <c r="AF1" s="271" t="inlineStr">
        <is>
          <t>客运量:国际</t>
        </is>
      </c>
      <c r="AG1" s="4" t="inlineStr">
        <is>
          <t>同比上年</t>
        </is>
      </c>
      <c r="AH1" s="4" t="inlineStr">
        <is>
          <t>同比19</t>
        </is>
      </c>
      <c r="AI1" s="271" t="inlineStr">
        <is>
          <t>客运量:地区</t>
        </is>
      </c>
      <c r="AJ1" s="4" t="inlineStr">
        <is>
          <t>同比上年</t>
        </is>
      </c>
      <c r="AK1" s="4" t="inlineStr">
        <is>
          <t>同比19</t>
        </is>
      </c>
      <c r="AL1" s="271" t="inlineStr">
        <is>
          <t>客座率</t>
        </is>
      </c>
      <c r="AM1" s="4" t="inlineStr">
        <is>
          <t>同比上年</t>
        </is>
      </c>
      <c r="AN1" s="4" t="inlineStr">
        <is>
          <t>同比19</t>
        </is>
      </c>
      <c r="AO1" s="271" t="inlineStr">
        <is>
          <t>客座率:国内</t>
        </is>
      </c>
      <c r="AP1" s="4" t="inlineStr">
        <is>
          <t>同比上年</t>
        </is>
      </c>
      <c r="AQ1" s="4" t="inlineStr">
        <is>
          <t>同比19</t>
        </is>
      </c>
      <c r="AR1" s="271" t="inlineStr">
        <is>
          <t>客座率:国际</t>
        </is>
      </c>
      <c r="AS1" s="4" t="inlineStr">
        <is>
          <t>同比上年</t>
        </is>
      </c>
      <c r="AT1" s="4" t="inlineStr">
        <is>
          <t>同比19</t>
        </is>
      </c>
      <c r="AU1" s="271" t="inlineStr">
        <is>
          <t>客座率:地区</t>
        </is>
      </c>
      <c r="AV1" s="4" t="inlineStr">
        <is>
          <t>同比上年</t>
        </is>
      </c>
      <c r="AW1" s="4" t="inlineStr">
        <is>
          <t>同比19</t>
        </is>
      </c>
      <c r="AX1" s="271" t="inlineStr">
        <is>
          <t>运营飞机数</t>
        </is>
      </c>
      <c r="AY1" s="4" t="inlineStr">
        <is>
          <t>同比上年</t>
        </is>
      </c>
      <c r="AZ1" s="4" t="inlineStr">
        <is>
          <t>同比19</t>
        </is>
      </c>
      <c r="BA1" s="271" t="n"/>
      <c r="BB1" s="271" t="n"/>
      <c r="BC1" s="271" t="n"/>
      <c r="BD1" s="271" t="n"/>
      <c r="BE1" s="271" t="n"/>
      <c r="BF1" s="271" t="n"/>
      <c r="BG1" s="271" t="n"/>
      <c r="BH1" s="271" t="n"/>
      <c r="BI1" s="271" t="n"/>
      <c r="BJ1" s="271" t="n"/>
      <c r="BK1" s="271" t="n"/>
      <c r="BL1" s="271" t="n"/>
      <c r="BM1" s="271" t="n"/>
      <c r="BN1" s="271" t="n"/>
      <c r="BO1" s="271" t="n"/>
      <c r="BP1" s="271" t="n"/>
      <c r="BQ1" s="271" t="n"/>
      <c r="BR1" s="271" t="n"/>
      <c r="BS1" s="271" t="n"/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1" t="n"/>
      <c r="CE1" s="271" t="n"/>
      <c r="CF1" s="271" t="n"/>
      <c r="CG1" s="271" t="n"/>
      <c r="CH1" s="271" t="n"/>
      <c r="CI1" s="271" t="n"/>
      <c r="CJ1" s="271" t="n"/>
      <c r="CK1" s="271" t="n"/>
      <c r="CL1" s="271" t="n"/>
      <c r="CM1" s="271" t="n"/>
      <c r="CN1" s="271" t="n"/>
      <c r="CO1" s="271" t="n"/>
      <c r="CP1" s="271" t="n"/>
      <c r="CQ1" s="271" t="n"/>
      <c r="CR1" s="271" t="n"/>
      <c r="CS1" s="271" t="n"/>
      <c r="CT1" s="271" t="n"/>
      <c r="CU1" s="271" t="n"/>
      <c r="CV1" s="67" t="n"/>
      <c r="CW1" s="271" t="n"/>
      <c r="CX1" s="271" t="n"/>
      <c r="CY1" s="271" t="n"/>
      <c r="CZ1" s="271" t="n"/>
      <c r="DA1" s="271" t="n"/>
      <c r="DB1" s="271" t="n"/>
      <c r="DC1" s="271" t="n"/>
      <c r="DD1" s="271" t="n"/>
      <c r="DE1" s="272" t="n"/>
      <c r="DF1" s="272" t="n"/>
      <c r="DG1" s="271" t="n"/>
      <c r="DH1" s="67" t="n"/>
      <c r="DI1" s="67" t="n"/>
      <c r="DJ1" s="67" t="n"/>
      <c r="DK1" s="67" t="n"/>
      <c r="DL1" s="67" t="n"/>
      <c r="DM1" s="67" t="n"/>
      <c r="DN1" s="67" t="n"/>
      <c r="DO1" s="67" t="n"/>
      <c r="DP1" s="67" t="n"/>
      <c r="DQ1" s="67" t="n"/>
      <c r="DR1" s="67" t="n"/>
    </row>
    <row r="2" ht="13" customFormat="1" customHeight="1" s="52">
      <c r="A2" s="273" t="inlineStr">
        <is>
          <t>频率</t>
        </is>
      </c>
      <c r="B2" s="433" t="inlineStr">
        <is>
          <t>月</t>
        </is>
      </c>
      <c r="C2" s="7" t="n"/>
      <c r="D2" s="7" t="n"/>
      <c r="E2" s="274" t="inlineStr">
        <is>
          <t>月</t>
        </is>
      </c>
      <c r="F2" s="8" t="n"/>
      <c r="G2" s="8" t="n"/>
      <c r="H2" s="274" t="inlineStr">
        <is>
          <t>月</t>
        </is>
      </c>
      <c r="I2" s="8" t="n"/>
      <c r="J2" s="8" t="n"/>
      <c r="K2" s="274" t="inlineStr">
        <is>
          <t>月</t>
        </is>
      </c>
      <c r="L2" s="8" t="n"/>
      <c r="M2" s="8" t="n"/>
      <c r="N2" s="274" t="inlineStr">
        <is>
          <t>月</t>
        </is>
      </c>
      <c r="O2" s="8" t="n"/>
      <c r="P2" s="8" t="n"/>
      <c r="Q2" s="274" t="inlineStr">
        <is>
          <t>月</t>
        </is>
      </c>
      <c r="R2" s="8" t="n"/>
      <c r="S2" s="8" t="n"/>
      <c r="T2" s="274" t="inlineStr">
        <is>
          <t>月</t>
        </is>
      </c>
      <c r="U2" s="8" t="n"/>
      <c r="V2" s="8" t="n"/>
      <c r="W2" s="274" t="inlineStr">
        <is>
          <t>月</t>
        </is>
      </c>
      <c r="X2" s="8" t="n"/>
      <c r="Y2" s="8" t="n"/>
      <c r="Z2" s="274" t="inlineStr">
        <is>
          <t>月</t>
        </is>
      </c>
      <c r="AA2" s="8" t="n"/>
      <c r="AB2" s="8" t="n"/>
      <c r="AC2" s="274" t="inlineStr">
        <is>
          <t>月</t>
        </is>
      </c>
      <c r="AD2" s="8" t="n"/>
      <c r="AE2" s="8" t="n"/>
      <c r="AF2" s="274" t="inlineStr">
        <is>
          <t>月</t>
        </is>
      </c>
      <c r="AG2" s="8" t="n"/>
      <c r="AH2" s="8" t="n"/>
      <c r="AI2" s="274" t="inlineStr">
        <is>
          <t>月</t>
        </is>
      </c>
      <c r="AJ2" s="8" t="n"/>
      <c r="AK2" s="8" t="n"/>
      <c r="AL2" s="274" t="inlineStr">
        <is>
          <t>月</t>
        </is>
      </c>
      <c r="AM2" s="8" t="n"/>
      <c r="AN2" s="8" t="n"/>
      <c r="AO2" s="274" t="inlineStr">
        <is>
          <t>月</t>
        </is>
      </c>
      <c r="AP2" s="8" t="n"/>
      <c r="AQ2" s="8" t="n"/>
      <c r="AR2" s="274" t="inlineStr">
        <is>
          <t>月</t>
        </is>
      </c>
      <c r="AS2" s="8" t="n"/>
      <c r="AT2" s="8" t="n"/>
      <c r="AU2" s="274" t="inlineStr">
        <is>
          <t>月</t>
        </is>
      </c>
      <c r="AV2" s="8" t="n"/>
      <c r="AW2" s="8" t="n"/>
      <c r="AX2" s="274" t="n"/>
      <c r="AY2" s="8" t="n"/>
      <c r="AZ2" s="8" t="n"/>
      <c r="BA2" s="274" t="n"/>
      <c r="BB2" s="274" t="n"/>
      <c r="BC2" s="274" t="n"/>
      <c r="BD2" s="274" t="n"/>
      <c r="BE2" s="274" t="n"/>
      <c r="BF2" s="274" t="n"/>
      <c r="BG2" s="274" t="n"/>
      <c r="BH2" s="274" t="n"/>
      <c r="BI2" s="274" t="n"/>
      <c r="BJ2" s="274" t="n"/>
      <c r="BK2" s="274" t="n"/>
      <c r="BL2" s="274" t="n"/>
      <c r="BM2" s="274" t="n"/>
      <c r="BN2" s="274" t="n"/>
      <c r="BO2" s="274" t="n"/>
      <c r="BP2" s="274" t="n"/>
      <c r="BQ2" s="274" t="n"/>
      <c r="BR2" s="274" t="n"/>
      <c r="BS2" s="274" t="n"/>
      <c r="BT2" s="274" t="n"/>
      <c r="BU2" s="274" t="n"/>
      <c r="BV2" s="274" t="n"/>
      <c r="BW2" s="274" t="n"/>
      <c r="BX2" s="274" t="n"/>
      <c r="BY2" s="274" t="n"/>
      <c r="BZ2" s="274" t="n"/>
      <c r="CA2" s="274" t="n"/>
      <c r="CB2" s="274" t="n"/>
      <c r="CC2" s="274" t="n"/>
      <c r="CD2" s="274" t="n"/>
      <c r="CE2" s="274" t="n"/>
      <c r="CF2" s="274" t="n"/>
      <c r="CG2" s="274" t="n"/>
      <c r="CH2" s="274" t="n"/>
      <c r="CI2" s="274" t="n"/>
      <c r="CJ2" s="274" t="n"/>
      <c r="CK2" s="274" t="n"/>
      <c r="CL2" s="274" t="n"/>
      <c r="CM2" s="274" t="n"/>
      <c r="CN2" s="274" t="n"/>
      <c r="CO2" s="274" t="n"/>
      <c r="CP2" s="274" t="n"/>
      <c r="CQ2" s="274" t="n"/>
      <c r="CR2" s="274" t="n"/>
      <c r="CS2" s="274" t="n"/>
      <c r="CT2" s="274" t="n"/>
      <c r="CU2" s="274" t="n"/>
      <c r="CV2" s="69" t="n"/>
      <c r="CW2" s="274" t="n"/>
      <c r="CX2" s="274" t="n"/>
      <c r="CY2" s="274" t="n"/>
      <c r="CZ2" s="274" t="n"/>
      <c r="DA2" s="274" t="n"/>
      <c r="DB2" s="274" t="n"/>
      <c r="DC2" s="274" t="n"/>
      <c r="DD2" s="274" t="n"/>
      <c r="DE2" s="275" t="n"/>
      <c r="DF2" s="275" t="n"/>
      <c r="DG2" s="69" t="n"/>
      <c r="DH2" s="69" t="n"/>
      <c r="DI2" s="69" t="n"/>
      <c r="DJ2" s="69" t="n"/>
      <c r="DK2" s="69" t="n"/>
      <c r="DL2" s="69" t="n"/>
      <c r="DM2" s="69" t="n"/>
      <c r="DN2" s="69" t="n"/>
      <c r="DO2" s="69" t="n"/>
      <c r="DP2" s="69" t="n"/>
      <c r="DQ2" s="69" t="n"/>
      <c r="DR2" s="69" t="n"/>
    </row>
    <row r="3" ht="13" customFormat="1" customHeight="1" s="60">
      <c r="A3" s="276" t="n"/>
      <c r="B3" s="434" t="inlineStr">
        <is>
          <t>ASK</t>
        </is>
      </c>
      <c r="C3" s="11" t="n"/>
      <c r="D3" s="11" t="n"/>
      <c r="E3" s="277" t="inlineStr">
        <is>
          <t>Domestic</t>
        </is>
      </c>
      <c r="F3" s="12" t="n"/>
      <c r="G3" s="12" t="n"/>
      <c r="H3" s="277" t="inlineStr">
        <is>
          <t>International</t>
        </is>
      </c>
      <c r="I3" s="12" t="n"/>
      <c r="J3" s="12" t="n"/>
      <c r="K3" s="277" t="inlineStr">
        <is>
          <t>Regional</t>
        </is>
      </c>
      <c r="L3" s="12" t="n"/>
      <c r="M3" s="12" t="n"/>
      <c r="N3" s="277" t="inlineStr">
        <is>
          <t>RPK</t>
        </is>
      </c>
      <c r="O3" s="12" t="n"/>
      <c r="P3" s="12" t="n"/>
      <c r="Q3" s="277" t="inlineStr">
        <is>
          <t>Domestic</t>
        </is>
      </c>
      <c r="R3" s="12" t="n"/>
      <c r="S3" s="12" t="n"/>
      <c r="T3" s="277" t="inlineStr">
        <is>
          <t>International</t>
        </is>
      </c>
      <c r="U3" s="12" t="n"/>
      <c r="V3" s="12" t="n"/>
      <c r="W3" s="277" t="inlineStr">
        <is>
          <t>Regional</t>
        </is>
      </c>
      <c r="X3" s="12" t="n"/>
      <c r="Y3" s="12" t="n"/>
      <c r="Z3" s="277" t="inlineStr">
        <is>
          <t>Pax volume</t>
        </is>
      </c>
      <c r="AA3" s="12" t="n"/>
      <c r="AB3" s="12" t="n"/>
      <c r="AC3" s="277" t="inlineStr">
        <is>
          <t>Domestic</t>
        </is>
      </c>
      <c r="AD3" s="12" t="n"/>
      <c r="AE3" s="12" t="n"/>
      <c r="AF3" s="277" t="inlineStr">
        <is>
          <t>International</t>
        </is>
      </c>
      <c r="AG3" s="12" t="n"/>
      <c r="AH3" s="12" t="n"/>
      <c r="AI3" s="277" t="inlineStr">
        <is>
          <t>Regional</t>
        </is>
      </c>
      <c r="AJ3" s="12" t="n"/>
      <c r="AK3" s="12" t="n"/>
      <c r="AL3" s="277" t="inlineStr">
        <is>
          <t>PLF</t>
        </is>
      </c>
      <c r="AM3" s="12" t="n"/>
      <c r="AN3" s="12" t="n"/>
      <c r="AO3" s="277" t="inlineStr">
        <is>
          <t>Domestic</t>
        </is>
      </c>
      <c r="AP3" s="12" t="n"/>
      <c r="AQ3" s="12" t="n"/>
      <c r="AR3" s="277" t="inlineStr">
        <is>
          <t>International</t>
        </is>
      </c>
      <c r="AS3" s="12" t="n"/>
      <c r="AT3" s="12" t="n"/>
      <c r="AU3" s="277" t="inlineStr">
        <is>
          <t>Regional</t>
        </is>
      </c>
      <c r="AV3" s="12" t="n"/>
      <c r="AW3" s="12" t="n"/>
      <c r="AX3" s="277" t="n"/>
      <c r="AY3" s="12" t="n"/>
      <c r="AZ3" s="12" t="n"/>
      <c r="BA3" s="277" t="n"/>
      <c r="BB3" s="277" t="n"/>
      <c r="BC3" s="277" t="n"/>
      <c r="BD3" s="277" t="n"/>
      <c r="BE3" s="277" t="n"/>
      <c r="BF3" s="277" t="n"/>
      <c r="BG3" s="277" t="n"/>
      <c r="BH3" s="277" t="n"/>
      <c r="BI3" s="277" t="n"/>
      <c r="BJ3" s="277" t="n"/>
      <c r="BK3" s="277" t="n"/>
      <c r="BL3" s="277" t="n"/>
      <c r="BM3" s="277" t="n"/>
      <c r="BN3" s="277" t="n"/>
      <c r="BO3" s="277" t="n"/>
      <c r="BP3" s="277" t="n"/>
      <c r="BQ3" s="277" t="n"/>
      <c r="BR3" s="277" t="n"/>
      <c r="BS3" s="277" t="n"/>
      <c r="BT3" s="277" t="n"/>
      <c r="BU3" s="277" t="n"/>
      <c r="BV3" s="277" t="n"/>
      <c r="BW3" s="277" t="n"/>
      <c r="BX3" s="277" t="n"/>
      <c r="BY3" s="277" t="n"/>
      <c r="BZ3" s="277" t="n"/>
      <c r="CA3" s="277" t="n"/>
      <c r="CB3" s="277" t="n"/>
      <c r="CC3" s="277" t="n"/>
      <c r="CD3" s="277" t="n"/>
      <c r="CE3" s="277" t="n"/>
      <c r="CF3" s="278" t="n"/>
      <c r="CG3" s="277" t="n"/>
      <c r="CH3" s="277" t="n"/>
      <c r="CI3" s="277" t="n"/>
      <c r="CJ3" s="277" t="n"/>
      <c r="CK3" s="277" t="n"/>
      <c r="CL3" s="277" t="n"/>
      <c r="CM3" s="277" t="n"/>
      <c r="CN3" s="278" t="n"/>
      <c r="CO3" s="278" t="n"/>
      <c r="CP3" s="277" t="n"/>
      <c r="CQ3" s="277" t="n"/>
      <c r="CR3" s="277" t="n"/>
      <c r="CS3" s="277" t="n"/>
      <c r="CT3" s="277" t="n"/>
      <c r="CU3" s="277" t="n"/>
      <c r="CV3" s="72" t="n"/>
      <c r="CW3" s="277" t="n"/>
      <c r="CX3" s="277" t="n"/>
      <c r="CY3" s="277" t="n"/>
      <c r="CZ3" s="277" t="n"/>
      <c r="DA3" s="277" t="n"/>
      <c r="DB3" s="277" t="n"/>
      <c r="DC3" s="277" t="n"/>
      <c r="DD3" s="277" t="n"/>
      <c r="DE3" s="279" t="n"/>
      <c r="DF3" s="279" t="n"/>
      <c r="DG3" s="72" t="n"/>
      <c r="DH3" s="72" t="n"/>
      <c r="DI3" s="72" t="n"/>
      <c r="DJ3" s="72" t="n"/>
      <c r="DK3" s="72" t="n"/>
      <c r="DL3" s="72" t="n"/>
      <c r="DM3" s="72" t="n"/>
      <c r="DN3" s="72" t="n"/>
      <c r="DO3" s="72" t="n"/>
      <c r="DP3" s="72" t="n"/>
      <c r="DQ3" s="72" t="n"/>
      <c r="DR3" s="72" t="n"/>
    </row>
    <row r="4" ht="13" customFormat="1" customHeight="1" s="40">
      <c r="A4" s="330" t="n"/>
      <c r="B4" s="291" t="n"/>
      <c r="C4" s="15" t="n"/>
      <c r="D4" s="15" t="n"/>
      <c r="E4" s="281" t="n"/>
      <c r="F4" s="15" t="n"/>
      <c r="G4" s="15" t="n"/>
      <c r="H4" s="281" t="n"/>
      <c r="I4" s="15" t="n"/>
      <c r="J4" s="15" t="n"/>
      <c r="K4" s="281" t="n"/>
      <c r="L4" s="15" t="n"/>
      <c r="M4" s="15" t="n"/>
      <c r="N4" s="281" t="n"/>
      <c r="O4" s="15" t="n"/>
      <c r="P4" s="15" t="n"/>
      <c r="Q4" s="281" t="n"/>
      <c r="R4" s="15" t="n"/>
      <c r="S4" s="15" t="n"/>
      <c r="T4" s="281" t="n"/>
      <c r="U4" s="15" t="n"/>
      <c r="V4" s="15" t="n"/>
      <c r="W4" s="281" t="n"/>
      <c r="X4" s="15" t="n"/>
      <c r="Y4" s="15" t="n"/>
      <c r="Z4" s="281" t="n"/>
      <c r="AA4" s="15" t="n"/>
      <c r="AB4" s="15" t="n"/>
      <c r="AC4" s="281" t="n"/>
      <c r="AD4" s="15" t="n"/>
      <c r="AE4" s="15" t="n"/>
      <c r="AF4" s="281" t="n"/>
      <c r="AG4" s="15" t="n"/>
      <c r="AH4" s="15" t="n"/>
      <c r="AI4" s="281" t="n"/>
      <c r="AJ4" s="15" t="n"/>
      <c r="AK4" s="15" t="n"/>
      <c r="AL4" s="281" t="n"/>
      <c r="AM4" s="15" t="n"/>
      <c r="AN4" s="15" t="n"/>
      <c r="AO4" s="281" t="n"/>
      <c r="AP4" s="15" t="n"/>
      <c r="AQ4" s="15" t="n"/>
      <c r="AR4" s="281" t="n"/>
      <c r="AS4" s="15" t="n"/>
      <c r="AT4" s="15" t="n"/>
      <c r="AU4" s="281" t="n"/>
      <c r="AV4" s="15" t="n"/>
      <c r="AW4" s="15" t="n"/>
      <c r="AX4" s="281" t="n"/>
      <c r="AY4" s="15" t="n"/>
      <c r="AZ4" s="15" t="n"/>
      <c r="BA4" s="291" t="n"/>
      <c r="BB4" s="37" t="n"/>
      <c r="BC4" s="291" t="n"/>
      <c r="BD4" s="37" t="n"/>
      <c r="BE4" s="291" t="n"/>
      <c r="BF4" s="37" t="n"/>
      <c r="BG4" s="291" t="n"/>
      <c r="BH4" s="37" t="n"/>
      <c r="BI4" s="291" t="n"/>
      <c r="BJ4" s="37" t="n"/>
      <c r="BK4" s="291" t="n"/>
      <c r="BL4" s="37" t="n"/>
      <c r="BM4" s="291" t="n"/>
      <c r="BN4" s="37" t="n"/>
      <c r="BO4" s="291" t="n"/>
      <c r="BP4" s="291" t="n"/>
      <c r="BQ4" s="37" t="n"/>
      <c r="BR4" s="291" t="n"/>
      <c r="BS4" s="37" t="n"/>
      <c r="BT4" s="291" t="n"/>
      <c r="BU4" s="37" t="n"/>
      <c r="BV4" s="291" t="n"/>
      <c r="BW4" s="37" t="n"/>
      <c r="BX4" s="291" t="n"/>
      <c r="BY4" s="37" t="n"/>
      <c r="BZ4" s="291" t="n"/>
      <c r="CA4" s="37" t="n"/>
      <c r="CB4" s="291" t="n"/>
      <c r="CC4" s="37" t="n"/>
      <c r="CD4" s="291" t="n"/>
      <c r="CE4" s="37" t="n"/>
      <c r="CF4" s="291" t="n"/>
      <c r="CG4" s="291" t="n"/>
      <c r="CH4" s="291" t="n"/>
      <c r="CI4" s="291" t="n"/>
      <c r="CJ4" s="291" t="n"/>
      <c r="CK4" s="291" t="n"/>
      <c r="CL4" s="291" t="n"/>
      <c r="CM4" s="291" t="n"/>
      <c r="CN4" s="291" t="n"/>
      <c r="CO4" s="291" t="n"/>
      <c r="CP4" s="291" t="n"/>
      <c r="CQ4" s="291" t="n"/>
      <c r="CR4" s="291" t="n"/>
      <c r="CS4" s="291" t="n"/>
      <c r="CT4" s="291" t="n"/>
      <c r="CU4" s="291" t="n"/>
      <c r="CW4" s="291" t="n"/>
      <c r="CX4" s="37" t="n"/>
      <c r="CY4" s="291" t="n"/>
      <c r="CZ4" s="37" t="n"/>
      <c r="DA4" s="291" t="n"/>
      <c r="DB4" s="37" t="n"/>
      <c r="DC4" s="291" t="n"/>
      <c r="DD4" s="37" t="n"/>
      <c r="DE4" s="311" t="n"/>
      <c r="DF4" s="311" t="n"/>
    </row>
    <row r="5">
      <c r="A5" s="428" t="n"/>
      <c r="B5" s="288" t="n"/>
      <c r="C5" s="18" t="n"/>
      <c r="D5" s="18" t="n"/>
      <c r="E5" s="285" t="n"/>
      <c r="F5" s="19" t="n"/>
      <c r="G5" s="19" t="n"/>
      <c r="H5" s="285" t="n"/>
      <c r="I5" s="19" t="n"/>
      <c r="J5" s="19" t="n"/>
      <c r="K5" s="285" t="n"/>
      <c r="L5" s="19" t="n"/>
      <c r="M5" s="19" t="n"/>
      <c r="N5" s="285" t="n"/>
      <c r="O5" s="19" t="n"/>
      <c r="P5" s="19" t="n"/>
      <c r="Q5" s="285" t="n"/>
      <c r="R5" s="19" t="n"/>
      <c r="S5" s="19" t="n"/>
      <c r="T5" s="285" t="n"/>
      <c r="U5" s="19" t="n"/>
      <c r="V5" s="19" t="n"/>
      <c r="W5" s="285" t="n"/>
      <c r="X5" s="19" t="n"/>
      <c r="Y5" s="19" t="n"/>
      <c r="Z5" s="285" t="n"/>
      <c r="AA5" s="19" t="n"/>
      <c r="AB5" s="19" t="n"/>
      <c r="AC5" s="285" t="n"/>
      <c r="AD5" s="19" t="n"/>
      <c r="AE5" s="19" t="n"/>
      <c r="AF5" s="285" t="n"/>
      <c r="AG5" s="19" t="n"/>
      <c r="AH5" s="19" t="n"/>
      <c r="AI5" s="285" t="n"/>
      <c r="AJ5" s="19" t="n"/>
      <c r="AK5" s="19" t="n"/>
      <c r="AL5" s="285" t="n"/>
      <c r="AM5" s="19" t="n"/>
      <c r="AN5" s="19" t="n"/>
      <c r="AO5" s="285" t="n"/>
      <c r="AP5" s="19" t="n"/>
      <c r="AQ5" s="19" t="n"/>
      <c r="AR5" s="285" t="n"/>
      <c r="AS5" s="19" t="n"/>
      <c r="AT5" s="19" t="n"/>
      <c r="AU5" s="285" t="n"/>
      <c r="AV5" s="19" t="n"/>
      <c r="AW5" s="19" t="n"/>
      <c r="AX5" s="285" t="n"/>
      <c r="AY5" s="19" t="n"/>
      <c r="AZ5" s="19" t="n"/>
      <c r="BA5" s="287" t="n"/>
      <c r="BB5" s="287" t="n"/>
      <c r="BC5" s="287" t="n"/>
      <c r="BD5" s="287" t="n"/>
      <c r="BE5" s="287" t="n"/>
      <c r="BF5" s="287" t="n"/>
      <c r="BG5" s="287" t="n"/>
      <c r="BH5" s="287" t="n"/>
      <c r="BI5" s="288" t="n"/>
      <c r="BJ5" s="288" t="n"/>
      <c r="BK5" s="288" t="n"/>
      <c r="BL5" s="288" t="n"/>
      <c r="BM5" s="288" t="n"/>
      <c r="BN5" s="288" t="n"/>
      <c r="BO5" s="288" t="n"/>
      <c r="BP5" s="288" t="n"/>
      <c r="BQ5" s="288" t="n"/>
      <c r="BR5" s="288" t="n"/>
      <c r="BS5" s="288" t="n"/>
      <c r="BT5" s="288" t="n"/>
      <c r="BU5" s="288" t="n"/>
      <c r="BV5" s="288" t="n"/>
      <c r="BW5" s="288" t="n"/>
      <c r="BX5" s="288" t="n"/>
      <c r="BY5" s="288" t="n"/>
      <c r="BZ5" s="288" t="n"/>
      <c r="CA5" s="288" t="n"/>
      <c r="CB5" s="288" t="n"/>
      <c r="CC5" s="288" t="n"/>
      <c r="CD5" s="288" t="n"/>
      <c r="CE5" s="288" t="n"/>
      <c r="CF5" s="288" t="n"/>
      <c r="CG5" s="288" t="n"/>
      <c r="CH5" s="288" t="n"/>
      <c r="CI5" s="288" t="n"/>
      <c r="CJ5" s="288" t="n"/>
      <c r="CK5" s="288" t="n"/>
      <c r="CL5" s="288" t="n"/>
      <c r="CM5" s="288" t="n"/>
      <c r="CN5" s="288" t="n"/>
      <c r="CO5" s="288" t="n"/>
      <c r="CP5" s="288" t="n"/>
      <c r="CQ5" s="288" t="n"/>
      <c r="CR5" s="288" t="n"/>
      <c r="CS5" s="288" t="n"/>
      <c r="CT5" s="288" t="n"/>
      <c r="CU5" s="288" t="n"/>
      <c r="CV5" s="269" t="n"/>
      <c r="CW5" s="288" t="n"/>
      <c r="CX5" s="288" t="n"/>
      <c r="CY5" s="288" t="n"/>
      <c r="CZ5" s="288" t="n"/>
      <c r="DA5" s="288" t="n"/>
      <c r="DB5" s="288" t="n"/>
      <c r="DC5" s="288" t="n"/>
      <c r="DD5" s="288" t="n"/>
      <c r="DE5" s="289" t="n"/>
      <c r="DF5" s="289" t="n"/>
      <c r="DG5" s="79" t="n"/>
    </row>
    <row r="6">
      <c r="A6" s="428" t="n"/>
      <c r="B6" s="288" t="n"/>
      <c r="C6" s="18" t="n"/>
      <c r="D6" s="18" t="n"/>
      <c r="E6" s="285" t="n"/>
      <c r="F6" s="19" t="n"/>
      <c r="G6" s="19" t="n"/>
      <c r="H6" s="285" t="n"/>
      <c r="I6" s="19" t="n"/>
      <c r="J6" s="19" t="n"/>
      <c r="K6" s="285" t="n"/>
      <c r="L6" s="19" t="n"/>
      <c r="M6" s="19" t="n"/>
      <c r="N6" s="285" t="n"/>
      <c r="O6" s="19" t="n"/>
      <c r="P6" s="19" t="n"/>
      <c r="Q6" s="285" t="n"/>
      <c r="R6" s="19" t="n"/>
      <c r="S6" s="19" t="n"/>
      <c r="T6" s="285" t="n"/>
      <c r="U6" s="19" t="n"/>
      <c r="V6" s="19" t="n"/>
      <c r="W6" s="285" t="n"/>
      <c r="X6" s="19" t="n"/>
      <c r="Y6" s="19" t="n"/>
      <c r="Z6" s="285" t="n"/>
      <c r="AA6" s="19" t="n"/>
      <c r="AB6" s="19" t="n"/>
      <c r="AC6" s="285" t="n"/>
      <c r="AD6" s="19" t="n"/>
      <c r="AE6" s="19" t="n"/>
      <c r="AF6" s="285" t="n"/>
      <c r="AG6" s="19" t="n"/>
      <c r="AH6" s="19" t="n"/>
      <c r="AI6" s="285" t="n"/>
      <c r="AJ6" s="19" t="n"/>
      <c r="AK6" s="19" t="n"/>
      <c r="AL6" s="285" t="n"/>
      <c r="AM6" s="19" t="n"/>
      <c r="AN6" s="19" t="n"/>
      <c r="AO6" s="285" t="n"/>
      <c r="AP6" s="19" t="n"/>
      <c r="AQ6" s="19" t="n"/>
      <c r="AR6" s="285" t="n"/>
      <c r="AS6" s="19" t="n"/>
      <c r="AT6" s="19" t="n"/>
      <c r="AU6" s="285" t="n"/>
      <c r="AV6" s="19" t="n"/>
      <c r="AW6" s="19" t="n"/>
      <c r="AX6" s="285" t="n"/>
      <c r="AY6" s="19" t="n"/>
      <c r="AZ6" s="19" t="n"/>
      <c r="BA6" s="287" t="n"/>
      <c r="BB6" s="287" t="n"/>
      <c r="BC6" s="287" t="n"/>
      <c r="BD6" s="287" t="n"/>
      <c r="BE6" s="287" t="n"/>
      <c r="BF6" s="287" t="n"/>
      <c r="BG6" s="287" t="n"/>
      <c r="BH6" s="287" t="n"/>
      <c r="BI6" s="288" t="n"/>
      <c r="BJ6" s="288" t="n"/>
      <c r="BK6" s="288" t="n"/>
      <c r="BL6" s="288" t="n"/>
      <c r="BM6" s="288" t="n"/>
      <c r="BN6" s="288" t="n"/>
      <c r="BO6" s="288" t="n"/>
      <c r="BP6" s="288" t="n"/>
      <c r="BQ6" s="288" t="n"/>
      <c r="BR6" s="288" t="n"/>
      <c r="BS6" s="288" t="n"/>
      <c r="BT6" s="288" t="n"/>
      <c r="BU6" s="288" t="n"/>
      <c r="BV6" s="288" t="n"/>
      <c r="BW6" s="288" t="n"/>
      <c r="BX6" s="288" t="n"/>
      <c r="BY6" s="288" t="n"/>
      <c r="BZ6" s="288" t="n"/>
      <c r="CA6" s="288" t="n"/>
      <c r="CB6" s="288" t="n"/>
      <c r="CC6" s="288" t="n"/>
      <c r="CD6" s="288" t="n"/>
      <c r="CE6" s="288" t="n"/>
      <c r="CF6" s="288" t="n"/>
      <c r="CG6" s="288" t="n"/>
      <c r="CH6" s="288" t="n"/>
      <c r="CI6" s="288" t="n"/>
      <c r="CJ6" s="288" t="n"/>
      <c r="CK6" s="288" t="n"/>
      <c r="CL6" s="288" t="n"/>
      <c r="CM6" s="288" t="n"/>
      <c r="CN6" s="288" t="n"/>
      <c r="CO6" s="288" t="n"/>
      <c r="CP6" s="288" t="n"/>
      <c r="CQ6" s="288" t="n"/>
      <c r="CR6" s="288" t="n"/>
      <c r="CS6" s="288" t="n"/>
      <c r="CT6" s="288" t="n"/>
      <c r="CU6" s="288" t="n"/>
      <c r="CV6" s="269" t="n"/>
      <c r="CW6" s="288" t="n"/>
      <c r="CX6" s="288" t="n"/>
      <c r="CY6" s="288" t="n"/>
      <c r="CZ6" s="288" t="n"/>
      <c r="DA6" s="288" t="n"/>
      <c r="DB6" s="288" t="n"/>
      <c r="DC6" s="288" t="n"/>
      <c r="DD6" s="288" t="n"/>
      <c r="DE6" s="289" t="n"/>
      <c r="DF6" s="289" t="n"/>
      <c r="DG6" s="79" t="n"/>
    </row>
    <row r="7">
      <c r="A7" s="428" t="n"/>
      <c r="B7" s="288" t="n"/>
      <c r="C7" s="18" t="n"/>
      <c r="D7" s="18" t="n"/>
      <c r="E7" s="285" t="n"/>
      <c r="F7" s="19" t="n"/>
      <c r="G7" s="19" t="n"/>
      <c r="H7" s="285" t="n"/>
      <c r="I7" s="19" t="n"/>
      <c r="J7" s="19" t="n"/>
      <c r="K7" s="285" t="n"/>
      <c r="L7" s="19" t="n"/>
      <c r="M7" s="19" t="n"/>
      <c r="N7" s="285" t="n"/>
      <c r="O7" s="19" t="n"/>
      <c r="P7" s="19" t="n"/>
      <c r="Q7" s="285" t="n"/>
      <c r="R7" s="19" t="n"/>
      <c r="S7" s="19" t="n"/>
      <c r="T7" s="285" t="n"/>
      <c r="U7" s="19" t="n"/>
      <c r="V7" s="19" t="n"/>
      <c r="W7" s="285" t="n"/>
      <c r="X7" s="19" t="n"/>
      <c r="Y7" s="19" t="n"/>
      <c r="Z7" s="285" t="n"/>
      <c r="AA7" s="19" t="n"/>
      <c r="AB7" s="19" t="n"/>
      <c r="AC7" s="285" t="n"/>
      <c r="AD7" s="19" t="n"/>
      <c r="AE7" s="19" t="n"/>
      <c r="AF7" s="285" t="n"/>
      <c r="AG7" s="19" t="n"/>
      <c r="AH7" s="19" t="n"/>
      <c r="AI7" s="285" t="n"/>
      <c r="AJ7" s="19" t="n"/>
      <c r="AK7" s="19" t="n"/>
      <c r="AL7" s="285" t="n"/>
      <c r="AM7" s="19" t="n"/>
      <c r="AN7" s="19" t="n"/>
      <c r="AO7" s="285" t="n"/>
      <c r="AP7" s="19" t="n"/>
      <c r="AQ7" s="19" t="n"/>
      <c r="AR7" s="285" t="n"/>
      <c r="AS7" s="19" t="n"/>
      <c r="AT7" s="19" t="n"/>
      <c r="AU7" s="285" t="n"/>
      <c r="AV7" s="19" t="n"/>
      <c r="AW7" s="19" t="n"/>
      <c r="AX7" s="285" t="n"/>
      <c r="AY7" s="19" t="n"/>
      <c r="AZ7" s="19" t="n"/>
      <c r="BA7" s="287" t="n"/>
      <c r="BB7" s="287" t="n"/>
      <c r="BC7" s="287" t="n"/>
      <c r="BD7" s="287" t="n"/>
      <c r="BE7" s="287" t="n"/>
      <c r="BF7" s="287" t="n"/>
      <c r="BG7" s="287" t="n"/>
      <c r="BH7" s="287" t="n"/>
      <c r="BI7" s="288" t="n"/>
      <c r="BJ7" s="288" t="n"/>
      <c r="BK7" s="288" t="n"/>
      <c r="BL7" s="288" t="n"/>
      <c r="BM7" s="288" t="n"/>
      <c r="BN7" s="288" t="n"/>
      <c r="BO7" s="288" t="n"/>
      <c r="BP7" s="288" t="n"/>
      <c r="BQ7" s="288" t="n"/>
      <c r="BR7" s="288" t="n"/>
      <c r="BS7" s="288" t="n"/>
      <c r="BT7" s="288" t="n"/>
      <c r="BU7" s="288" t="n"/>
      <c r="BV7" s="288" t="n"/>
      <c r="BW7" s="288" t="n"/>
      <c r="BX7" s="288" t="n"/>
      <c r="BY7" s="288" t="n"/>
      <c r="BZ7" s="288" t="n"/>
      <c r="CA7" s="288" t="n"/>
      <c r="CB7" s="288" t="n"/>
      <c r="CC7" s="288" t="n"/>
      <c r="CD7" s="288" t="n"/>
      <c r="CE7" s="288" t="n"/>
      <c r="CF7" s="288" t="n"/>
      <c r="CG7" s="288" t="n"/>
      <c r="CH7" s="288" t="n"/>
      <c r="CI7" s="288" t="n"/>
      <c r="CJ7" s="288" t="n"/>
      <c r="CK7" s="288" t="n"/>
      <c r="CL7" s="288" t="n"/>
      <c r="CM7" s="288" t="n"/>
      <c r="CN7" s="288" t="n"/>
      <c r="CO7" s="288" t="n"/>
      <c r="CP7" s="288" t="n"/>
      <c r="CQ7" s="288" t="n"/>
      <c r="CR7" s="288" t="n"/>
      <c r="CS7" s="288" t="n"/>
      <c r="CT7" s="288" t="n"/>
      <c r="CU7" s="288" t="n"/>
      <c r="CV7" s="269" t="n"/>
      <c r="CW7" s="288" t="n"/>
      <c r="CX7" s="288" t="n"/>
      <c r="CY7" s="288" t="n"/>
      <c r="CZ7" s="288" t="n"/>
      <c r="DA7" s="288" t="n"/>
      <c r="DB7" s="288" t="n"/>
      <c r="DC7" s="288" t="n"/>
      <c r="DD7" s="288" t="n"/>
      <c r="DE7" s="289" t="n"/>
      <c r="DF7" s="289" t="n"/>
      <c r="DG7" s="79" t="n"/>
    </row>
    <row r="8">
      <c r="A8" s="428" t="n"/>
      <c r="B8" s="288" t="n"/>
      <c r="C8" s="18" t="n"/>
      <c r="D8" s="18" t="n"/>
      <c r="E8" s="285" t="n"/>
      <c r="F8" s="19" t="n"/>
      <c r="G8" s="19" t="n"/>
      <c r="H8" s="285" t="n"/>
      <c r="I8" s="19" t="n"/>
      <c r="J8" s="19" t="n"/>
      <c r="K8" s="285" t="n"/>
      <c r="L8" s="19" t="n"/>
      <c r="M8" s="19" t="n"/>
      <c r="N8" s="285" t="n"/>
      <c r="O8" s="19" t="n"/>
      <c r="P8" s="19" t="n"/>
      <c r="Q8" s="285" t="n"/>
      <c r="R8" s="19" t="n"/>
      <c r="S8" s="19" t="n"/>
      <c r="T8" s="285" t="n"/>
      <c r="U8" s="19" t="n"/>
      <c r="V8" s="19" t="n"/>
      <c r="W8" s="285" t="n"/>
      <c r="X8" s="19" t="n"/>
      <c r="Y8" s="19" t="n"/>
      <c r="Z8" s="285" t="n"/>
      <c r="AA8" s="19" t="n"/>
      <c r="AB8" s="19" t="n"/>
      <c r="AC8" s="285" t="n"/>
      <c r="AD8" s="19" t="n"/>
      <c r="AE8" s="19" t="n"/>
      <c r="AF8" s="285" t="n"/>
      <c r="AG8" s="19" t="n"/>
      <c r="AH8" s="19" t="n"/>
      <c r="AI8" s="285" t="n"/>
      <c r="AJ8" s="19" t="n"/>
      <c r="AK8" s="19" t="n"/>
      <c r="AL8" s="285" t="n"/>
      <c r="AM8" s="19" t="n"/>
      <c r="AN8" s="19" t="n"/>
      <c r="AO8" s="285" t="n"/>
      <c r="AP8" s="19" t="n"/>
      <c r="AQ8" s="19" t="n"/>
      <c r="AR8" s="285" t="n"/>
      <c r="AS8" s="19" t="n"/>
      <c r="AT8" s="19" t="n"/>
      <c r="AU8" s="285" t="n"/>
      <c r="AV8" s="19" t="n"/>
      <c r="AW8" s="19" t="n"/>
      <c r="AX8" s="285" t="n"/>
      <c r="AY8" s="19" t="n"/>
      <c r="AZ8" s="19" t="n"/>
      <c r="BA8" s="287" t="n"/>
      <c r="BB8" s="287" t="n"/>
      <c r="BC8" s="287" t="n"/>
      <c r="BD8" s="287" t="n"/>
      <c r="BE8" s="287" t="n"/>
      <c r="BF8" s="287" t="n"/>
      <c r="BG8" s="287" t="n"/>
      <c r="BH8" s="287" t="n"/>
      <c r="BI8" s="288" t="n"/>
      <c r="BJ8" s="288" t="n"/>
      <c r="BK8" s="288" t="n"/>
      <c r="BL8" s="288" t="n"/>
      <c r="BM8" s="288" t="n"/>
      <c r="BN8" s="288" t="n"/>
      <c r="BO8" s="288" t="n"/>
      <c r="BP8" s="288" t="n"/>
      <c r="BQ8" s="288" t="n"/>
      <c r="BR8" s="288" t="n"/>
      <c r="BS8" s="288" t="n"/>
      <c r="BT8" s="288" t="n"/>
      <c r="BU8" s="288" t="n"/>
      <c r="BV8" s="288" t="n"/>
      <c r="BW8" s="288" t="n"/>
      <c r="BX8" s="288" t="n"/>
      <c r="BY8" s="288" t="n"/>
      <c r="BZ8" s="288" t="n"/>
      <c r="CA8" s="288" t="n"/>
      <c r="CB8" s="288" t="n"/>
      <c r="CC8" s="288" t="n"/>
      <c r="CD8" s="288" t="n"/>
      <c r="CE8" s="288" t="n"/>
      <c r="CF8" s="288" t="n"/>
      <c r="CG8" s="288" t="n"/>
      <c r="CH8" s="288" t="n"/>
      <c r="CI8" s="288" t="n"/>
      <c r="CJ8" s="288" t="n"/>
      <c r="CK8" s="288" t="n"/>
      <c r="CL8" s="288" t="n"/>
      <c r="CM8" s="288" t="n"/>
      <c r="CN8" s="288" t="n"/>
      <c r="CO8" s="288" t="n"/>
      <c r="CP8" s="288" t="n"/>
      <c r="CQ8" s="288" t="n"/>
      <c r="CR8" s="288" t="n"/>
      <c r="CS8" s="288" t="n"/>
      <c r="CT8" s="288" t="n"/>
      <c r="CU8" s="288" t="n"/>
      <c r="CV8" s="269" t="n"/>
      <c r="CW8" s="288" t="n"/>
      <c r="CX8" s="288" t="n"/>
      <c r="CY8" s="288" t="n"/>
      <c r="CZ8" s="288" t="n"/>
      <c r="DA8" s="288" t="n"/>
      <c r="DB8" s="288" t="n"/>
      <c r="DC8" s="288" t="n"/>
      <c r="DD8" s="288" t="n"/>
      <c r="DE8" s="289" t="n"/>
      <c r="DF8" s="289" t="n"/>
      <c r="DG8" s="79" t="n"/>
    </row>
    <row r="9">
      <c r="A9" s="428" t="n"/>
      <c r="B9" s="288" t="n"/>
      <c r="C9" s="18" t="n"/>
      <c r="D9" s="18" t="n"/>
      <c r="E9" s="285" t="n"/>
      <c r="F9" s="19" t="n"/>
      <c r="G9" s="19" t="n"/>
      <c r="H9" s="285" t="n"/>
      <c r="I9" s="19" t="n"/>
      <c r="J9" s="19" t="n"/>
      <c r="K9" s="285" t="n"/>
      <c r="L9" s="19" t="n"/>
      <c r="M9" s="19" t="n"/>
      <c r="N9" s="285" t="n"/>
      <c r="O9" s="19" t="n"/>
      <c r="P9" s="19" t="n"/>
      <c r="Q9" s="285" t="n"/>
      <c r="R9" s="19" t="n"/>
      <c r="S9" s="19" t="n"/>
      <c r="T9" s="285" t="n"/>
      <c r="U9" s="19" t="n"/>
      <c r="V9" s="19" t="n"/>
      <c r="W9" s="285" t="n"/>
      <c r="X9" s="19" t="n"/>
      <c r="Y9" s="19" t="n"/>
      <c r="Z9" s="285" t="n"/>
      <c r="AA9" s="19" t="n"/>
      <c r="AB9" s="19" t="n"/>
      <c r="AC9" s="285" t="n"/>
      <c r="AD9" s="19" t="n"/>
      <c r="AE9" s="19" t="n"/>
      <c r="AF9" s="285" t="n"/>
      <c r="AG9" s="19" t="n"/>
      <c r="AH9" s="19" t="n"/>
      <c r="AI9" s="285" t="n"/>
      <c r="AJ9" s="19" t="n"/>
      <c r="AK9" s="19" t="n"/>
      <c r="AL9" s="285" t="n"/>
      <c r="AM9" s="19" t="n"/>
      <c r="AN9" s="19" t="n"/>
      <c r="AO9" s="285" t="n"/>
      <c r="AP9" s="19" t="n"/>
      <c r="AQ9" s="19" t="n"/>
      <c r="AR9" s="285" t="n"/>
      <c r="AS9" s="19" t="n"/>
      <c r="AT9" s="19" t="n"/>
      <c r="AU9" s="285" t="n"/>
      <c r="AV9" s="19" t="n"/>
      <c r="AW9" s="19" t="n"/>
      <c r="AX9" s="285" t="n"/>
      <c r="AY9" s="19" t="n"/>
      <c r="AZ9" s="19" t="n"/>
      <c r="BA9" s="287" t="n"/>
      <c r="BB9" s="287" t="n"/>
      <c r="BC9" s="287" t="n"/>
      <c r="BD9" s="287" t="n"/>
      <c r="BE9" s="287" t="n"/>
      <c r="BF9" s="287" t="n"/>
      <c r="BG9" s="287" t="n"/>
      <c r="BH9" s="287" t="n"/>
      <c r="BI9" s="288" t="n"/>
      <c r="BJ9" s="288" t="n"/>
      <c r="BK9" s="288" t="n"/>
      <c r="BL9" s="288" t="n"/>
      <c r="BM9" s="288" t="n"/>
      <c r="BN9" s="288" t="n"/>
      <c r="BO9" s="288" t="n"/>
      <c r="BP9" s="288" t="n"/>
      <c r="BQ9" s="288" t="n"/>
      <c r="BR9" s="288" t="n"/>
      <c r="BS9" s="288" t="n"/>
      <c r="BT9" s="288" t="n"/>
      <c r="BU9" s="288" t="n"/>
      <c r="BV9" s="288" t="n"/>
      <c r="BW9" s="288" t="n"/>
      <c r="BX9" s="288" t="n"/>
      <c r="BY9" s="288" t="n"/>
      <c r="BZ9" s="288" t="n"/>
      <c r="CA9" s="288" t="n"/>
      <c r="CB9" s="288" t="n"/>
      <c r="CC9" s="288" t="n"/>
      <c r="CD9" s="288" t="n"/>
      <c r="CE9" s="288" t="n"/>
      <c r="CF9" s="288" t="n"/>
      <c r="CG9" s="288" t="n"/>
      <c r="CH9" s="288" t="n"/>
      <c r="CI9" s="288" t="n"/>
      <c r="CJ9" s="288" t="n"/>
      <c r="CK9" s="288" t="n"/>
      <c r="CL9" s="288" t="n"/>
      <c r="CM9" s="288" t="n"/>
      <c r="CN9" s="288" t="n"/>
      <c r="CO9" s="288" t="n"/>
      <c r="CP9" s="288" t="n"/>
      <c r="CQ9" s="288" t="n"/>
      <c r="CR9" s="288" t="n"/>
      <c r="CS9" s="288" t="n"/>
      <c r="CT9" s="288" t="n"/>
      <c r="CU9" s="288" t="n"/>
      <c r="CV9" s="269" t="n"/>
      <c r="CW9" s="288" t="n"/>
      <c r="CX9" s="288" t="n"/>
      <c r="CY9" s="288" t="n"/>
      <c r="CZ9" s="288" t="n"/>
      <c r="DA9" s="288" t="n"/>
      <c r="DB9" s="288" t="n"/>
      <c r="DC9" s="288" t="n"/>
      <c r="DD9" s="288" t="n"/>
      <c r="DE9" s="289" t="n"/>
      <c r="DF9" s="289" t="n"/>
      <c r="DG9" s="79" t="n"/>
    </row>
    <row r="10">
      <c r="A10" s="428" t="n"/>
      <c r="B10" s="288" t="n"/>
      <c r="C10" s="18" t="n"/>
      <c r="D10" s="18" t="n"/>
      <c r="E10" s="285" t="n"/>
      <c r="F10" s="19" t="n"/>
      <c r="G10" s="19" t="n"/>
      <c r="H10" s="285" t="n"/>
      <c r="I10" s="19" t="n"/>
      <c r="J10" s="19" t="n"/>
      <c r="K10" s="285" t="n"/>
      <c r="L10" s="19" t="n"/>
      <c r="M10" s="19" t="n"/>
      <c r="N10" s="285" t="n"/>
      <c r="O10" s="19" t="n"/>
      <c r="P10" s="19" t="n"/>
      <c r="Q10" s="285" t="n"/>
      <c r="R10" s="19" t="n"/>
      <c r="S10" s="19" t="n"/>
      <c r="T10" s="285" t="n"/>
      <c r="U10" s="19" t="n"/>
      <c r="V10" s="19" t="n"/>
      <c r="W10" s="285" t="n"/>
      <c r="X10" s="19" t="n"/>
      <c r="Y10" s="19" t="n"/>
      <c r="Z10" s="285" t="n"/>
      <c r="AA10" s="19" t="n"/>
      <c r="AB10" s="19" t="n"/>
      <c r="AC10" s="285" t="n"/>
      <c r="AD10" s="19" t="n"/>
      <c r="AE10" s="19" t="n"/>
      <c r="AF10" s="285" t="n"/>
      <c r="AG10" s="19" t="n"/>
      <c r="AH10" s="19" t="n"/>
      <c r="AI10" s="285" t="n"/>
      <c r="AJ10" s="19" t="n"/>
      <c r="AK10" s="19" t="n"/>
      <c r="AL10" s="285" t="n"/>
      <c r="AM10" s="19" t="n"/>
      <c r="AN10" s="19" t="n"/>
      <c r="AO10" s="285" t="n"/>
      <c r="AP10" s="19" t="n"/>
      <c r="AQ10" s="19" t="n"/>
      <c r="AR10" s="285" t="n"/>
      <c r="AS10" s="19" t="n"/>
      <c r="AT10" s="19" t="n"/>
      <c r="AU10" s="285" t="n"/>
      <c r="AV10" s="19" t="n"/>
      <c r="AW10" s="19" t="n"/>
      <c r="AX10" s="285" t="n"/>
      <c r="AY10" s="19" t="n"/>
      <c r="AZ10" s="19" t="n"/>
      <c r="BA10" s="287" t="n"/>
      <c r="BB10" s="287" t="n"/>
      <c r="BC10" s="287" t="n"/>
      <c r="BD10" s="287" t="n"/>
      <c r="BE10" s="287" t="n"/>
      <c r="BF10" s="287" t="n"/>
      <c r="BG10" s="287" t="n"/>
      <c r="BH10" s="287" t="n"/>
      <c r="BI10" s="288" t="n"/>
      <c r="BJ10" s="288" t="n"/>
      <c r="BK10" s="288" t="n"/>
      <c r="BL10" s="288" t="n"/>
      <c r="BM10" s="288" t="n"/>
      <c r="BN10" s="288" t="n"/>
      <c r="BO10" s="288" t="n"/>
      <c r="BP10" s="288" t="n"/>
      <c r="BQ10" s="288" t="n"/>
      <c r="BR10" s="288" t="n"/>
      <c r="BS10" s="288" t="n"/>
      <c r="BT10" s="288" t="n"/>
      <c r="BU10" s="288" t="n"/>
      <c r="BV10" s="288" t="n"/>
      <c r="BW10" s="288" t="n"/>
      <c r="BX10" s="288" t="n"/>
      <c r="BY10" s="288" t="n"/>
      <c r="BZ10" s="288" t="n"/>
      <c r="CA10" s="288" t="n"/>
      <c r="CB10" s="288" t="n"/>
      <c r="CC10" s="288" t="n"/>
      <c r="CD10" s="288" t="n"/>
      <c r="CE10" s="288" t="n"/>
      <c r="CF10" s="288" t="n"/>
      <c r="CG10" s="288" t="n"/>
      <c r="CH10" s="288" t="n"/>
      <c r="CI10" s="288" t="n"/>
      <c r="CJ10" s="288" t="n"/>
      <c r="CK10" s="288" t="n"/>
      <c r="CL10" s="288" t="n"/>
      <c r="CM10" s="288" t="n"/>
      <c r="CN10" s="288" t="n"/>
      <c r="CO10" s="288" t="n"/>
      <c r="CP10" s="288" t="n"/>
      <c r="CQ10" s="288" t="n"/>
      <c r="CR10" s="288" t="n"/>
      <c r="CS10" s="288" t="n"/>
      <c r="CT10" s="288" t="n"/>
      <c r="CU10" s="288" t="n"/>
      <c r="CV10" s="269" t="n"/>
      <c r="CW10" s="288" t="n"/>
      <c r="CX10" s="288" t="n"/>
      <c r="CY10" s="288" t="n"/>
      <c r="CZ10" s="288" t="n"/>
      <c r="DA10" s="288" t="n"/>
      <c r="DB10" s="288" t="n"/>
      <c r="DC10" s="288" t="n"/>
      <c r="DD10" s="288" t="n"/>
      <c r="DE10" s="289" t="n"/>
      <c r="DF10" s="289" t="n"/>
      <c r="DG10" s="79" t="n"/>
    </row>
    <row r="11">
      <c r="A11" s="428" t="n"/>
      <c r="B11" s="288" t="n"/>
      <c r="C11" s="18" t="n"/>
      <c r="D11" s="18" t="n"/>
      <c r="E11" s="285" t="n"/>
      <c r="F11" s="19" t="n"/>
      <c r="G11" s="19" t="n"/>
      <c r="H11" s="285" t="n"/>
      <c r="I11" s="19" t="n"/>
      <c r="J11" s="19" t="n"/>
      <c r="K11" s="285" t="n"/>
      <c r="L11" s="19" t="n"/>
      <c r="M11" s="19" t="n"/>
      <c r="N11" s="285" t="n"/>
      <c r="O11" s="19" t="n"/>
      <c r="P11" s="19" t="n"/>
      <c r="Q11" s="285" t="n"/>
      <c r="R11" s="19" t="n"/>
      <c r="S11" s="19" t="n"/>
      <c r="T11" s="285" t="n"/>
      <c r="U11" s="19" t="n"/>
      <c r="V11" s="19" t="n"/>
      <c r="W11" s="285" t="n"/>
      <c r="X11" s="19" t="n"/>
      <c r="Y11" s="19" t="n"/>
      <c r="Z11" s="285" t="n"/>
      <c r="AA11" s="19" t="n"/>
      <c r="AB11" s="19" t="n"/>
      <c r="AC11" s="285" t="n"/>
      <c r="AD11" s="19" t="n"/>
      <c r="AE11" s="19" t="n"/>
      <c r="AF11" s="285" t="n"/>
      <c r="AG11" s="19" t="n"/>
      <c r="AH11" s="19" t="n"/>
      <c r="AI11" s="285" t="n"/>
      <c r="AJ11" s="19" t="n"/>
      <c r="AK11" s="19" t="n"/>
      <c r="AL11" s="285" t="n"/>
      <c r="AM11" s="19" t="n"/>
      <c r="AN11" s="19" t="n"/>
      <c r="AO11" s="285" t="n"/>
      <c r="AP11" s="19" t="n"/>
      <c r="AQ11" s="19" t="n"/>
      <c r="AR11" s="285" t="n"/>
      <c r="AS11" s="19" t="n"/>
      <c r="AT11" s="19" t="n"/>
      <c r="AU11" s="285" t="n"/>
      <c r="AV11" s="19" t="n"/>
      <c r="AW11" s="19" t="n"/>
      <c r="AX11" s="285" t="n"/>
      <c r="AY11" s="19" t="n"/>
      <c r="AZ11" s="19" t="n"/>
      <c r="BA11" s="287" t="n"/>
      <c r="BB11" s="287" t="n"/>
      <c r="BC11" s="287" t="n"/>
      <c r="BD11" s="287" t="n"/>
      <c r="BE11" s="287" t="n"/>
      <c r="BF11" s="287" t="n"/>
      <c r="BG11" s="287" t="n"/>
      <c r="BH11" s="287" t="n"/>
      <c r="BI11" s="288" t="n"/>
      <c r="BJ11" s="288" t="n"/>
      <c r="BK11" s="288" t="n"/>
      <c r="BL11" s="288" t="n"/>
      <c r="BM11" s="288" t="n"/>
      <c r="BN11" s="288" t="n"/>
      <c r="BO11" s="288" t="n"/>
      <c r="BP11" s="288" t="n"/>
      <c r="BQ11" s="288" t="n"/>
      <c r="BR11" s="288" t="n"/>
      <c r="BS11" s="288" t="n"/>
      <c r="BT11" s="288" t="n"/>
      <c r="BU11" s="288" t="n"/>
      <c r="BV11" s="288" t="n"/>
      <c r="BW11" s="288" t="n"/>
      <c r="BX11" s="288" t="n"/>
      <c r="BY11" s="288" t="n"/>
      <c r="BZ11" s="288" t="n"/>
      <c r="CA11" s="288" t="n"/>
      <c r="CB11" s="288" t="n"/>
      <c r="CC11" s="288" t="n"/>
      <c r="CD11" s="288" t="n"/>
      <c r="CE11" s="288" t="n"/>
      <c r="CF11" s="288" t="n"/>
      <c r="CG11" s="288" t="n"/>
      <c r="CH11" s="288" t="n"/>
      <c r="CI11" s="288" t="n"/>
      <c r="CJ11" s="288" t="n"/>
      <c r="CK11" s="288" t="n"/>
      <c r="CL11" s="288" t="n"/>
      <c r="CM11" s="288" t="n"/>
      <c r="CN11" s="288" t="n"/>
      <c r="CO11" s="288" t="n"/>
      <c r="CP11" s="288" t="n"/>
      <c r="CQ11" s="288" t="n"/>
      <c r="CR11" s="288" t="n"/>
      <c r="CS11" s="288" t="n"/>
      <c r="CT11" s="288" t="n"/>
      <c r="CU11" s="288" t="n"/>
      <c r="CV11" s="269" t="n"/>
      <c r="CW11" s="288" t="n"/>
      <c r="CX11" s="288" t="n"/>
      <c r="CY11" s="288" t="n"/>
      <c r="CZ11" s="288" t="n"/>
      <c r="DA11" s="288" t="n"/>
      <c r="DB11" s="288" t="n"/>
      <c r="DC11" s="288" t="n"/>
      <c r="DD11" s="288" t="n"/>
      <c r="DE11" s="289" t="n"/>
      <c r="DF11" s="289" t="n"/>
      <c r="DG11" s="79" t="n"/>
    </row>
    <row r="12">
      <c r="A12" s="428" t="n"/>
      <c r="B12" s="288" t="n"/>
      <c r="C12" s="18" t="n"/>
      <c r="D12" s="18" t="n"/>
      <c r="E12" s="285" t="n"/>
      <c r="F12" s="19" t="n"/>
      <c r="G12" s="19" t="n"/>
      <c r="H12" s="285" t="n"/>
      <c r="I12" s="19" t="n"/>
      <c r="J12" s="19" t="n"/>
      <c r="K12" s="285" t="n"/>
      <c r="L12" s="19" t="n"/>
      <c r="M12" s="19" t="n"/>
      <c r="N12" s="285" t="n"/>
      <c r="O12" s="19" t="n"/>
      <c r="P12" s="19" t="n"/>
      <c r="Q12" s="285" t="n"/>
      <c r="R12" s="19" t="n"/>
      <c r="S12" s="19" t="n"/>
      <c r="T12" s="285" t="n"/>
      <c r="U12" s="19" t="n"/>
      <c r="V12" s="19" t="n"/>
      <c r="W12" s="285" t="n"/>
      <c r="X12" s="19" t="n"/>
      <c r="Y12" s="19" t="n"/>
      <c r="Z12" s="285" t="n"/>
      <c r="AA12" s="19" t="n"/>
      <c r="AB12" s="19" t="n"/>
      <c r="AC12" s="285" t="n"/>
      <c r="AD12" s="19" t="n"/>
      <c r="AE12" s="19" t="n"/>
      <c r="AF12" s="285" t="n"/>
      <c r="AG12" s="19" t="n"/>
      <c r="AH12" s="19" t="n"/>
      <c r="AI12" s="285" t="n"/>
      <c r="AJ12" s="19" t="n"/>
      <c r="AK12" s="19" t="n"/>
      <c r="AL12" s="285" t="n"/>
      <c r="AM12" s="19" t="n"/>
      <c r="AN12" s="19" t="n"/>
      <c r="AO12" s="285" t="n"/>
      <c r="AP12" s="19" t="n"/>
      <c r="AQ12" s="19" t="n"/>
      <c r="AR12" s="285" t="n"/>
      <c r="AS12" s="19" t="n"/>
      <c r="AT12" s="19" t="n"/>
      <c r="AU12" s="285" t="n"/>
      <c r="AV12" s="19" t="n"/>
      <c r="AW12" s="19" t="n"/>
      <c r="AX12" s="285" t="n"/>
      <c r="AY12" s="19" t="n"/>
      <c r="AZ12" s="19" t="n"/>
      <c r="BA12" s="287" t="n"/>
      <c r="BB12" s="287" t="n"/>
      <c r="BC12" s="287" t="n"/>
      <c r="BD12" s="287" t="n"/>
      <c r="BE12" s="287" t="n"/>
      <c r="BF12" s="287" t="n"/>
      <c r="BG12" s="287" t="n"/>
      <c r="BH12" s="287" t="n"/>
      <c r="BI12" s="288" t="n"/>
      <c r="BJ12" s="288" t="n"/>
      <c r="BK12" s="288" t="n"/>
      <c r="BL12" s="288" t="n"/>
      <c r="BM12" s="288" t="n"/>
      <c r="BN12" s="288" t="n"/>
      <c r="BO12" s="288" t="n"/>
      <c r="BP12" s="288" t="n"/>
      <c r="BQ12" s="288" t="n"/>
      <c r="BR12" s="288" t="n"/>
      <c r="BS12" s="288" t="n"/>
      <c r="BT12" s="288" t="n"/>
      <c r="BU12" s="288" t="n"/>
      <c r="BV12" s="288" t="n"/>
      <c r="BW12" s="288" t="n"/>
      <c r="BX12" s="288" t="n"/>
      <c r="BY12" s="288" t="n"/>
      <c r="BZ12" s="288" t="n"/>
      <c r="CA12" s="288" t="n"/>
      <c r="CB12" s="288" t="n"/>
      <c r="CC12" s="288" t="n"/>
      <c r="CD12" s="288" t="n"/>
      <c r="CE12" s="288" t="n"/>
      <c r="CF12" s="288" t="n"/>
      <c r="CG12" s="288" t="n"/>
      <c r="CH12" s="288" t="n"/>
      <c r="CI12" s="288" t="n"/>
      <c r="CJ12" s="288" t="n"/>
      <c r="CK12" s="288" t="n"/>
      <c r="CL12" s="288" t="n"/>
      <c r="CM12" s="288" t="n"/>
      <c r="CN12" s="288" t="n"/>
      <c r="CO12" s="288" t="n"/>
      <c r="CP12" s="288" t="n"/>
      <c r="CQ12" s="288" t="n"/>
      <c r="CR12" s="288" t="n"/>
      <c r="CS12" s="288" t="n"/>
      <c r="CT12" s="288" t="n"/>
      <c r="CU12" s="288" t="n"/>
      <c r="CV12" s="269" t="n"/>
      <c r="CW12" s="288" t="n"/>
      <c r="CX12" s="288" t="n"/>
      <c r="CY12" s="288" t="n"/>
      <c r="CZ12" s="288" t="n"/>
      <c r="DA12" s="288" t="n"/>
      <c r="DB12" s="288" t="n"/>
      <c r="DC12" s="288" t="n"/>
      <c r="DD12" s="288" t="n"/>
      <c r="DE12" s="289" t="n"/>
      <c r="DF12" s="289" t="n"/>
      <c r="DG12" s="79" t="n"/>
    </row>
    <row r="13">
      <c r="A13" s="428" t="n"/>
      <c r="B13" s="288" t="n"/>
      <c r="C13" s="18" t="n"/>
      <c r="D13" s="18" t="n"/>
      <c r="E13" s="285" t="n"/>
      <c r="F13" s="19" t="n"/>
      <c r="G13" s="19" t="n"/>
      <c r="H13" s="285" t="n"/>
      <c r="I13" s="19" t="n"/>
      <c r="J13" s="19" t="n"/>
      <c r="K13" s="285" t="n"/>
      <c r="L13" s="19" t="n"/>
      <c r="M13" s="19" t="n"/>
      <c r="N13" s="285" t="n"/>
      <c r="O13" s="19" t="n"/>
      <c r="P13" s="19" t="n"/>
      <c r="Q13" s="285" t="n"/>
      <c r="R13" s="19" t="n"/>
      <c r="S13" s="19" t="n"/>
      <c r="T13" s="285" t="n"/>
      <c r="U13" s="19" t="n"/>
      <c r="V13" s="19" t="n"/>
      <c r="W13" s="285" t="n"/>
      <c r="X13" s="19" t="n"/>
      <c r="Y13" s="19" t="n"/>
      <c r="Z13" s="285" t="n"/>
      <c r="AA13" s="19" t="n"/>
      <c r="AB13" s="19" t="n"/>
      <c r="AC13" s="285" t="n"/>
      <c r="AD13" s="19" t="n"/>
      <c r="AE13" s="19" t="n"/>
      <c r="AF13" s="285" t="n"/>
      <c r="AG13" s="19" t="n"/>
      <c r="AH13" s="19" t="n"/>
      <c r="AI13" s="285" t="n"/>
      <c r="AJ13" s="19" t="n"/>
      <c r="AK13" s="19" t="n"/>
      <c r="AL13" s="285" t="n"/>
      <c r="AM13" s="19" t="n"/>
      <c r="AN13" s="19" t="n"/>
      <c r="AO13" s="285" t="n"/>
      <c r="AP13" s="19" t="n"/>
      <c r="AQ13" s="19" t="n"/>
      <c r="AR13" s="285" t="n"/>
      <c r="AS13" s="19" t="n"/>
      <c r="AT13" s="19" t="n"/>
      <c r="AU13" s="285" t="n"/>
      <c r="AV13" s="19" t="n"/>
      <c r="AW13" s="19" t="n"/>
      <c r="AX13" s="285" t="n"/>
      <c r="AY13" s="19" t="n"/>
      <c r="AZ13" s="19" t="n"/>
      <c r="BA13" s="287" t="n"/>
      <c r="BB13" s="287" t="n"/>
      <c r="BC13" s="287" t="n"/>
      <c r="BD13" s="287" t="n"/>
      <c r="BE13" s="287" t="n"/>
      <c r="BF13" s="287" t="n"/>
      <c r="BG13" s="287" t="n"/>
      <c r="BH13" s="287" t="n"/>
      <c r="BI13" s="288" t="n"/>
      <c r="BJ13" s="288" t="n"/>
      <c r="BK13" s="288" t="n"/>
      <c r="BL13" s="288" t="n"/>
      <c r="BM13" s="288" t="n"/>
      <c r="BN13" s="288" t="n"/>
      <c r="BO13" s="288" t="n"/>
      <c r="BP13" s="288" t="n"/>
      <c r="BQ13" s="288" t="n"/>
      <c r="BR13" s="288" t="n"/>
      <c r="BS13" s="288" t="n"/>
      <c r="BT13" s="288" t="n"/>
      <c r="BU13" s="288" t="n"/>
      <c r="BV13" s="288" t="n"/>
      <c r="BW13" s="288" t="n"/>
      <c r="BX13" s="288" t="n"/>
      <c r="BY13" s="288" t="n"/>
      <c r="BZ13" s="288" t="n"/>
      <c r="CA13" s="288" t="n"/>
      <c r="CB13" s="288" t="n"/>
      <c r="CC13" s="288" t="n"/>
      <c r="CD13" s="288" t="n"/>
      <c r="CE13" s="288" t="n"/>
      <c r="CF13" s="288" t="n"/>
      <c r="CG13" s="288" t="n"/>
      <c r="CH13" s="288" t="n"/>
      <c r="CI13" s="288" t="n"/>
      <c r="CJ13" s="288" t="n"/>
      <c r="CK13" s="288" t="n"/>
      <c r="CL13" s="288" t="n"/>
      <c r="CM13" s="288" t="n"/>
      <c r="CN13" s="288" t="n"/>
      <c r="CO13" s="288" t="n"/>
      <c r="CP13" s="288" t="n"/>
      <c r="CQ13" s="288" t="n"/>
      <c r="CR13" s="288" t="n"/>
      <c r="CS13" s="288" t="n"/>
      <c r="CT13" s="288" t="n"/>
      <c r="CU13" s="288" t="n"/>
      <c r="CV13" s="269" t="n"/>
      <c r="CW13" s="288" t="n"/>
      <c r="CX13" s="288" t="n"/>
      <c r="CY13" s="288" t="n"/>
      <c r="CZ13" s="288" t="n"/>
      <c r="DA13" s="288" t="n"/>
      <c r="DB13" s="288" t="n"/>
      <c r="DC13" s="288" t="n"/>
      <c r="DD13" s="288" t="n"/>
      <c r="DE13" s="289" t="n"/>
      <c r="DF13" s="289" t="n"/>
      <c r="DG13" s="79" t="n"/>
    </row>
    <row r="14">
      <c r="A14" s="428" t="n"/>
      <c r="B14" s="288" t="n"/>
      <c r="C14" s="18" t="n"/>
      <c r="D14" s="18" t="n"/>
      <c r="E14" s="285" t="n"/>
      <c r="F14" s="19" t="n"/>
      <c r="G14" s="19" t="n"/>
      <c r="H14" s="285" t="n"/>
      <c r="I14" s="19" t="n"/>
      <c r="J14" s="19" t="n"/>
      <c r="K14" s="285" t="n"/>
      <c r="L14" s="19" t="n"/>
      <c r="M14" s="19" t="n"/>
      <c r="N14" s="285" t="n"/>
      <c r="O14" s="19" t="n"/>
      <c r="P14" s="19" t="n"/>
      <c r="Q14" s="285" t="n"/>
      <c r="R14" s="19" t="n"/>
      <c r="S14" s="19" t="n"/>
      <c r="T14" s="285" t="n"/>
      <c r="U14" s="19" t="n"/>
      <c r="V14" s="19" t="n"/>
      <c r="W14" s="285" t="n"/>
      <c r="X14" s="19" t="n"/>
      <c r="Y14" s="19" t="n"/>
      <c r="Z14" s="285" t="n"/>
      <c r="AA14" s="19" t="n"/>
      <c r="AB14" s="19" t="n"/>
      <c r="AC14" s="285" t="n"/>
      <c r="AD14" s="19" t="n"/>
      <c r="AE14" s="19" t="n"/>
      <c r="AF14" s="285" t="n"/>
      <c r="AG14" s="19" t="n"/>
      <c r="AH14" s="19" t="n"/>
      <c r="AI14" s="285" t="n"/>
      <c r="AJ14" s="19" t="n"/>
      <c r="AK14" s="19" t="n"/>
      <c r="AL14" s="285" t="n"/>
      <c r="AM14" s="19" t="n"/>
      <c r="AN14" s="19" t="n"/>
      <c r="AO14" s="285" t="n"/>
      <c r="AP14" s="19" t="n"/>
      <c r="AQ14" s="19" t="n"/>
      <c r="AR14" s="285" t="n"/>
      <c r="AS14" s="19" t="n"/>
      <c r="AT14" s="19" t="n"/>
      <c r="AU14" s="285" t="n"/>
      <c r="AV14" s="19" t="n"/>
      <c r="AW14" s="19" t="n"/>
      <c r="AX14" s="285" t="n"/>
      <c r="AY14" s="19" t="n"/>
      <c r="AZ14" s="19" t="n"/>
      <c r="BA14" s="287" t="n"/>
      <c r="BB14" s="287" t="n"/>
      <c r="BC14" s="287" t="n"/>
      <c r="BD14" s="287" t="n"/>
      <c r="BE14" s="287" t="n"/>
      <c r="BF14" s="287" t="n"/>
      <c r="BG14" s="287" t="n"/>
      <c r="BH14" s="287" t="n"/>
      <c r="BI14" s="288" t="n"/>
      <c r="BJ14" s="288" t="n"/>
      <c r="BK14" s="288" t="n"/>
      <c r="BL14" s="288" t="n"/>
      <c r="BM14" s="288" t="n"/>
      <c r="BN14" s="288" t="n"/>
      <c r="BO14" s="288" t="n"/>
      <c r="BP14" s="288" t="n"/>
      <c r="BQ14" s="288" t="n"/>
      <c r="BR14" s="288" t="n"/>
      <c r="BS14" s="288" t="n"/>
      <c r="BT14" s="288" t="n"/>
      <c r="BU14" s="288" t="n"/>
      <c r="BV14" s="288" t="n"/>
      <c r="BW14" s="288" t="n"/>
      <c r="BX14" s="288" t="n"/>
      <c r="BY14" s="288" t="n"/>
      <c r="BZ14" s="288" t="n"/>
      <c r="CA14" s="288" t="n"/>
      <c r="CB14" s="288" t="n"/>
      <c r="CC14" s="288" t="n"/>
      <c r="CD14" s="288" t="n"/>
      <c r="CE14" s="288" t="n"/>
      <c r="CF14" s="288" t="n"/>
      <c r="CG14" s="288" t="n"/>
      <c r="CH14" s="288" t="n"/>
      <c r="CI14" s="288" t="n"/>
      <c r="CJ14" s="288" t="n"/>
      <c r="CK14" s="288" t="n"/>
      <c r="CL14" s="288" t="n"/>
      <c r="CM14" s="288" t="n"/>
      <c r="CN14" s="288" t="n"/>
      <c r="CO14" s="288" t="n"/>
      <c r="CP14" s="288" t="n"/>
      <c r="CQ14" s="288" t="n"/>
      <c r="CR14" s="288" t="n"/>
      <c r="CS14" s="288" t="n"/>
      <c r="CT14" s="288" t="n"/>
      <c r="CU14" s="288" t="n"/>
      <c r="CV14" s="269" t="n"/>
      <c r="CW14" s="288" t="n"/>
      <c r="CX14" s="288" t="n"/>
      <c r="CY14" s="288" t="n"/>
      <c r="CZ14" s="288" t="n"/>
      <c r="DA14" s="288" t="n"/>
      <c r="DB14" s="288" t="n"/>
      <c r="DC14" s="288" t="n"/>
      <c r="DD14" s="288" t="n"/>
      <c r="DE14" s="289" t="n"/>
      <c r="DF14" s="289" t="n"/>
      <c r="DG14" s="79" t="n"/>
    </row>
    <row r="15">
      <c r="A15" s="428" t="n"/>
      <c r="B15" s="288" t="n"/>
      <c r="C15" s="18" t="n"/>
      <c r="D15" s="18" t="n"/>
      <c r="E15" s="285" t="n"/>
      <c r="F15" s="19" t="n"/>
      <c r="G15" s="19" t="n"/>
      <c r="H15" s="285" t="n"/>
      <c r="I15" s="19" t="n"/>
      <c r="J15" s="19" t="n"/>
      <c r="K15" s="285" t="n"/>
      <c r="L15" s="19" t="n"/>
      <c r="M15" s="19" t="n"/>
      <c r="N15" s="285" t="n"/>
      <c r="O15" s="19" t="n"/>
      <c r="P15" s="19" t="n"/>
      <c r="Q15" s="285" t="n"/>
      <c r="R15" s="19" t="n"/>
      <c r="S15" s="19" t="n"/>
      <c r="T15" s="285" t="n"/>
      <c r="U15" s="19" t="n"/>
      <c r="V15" s="19" t="n"/>
      <c r="W15" s="285" t="n"/>
      <c r="X15" s="19" t="n"/>
      <c r="Y15" s="19" t="n"/>
      <c r="Z15" s="285" t="n"/>
      <c r="AA15" s="19" t="n"/>
      <c r="AB15" s="19" t="n"/>
      <c r="AC15" s="285" t="n"/>
      <c r="AD15" s="19" t="n"/>
      <c r="AE15" s="19" t="n"/>
      <c r="AF15" s="285" t="n"/>
      <c r="AG15" s="19" t="n"/>
      <c r="AH15" s="19" t="n"/>
      <c r="AI15" s="285" t="n"/>
      <c r="AJ15" s="19" t="n"/>
      <c r="AK15" s="19" t="n"/>
      <c r="AL15" s="285" t="n"/>
      <c r="AM15" s="19" t="n"/>
      <c r="AN15" s="19" t="n"/>
      <c r="AO15" s="285" t="n"/>
      <c r="AP15" s="19" t="n"/>
      <c r="AQ15" s="19" t="n"/>
      <c r="AR15" s="285" t="n"/>
      <c r="AS15" s="19" t="n"/>
      <c r="AT15" s="19" t="n"/>
      <c r="AU15" s="285" t="n"/>
      <c r="AV15" s="19" t="n"/>
      <c r="AW15" s="19" t="n"/>
      <c r="AX15" s="285" t="n"/>
      <c r="AY15" s="19" t="n"/>
      <c r="AZ15" s="19" t="n"/>
      <c r="BA15" s="287" t="n"/>
      <c r="BB15" s="287" t="n"/>
      <c r="BC15" s="287" t="n"/>
      <c r="BD15" s="287" t="n"/>
      <c r="BE15" s="287" t="n"/>
      <c r="BF15" s="287" t="n"/>
      <c r="BG15" s="287" t="n"/>
      <c r="BH15" s="287" t="n"/>
      <c r="BI15" s="288" t="n"/>
      <c r="BJ15" s="288" t="n"/>
      <c r="BK15" s="288" t="n"/>
      <c r="BL15" s="288" t="n"/>
      <c r="BM15" s="288" t="n"/>
      <c r="BN15" s="288" t="n"/>
      <c r="BO15" s="288" t="n"/>
      <c r="BP15" s="288" t="n"/>
      <c r="BQ15" s="288" t="n"/>
      <c r="BR15" s="288" t="n"/>
      <c r="BS15" s="288" t="n"/>
      <c r="BT15" s="288" t="n"/>
      <c r="BU15" s="288" t="n"/>
      <c r="BV15" s="288" t="n"/>
      <c r="BW15" s="288" t="n"/>
      <c r="BX15" s="288" t="n"/>
      <c r="BY15" s="288" t="n"/>
      <c r="BZ15" s="288" t="n"/>
      <c r="CA15" s="288" t="n"/>
      <c r="CB15" s="288" t="n"/>
      <c r="CC15" s="288" t="n"/>
      <c r="CD15" s="288" t="n"/>
      <c r="CE15" s="288" t="n"/>
      <c r="CF15" s="288" t="n"/>
      <c r="CG15" s="288" t="n"/>
      <c r="CH15" s="288" t="n"/>
      <c r="CI15" s="288" t="n"/>
      <c r="CJ15" s="288" t="n"/>
      <c r="CK15" s="288" t="n"/>
      <c r="CL15" s="288" t="n"/>
      <c r="CM15" s="288" t="n"/>
      <c r="CN15" s="288" t="n"/>
      <c r="CO15" s="288" t="n"/>
      <c r="CP15" s="288" t="n"/>
      <c r="CQ15" s="288" t="n"/>
      <c r="CR15" s="288" t="n"/>
      <c r="CS15" s="288" t="n"/>
      <c r="CT15" s="288" t="n"/>
      <c r="CU15" s="288" t="n"/>
      <c r="CV15" s="269" t="n"/>
      <c r="CW15" s="288" t="n"/>
      <c r="CX15" s="288" t="n"/>
      <c r="CY15" s="288" t="n"/>
      <c r="CZ15" s="288" t="n"/>
      <c r="DA15" s="288" t="n"/>
      <c r="DB15" s="288" t="n"/>
      <c r="DC15" s="288" t="n"/>
      <c r="DD15" s="288" t="n"/>
      <c r="DE15" s="289" t="n"/>
      <c r="DF15" s="289" t="n"/>
      <c r="DG15" s="79" t="n"/>
    </row>
    <row r="16" ht="13" customFormat="1" customHeight="1" s="40">
      <c r="A16" s="330" t="n"/>
      <c r="B16" s="291" t="n"/>
      <c r="C16" s="15" t="n"/>
      <c r="D16" s="15" t="n"/>
      <c r="E16" s="281" t="n"/>
      <c r="F16" s="15" t="n"/>
      <c r="G16" s="15" t="n"/>
      <c r="H16" s="281" t="n"/>
      <c r="I16" s="15" t="n"/>
      <c r="J16" s="15" t="n"/>
      <c r="K16" s="281" t="n"/>
      <c r="L16" s="15" t="n"/>
      <c r="M16" s="15" t="n"/>
      <c r="N16" s="281" t="n"/>
      <c r="O16" s="15" t="n"/>
      <c r="P16" s="15" t="n"/>
      <c r="Q16" s="281" t="n"/>
      <c r="R16" s="15" t="n"/>
      <c r="S16" s="15" t="n"/>
      <c r="T16" s="281" t="n"/>
      <c r="U16" s="15" t="n"/>
      <c r="V16" s="15" t="n"/>
      <c r="W16" s="281" t="n"/>
      <c r="X16" s="15" t="n"/>
      <c r="Y16" s="15" t="n"/>
      <c r="Z16" s="281" t="n"/>
      <c r="AA16" s="15" t="n"/>
      <c r="AB16" s="15" t="n"/>
      <c r="AC16" s="281" t="n"/>
      <c r="AD16" s="15" t="n"/>
      <c r="AE16" s="15" t="n"/>
      <c r="AF16" s="281" t="n"/>
      <c r="AG16" s="15" t="n"/>
      <c r="AH16" s="15" t="n"/>
      <c r="AI16" s="281" t="n"/>
      <c r="AJ16" s="15" t="n"/>
      <c r="AK16" s="15" t="n"/>
      <c r="AL16" s="281" t="n"/>
      <c r="AM16" s="31" t="n"/>
      <c r="AN16" s="15" t="n"/>
      <c r="AO16" s="281" t="n"/>
      <c r="AP16" s="31" t="n"/>
      <c r="AQ16" s="15" t="n"/>
      <c r="AR16" s="281" t="n"/>
      <c r="AS16" s="31" t="n"/>
      <c r="AT16" s="15" t="n"/>
      <c r="AU16" s="281" t="n"/>
      <c r="AV16" s="31" t="n"/>
      <c r="AW16" s="15" t="n"/>
      <c r="AX16" s="281" t="n"/>
      <c r="AY16" s="15" t="n"/>
      <c r="AZ16" s="15" t="n"/>
      <c r="BA16" s="291" t="n"/>
      <c r="BB16" s="37" t="n"/>
      <c r="BC16" s="291" t="n"/>
      <c r="BD16" s="37" t="n"/>
      <c r="BE16" s="291" t="n"/>
      <c r="BF16" s="37" t="n"/>
      <c r="BG16" s="291" t="n"/>
      <c r="BH16" s="37" t="n"/>
      <c r="BI16" s="291" t="n"/>
      <c r="BJ16" s="37" t="n"/>
      <c r="BK16" s="291" t="n"/>
      <c r="BL16" s="37" t="n"/>
      <c r="BM16" s="291" t="n"/>
      <c r="BN16" s="37" t="n"/>
      <c r="BO16" s="291" t="n"/>
      <c r="BP16" s="291" t="n"/>
      <c r="BQ16" s="37" t="n"/>
      <c r="BR16" s="291" t="n"/>
      <c r="BS16" s="37" t="n"/>
      <c r="BT16" s="291" t="n"/>
      <c r="BU16" s="37" t="n"/>
      <c r="BV16" s="291" t="n"/>
      <c r="BW16" s="37" t="n"/>
      <c r="BX16" s="291" t="n"/>
      <c r="BY16" s="37" t="n"/>
      <c r="BZ16" s="291" t="n"/>
      <c r="CA16" s="37" t="n"/>
      <c r="CB16" s="291" t="n"/>
      <c r="CC16" s="37" t="n"/>
      <c r="CD16" s="291" t="n"/>
      <c r="CE16" s="37" t="n"/>
      <c r="CF16" s="291" t="n"/>
      <c r="CG16" s="291" t="n"/>
      <c r="CH16" s="291" t="n"/>
      <c r="CI16" s="291" t="n"/>
      <c r="CJ16" s="291" t="n"/>
      <c r="CK16" s="291" t="n"/>
      <c r="CL16" s="291" t="n"/>
      <c r="CM16" s="291" t="n"/>
      <c r="CN16" s="291" t="n"/>
      <c r="CO16" s="80" t="n"/>
      <c r="CP16" s="291" t="n"/>
      <c r="CQ16" s="80" t="n"/>
      <c r="CR16" s="291" t="n"/>
      <c r="CS16" s="80" t="n"/>
      <c r="CT16" s="291" t="n"/>
      <c r="CU16" s="80" t="n"/>
      <c r="CW16" s="291" t="n"/>
      <c r="CX16" s="37" t="n"/>
      <c r="CY16" s="291" t="n"/>
      <c r="CZ16" s="37" t="n"/>
      <c r="DA16" s="291" t="n"/>
      <c r="DB16" s="37" t="n"/>
      <c r="DC16" s="291" t="n"/>
      <c r="DD16" s="37" t="n"/>
      <c r="DE16" s="311" t="n"/>
      <c r="DF16" s="311" t="n"/>
    </row>
    <row r="17">
      <c r="A17" s="428" t="n"/>
      <c r="B17" s="288" t="n"/>
      <c r="C17" s="15" t="n"/>
      <c r="D17" s="15" t="n"/>
      <c r="E17" s="285" t="n"/>
      <c r="F17" s="15" t="n"/>
      <c r="G17" s="15" t="n"/>
      <c r="H17" s="285" t="n"/>
      <c r="I17" s="15" t="n"/>
      <c r="J17" s="15" t="n"/>
      <c r="K17" s="285" t="n"/>
      <c r="L17" s="15" t="n"/>
      <c r="M17" s="15" t="n"/>
      <c r="N17" s="285" t="n"/>
      <c r="O17" s="15" t="n"/>
      <c r="P17" s="15" t="n"/>
      <c r="Q17" s="285" t="n"/>
      <c r="R17" s="15" t="n"/>
      <c r="S17" s="15" t="n"/>
      <c r="T17" s="285" t="n"/>
      <c r="U17" s="15" t="n"/>
      <c r="V17" s="15" t="n"/>
      <c r="W17" s="285" t="n"/>
      <c r="X17" s="15" t="n"/>
      <c r="Y17" s="15" t="n"/>
      <c r="Z17" s="285" t="n"/>
      <c r="AA17" s="15" t="n"/>
      <c r="AB17" s="15" t="n"/>
      <c r="AC17" s="285" t="n"/>
      <c r="AD17" s="15" t="n"/>
      <c r="AE17" s="15" t="n"/>
      <c r="AF17" s="285" t="n"/>
      <c r="AG17" s="15" t="n"/>
      <c r="AH17" s="15" t="n"/>
      <c r="AI17" s="285" t="n"/>
      <c r="AJ17" s="15" t="n"/>
      <c r="AK17" s="15" t="n"/>
      <c r="AL17" s="285" t="n"/>
      <c r="AM17" s="31" t="n"/>
      <c r="AN17" s="15" t="n"/>
      <c r="AO17" s="285" t="n"/>
      <c r="AP17" s="31" t="n"/>
      <c r="AQ17" s="15" t="n"/>
      <c r="AR17" s="285" t="n"/>
      <c r="AS17" s="31" t="n"/>
      <c r="AT17" s="15" t="n"/>
      <c r="AU17" s="285" t="n"/>
      <c r="AV17" s="31" t="n"/>
      <c r="AW17" s="15" t="n"/>
      <c r="AX17" s="285" t="n"/>
      <c r="AY17" s="15" t="n"/>
      <c r="AZ17" s="15" t="n"/>
      <c r="BA17" s="287" t="n"/>
      <c r="BB17" s="37" t="n"/>
      <c r="BC17" s="287" t="n"/>
      <c r="BD17" s="37" t="n"/>
      <c r="BE17" s="287" t="n"/>
      <c r="BF17" s="37" t="n"/>
      <c r="BG17" s="287" t="n"/>
      <c r="BH17" s="37" t="n"/>
      <c r="BI17" s="288" t="n"/>
      <c r="BJ17" s="37" t="n"/>
      <c r="BK17" s="288" t="n"/>
      <c r="BL17" s="37" t="n"/>
      <c r="BM17" s="288" t="n"/>
      <c r="BN17" s="37" t="n"/>
      <c r="BO17" s="288" t="n"/>
      <c r="BP17" s="288" t="n"/>
      <c r="BQ17" s="37" t="n"/>
      <c r="BR17" s="288" t="n"/>
      <c r="BS17" s="37" t="n"/>
      <c r="BT17" s="288" t="n"/>
      <c r="BU17" s="37" t="n"/>
      <c r="BV17" s="288" t="n"/>
      <c r="BW17" s="37" t="n"/>
      <c r="BX17" s="288" t="n"/>
      <c r="BY17" s="37" t="n"/>
      <c r="BZ17" s="288" t="n"/>
      <c r="CA17" s="37" t="n"/>
      <c r="CB17" s="288" t="n"/>
      <c r="CC17" s="37" t="n"/>
      <c r="CD17" s="288" t="n"/>
      <c r="CE17" s="37" t="n"/>
      <c r="CF17" s="288" t="n"/>
      <c r="CG17" s="291" t="n"/>
      <c r="CH17" s="288" t="n"/>
      <c r="CI17" s="291" t="n"/>
      <c r="CJ17" s="288" t="n"/>
      <c r="CK17" s="291" t="n"/>
      <c r="CL17" s="288" t="n"/>
      <c r="CM17" s="291" t="n"/>
      <c r="CN17" s="288" t="n"/>
      <c r="CO17" s="80" t="n"/>
      <c r="CP17" s="288" t="n"/>
      <c r="CQ17" s="80" t="n"/>
      <c r="CR17" s="288" t="n"/>
      <c r="CS17" s="80" t="n"/>
      <c r="CT17" s="288" t="n"/>
      <c r="CU17" s="80" t="n"/>
      <c r="CV17" s="269" t="n"/>
      <c r="CW17" s="288" t="n"/>
      <c r="CX17" s="37" t="n"/>
      <c r="CY17" s="288" t="n"/>
      <c r="CZ17" s="37" t="n"/>
      <c r="DA17" s="288" t="n"/>
      <c r="DB17" s="37" t="n"/>
      <c r="DC17" s="288" t="n"/>
      <c r="DD17" s="37" t="n"/>
      <c r="DE17" s="289" t="n"/>
      <c r="DF17" s="289" t="n"/>
      <c r="DG17" s="79" t="n"/>
    </row>
    <row r="18">
      <c r="A18" s="428" t="n"/>
      <c r="B18" s="288" t="n"/>
      <c r="C18" s="15" t="n"/>
      <c r="D18" s="15" t="n"/>
      <c r="E18" s="285" t="n"/>
      <c r="F18" s="15" t="n"/>
      <c r="G18" s="15" t="n"/>
      <c r="H18" s="285" t="n"/>
      <c r="I18" s="15" t="n"/>
      <c r="J18" s="15" t="n"/>
      <c r="K18" s="285" t="n"/>
      <c r="L18" s="15" t="n"/>
      <c r="M18" s="15" t="n"/>
      <c r="N18" s="285" t="n"/>
      <c r="O18" s="15" t="n"/>
      <c r="P18" s="15" t="n"/>
      <c r="Q18" s="285" t="n"/>
      <c r="R18" s="15" t="n"/>
      <c r="S18" s="15" t="n"/>
      <c r="T18" s="285" t="n"/>
      <c r="U18" s="15" t="n"/>
      <c r="V18" s="15" t="n"/>
      <c r="W18" s="285" t="n"/>
      <c r="X18" s="15" t="n"/>
      <c r="Y18" s="15" t="n"/>
      <c r="Z18" s="285" t="n"/>
      <c r="AA18" s="15" t="n"/>
      <c r="AB18" s="15" t="n"/>
      <c r="AC18" s="285" t="n"/>
      <c r="AD18" s="15" t="n"/>
      <c r="AE18" s="15" t="n"/>
      <c r="AF18" s="285" t="n"/>
      <c r="AG18" s="15" t="n"/>
      <c r="AH18" s="15" t="n"/>
      <c r="AI18" s="285" t="n"/>
      <c r="AJ18" s="15" t="n"/>
      <c r="AK18" s="15" t="n"/>
      <c r="AL18" s="285" t="n"/>
      <c r="AM18" s="31" t="n"/>
      <c r="AN18" s="15" t="n"/>
      <c r="AO18" s="285" t="n"/>
      <c r="AP18" s="31" t="n"/>
      <c r="AQ18" s="15" t="n"/>
      <c r="AR18" s="285" t="n"/>
      <c r="AS18" s="31" t="n"/>
      <c r="AT18" s="15" t="n"/>
      <c r="AU18" s="285" t="n"/>
      <c r="AV18" s="31" t="n"/>
      <c r="AW18" s="15" t="n"/>
      <c r="AX18" s="285" t="n"/>
      <c r="AY18" s="15" t="n"/>
      <c r="AZ18" s="15" t="n"/>
      <c r="BA18" s="287" t="n"/>
      <c r="BB18" s="37" t="n"/>
      <c r="BC18" s="287" t="n"/>
      <c r="BD18" s="37" t="n"/>
      <c r="BE18" s="287" t="n"/>
      <c r="BF18" s="37" t="n"/>
      <c r="BG18" s="287" t="n"/>
      <c r="BH18" s="37" t="n"/>
      <c r="BI18" s="288" t="n"/>
      <c r="BJ18" s="37" t="n"/>
      <c r="BK18" s="288" t="n"/>
      <c r="BL18" s="37" t="n"/>
      <c r="BM18" s="288" t="n"/>
      <c r="BN18" s="37" t="n"/>
      <c r="BO18" s="288" t="n"/>
      <c r="BP18" s="288" t="n"/>
      <c r="BQ18" s="37" t="n"/>
      <c r="BR18" s="288" t="n"/>
      <c r="BS18" s="37" t="n"/>
      <c r="BT18" s="288" t="n"/>
      <c r="BU18" s="37" t="n"/>
      <c r="BV18" s="288" t="n"/>
      <c r="BW18" s="37" t="n"/>
      <c r="BX18" s="288" t="n"/>
      <c r="BY18" s="37" t="n"/>
      <c r="BZ18" s="288" t="n"/>
      <c r="CA18" s="37" t="n"/>
      <c r="CB18" s="288" t="n"/>
      <c r="CC18" s="37" t="n"/>
      <c r="CD18" s="288" t="n"/>
      <c r="CE18" s="37" t="n"/>
      <c r="CF18" s="288" t="n"/>
      <c r="CG18" s="291" t="n"/>
      <c r="CH18" s="288" t="n"/>
      <c r="CI18" s="291" t="n"/>
      <c r="CJ18" s="288" t="n"/>
      <c r="CK18" s="291" t="n"/>
      <c r="CL18" s="288" t="n"/>
      <c r="CM18" s="291" t="n"/>
      <c r="CN18" s="288" t="n"/>
      <c r="CO18" s="80" t="n"/>
      <c r="CP18" s="288" t="n"/>
      <c r="CQ18" s="80" t="n"/>
      <c r="CR18" s="288" t="n"/>
      <c r="CS18" s="80" t="n"/>
      <c r="CT18" s="288" t="n"/>
      <c r="CU18" s="80" t="n"/>
      <c r="CV18" s="269" t="n"/>
      <c r="CW18" s="288" t="n"/>
      <c r="CX18" s="37" t="n"/>
      <c r="CY18" s="288" t="n"/>
      <c r="CZ18" s="37" t="n"/>
      <c r="DA18" s="288" t="n"/>
      <c r="DB18" s="37" t="n"/>
      <c r="DC18" s="288" t="n"/>
      <c r="DD18" s="37" t="n"/>
      <c r="DE18" s="289" t="n"/>
      <c r="DF18" s="289" t="n"/>
      <c r="DG18" s="79" t="n"/>
    </row>
    <row r="19">
      <c r="A19" s="428" t="n"/>
      <c r="B19" s="288" t="n"/>
      <c r="C19" s="15" t="n"/>
      <c r="D19" s="15" t="n"/>
      <c r="E19" s="285" t="n"/>
      <c r="F19" s="15" t="n"/>
      <c r="G19" s="15" t="n"/>
      <c r="H19" s="285" t="n"/>
      <c r="I19" s="15" t="n"/>
      <c r="J19" s="15" t="n"/>
      <c r="K19" s="285" t="n"/>
      <c r="L19" s="15" t="n"/>
      <c r="M19" s="15" t="n"/>
      <c r="N19" s="285" t="n"/>
      <c r="O19" s="15" t="n"/>
      <c r="P19" s="15" t="n"/>
      <c r="Q19" s="285" t="n"/>
      <c r="R19" s="15" t="n"/>
      <c r="S19" s="15" t="n"/>
      <c r="T19" s="285" t="n"/>
      <c r="U19" s="15" t="n"/>
      <c r="V19" s="15" t="n"/>
      <c r="W19" s="285" t="n"/>
      <c r="X19" s="15" t="n"/>
      <c r="Y19" s="15" t="n"/>
      <c r="Z19" s="285" t="n"/>
      <c r="AA19" s="15" t="n"/>
      <c r="AB19" s="15" t="n"/>
      <c r="AC19" s="285" t="n"/>
      <c r="AD19" s="15" t="n"/>
      <c r="AE19" s="15" t="n"/>
      <c r="AF19" s="285" t="n"/>
      <c r="AG19" s="15" t="n"/>
      <c r="AH19" s="15" t="n"/>
      <c r="AI19" s="285" t="n"/>
      <c r="AJ19" s="15" t="n"/>
      <c r="AK19" s="15" t="n"/>
      <c r="AL19" s="285" t="n"/>
      <c r="AM19" s="31" t="n"/>
      <c r="AN19" s="15" t="n"/>
      <c r="AO19" s="285" t="n"/>
      <c r="AP19" s="31" t="n"/>
      <c r="AQ19" s="15" t="n"/>
      <c r="AR19" s="285" t="n"/>
      <c r="AS19" s="31" t="n"/>
      <c r="AT19" s="15" t="n"/>
      <c r="AU19" s="285" t="n"/>
      <c r="AV19" s="31" t="n"/>
      <c r="AW19" s="15" t="n"/>
      <c r="AX19" s="285" t="n"/>
      <c r="AY19" s="15" t="n"/>
      <c r="AZ19" s="15" t="n"/>
      <c r="BA19" s="287" t="n"/>
      <c r="BB19" s="37" t="n"/>
      <c r="BC19" s="287" t="n"/>
      <c r="BD19" s="37" t="n"/>
      <c r="BE19" s="287" t="n"/>
      <c r="BF19" s="37" t="n"/>
      <c r="BG19" s="287" t="n"/>
      <c r="BH19" s="37" t="n"/>
      <c r="BI19" s="288" t="n"/>
      <c r="BJ19" s="37" t="n"/>
      <c r="BK19" s="288" t="n"/>
      <c r="BL19" s="37" t="n"/>
      <c r="BM19" s="288" t="n"/>
      <c r="BN19" s="37" t="n"/>
      <c r="BO19" s="288" t="n"/>
      <c r="BP19" s="288" t="n"/>
      <c r="BQ19" s="37" t="n"/>
      <c r="BR19" s="288" t="n"/>
      <c r="BS19" s="37" t="n"/>
      <c r="BT19" s="288" t="n"/>
      <c r="BU19" s="37" t="n"/>
      <c r="BV19" s="288" t="n"/>
      <c r="BW19" s="37" t="n"/>
      <c r="BX19" s="288" t="n"/>
      <c r="BY19" s="37" t="n"/>
      <c r="BZ19" s="288" t="n"/>
      <c r="CA19" s="37" t="n"/>
      <c r="CB19" s="288" t="n"/>
      <c r="CC19" s="37" t="n"/>
      <c r="CD19" s="288" t="n"/>
      <c r="CE19" s="37" t="n"/>
      <c r="CF19" s="288" t="n"/>
      <c r="CG19" s="291" t="n"/>
      <c r="CH19" s="288" t="n"/>
      <c r="CI19" s="291" t="n"/>
      <c r="CJ19" s="288" t="n"/>
      <c r="CK19" s="291" t="n"/>
      <c r="CL19" s="288" t="n"/>
      <c r="CM19" s="291" t="n"/>
      <c r="CN19" s="288" t="n"/>
      <c r="CO19" s="80" t="n"/>
      <c r="CP19" s="288" t="n"/>
      <c r="CQ19" s="80" t="n"/>
      <c r="CR19" s="288" t="n"/>
      <c r="CS19" s="80" t="n"/>
      <c r="CT19" s="288" t="n"/>
      <c r="CU19" s="80" t="n"/>
      <c r="CV19" s="269" t="n"/>
      <c r="CW19" s="288" t="n"/>
      <c r="CX19" s="37" t="n"/>
      <c r="CY19" s="288" t="n"/>
      <c r="CZ19" s="37" t="n"/>
      <c r="DA19" s="288" t="n"/>
      <c r="DB19" s="37" t="n"/>
      <c r="DC19" s="288" t="n"/>
      <c r="DD19" s="37" t="n"/>
      <c r="DE19" s="289" t="n"/>
      <c r="DF19" s="289" t="n"/>
      <c r="DG19" s="79" t="n"/>
    </row>
    <row r="20">
      <c r="A20" s="428" t="n"/>
      <c r="B20" s="288" t="n"/>
      <c r="C20" s="15" t="n"/>
      <c r="D20" s="15" t="n"/>
      <c r="E20" s="285" t="n"/>
      <c r="F20" s="15" t="n"/>
      <c r="G20" s="15" t="n"/>
      <c r="H20" s="285" t="n"/>
      <c r="I20" s="15" t="n"/>
      <c r="J20" s="15" t="n"/>
      <c r="K20" s="285" t="n"/>
      <c r="L20" s="15" t="n"/>
      <c r="M20" s="15" t="n"/>
      <c r="N20" s="285" t="n"/>
      <c r="O20" s="15" t="n"/>
      <c r="P20" s="15" t="n"/>
      <c r="Q20" s="285" t="n"/>
      <c r="R20" s="15" t="n"/>
      <c r="S20" s="15" t="n"/>
      <c r="T20" s="285" t="n"/>
      <c r="U20" s="15" t="n"/>
      <c r="V20" s="15" t="n"/>
      <c r="W20" s="285" t="n"/>
      <c r="X20" s="15" t="n"/>
      <c r="Y20" s="15" t="n"/>
      <c r="Z20" s="285" t="n"/>
      <c r="AA20" s="15" t="n"/>
      <c r="AB20" s="15" t="n"/>
      <c r="AC20" s="285" t="n"/>
      <c r="AD20" s="15" t="n"/>
      <c r="AE20" s="15" t="n"/>
      <c r="AF20" s="285" t="n"/>
      <c r="AG20" s="15" t="n"/>
      <c r="AH20" s="15" t="n"/>
      <c r="AI20" s="285" t="n"/>
      <c r="AJ20" s="15" t="n"/>
      <c r="AK20" s="15" t="n"/>
      <c r="AL20" s="285" t="n"/>
      <c r="AM20" s="31" t="n"/>
      <c r="AN20" s="15" t="n"/>
      <c r="AO20" s="285" t="n"/>
      <c r="AP20" s="31" t="n"/>
      <c r="AQ20" s="15" t="n"/>
      <c r="AR20" s="285" t="n"/>
      <c r="AS20" s="31" t="n"/>
      <c r="AT20" s="15" t="n"/>
      <c r="AU20" s="285" t="n"/>
      <c r="AV20" s="31" t="n"/>
      <c r="AW20" s="15" t="n"/>
      <c r="AX20" s="285" t="n"/>
      <c r="AY20" s="15" t="n"/>
      <c r="AZ20" s="15" t="n"/>
      <c r="BA20" s="287" t="n"/>
      <c r="BB20" s="37" t="n"/>
      <c r="BC20" s="287" t="n"/>
      <c r="BD20" s="37" t="n"/>
      <c r="BE20" s="287" t="n"/>
      <c r="BF20" s="37" t="n"/>
      <c r="BG20" s="287" t="n"/>
      <c r="BH20" s="37" t="n"/>
      <c r="BI20" s="288" t="n"/>
      <c r="BJ20" s="37" t="n"/>
      <c r="BK20" s="288" t="n"/>
      <c r="BL20" s="37" t="n"/>
      <c r="BM20" s="288" t="n"/>
      <c r="BN20" s="37" t="n"/>
      <c r="BO20" s="288" t="n"/>
      <c r="BP20" s="288" t="n"/>
      <c r="BQ20" s="37" t="n"/>
      <c r="BR20" s="288" t="n"/>
      <c r="BS20" s="37" t="n"/>
      <c r="BT20" s="288" t="n"/>
      <c r="BU20" s="37" t="n"/>
      <c r="BV20" s="288" t="n"/>
      <c r="BW20" s="37" t="n"/>
      <c r="BX20" s="288" t="n"/>
      <c r="BY20" s="37" t="n"/>
      <c r="BZ20" s="288" t="n"/>
      <c r="CA20" s="37" t="n"/>
      <c r="CB20" s="288" t="n"/>
      <c r="CC20" s="37" t="n"/>
      <c r="CD20" s="288" t="n"/>
      <c r="CE20" s="37" t="n"/>
      <c r="CF20" s="288" t="n"/>
      <c r="CG20" s="291" t="n"/>
      <c r="CH20" s="288" t="n"/>
      <c r="CI20" s="291" t="n"/>
      <c r="CJ20" s="288" t="n"/>
      <c r="CK20" s="291" t="n"/>
      <c r="CL20" s="288" t="n"/>
      <c r="CM20" s="291" t="n"/>
      <c r="CN20" s="288" t="n"/>
      <c r="CO20" s="80" t="n"/>
      <c r="CP20" s="288" t="n"/>
      <c r="CQ20" s="80" t="n"/>
      <c r="CR20" s="288" t="n"/>
      <c r="CS20" s="80" t="n"/>
      <c r="CT20" s="288" t="n"/>
      <c r="CU20" s="80" t="n"/>
      <c r="CV20" s="269" t="n"/>
      <c r="CW20" s="288" t="n"/>
      <c r="CX20" s="37" t="n"/>
      <c r="CY20" s="288" t="n"/>
      <c r="CZ20" s="37" t="n"/>
      <c r="DA20" s="288" t="n"/>
      <c r="DB20" s="37" t="n"/>
      <c r="DC20" s="288" t="n"/>
      <c r="DD20" s="37" t="n"/>
      <c r="DE20" s="289" t="n"/>
      <c r="DF20" s="289" t="n"/>
      <c r="DG20" s="79" t="n"/>
    </row>
    <row r="21">
      <c r="A21" s="428" t="n"/>
      <c r="B21" s="288" t="n"/>
      <c r="C21" s="15" t="n"/>
      <c r="D21" s="15" t="n"/>
      <c r="E21" s="285" t="n"/>
      <c r="F21" s="15" t="n"/>
      <c r="G21" s="15" t="n"/>
      <c r="H21" s="285" t="n"/>
      <c r="I21" s="15" t="n"/>
      <c r="J21" s="15" t="n"/>
      <c r="K21" s="285" t="n"/>
      <c r="L21" s="15" t="n"/>
      <c r="M21" s="15" t="n"/>
      <c r="N21" s="285" t="n"/>
      <c r="O21" s="15" t="n"/>
      <c r="P21" s="15" t="n"/>
      <c r="Q21" s="285" t="n"/>
      <c r="R21" s="15" t="n"/>
      <c r="S21" s="15" t="n"/>
      <c r="T21" s="285" t="n"/>
      <c r="U21" s="15" t="n"/>
      <c r="V21" s="15" t="n"/>
      <c r="W21" s="285" t="n"/>
      <c r="X21" s="15" t="n"/>
      <c r="Y21" s="15" t="n"/>
      <c r="Z21" s="285" t="n"/>
      <c r="AA21" s="15" t="n"/>
      <c r="AB21" s="15" t="n"/>
      <c r="AC21" s="285" t="n"/>
      <c r="AD21" s="15" t="n"/>
      <c r="AE21" s="15" t="n"/>
      <c r="AF21" s="285" t="n"/>
      <c r="AG21" s="15" t="n"/>
      <c r="AH21" s="15" t="n"/>
      <c r="AI21" s="285" t="n"/>
      <c r="AJ21" s="15" t="n"/>
      <c r="AK21" s="15" t="n"/>
      <c r="AL21" s="285" t="n"/>
      <c r="AM21" s="31" t="n"/>
      <c r="AN21" s="15" t="n"/>
      <c r="AO21" s="285" t="n"/>
      <c r="AP21" s="31" t="n"/>
      <c r="AQ21" s="15" t="n"/>
      <c r="AR21" s="285" t="n"/>
      <c r="AS21" s="31" t="n"/>
      <c r="AT21" s="15" t="n"/>
      <c r="AU21" s="285" t="n"/>
      <c r="AV21" s="31" t="n"/>
      <c r="AW21" s="15" t="n"/>
      <c r="AX21" s="285" t="n"/>
      <c r="AY21" s="15" t="n"/>
      <c r="AZ21" s="15" t="n"/>
      <c r="BA21" s="287" t="n"/>
      <c r="BB21" s="37" t="n"/>
      <c r="BC21" s="287" t="n"/>
      <c r="BD21" s="37" t="n"/>
      <c r="BE21" s="287" t="n"/>
      <c r="BF21" s="37" t="n"/>
      <c r="BG21" s="287" t="n"/>
      <c r="BH21" s="37" t="n"/>
      <c r="BI21" s="288" t="n"/>
      <c r="BJ21" s="37" t="n"/>
      <c r="BK21" s="288" t="n"/>
      <c r="BL21" s="37" t="n"/>
      <c r="BM21" s="288" t="n"/>
      <c r="BN21" s="37" t="n"/>
      <c r="BO21" s="288" t="n"/>
      <c r="BP21" s="288" t="n"/>
      <c r="BQ21" s="37" t="n"/>
      <c r="BR21" s="288" t="n"/>
      <c r="BS21" s="37" t="n"/>
      <c r="BT21" s="288" t="n"/>
      <c r="BU21" s="37" t="n"/>
      <c r="BV21" s="288" t="n"/>
      <c r="BW21" s="37" t="n"/>
      <c r="BX21" s="288" t="n"/>
      <c r="BY21" s="37" t="n"/>
      <c r="BZ21" s="288" t="n"/>
      <c r="CA21" s="37" t="n"/>
      <c r="CB21" s="288" t="n"/>
      <c r="CC21" s="37" t="n"/>
      <c r="CD21" s="288" t="n"/>
      <c r="CE21" s="37" t="n"/>
      <c r="CF21" s="288" t="n"/>
      <c r="CG21" s="291" t="n"/>
      <c r="CH21" s="288" t="n"/>
      <c r="CI21" s="291" t="n"/>
      <c r="CJ21" s="288" t="n"/>
      <c r="CK21" s="291" t="n"/>
      <c r="CL21" s="288" t="n"/>
      <c r="CM21" s="291" t="n"/>
      <c r="CN21" s="288" t="n"/>
      <c r="CO21" s="80" t="n"/>
      <c r="CP21" s="288" t="n"/>
      <c r="CQ21" s="80" t="n"/>
      <c r="CR21" s="288" t="n"/>
      <c r="CS21" s="80" t="n"/>
      <c r="CT21" s="288" t="n"/>
      <c r="CU21" s="80" t="n"/>
      <c r="CV21" s="269" t="n"/>
      <c r="CW21" s="288" t="n"/>
      <c r="CX21" s="37" t="n"/>
      <c r="CY21" s="288" t="n"/>
      <c r="CZ21" s="37" t="n"/>
      <c r="DA21" s="288" t="n"/>
      <c r="DB21" s="37" t="n"/>
      <c r="DC21" s="288" t="n"/>
      <c r="DD21" s="37" t="n"/>
      <c r="DE21" s="289" t="n"/>
      <c r="DF21" s="289" t="n"/>
      <c r="DG21" s="79" t="n"/>
    </row>
    <row r="22">
      <c r="A22" s="428" t="n"/>
      <c r="B22" s="288" t="n"/>
      <c r="C22" s="15" t="n"/>
      <c r="D22" s="15" t="n"/>
      <c r="E22" s="285" t="n"/>
      <c r="F22" s="15" t="n"/>
      <c r="G22" s="15" t="n"/>
      <c r="H22" s="285" t="n"/>
      <c r="I22" s="15" t="n"/>
      <c r="J22" s="15" t="n"/>
      <c r="K22" s="285" t="n"/>
      <c r="L22" s="15" t="n"/>
      <c r="M22" s="15" t="n"/>
      <c r="N22" s="285" t="n"/>
      <c r="O22" s="15" t="n"/>
      <c r="P22" s="15" t="n"/>
      <c r="Q22" s="285" t="n"/>
      <c r="R22" s="15" t="n"/>
      <c r="S22" s="15" t="n"/>
      <c r="T22" s="285" t="n"/>
      <c r="U22" s="15" t="n"/>
      <c r="V22" s="15" t="n"/>
      <c r="W22" s="285" t="n"/>
      <c r="X22" s="15" t="n"/>
      <c r="Y22" s="15" t="n"/>
      <c r="Z22" s="285" t="n"/>
      <c r="AA22" s="15" t="n"/>
      <c r="AB22" s="15" t="n"/>
      <c r="AC22" s="285" t="n"/>
      <c r="AD22" s="15" t="n"/>
      <c r="AE22" s="15" t="n"/>
      <c r="AF22" s="285" t="n"/>
      <c r="AG22" s="15" t="n"/>
      <c r="AH22" s="15" t="n"/>
      <c r="AI22" s="285" t="n"/>
      <c r="AJ22" s="15" t="n"/>
      <c r="AK22" s="15" t="n"/>
      <c r="AL22" s="285" t="n"/>
      <c r="AM22" s="31" t="n"/>
      <c r="AN22" s="15" t="n"/>
      <c r="AO22" s="285" t="n"/>
      <c r="AP22" s="31" t="n"/>
      <c r="AQ22" s="15" t="n"/>
      <c r="AR22" s="285" t="n"/>
      <c r="AS22" s="31" t="n"/>
      <c r="AT22" s="15" t="n"/>
      <c r="AU22" s="285" t="n"/>
      <c r="AV22" s="31" t="n"/>
      <c r="AW22" s="15" t="n"/>
      <c r="AX22" s="285" t="n"/>
      <c r="AY22" s="15" t="n"/>
      <c r="AZ22" s="15" t="n"/>
      <c r="BA22" s="287" t="n"/>
      <c r="BB22" s="37" t="n"/>
      <c r="BC22" s="287" t="n"/>
      <c r="BD22" s="37" t="n"/>
      <c r="BE22" s="287" t="n"/>
      <c r="BF22" s="37" t="n"/>
      <c r="BG22" s="287" t="n"/>
      <c r="BH22" s="37" t="n"/>
      <c r="BI22" s="288" t="n"/>
      <c r="BJ22" s="37" t="n"/>
      <c r="BK22" s="288" t="n"/>
      <c r="BL22" s="37" t="n"/>
      <c r="BM22" s="288" t="n"/>
      <c r="BN22" s="37" t="n"/>
      <c r="BO22" s="288" t="n"/>
      <c r="BP22" s="288" t="n"/>
      <c r="BQ22" s="37" t="n"/>
      <c r="BR22" s="288" t="n"/>
      <c r="BS22" s="37" t="n"/>
      <c r="BT22" s="288" t="n"/>
      <c r="BU22" s="37" t="n"/>
      <c r="BV22" s="288" t="n"/>
      <c r="BW22" s="37" t="n"/>
      <c r="BX22" s="288" t="n"/>
      <c r="BY22" s="37" t="n"/>
      <c r="BZ22" s="288" t="n"/>
      <c r="CA22" s="37" t="n"/>
      <c r="CB22" s="288" t="n"/>
      <c r="CC22" s="37" t="n"/>
      <c r="CD22" s="288" t="n"/>
      <c r="CE22" s="37" t="n"/>
      <c r="CF22" s="288" t="n"/>
      <c r="CG22" s="291" t="n"/>
      <c r="CH22" s="288" t="n"/>
      <c r="CI22" s="291" t="n"/>
      <c r="CJ22" s="288" t="n"/>
      <c r="CK22" s="291" t="n"/>
      <c r="CL22" s="288" t="n"/>
      <c r="CM22" s="291" t="n"/>
      <c r="CN22" s="288" t="n"/>
      <c r="CO22" s="80" t="n"/>
      <c r="CP22" s="288" t="n"/>
      <c r="CQ22" s="80" t="n"/>
      <c r="CR22" s="288" t="n"/>
      <c r="CS22" s="80" t="n"/>
      <c r="CT22" s="288" t="n"/>
      <c r="CU22" s="80" t="n"/>
      <c r="CV22" s="269" t="n"/>
      <c r="CW22" s="288" t="n"/>
      <c r="CX22" s="37" t="n"/>
      <c r="CY22" s="288" t="n"/>
      <c r="CZ22" s="37" t="n"/>
      <c r="DA22" s="288" t="n"/>
      <c r="DB22" s="37" t="n"/>
      <c r="DC22" s="288" t="n"/>
      <c r="DD22" s="37" t="n"/>
      <c r="DE22" s="289" t="n"/>
      <c r="DF22" s="289" t="n"/>
      <c r="DG22" s="79" t="n"/>
    </row>
    <row r="23">
      <c r="A23" s="428" t="n"/>
      <c r="B23" s="288" t="n"/>
      <c r="C23" s="15" t="n"/>
      <c r="D23" s="15" t="n"/>
      <c r="E23" s="285" t="n"/>
      <c r="F23" s="15" t="n"/>
      <c r="G23" s="15" t="n"/>
      <c r="H23" s="285" t="n"/>
      <c r="I23" s="15" t="n"/>
      <c r="J23" s="15" t="n"/>
      <c r="K23" s="285" t="n"/>
      <c r="L23" s="15" t="n"/>
      <c r="M23" s="15" t="n"/>
      <c r="N23" s="285" t="n"/>
      <c r="O23" s="15" t="n"/>
      <c r="P23" s="15" t="n"/>
      <c r="Q23" s="285" t="n"/>
      <c r="R23" s="15" t="n"/>
      <c r="S23" s="15" t="n"/>
      <c r="T23" s="285" t="n"/>
      <c r="U23" s="15" t="n"/>
      <c r="V23" s="15" t="n"/>
      <c r="W23" s="285" t="n"/>
      <c r="X23" s="15" t="n"/>
      <c r="Y23" s="15" t="n"/>
      <c r="Z23" s="285" t="n"/>
      <c r="AA23" s="15" t="n"/>
      <c r="AB23" s="15" t="n"/>
      <c r="AC23" s="285" t="n"/>
      <c r="AD23" s="15" t="n"/>
      <c r="AE23" s="15" t="n"/>
      <c r="AF23" s="285" t="n"/>
      <c r="AG23" s="15" t="n"/>
      <c r="AH23" s="15" t="n"/>
      <c r="AI23" s="285" t="n"/>
      <c r="AJ23" s="15" t="n"/>
      <c r="AK23" s="15" t="n"/>
      <c r="AL23" s="285" t="n"/>
      <c r="AM23" s="31" t="n"/>
      <c r="AN23" s="15" t="n"/>
      <c r="AO23" s="285" t="n"/>
      <c r="AP23" s="31" t="n"/>
      <c r="AQ23" s="15" t="n"/>
      <c r="AR23" s="285" t="n"/>
      <c r="AS23" s="31" t="n"/>
      <c r="AT23" s="15" t="n"/>
      <c r="AU23" s="285" t="n"/>
      <c r="AV23" s="31" t="n"/>
      <c r="AW23" s="15" t="n"/>
      <c r="AX23" s="285" t="n"/>
      <c r="AY23" s="15" t="n"/>
      <c r="AZ23" s="15" t="n"/>
      <c r="BA23" s="287" t="n"/>
      <c r="BB23" s="37" t="n"/>
      <c r="BC23" s="287" t="n"/>
      <c r="BD23" s="37" t="n"/>
      <c r="BE23" s="287" t="n"/>
      <c r="BF23" s="37" t="n"/>
      <c r="BG23" s="287" t="n"/>
      <c r="BH23" s="37" t="n"/>
      <c r="BI23" s="288" t="n"/>
      <c r="BJ23" s="37" t="n"/>
      <c r="BK23" s="288" t="n"/>
      <c r="BL23" s="37" t="n"/>
      <c r="BM23" s="288" t="n"/>
      <c r="BN23" s="37" t="n"/>
      <c r="BO23" s="288" t="n"/>
      <c r="BP23" s="288" t="n"/>
      <c r="BQ23" s="37" t="n"/>
      <c r="BR23" s="288" t="n"/>
      <c r="BS23" s="37" t="n"/>
      <c r="BT23" s="288" t="n"/>
      <c r="BU23" s="37" t="n"/>
      <c r="BV23" s="288" t="n"/>
      <c r="BW23" s="37" t="n"/>
      <c r="BX23" s="288" t="n"/>
      <c r="BY23" s="37" t="n"/>
      <c r="BZ23" s="288" t="n"/>
      <c r="CA23" s="37" t="n"/>
      <c r="CB23" s="288" t="n"/>
      <c r="CC23" s="37" t="n"/>
      <c r="CD23" s="288" t="n"/>
      <c r="CE23" s="37" t="n"/>
      <c r="CF23" s="288" t="n"/>
      <c r="CG23" s="291" t="n"/>
      <c r="CH23" s="288" t="n"/>
      <c r="CI23" s="291" t="n"/>
      <c r="CJ23" s="288" t="n"/>
      <c r="CK23" s="291" t="n"/>
      <c r="CL23" s="288" t="n"/>
      <c r="CM23" s="291" t="n"/>
      <c r="CN23" s="288" t="n"/>
      <c r="CO23" s="80" t="n"/>
      <c r="CP23" s="288" t="n"/>
      <c r="CQ23" s="80" t="n"/>
      <c r="CR23" s="288" t="n"/>
      <c r="CS23" s="80" t="n"/>
      <c r="CT23" s="288" t="n"/>
      <c r="CU23" s="80" t="n"/>
      <c r="CV23" s="269" t="n"/>
      <c r="CW23" s="288" t="n"/>
      <c r="CX23" s="37" t="n"/>
      <c r="CY23" s="288" t="n"/>
      <c r="CZ23" s="37" t="n"/>
      <c r="DA23" s="288" t="n"/>
      <c r="DB23" s="37" t="n"/>
      <c r="DC23" s="288" t="n"/>
      <c r="DD23" s="37" t="n"/>
      <c r="DE23" s="289" t="n"/>
      <c r="DF23" s="289" t="n"/>
      <c r="DG23" s="79" t="n"/>
    </row>
    <row r="24">
      <c r="A24" s="428" t="n"/>
      <c r="B24" s="288" t="n"/>
      <c r="C24" s="15" t="n"/>
      <c r="D24" s="15" t="n"/>
      <c r="E24" s="285" t="n"/>
      <c r="F24" s="15" t="n"/>
      <c r="G24" s="15" t="n"/>
      <c r="H24" s="285" t="n"/>
      <c r="I24" s="15" t="n"/>
      <c r="J24" s="15" t="n"/>
      <c r="K24" s="285" t="n"/>
      <c r="L24" s="15" t="n"/>
      <c r="M24" s="15" t="n"/>
      <c r="N24" s="285" t="n"/>
      <c r="O24" s="15" t="n"/>
      <c r="P24" s="15" t="n"/>
      <c r="Q24" s="285" t="n"/>
      <c r="R24" s="15" t="n"/>
      <c r="S24" s="15" t="n"/>
      <c r="T24" s="285" t="n"/>
      <c r="U24" s="15" t="n"/>
      <c r="V24" s="15" t="n"/>
      <c r="W24" s="285" t="n"/>
      <c r="X24" s="15" t="n"/>
      <c r="Y24" s="15" t="n"/>
      <c r="Z24" s="285" t="n"/>
      <c r="AA24" s="15" t="n"/>
      <c r="AB24" s="15" t="n"/>
      <c r="AC24" s="285" t="n"/>
      <c r="AD24" s="15" t="n"/>
      <c r="AE24" s="15" t="n"/>
      <c r="AF24" s="285" t="n"/>
      <c r="AG24" s="15" t="n"/>
      <c r="AH24" s="15" t="n"/>
      <c r="AI24" s="285" t="n"/>
      <c r="AJ24" s="15" t="n"/>
      <c r="AK24" s="15" t="n"/>
      <c r="AL24" s="285" t="n"/>
      <c r="AM24" s="31" t="n"/>
      <c r="AN24" s="15" t="n"/>
      <c r="AO24" s="285" t="n"/>
      <c r="AP24" s="31" t="n"/>
      <c r="AQ24" s="15" t="n"/>
      <c r="AR24" s="285" t="n"/>
      <c r="AS24" s="31" t="n"/>
      <c r="AT24" s="15" t="n"/>
      <c r="AU24" s="285" t="n"/>
      <c r="AV24" s="31" t="n"/>
      <c r="AW24" s="15" t="n"/>
      <c r="AX24" s="285" t="n"/>
      <c r="AY24" s="15" t="n"/>
      <c r="AZ24" s="15" t="n"/>
      <c r="BA24" s="287" t="n"/>
      <c r="BB24" s="37" t="n"/>
      <c r="BC24" s="287" t="n"/>
      <c r="BD24" s="37" t="n"/>
      <c r="BE24" s="287" t="n"/>
      <c r="BF24" s="37" t="n"/>
      <c r="BG24" s="287" t="n"/>
      <c r="BH24" s="37" t="n"/>
      <c r="BI24" s="288" t="n"/>
      <c r="BJ24" s="37" t="n"/>
      <c r="BK24" s="288" t="n"/>
      <c r="BL24" s="37" t="n"/>
      <c r="BM24" s="288" t="n"/>
      <c r="BN24" s="37" t="n"/>
      <c r="BO24" s="288" t="n"/>
      <c r="BP24" s="288" t="n"/>
      <c r="BQ24" s="37" t="n"/>
      <c r="BR24" s="288" t="n"/>
      <c r="BS24" s="37" t="n"/>
      <c r="BT24" s="288" t="n"/>
      <c r="BU24" s="37" t="n"/>
      <c r="BV24" s="288" t="n"/>
      <c r="BW24" s="37" t="n"/>
      <c r="BX24" s="288" t="n"/>
      <c r="BY24" s="37" t="n"/>
      <c r="BZ24" s="288" t="n"/>
      <c r="CA24" s="37" t="n"/>
      <c r="CB24" s="288" t="n"/>
      <c r="CC24" s="37" t="n"/>
      <c r="CD24" s="288" t="n"/>
      <c r="CE24" s="37" t="n"/>
      <c r="CF24" s="288" t="n"/>
      <c r="CG24" s="291" t="n"/>
      <c r="CH24" s="288" t="n"/>
      <c r="CI24" s="291" t="n"/>
      <c r="CJ24" s="288" t="n"/>
      <c r="CK24" s="291" t="n"/>
      <c r="CL24" s="288" t="n"/>
      <c r="CM24" s="291" t="n"/>
      <c r="CN24" s="288" t="n"/>
      <c r="CO24" s="80" t="n"/>
      <c r="CP24" s="288" t="n"/>
      <c r="CQ24" s="80" t="n"/>
      <c r="CR24" s="288" t="n"/>
      <c r="CS24" s="80" t="n"/>
      <c r="CT24" s="288" t="n"/>
      <c r="CU24" s="80" t="n"/>
      <c r="CV24" s="269" t="n"/>
      <c r="CW24" s="288" t="n"/>
      <c r="CX24" s="37" t="n"/>
      <c r="CY24" s="288" t="n"/>
      <c r="CZ24" s="37" t="n"/>
      <c r="DA24" s="288" t="n"/>
      <c r="DB24" s="37" t="n"/>
      <c r="DC24" s="288" t="n"/>
      <c r="DD24" s="37" t="n"/>
      <c r="DE24" s="289" t="n"/>
      <c r="DF24" s="289" t="n"/>
      <c r="DG24" s="79" t="n"/>
    </row>
    <row r="25">
      <c r="A25" s="428" t="n"/>
      <c r="B25" s="288" t="n"/>
      <c r="C25" s="15" t="n"/>
      <c r="D25" s="15" t="n"/>
      <c r="E25" s="285" t="n"/>
      <c r="F25" s="15" t="n"/>
      <c r="G25" s="15" t="n"/>
      <c r="H25" s="285" t="n"/>
      <c r="I25" s="15" t="n"/>
      <c r="J25" s="15" t="n"/>
      <c r="K25" s="285" t="n"/>
      <c r="L25" s="15" t="n"/>
      <c r="M25" s="15" t="n"/>
      <c r="N25" s="285" t="n"/>
      <c r="O25" s="15" t="n"/>
      <c r="P25" s="15" t="n"/>
      <c r="Q25" s="285" t="n"/>
      <c r="R25" s="15" t="n"/>
      <c r="S25" s="15" t="n"/>
      <c r="T25" s="285" t="n"/>
      <c r="U25" s="15" t="n"/>
      <c r="V25" s="15" t="n"/>
      <c r="W25" s="285" t="n"/>
      <c r="X25" s="15" t="n"/>
      <c r="Y25" s="15" t="n"/>
      <c r="Z25" s="285" t="n"/>
      <c r="AA25" s="15" t="n"/>
      <c r="AB25" s="15" t="n"/>
      <c r="AC25" s="285" t="n"/>
      <c r="AD25" s="15" t="n"/>
      <c r="AE25" s="15" t="n"/>
      <c r="AF25" s="285" t="n"/>
      <c r="AG25" s="15" t="n"/>
      <c r="AH25" s="15" t="n"/>
      <c r="AI25" s="285" t="n"/>
      <c r="AJ25" s="15" t="n"/>
      <c r="AK25" s="15" t="n"/>
      <c r="AL25" s="285" t="n"/>
      <c r="AM25" s="31" t="n"/>
      <c r="AN25" s="15" t="n"/>
      <c r="AO25" s="285" t="n"/>
      <c r="AP25" s="31" t="n"/>
      <c r="AQ25" s="15" t="n"/>
      <c r="AR25" s="285" t="n"/>
      <c r="AS25" s="31" t="n"/>
      <c r="AT25" s="15" t="n"/>
      <c r="AU25" s="285" t="n"/>
      <c r="AV25" s="31" t="n"/>
      <c r="AW25" s="15" t="n"/>
      <c r="AX25" s="285" t="n"/>
      <c r="AY25" s="15" t="n"/>
      <c r="AZ25" s="15" t="n"/>
      <c r="BA25" s="287" t="n"/>
      <c r="BB25" s="37" t="n"/>
      <c r="BC25" s="287" t="n"/>
      <c r="BD25" s="37" t="n"/>
      <c r="BE25" s="287" t="n"/>
      <c r="BF25" s="37" t="n"/>
      <c r="BG25" s="287" t="n"/>
      <c r="BH25" s="37" t="n"/>
      <c r="BI25" s="288" t="n"/>
      <c r="BJ25" s="37" t="n"/>
      <c r="BK25" s="288" t="n"/>
      <c r="BL25" s="37" t="n"/>
      <c r="BM25" s="288" t="n"/>
      <c r="BN25" s="37" t="n"/>
      <c r="BO25" s="288" t="n"/>
      <c r="BP25" s="288" t="n"/>
      <c r="BQ25" s="37" t="n"/>
      <c r="BR25" s="288" t="n"/>
      <c r="BS25" s="37" t="n"/>
      <c r="BT25" s="288" t="n"/>
      <c r="BU25" s="37" t="n"/>
      <c r="BV25" s="288" t="n"/>
      <c r="BW25" s="37" t="n"/>
      <c r="BX25" s="288" t="n"/>
      <c r="BY25" s="37" t="n"/>
      <c r="BZ25" s="288" t="n"/>
      <c r="CA25" s="37" t="n"/>
      <c r="CB25" s="288" t="n"/>
      <c r="CC25" s="37" t="n"/>
      <c r="CD25" s="288" t="n"/>
      <c r="CE25" s="37" t="n"/>
      <c r="CF25" s="288" t="n"/>
      <c r="CG25" s="291" t="n"/>
      <c r="CH25" s="288" t="n"/>
      <c r="CI25" s="291" t="n"/>
      <c r="CJ25" s="288" t="n"/>
      <c r="CK25" s="291" t="n"/>
      <c r="CL25" s="288" t="n"/>
      <c r="CM25" s="291" t="n"/>
      <c r="CN25" s="288" t="n"/>
      <c r="CO25" s="80" t="n"/>
      <c r="CP25" s="288" t="n"/>
      <c r="CQ25" s="80" t="n"/>
      <c r="CR25" s="288" t="n"/>
      <c r="CS25" s="80" t="n"/>
      <c r="CT25" s="288" t="n"/>
      <c r="CU25" s="80" t="n"/>
      <c r="CV25" s="269" t="n"/>
      <c r="CW25" s="288" t="n"/>
      <c r="CX25" s="37" t="n"/>
      <c r="CY25" s="288" t="n"/>
      <c r="CZ25" s="37" t="n"/>
      <c r="DA25" s="288" t="n"/>
      <c r="DB25" s="37" t="n"/>
      <c r="DC25" s="288" t="n"/>
      <c r="DD25" s="37" t="n"/>
      <c r="DE25" s="289" t="n"/>
      <c r="DF25" s="289" t="n"/>
      <c r="DG25" s="79" t="n"/>
    </row>
    <row r="26">
      <c r="A26" s="428" t="n"/>
      <c r="B26" s="288" t="n"/>
      <c r="C26" s="15" t="n"/>
      <c r="D26" s="15" t="n"/>
      <c r="E26" s="285" t="n"/>
      <c r="F26" s="15" t="n"/>
      <c r="G26" s="15" t="n"/>
      <c r="H26" s="285" t="n"/>
      <c r="I26" s="15" t="n"/>
      <c r="J26" s="15" t="n"/>
      <c r="K26" s="285" t="n"/>
      <c r="L26" s="15" t="n"/>
      <c r="M26" s="15" t="n"/>
      <c r="N26" s="285" t="n"/>
      <c r="O26" s="15" t="n"/>
      <c r="P26" s="15" t="n"/>
      <c r="Q26" s="285" t="n"/>
      <c r="R26" s="15" t="n"/>
      <c r="S26" s="15" t="n"/>
      <c r="T26" s="285" t="n"/>
      <c r="U26" s="15" t="n"/>
      <c r="V26" s="15" t="n"/>
      <c r="W26" s="285" t="n"/>
      <c r="X26" s="15" t="n"/>
      <c r="Y26" s="15" t="n"/>
      <c r="Z26" s="285" t="n"/>
      <c r="AA26" s="15" t="n"/>
      <c r="AB26" s="15" t="n"/>
      <c r="AC26" s="285" t="n"/>
      <c r="AD26" s="15" t="n"/>
      <c r="AE26" s="15" t="n"/>
      <c r="AF26" s="285" t="n"/>
      <c r="AG26" s="15" t="n"/>
      <c r="AH26" s="15" t="n"/>
      <c r="AI26" s="285" t="n"/>
      <c r="AJ26" s="15" t="n"/>
      <c r="AK26" s="15" t="n"/>
      <c r="AL26" s="285" t="n"/>
      <c r="AM26" s="31" t="n"/>
      <c r="AN26" s="15" t="n"/>
      <c r="AO26" s="285" t="n"/>
      <c r="AP26" s="31" t="n"/>
      <c r="AQ26" s="15" t="n"/>
      <c r="AR26" s="285" t="n"/>
      <c r="AS26" s="31" t="n"/>
      <c r="AT26" s="15" t="n"/>
      <c r="AU26" s="285" t="n"/>
      <c r="AV26" s="31" t="n"/>
      <c r="AW26" s="15" t="n"/>
      <c r="AX26" s="285" t="n"/>
      <c r="AY26" s="15" t="n"/>
      <c r="AZ26" s="15" t="n"/>
      <c r="BA26" s="287" t="n"/>
      <c r="BB26" s="37" t="n"/>
      <c r="BC26" s="287" t="n"/>
      <c r="BD26" s="37" t="n"/>
      <c r="BE26" s="287" t="n"/>
      <c r="BF26" s="37" t="n"/>
      <c r="BG26" s="287" t="n"/>
      <c r="BH26" s="37" t="n"/>
      <c r="BI26" s="288" t="n"/>
      <c r="BJ26" s="37" t="n"/>
      <c r="BK26" s="288" t="n"/>
      <c r="BL26" s="37" t="n"/>
      <c r="BM26" s="288" t="n"/>
      <c r="BN26" s="37" t="n"/>
      <c r="BO26" s="288" t="n"/>
      <c r="BP26" s="288" t="n"/>
      <c r="BQ26" s="37" t="n"/>
      <c r="BR26" s="288" t="n"/>
      <c r="BS26" s="37" t="n"/>
      <c r="BT26" s="288" t="n"/>
      <c r="BU26" s="37" t="n"/>
      <c r="BV26" s="288" t="n"/>
      <c r="BW26" s="37" t="n"/>
      <c r="BX26" s="288" t="n"/>
      <c r="BY26" s="37" t="n"/>
      <c r="BZ26" s="288" t="n"/>
      <c r="CA26" s="37" t="n"/>
      <c r="CB26" s="288" t="n"/>
      <c r="CC26" s="37" t="n"/>
      <c r="CD26" s="288" t="n"/>
      <c r="CE26" s="37" t="n"/>
      <c r="CF26" s="288" t="n"/>
      <c r="CG26" s="291" t="n"/>
      <c r="CH26" s="288" t="n"/>
      <c r="CI26" s="291" t="n"/>
      <c r="CJ26" s="288" t="n"/>
      <c r="CK26" s="291" t="n"/>
      <c r="CL26" s="288" t="n"/>
      <c r="CM26" s="291" t="n"/>
      <c r="CN26" s="288" t="n"/>
      <c r="CO26" s="80" t="n"/>
      <c r="CP26" s="288" t="n"/>
      <c r="CQ26" s="80" t="n"/>
      <c r="CR26" s="288" t="n"/>
      <c r="CS26" s="80" t="n"/>
      <c r="CT26" s="288" t="n"/>
      <c r="CU26" s="80" t="n"/>
      <c r="CV26" s="269" t="n"/>
      <c r="CW26" s="288" t="n"/>
      <c r="CX26" s="37" t="n"/>
      <c r="CY26" s="288" t="n"/>
      <c r="CZ26" s="37" t="n"/>
      <c r="DA26" s="288" t="n"/>
      <c r="DB26" s="37" t="n"/>
      <c r="DC26" s="288" t="n"/>
      <c r="DD26" s="37" t="n"/>
      <c r="DE26" s="289" t="n"/>
      <c r="DF26" s="289" t="n"/>
      <c r="DG26" s="79" t="n"/>
    </row>
    <row r="27">
      <c r="A27" s="428" t="n"/>
      <c r="B27" s="288" t="n"/>
      <c r="C27" s="15" t="n"/>
      <c r="D27" s="15" t="n"/>
      <c r="E27" s="285" t="n"/>
      <c r="F27" s="15" t="n"/>
      <c r="G27" s="15" t="n"/>
      <c r="H27" s="285" t="n"/>
      <c r="I27" s="15" t="n"/>
      <c r="J27" s="15" t="n"/>
      <c r="K27" s="285" t="n"/>
      <c r="L27" s="15" t="n"/>
      <c r="M27" s="15" t="n"/>
      <c r="N27" s="285" t="n"/>
      <c r="O27" s="15" t="n"/>
      <c r="P27" s="15" t="n"/>
      <c r="Q27" s="285" t="n"/>
      <c r="R27" s="15" t="n"/>
      <c r="S27" s="15" t="n"/>
      <c r="T27" s="285" t="n"/>
      <c r="U27" s="15" t="n"/>
      <c r="V27" s="15" t="n"/>
      <c r="W27" s="285" t="n"/>
      <c r="X27" s="15" t="n"/>
      <c r="Y27" s="15" t="n"/>
      <c r="Z27" s="285" t="n"/>
      <c r="AA27" s="15" t="n"/>
      <c r="AB27" s="15" t="n"/>
      <c r="AC27" s="285" t="n"/>
      <c r="AD27" s="15" t="n"/>
      <c r="AE27" s="15" t="n"/>
      <c r="AF27" s="285" t="n"/>
      <c r="AG27" s="15" t="n"/>
      <c r="AH27" s="15" t="n"/>
      <c r="AI27" s="285" t="n"/>
      <c r="AJ27" s="15" t="n"/>
      <c r="AK27" s="15" t="n"/>
      <c r="AL27" s="285" t="n"/>
      <c r="AM27" s="31" t="n"/>
      <c r="AN27" s="15" t="n"/>
      <c r="AO27" s="285" t="n"/>
      <c r="AP27" s="31" t="n"/>
      <c r="AQ27" s="15" t="n"/>
      <c r="AR27" s="285" t="n"/>
      <c r="AS27" s="31" t="n"/>
      <c r="AT27" s="15" t="n"/>
      <c r="AU27" s="285" t="n"/>
      <c r="AV27" s="31" t="n"/>
      <c r="AW27" s="15" t="n"/>
      <c r="AX27" s="285" t="n"/>
      <c r="AY27" s="15" t="n"/>
      <c r="AZ27" s="15" t="n"/>
      <c r="BA27" s="287" t="n"/>
      <c r="BB27" s="37" t="n"/>
      <c r="BC27" s="287" t="n"/>
      <c r="BD27" s="37" t="n"/>
      <c r="BE27" s="287" t="n"/>
      <c r="BF27" s="37" t="n"/>
      <c r="BG27" s="287" t="n"/>
      <c r="BH27" s="37" t="n"/>
      <c r="BI27" s="288" t="n"/>
      <c r="BJ27" s="37" t="n"/>
      <c r="BK27" s="288" t="n"/>
      <c r="BL27" s="37" t="n"/>
      <c r="BM27" s="288" t="n"/>
      <c r="BN27" s="37" t="n"/>
      <c r="BO27" s="288" t="n"/>
      <c r="BP27" s="288" t="n"/>
      <c r="BQ27" s="37" t="n"/>
      <c r="BR27" s="288" t="n"/>
      <c r="BS27" s="37" t="n"/>
      <c r="BT27" s="288" t="n"/>
      <c r="BU27" s="37" t="n"/>
      <c r="BV27" s="288" t="n"/>
      <c r="BW27" s="37" t="n"/>
      <c r="BX27" s="288" t="n"/>
      <c r="BY27" s="37" t="n"/>
      <c r="BZ27" s="288" t="n"/>
      <c r="CA27" s="37" t="n"/>
      <c r="CB27" s="288" t="n"/>
      <c r="CC27" s="37" t="n"/>
      <c r="CD27" s="288" t="n"/>
      <c r="CE27" s="37" t="n"/>
      <c r="CF27" s="288" t="n"/>
      <c r="CG27" s="291" t="n"/>
      <c r="CH27" s="288" t="n"/>
      <c r="CI27" s="291" t="n"/>
      <c r="CJ27" s="288" t="n"/>
      <c r="CK27" s="291" t="n"/>
      <c r="CL27" s="288" t="n"/>
      <c r="CM27" s="291" t="n"/>
      <c r="CN27" s="288" t="n"/>
      <c r="CO27" s="80" t="n"/>
      <c r="CP27" s="288" t="n"/>
      <c r="CQ27" s="80" t="n"/>
      <c r="CR27" s="288" t="n"/>
      <c r="CS27" s="80" t="n"/>
      <c r="CT27" s="288" t="n"/>
      <c r="CU27" s="80" t="n"/>
      <c r="CV27" s="269" t="n"/>
      <c r="CW27" s="288" t="n"/>
      <c r="CX27" s="37" t="n"/>
      <c r="CY27" s="288" t="n"/>
      <c r="CZ27" s="37" t="n"/>
      <c r="DA27" s="288" t="n"/>
      <c r="DB27" s="37" t="n"/>
      <c r="DC27" s="288" t="n"/>
      <c r="DD27" s="37" t="n"/>
      <c r="DE27" s="289" t="n"/>
      <c r="DF27" s="289" t="n"/>
      <c r="DG27" s="79" t="n"/>
    </row>
    <row r="28" customFormat="1" s="40">
      <c r="A28" s="330" t="n"/>
      <c r="B28" s="288" t="n"/>
      <c r="C28" s="15" t="n"/>
      <c r="D28" s="15" t="n"/>
      <c r="E28" s="292" t="n"/>
      <c r="F28" s="15" t="n"/>
      <c r="G28" s="15" t="n"/>
      <c r="H28" s="292" t="n"/>
      <c r="I28" s="15" t="n"/>
      <c r="J28" s="15" t="n"/>
      <c r="K28" s="292" t="n"/>
      <c r="L28" s="15" t="n"/>
      <c r="M28" s="15" t="n"/>
      <c r="N28" s="292" t="n"/>
      <c r="O28" s="15" t="n"/>
      <c r="P28" s="15" t="n"/>
      <c r="Q28" s="292" t="n"/>
      <c r="R28" s="15" t="n"/>
      <c r="S28" s="15" t="n"/>
      <c r="T28" s="292" t="n"/>
      <c r="U28" s="15" t="n"/>
      <c r="V28" s="15" t="n"/>
      <c r="W28" s="292" t="n"/>
      <c r="X28" s="15" t="n"/>
      <c r="Y28" s="15" t="n"/>
      <c r="Z28" s="292" t="n"/>
      <c r="AA28" s="15" t="n"/>
      <c r="AB28" s="15" t="n"/>
      <c r="AC28" s="292" t="n"/>
      <c r="AD28" s="15" t="n"/>
      <c r="AE28" s="15" t="n"/>
      <c r="AF28" s="292" t="n"/>
      <c r="AG28" s="15" t="n"/>
      <c r="AH28" s="15" t="n"/>
      <c r="AI28" s="292" t="n"/>
      <c r="AJ28" s="15" t="n"/>
      <c r="AK28" s="15" t="n"/>
      <c r="AL28" s="292" t="n"/>
      <c r="AM28" s="31" t="n"/>
      <c r="AN28" s="15" t="n"/>
      <c r="AO28" s="292" t="n"/>
      <c r="AP28" s="31" t="n"/>
      <c r="AQ28" s="15" t="n"/>
      <c r="AR28" s="292" t="n"/>
      <c r="AS28" s="31" t="n"/>
      <c r="AT28" s="15" t="n"/>
      <c r="AU28" s="292" t="n"/>
      <c r="AV28" s="31" t="n"/>
      <c r="AW28" s="15" t="n"/>
      <c r="AX28" s="292" t="n"/>
      <c r="AY28" s="15" t="n"/>
      <c r="AZ28" s="15" t="n"/>
      <c r="BA28" s="291" t="n"/>
      <c r="BB28" s="37" t="n"/>
      <c r="BC28" s="291" t="n"/>
      <c r="BD28" s="37" t="n"/>
      <c r="BE28" s="291" t="n"/>
      <c r="BF28" s="37" t="n"/>
      <c r="BG28" s="291" t="n"/>
      <c r="BH28" s="37" t="n"/>
      <c r="BI28" s="291" t="n"/>
      <c r="BJ28" s="37" t="n"/>
      <c r="BK28" s="291" t="n"/>
      <c r="BL28" s="37" t="n"/>
      <c r="BM28" s="291" t="n"/>
      <c r="BN28" s="37" t="n"/>
      <c r="BO28" s="291" t="n"/>
      <c r="BP28" s="291" t="n"/>
      <c r="BQ28" s="37" t="n"/>
      <c r="BR28" s="291" t="n"/>
      <c r="BS28" s="37" t="n"/>
      <c r="BT28" s="291" t="n"/>
      <c r="BU28" s="37" t="n"/>
      <c r="BV28" s="291" t="n"/>
      <c r="BW28" s="37" t="n"/>
      <c r="BX28" s="291" t="n"/>
      <c r="BY28" s="37" t="n"/>
      <c r="BZ28" s="291" t="n"/>
      <c r="CA28" s="37" t="n"/>
      <c r="CB28" s="291" t="n"/>
      <c r="CC28" s="37" t="n"/>
      <c r="CD28" s="291" t="n"/>
      <c r="CE28" s="37" t="n"/>
      <c r="CF28" s="291" t="n"/>
      <c r="CG28" s="291" t="n"/>
      <c r="CH28" s="291" t="n"/>
      <c r="CI28" s="291" t="n"/>
      <c r="CJ28" s="291" t="n"/>
      <c r="CK28" s="291" t="n"/>
      <c r="CL28" s="291" t="n"/>
      <c r="CM28" s="291" t="n"/>
      <c r="CN28" s="291" t="n"/>
      <c r="CO28" s="80" t="n"/>
      <c r="CP28" s="291" t="n"/>
      <c r="CQ28" s="80" t="n"/>
      <c r="CR28" s="291" t="n"/>
      <c r="CS28" s="80" t="n"/>
      <c r="CT28" s="291" t="n"/>
      <c r="CU28" s="80" t="n"/>
      <c r="CW28" s="291" t="n"/>
      <c r="CX28" s="37" t="n"/>
      <c r="CY28" s="291" t="n"/>
      <c r="CZ28" s="37" t="n"/>
      <c r="DA28" s="291" t="n"/>
      <c r="DB28" s="37" t="n"/>
      <c r="DC28" s="291" t="n"/>
      <c r="DD28" s="37" t="n"/>
      <c r="DE28" s="311" t="n"/>
      <c r="DF28" s="311" t="n"/>
    </row>
    <row r="29">
      <c r="A29" s="428" t="n"/>
      <c r="B29" s="288" t="n"/>
      <c r="C29" s="15" t="n"/>
      <c r="D29" s="15" t="n"/>
      <c r="E29" s="285" t="n"/>
      <c r="F29" s="15" t="n"/>
      <c r="G29" s="15" t="n"/>
      <c r="H29" s="285" t="n"/>
      <c r="I29" s="15" t="n"/>
      <c r="J29" s="15" t="n"/>
      <c r="K29" s="285" t="n"/>
      <c r="L29" s="15" t="n"/>
      <c r="M29" s="15" t="n"/>
      <c r="N29" s="285" t="n"/>
      <c r="O29" s="15" t="n"/>
      <c r="P29" s="15" t="n"/>
      <c r="Q29" s="285" t="n"/>
      <c r="R29" s="15" t="n"/>
      <c r="S29" s="15" t="n"/>
      <c r="T29" s="285" t="n"/>
      <c r="U29" s="15" t="n"/>
      <c r="V29" s="15" t="n"/>
      <c r="W29" s="285" t="n"/>
      <c r="X29" s="15" t="n"/>
      <c r="Y29" s="15" t="n"/>
      <c r="Z29" s="285" t="n"/>
      <c r="AA29" s="15" t="n"/>
      <c r="AB29" s="15" t="n"/>
      <c r="AC29" s="285" t="n"/>
      <c r="AD29" s="15" t="n"/>
      <c r="AE29" s="15" t="n"/>
      <c r="AF29" s="285" t="n"/>
      <c r="AG29" s="15" t="n"/>
      <c r="AH29" s="15" t="n"/>
      <c r="AI29" s="285" t="n"/>
      <c r="AJ29" s="15" t="n"/>
      <c r="AK29" s="15" t="n"/>
      <c r="AL29" s="285" t="n"/>
      <c r="AM29" s="31" t="n"/>
      <c r="AN29" s="15" t="n"/>
      <c r="AO29" s="285" t="n"/>
      <c r="AP29" s="31" t="n"/>
      <c r="AQ29" s="15" t="n"/>
      <c r="AR29" s="285" t="n"/>
      <c r="AS29" s="31" t="n"/>
      <c r="AT29" s="15" t="n"/>
      <c r="AU29" s="285" t="n"/>
      <c r="AV29" s="31" t="n"/>
      <c r="AW29" s="15" t="n"/>
      <c r="AX29" s="285" t="n"/>
      <c r="AY29" s="15" t="n"/>
      <c r="AZ29" s="15" t="n"/>
      <c r="BA29" s="287" t="n"/>
      <c r="BB29" s="37" t="n"/>
      <c r="BC29" s="287" t="n"/>
      <c r="BD29" s="37" t="n"/>
      <c r="BE29" s="287" t="n"/>
      <c r="BF29" s="37" t="n"/>
      <c r="BG29" s="287" t="n"/>
      <c r="BH29" s="37" t="n"/>
      <c r="BI29" s="288" t="n"/>
      <c r="BJ29" s="37" t="n"/>
      <c r="BK29" s="288" t="n"/>
      <c r="BL29" s="37" t="n"/>
      <c r="BM29" s="288" t="n"/>
      <c r="BN29" s="37" t="n"/>
      <c r="BO29" s="288" t="n"/>
      <c r="BP29" s="288" t="n"/>
      <c r="BQ29" s="37" t="n"/>
      <c r="BR29" s="288" t="n"/>
      <c r="BS29" s="37" t="n"/>
      <c r="BT29" s="288" t="n"/>
      <c r="BU29" s="37" t="n"/>
      <c r="BV29" s="288" t="n"/>
      <c r="BW29" s="37" t="n"/>
      <c r="BX29" s="288" t="n"/>
      <c r="BY29" s="37" t="n"/>
      <c r="BZ29" s="288" t="n"/>
      <c r="CA29" s="37" t="n"/>
      <c r="CB29" s="288" t="n"/>
      <c r="CC29" s="37" t="n"/>
      <c r="CD29" s="288" t="n"/>
      <c r="CE29" s="37" t="n"/>
      <c r="CF29" s="288" t="n"/>
      <c r="CG29" s="291" t="n"/>
      <c r="CH29" s="288" t="n"/>
      <c r="CI29" s="291" t="n"/>
      <c r="CJ29" s="288" t="n"/>
      <c r="CK29" s="291" t="n"/>
      <c r="CL29" s="288" t="n"/>
      <c r="CM29" s="291" t="n"/>
      <c r="CN29" s="288" t="n"/>
      <c r="CO29" s="80" t="n"/>
      <c r="CP29" s="288" t="n"/>
      <c r="CQ29" s="80" t="n"/>
      <c r="CR29" s="288" t="n"/>
      <c r="CS29" s="80" t="n"/>
      <c r="CT29" s="288" t="n"/>
      <c r="CU29" s="80" t="n"/>
      <c r="CV29" s="269" t="n"/>
      <c r="CW29" s="288" t="n"/>
      <c r="CX29" s="37" t="n"/>
      <c r="CY29" s="288" t="n"/>
      <c r="CZ29" s="37" t="n"/>
      <c r="DA29" s="288" t="n"/>
      <c r="DB29" s="37" t="n"/>
      <c r="DC29" s="288" t="n"/>
      <c r="DD29" s="37" t="n"/>
      <c r="DE29" s="289" t="n"/>
      <c r="DF29" s="289" t="n"/>
      <c r="DG29" s="79" t="n"/>
    </row>
    <row r="30">
      <c r="A30" s="428" t="n"/>
      <c r="B30" s="288" t="n"/>
      <c r="C30" s="15" t="n"/>
      <c r="D30" s="15" t="n"/>
      <c r="E30" s="285" t="n"/>
      <c r="F30" s="15" t="n"/>
      <c r="G30" s="15" t="n"/>
      <c r="H30" s="285" t="n"/>
      <c r="I30" s="15" t="n"/>
      <c r="J30" s="15" t="n"/>
      <c r="K30" s="285" t="n"/>
      <c r="L30" s="15" t="n"/>
      <c r="M30" s="15" t="n"/>
      <c r="N30" s="285" t="n"/>
      <c r="O30" s="15" t="n"/>
      <c r="P30" s="15" t="n"/>
      <c r="Q30" s="285" t="n"/>
      <c r="R30" s="15" t="n"/>
      <c r="S30" s="15" t="n"/>
      <c r="T30" s="285" t="n"/>
      <c r="U30" s="15" t="n"/>
      <c r="V30" s="15" t="n"/>
      <c r="W30" s="285" t="n"/>
      <c r="X30" s="15" t="n"/>
      <c r="Y30" s="15" t="n"/>
      <c r="Z30" s="285" t="n"/>
      <c r="AA30" s="15" t="n"/>
      <c r="AB30" s="15" t="n"/>
      <c r="AC30" s="285" t="n"/>
      <c r="AD30" s="15" t="n"/>
      <c r="AE30" s="15" t="n"/>
      <c r="AF30" s="285" t="n"/>
      <c r="AG30" s="15" t="n"/>
      <c r="AH30" s="15" t="n"/>
      <c r="AI30" s="285" t="n"/>
      <c r="AJ30" s="15" t="n"/>
      <c r="AK30" s="15" t="n"/>
      <c r="AL30" s="285" t="n"/>
      <c r="AM30" s="31" t="n"/>
      <c r="AN30" s="15" t="n"/>
      <c r="AO30" s="285" t="n"/>
      <c r="AP30" s="31" t="n"/>
      <c r="AQ30" s="15" t="n"/>
      <c r="AR30" s="285" t="n"/>
      <c r="AS30" s="31" t="n"/>
      <c r="AT30" s="15" t="n"/>
      <c r="AU30" s="285" t="n"/>
      <c r="AV30" s="31" t="n"/>
      <c r="AW30" s="15" t="n"/>
      <c r="AX30" s="285" t="n"/>
      <c r="AY30" s="15" t="n"/>
      <c r="AZ30" s="15" t="n"/>
      <c r="BA30" s="287" t="n"/>
      <c r="BB30" s="37" t="n"/>
      <c r="BC30" s="287" t="n"/>
      <c r="BD30" s="37" t="n"/>
      <c r="BE30" s="287" t="n"/>
      <c r="BF30" s="37" t="n"/>
      <c r="BG30" s="287" t="n"/>
      <c r="BH30" s="37" t="n"/>
      <c r="BI30" s="288" t="n"/>
      <c r="BJ30" s="37" t="n"/>
      <c r="BK30" s="288" t="n"/>
      <c r="BL30" s="37" t="n"/>
      <c r="BM30" s="288" t="n"/>
      <c r="BN30" s="37" t="n"/>
      <c r="BO30" s="288" t="n"/>
      <c r="BP30" s="288" t="n"/>
      <c r="BQ30" s="37" t="n"/>
      <c r="BR30" s="288" t="n"/>
      <c r="BS30" s="37" t="n"/>
      <c r="BT30" s="288" t="n"/>
      <c r="BU30" s="37" t="n"/>
      <c r="BV30" s="288" t="n"/>
      <c r="BW30" s="37" t="n"/>
      <c r="BX30" s="288" t="n"/>
      <c r="BY30" s="37" t="n"/>
      <c r="BZ30" s="288" t="n"/>
      <c r="CA30" s="37" t="n"/>
      <c r="CB30" s="288" t="n"/>
      <c r="CC30" s="37" t="n"/>
      <c r="CD30" s="288" t="n"/>
      <c r="CE30" s="37" t="n"/>
      <c r="CF30" s="288" t="n"/>
      <c r="CG30" s="291" t="n"/>
      <c r="CH30" s="288" t="n"/>
      <c r="CI30" s="291" t="n"/>
      <c r="CJ30" s="288" t="n"/>
      <c r="CK30" s="291" t="n"/>
      <c r="CL30" s="288" t="n"/>
      <c r="CM30" s="291" t="n"/>
      <c r="CN30" s="288" t="n"/>
      <c r="CO30" s="80" t="n"/>
      <c r="CP30" s="288" t="n"/>
      <c r="CQ30" s="80" t="n"/>
      <c r="CR30" s="288" t="n"/>
      <c r="CS30" s="80" t="n"/>
      <c r="CT30" s="288" t="n"/>
      <c r="CU30" s="80" t="n"/>
      <c r="CV30" s="269" t="n"/>
      <c r="CW30" s="288" t="n"/>
      <c r="CX30" s="37" t="n"/>
      <c r="CY30" s="288" t="n"/>
      <c r="CZ30" s="37" t="n"/>
      <c r="DA30" s="288" t="n"/>
      <c r="DB30" s="37" t="n"/>
      <c r="DC30" s="288" t="n"/>
      <c r="DD30" s="37" t="n"/>
      <c r="DE30" s="289" t="n"/>
      <c r="DF30" s="289" t="n"/>
      <c r="DG30" s="79" t="n"/>
    </row>
    <row r="31">
      <c r="A31" s="428" t="n"/>
      <c r="B31" s="288" t="n"/>
      <c r="C31" s="15" t="n"/>
      <c r="D31" s="15" t="n"/>
      <c r="E31" s="285" t="n"/>
      <c r="F31" s="15" t="n"/>
      <c r="G31" s="15" t="n"/>
      <c r="H31" s="285" t="n"/>
      <c r="I31" s="15" t="n"/>
      <c r="J31" s="15" t="n"/>
      <c r="K31" s="285" t="n"/>
      <c r="L31" s="15" t="n"/>
      <c r="M31" s="15" t="n"/>
      <c r="N31" s="285" t="n"/>
      <c r="O31" s="15" t="n"/>
      <c r="P31" s="15" t="n"/>
      <c r="Q31" s="285" t="n"/>
      <c r="R31" s="15" t="n"/>
      <c r="S31" s="15" t="n"/>
      <c r="T31" s="285" t="n"/>
      <c r="U31" s="15" t="n"/>
      <c r="V31" s="15" t="n"/>
      <c r="W31" s="285" t="n"/>
      <c r="X31" s="15" t="n"/>
      <c r="Y31" s="15" t="n"/>
      <c r="Z31" s="285" t="n"/>
      <c r="AA31" s="15" t="n"/>
      <c r="AB31" s="15" t="n"/>
      <c r="AC31" s="285" t="n"/>
      <c r="AD31" s="15" t="n"/>
      <c r="AE31" s="15" t="n"/>
      <c r="AF31" s="285" t="n"/>
      <c r="AG31" s="15" t="n"/>
      <c r="AH31" s="15" t="n"/>
      <c r="AI31" s="285" t="n"/>
      <c r="AJ31" s="15" t="n"/>
      <c r="AK31" s="15" t="n"/>
      <c r="AL31" s="285" t="n"/>
      <c r="AM31" s="31" t="n"/>
      <c r="AN31" s="15" t="n"/>
      <c r="AO31" s="285" t="n"/>
      <c r="AP31" s="31" t="n"/>
      <c r="AQ31" s="15" t="n"/>
      <c r="AR31" s="285" t="n"/>
      <c r="AS31" s="31" t="n"/>
      <c r="AT31" s="15" t="n"/>
      <c r="AU31" s="285" t="n"/>
      <c r="AV31" s="31" t="n"/>
      <c r="AW31" s="15" t="n"/>
      <c r="AX31" s="285" t="n"/>
      <c r="AY31" s="15" t="n"/>
      <c r="AZ31" s="15" t="n"/>
      <c r="BA31" s="287" t="n"/>
      <c r="BB31" s="37" t="n"/>
      <c r="BC31" s="287" t="n"/>
      <c r="BD31" s="37" t="n"/>
      <c r="BE31" s="287" t="n"/>
      <c r="BF31" s="37" t="n"/>
      <c r="BG31" s="287" t="n"/>
      <c r="BH31" s="37" t="n"/>
      <c r="BI31" s="288" t="n"/>
      <c r="BJ31" s="37" t="n"/>
      <c r="BK31" s="288" t="n"/>
      <c r="BL31" s="37" t="n"/>
      <c r="BM31" s="288" t="n"/>
      <c r="BN31" s="37" t="n"/>
      <c r="BO31" s="288" t="n"/>
      <c r="BP31" s="288" t="n"/>
      <c r="BQ31" s="37" t="n"/>
      <c r="BR31" s="288" t="n"/>
      <c r="BS31" s="37" t="n"/>
      <c r="BT31" s="288" t="n"/>
      <c r="BU31" s="37" t="n"/>
      <c r="BV31" s="288" t="n"/>
      <c r="BW31" s="37" t="n"/>
      <c r="BX31" s="288" t="n"/>
      <c r="BY31" s="37" t="n"/>
      <c r="BZ31" s="288" t="n"/>
      <c r="CA31" s="37" t="n"/>
      <c r="CB31" s="288" t="n"/>
      <c r="CC31" s="37" t="n"/>
      <c r="CD31" s="288" t="n"/>
      <c r="CE31" s="37" t="n"/>
      <c r="CF31" s="288" t="n"/>
      <c r="CG31" s="291" t="n"/>
      <c r="CH31" s="288" t="n"/>
      <c r="CI31" s="291" t="n"/>
      <c r="CJ31" s="288" t="n"/>
      <c r="CK31" s="291" t="n"/>
      <c r="CL31" s="288" t="n"/>
      <c r="CM31" s="291" t="n"/>
      <c r="CN31" s="288" t="n"/>
      <c r="CO31" s="80" t="n"/>
      <c r="CP31" s="288" t="n"/>
      <c r="CQ31" s="80" t="n"/>
      <c r="CR31" s="288" t="n"/>
      <c r="CS31" s="80" t="n"/>
      <c r="CT31" s="288" t="n"/>
      <c r="CU31" s="80" t="n"/>
      <c r="CV31" s="269" t="n"/>
      <c r="CW31" s="288" t="n"/>
      <c r="CX31" s="37" t="n"/>
      <c r="CY31" s="288" t="n"/>
      <c r="CZ31" s="37" t="n"/>
      <c r="DA31" s="288" t="n"/>
      <c r="DB31" s="37" t="n"/>
      <c r="DC31" s="288" t="n"/>
      <c r="DD31" s="37" t="n"/>
      <c r="DE31" s="289" t="n"/>
      <c r="DF31" s="289" t="n"/>
      <c r="DG31" s="79" t="n"/>
    </row>
    <row r="32">
      <c r="A32" s="428" t="n"/>
      <c r="B32" s="288" t="n"/>
      <c r="C32" s="15" t="n"/>
      <c r="D32" s="15" t="n"/>
      <c r="E32" s="285" t="n"/>
      <c r="F32" s="15" t="n"/>
      <c r="G32" s="15" t="n"/>
      <c r="H32" s="285" t="n"/>
      <c r="I32" s="15" t="n"/>
      <c r="J32" s="15" t="n"/>
      <c r="K32" s="285" t="n"/>
      <c r="L32" s="15" t="n"/>
      <c r="M32" s="15" t="n"/>
      <c r="N32" s="285" t="n"/>
      <c r="O32" s="15" t="n"/>
      <c r="P32" s="15" t="n"/>
      <c r="Q32" s="285" t="n"/>
      <c r="R32" s="15" t="n"/>
      <c r="S32" s="15" t="n"/>
      <c r="T32" s="285" t="n"/>
      <c r="U32" s="15" t="n"/>
      <c r="V32" s="15" t="n"/>
      <c r="W32" s="285" t="n"/>
      <c r="X32" s="15" t="n"/>
      <c r="Y32" s="15" t="n"/>
      <c r="Z32" s="285" t="n"/>
      <c r="AA32" s="15" t="n"/>
      <c r="AB32" s="15" t="n"/>
      <c r="AC32" s="285" t="n"/>
      <c r="AD32" s="15" t="n"/>
      <c r="AE32" s="15" t="n"/>
      <c r="AF32" s="285" t="n"/>
      <c r="AG32" s="15" t="n"/>
      <c r="AH32" s="15" t="n"/>
      <c r="AI32" s="285" t="n"/>
      <c r="AJ32" s="15" t="n"/>
      <c r="AK32" s="15" t="n"/>
      <c r="AL32" s="285" t="n"/>
      <c r="AM32" s="31" t="n"/>
      <c r="AN32" s="15" t="n"/>
      <c r="AO32" s="285" t="n"/>
      <c r="AP32" s="31" t="n"/>
      <c r="AQ32" s="15" t="n"/>
      <c r="AR32" s="285" t="n"/>
      <c r="AS32" s="31" t="n"/>
      <c r="AT32" s="15" t="n"/>
      <c r="AU32" s="285" t="n"/>
      <c r="AV32" s="31" t="n"/>
      <c r="AW32" s="15" t="n"/>
      <c r="AX32" s="285" t="n"/>
      <c r="AY32" s="15" t="n"/>
      <c r="AZ32" s="15" t="n"/>
      <c r="BA32" s="287" t="n"/>
      <c r="BB32" s="37" t="n"/>
      <c r="BC32" s="287" t="n"/>
      <c r="BD32" s="37" t="n"/>
      <c r="BE32" s="287" t="n"/>
      <c r="BF32" s="37" t="n"/>
      <c r="BG32" s="287" t="n"/>
      <c r="BH32" s="37" t="n"/>
      <c r="BI32" s="288" t="n"/>
      <c r="BJ32" s="37" t="n"/>
      <c r="BK32" s="288" t="n"/>
      <c r="BL32" s="37" t="n"/>
      <c r="BM32" s="288" t="n"/>
      <c r="BN32" s="37" t="n"/>
      <c r="BO32" s="288" t="n"/>
      <c r="BP32" s="288" t="n"/>
      <c r="BQ32" s="37" t="n"/>
      <c r="BR32" s="288" t="n"/>
      <c r="BS32" s="37" t="n"/>
      <c r="BT32" s="288" t="n"/>
      <c r="BU32" s="37" t="n"/>
      <c r="BV32" s="288" t="n"/>
      <c r="BW32" s="37" t="n"/>
      <c r="BX32" s="288" t="n"/>
      <c r="BY32" s="37" t="n"/>
      <c r="BZ32" s="288" t="n"/>
      <c r="CA32" s="37" t="n"/>
      <c r="CB32" s="288" t="n"/>
      <c r="CC32" s="37" t="n"/>
      <c r="CD32" s="288" t="n"/>
      <c r="CE32" s="37" t="n"/>
      <c r="CF32" s="288" t="n"/>
      <c r="CG32" s="291" t="n"/>
      <c r="CH32" s="288" t="n"/>
      <c r="CI32" s="291" t="n"/>
      <c r="CJ32" s="288" t="n"/>
      <c r="CK32" s="291" t="n"/>
      <c r="CL32" s="288" t="n"/>
      <c r="CM32" s="291" t="n"/>
      <c r="CN32" s="288" t="n"/>
      <c r="CO32" s="80" t="n"/>
      <c r="CP32" s="288" t="n"/>
      <c r="CQ32" s="80" t="n"/>
      <c r="CR32" s="288" t="n"/>
      <c r="CS32" s="80" t="n"/>
      <c r="CT32" s="288" t="n"/>
      <c r="CU32" s="80" t="n"/>
      <c r="CV32" s="269" t="n"/>
      <c r="CW32" s="288" t="n"/>
      <c r="CX32" s="37" t="n"/>
      <c r="CY32" s="288" t="n"/>
      <c r="CZ32" s="37" t="n"/>
      <c r="DA32" s="288" t="n"/>
      <c r="DB32" s="37" t="n"/>
      <c r="DC32" s="288" t="n"/>
      <c r="DD32" s="37" t="n"/>
      <c r="DE32" s="289" t="n"/>
      <c r="DF32" s="289" t="n"/>
      <c r="DG32" s="79" t="n"/>
    </row>
    <row r="33">
      <c r="A33" s="428" t="n"/>
      <c r="B33" s="288" t="n"/>
      <c r="C33" s="15" t="n"/>
      <c r="D33" s="15" t="n"/>
      <c r="E33" s="285" t="n"/>
      <c r="F33" s="15" t="n"/>
      <c r="G33" s="15" t="n"/>
      <c r="H33" s="285" t="n"/>
      <c r="I33" s="15" t="n"/>
      <c r="J33" s="15" t="n"/>
      <c r="K33" s="285" t="n"/>
      <c r="L33" s="15" t="n"/>
      <c r="M33" s="15" t="n"/>
      <c r="N33" s="285" t="n"/>
      <c r="O33" s="15" t="n"/>
      <c r="P33" s="15" t="n"/>
      <c r="Q33" s="285" t="n"/>
      <c r="R33" s="15" t="n"/>
      <c r="S33" s="15" t="n"/>
      <c r="T33" s="285" t="n"/>
      <c r="U33" s="15" t="n"/>
      <c r="V33" s="15" t="n"/>
      <c r="W33" s="285" t="n"/>
      <c r="X33" s="15" t="n"/>
      <c r="Y33" s="15" t="n"/>
      <c r="Z33" s="285" t="n"/>
      <c r="AA33" s="15" t="n"/>
      <c r="AB33" s="15" t="n"/>
      <c r="AC33" s="285" t="n"/>
      <c r="AD33" s="15" t="n"/>
      <c r="AE33" s="15" t="n"/>
      <c r="AF33" s="285" t="n"/>
      <c r="AG33" s="15" t="n"/>
      <c r="AH33" s="15" t="n"/>
      <c r="AI33" s="285" t="n"/>
      <c r="AJ33" s="15" t="n"/>
      <c r="AK33" s="15" t="n"/>
      <c r="AL33" s="285" t="n"/>
      <c r="AM33" s="31" t="n"/>
      <c r="AN33" s="15" t="n"/>
      <c r="AO33" s="285" t="n"/>
      <c r="AP33" s="31" t="n"/>
      <c r="AQ33" s="15" t="n"/>
      <c r="AR33" s="285" t="n"/>
      <c r="AS33" s="31" t="n"/>
      <c r="AT33" s="15" t="n"/>
      <c r="AU33" s="285" t="n"/>
      <c r="AV33" s="31" t="n"/>
      <c r="AW33" s="15" t="n"/>
      <c r="AX33" s="285" t="n"/>
      <c r="AY33" s="15" t="n"/>
      <c r="AZ33" s="15" t="n"/>
      <c r="BA33" s="287" t="n"/>
      <c r="BB33" s="37" t="n"/>
      <c r="BC33" s="287" t="n"/>
      <c r="BD33" s="37" t="n"/>
      <c r="BE33" s="287" t="n"/>
      <c r="BF33" s="37" t="n"/>
      <c r="BG33" s="287" t="n"/>
      <c r="BH33" s="37" t="n"/>
      <c r="BI33" s="288" t="n"/>
      <c r="BJ33" s="37" t="n"/>
      <c r="BK33" s="288" t="n"/>
      <c r="BL33" s="37" t="n"/>
      <c r="BM33" s="288" t="n"/>
      <c r="BN33" s="37" t="n"/>
      <c r="BO33" s="288" t="n"/>
      <c r="BP33" s="288" t="n"/>
      <c r="BQ33" s="37" t="n"/>
      <c r="BR33" s="288" t="n"/>
      <c r="BS33" s="37" t="n"/>
      <c r="BT33" s="288" t="n"/>
      <c r="BU33" s="37" t="n"/>
      <c r="BV33" s="288" t="n"/>
      <c r="BW33" s="37" t="n"/>
      <c r="BX33" s="288" t="n"/>
      <c r="BY33" s="37" t="n"/>
      <c r="BZ33" s="288" t="n"/>
      <c r="CA33" s="37" t="n"/>
      <c r="CB33" s="288" t="n"/>
      <c r="CC33" s="37" t="n"/>
      <c r="CD33" s="288" t="n"/>
      <c r="CE33" s="37" t="n"/>
      <c r="CF33" s="288" t="n"/>
      <c r="CG33" s="291" t="n"/>
      <c r="CH33" s="288" t="n"/>
      <c r="CI33" s="291" t="n"/>
      <c r="CJ33" s="288" t="n"/>
      <c r="CK33" s="291" t="n"/>
      <c r="CL33" s="288" t="n"/>
      <c r="CM33" s="291" t="n"/>
      <c r="CN33" s="288" t="n"/>
      <c r="CO33" s="80" t="n"/>
      <c r="CP33" s="288" t="n"/>
      <c r="CQ33" s="80" t="n"/>
      <c r="CR33" s="288" t="n"/>
      <c r="CS33" s="80" t="n"/>
      <c r="CT33" s="288" t="n"/>
      <c r="CU33" s="80" t="n"/>
      <c r="CV33" s="269" t="n"/>
      <c r="CW33" s="288" t="n"/>
      <c r="CX33" s="37" t="n"/>
      <c r="CY33" s="288" t="n"/>
      <c r="CZ33" s="37" t="n"/>
      <c r="DA33" s="288" t="n"/>
      <c r="DB33" s="37" t="n"/>
      <c r="DC33" s="288" t="n"/>
      <c r="DD33" s="37" t="n"/>
      <c r="DE33" s="289" t="n"/>
      <c r="DF33" s="289" t="n"/>
      <c r="DG33" s="79" t="n"/>
    </row>
    <row r="34">
      <c r="A34" s="428" t="n"/>
      <c r="B34" s="288" t="n"/>
      <c r="C34" s="15" t="n"/>
      <c r="D34" s="15" t="n"/>
      <c r="E34" s="285" t="n"/>
      <c r="F34" s="15" t="n"/>
      <c r="G34" s="15" t="n"/>
      <c r="H34" s="285" t="n"/>
      <c r="I34" s="15" t="n"/>
      <c r="J34" s="15" t="n"/>
      <c r="K34" s="285" t="n"/>
      <c r="L34" s="15" t="n"/>
      <c r="M34" s="15" t="n"/>
      <c r="N34" s="285" t="n"/>
      <c r="O34" s="15" t="n"/>
      <c r="P34" s="15" t="n"/>
      <c r="Q34" s="285" t="n"/>
      <c r="R34" s="15" t="n"/>
      <c r="S34" s="15" t="n"/>
      <c r="T34" s="285" t="n"/>
      <c r="U34" s="15" t="n"/>
      <c r="V34" s="15" t="n"/>
      <c r="W34" s="285" t="n"/>
      <c r="X34" s="15" t="n"/>
      <c r="Y34" s="15" t="n"/>
      <c r="Z34" s="285" t="n"/>
      <c r="AA34" s="15" t="n"/>
      <c r="AB34" s="15" t="n"/>
      <c r="AC34" s="285" t="n"/>
      <c r="AD34" s="15" t="n"/>
      <c r="AE34" s="15" t="n"/>
      <c r="AF34" s="285" t="n"/>
      <c r="AG34" s="15" t="n"/>
      <c r="AH34" s="15" t="n"/>
      <c r="AI34" s="285" t="n"/>
      <c r="AJ34" s="15" t="n"/>
      <c r="AK34" s="15" t="n"/>
      <c r="AL34" s="285" t="n"/>
      <c r="AM34" s="31" t="n"/>
      <c r="AN34" s="15" t="n"/>
      <c r="AO34" s="285" t="n"/>
      <c r="AP34" s="31" t="n"/>
      <c r="AQ34" s="15" t="n"/>
      <c r="AR34" s="285" t="n"/>
      <c r="AS34" s="31" t="n"/>
      <c r="AT34" s="15" t="n"/>
      <c r="AU34" s="285" t="n"/>
      <c r="AV34" s="31" t="n"/>
      <c r="AW34" s="15" t="n"/>
      <c r="AX34" s="285" t="n"/>
      <c r="AY34" s="15" t="n"/>
      <c r="AZ34" s="15" t="n"/>
      <c r="BA34" s="287" t="n"/>
      <c r="BB34" s="37" t="n"/>
      <c r="BC34" s="287" t="n"/>
      <c r="BD34" s="37" t="n"/>
      <c r="BE34" s="287" t="n"/>
      <c r="BF34" s="37" t="n"/>
      <c r="BG34" s="287" t="n"/>
      <c r="BH34" s="37" t="n"/>
      <c r="BI34" s="288" t="n"/>
      <c r="BJ34" s="37" t="n"/>
      <c r="BK34" s="288" t="n"/>
      <c r="BL34" s="37" t="n"/>
      <c r="BM34" s="288" t="n"/>
      <c r="BN34" s="37" t="n"/>
      <c r="BO34" s="288" t="n"/>
      <c r="BP34" s="288" t="n"/>
      <c r="BQ34" s="37" t="n"/>
      <c r="BR34" s="288" t="n"/>
      <c r="BS34" s="37" t="n"/>
      <c r="BT34" s="288" t="n"/>
      <c r="BU34" s="37" t="n"/>
      <c r="BV34" s="288" t="n"/>
      <c r="BW34" s="37" t="n"/>
      <c r="BX34" s="288" t="n"/>
      <c r="BY34" s="37" t="n"/>
      <c r="BZ34" s="288" t="n"/>
      <c r="CA34" s="37" t="n"/>
      <c r="CB34" s="288" t="n"/>
      <c r="CC34" s="37" t="n"/>
      <c r="CD34" s="288" t="n"/>
      <c r="CE34" s="37" t="n"/>
      <c r="CF34" s="288" t="n"/>
      <c r="CG34" s="291" t="n"/>
      <c r="CH34" s="288" t="n"/>
      <c r="CI34" s="291" t="n"/>
      <c r="CJ34" s="288" t="n"/>
      <c r="CK34" s="291" t="n"/>
      <c r="CL34" s="288" t="n"/>
      <c r="CM34" s="291" t="n"/>
      <c r="CN34" s="288" t="n"/>
      <c r="CO34" s="80" t="n"/>
      <c r="CP34" s="288" t="n"/>
      <c r="CQ34" s="80" t="n"/>
      <c r="CR34" s="288" t="n"/>
      <c r="CS34" s="80" t="n"/>
      <c r="CT34" s="288" t="n"/>
      <c r="CU34" s="80" t="n"/>
      <c r="CV34" s="269" t="n"/>
      <c r="CW34" s="288" t="n"/>
      <c r="CX34" s="37" t="n"/>
      <c r="CY34" s="288" t="n"/>
      <c r="CZ34" s="37" t="n"/>
      <c r="DA34" s="288" t="n"/>
      <c r="DB34" s="37" t="n"/>
      <c r="DC34" s="288" t="n"/>
      <c r="DD34" s="37" t="n"/>
      <c r="DE34" s="289" t="n"/>
      <c r="DF34" s="289" t="n"/>
      <c r="DG34" s="79" t="n"/>
    </row>
    <row r="35">
      <c r="A35" s="428" t="n"/>
      <c r="B35" s="288" t="n"/>
      <c r="C35" s="15" t="n"/>
      <c r="D35" s="15" t="n"/>
      <c r="E35" s="285" t="n"/>
      <c r="F35" s="15" t="n"/>
      <c r="G35" s="15" t="n"/>
      <c r="H35" s="285" t="n"/>
      <c r="I35" s="15" t="n"/>
      <c r="J35" s="15" t="n"/>
      <c r="K35" s="285" t="n"/>
      <c r="L35" s="15" t="n"/>
      <c r="M35" s="15" t="n"/>
      <c r="N35" s="285" t="n"/>
      <c r="O35" s="15" t="n"/>
      <c r="P35" s="15" t="n"/>
      <c r="Q35" s="285" t="n"/>
      <c r="R35" s="15" t="n"/>
      <c r="S35" s="15" t="n"/>
      <c r="T35" s="285" t="n"/>
      <c r="U35" s="15" t="n"/>
      <c r="V35" s="15" t="n"/>
      <c r="W35" s="285" t="n"/>
      <c r="X35" s="15" t="n"/>
      <c r="Y35" s="15" t="n"/>
      <c r="Z35" s="285" t="n"/>
      <c r="AA35" s="15" t="n"/>
      <c r="AB35" s="15" t="n"/>
      <c r="AC35" s="285" t="n"/>
      <c r="AD35" s="15" t="n"/>
      <c r="AE35" s="15" t="n"/>
      <c r="AF35" s="285" t="n"/>
      <c r="AG35" s="15" t="n"/>
      <c r="AH35" s="15" t="n"/>
      <c r="AI35" s="285" t="n"/>
      <c r="AJ35" s="15" t="n"/>
      <c r="AK35" s="15" t="n"/>
      <c r="AL35" s="285" t="n"/>
      <c r="AM35" s="31" t="n"/>
      <c r="AN35" s="15" t="n"/>
      <c r="AO35" s="285" t="n"/>
      <c r="AP35" s="31" t="n"/>
      <c r="AQ35" s="15" t="n"/>
      <c r="AR35" s="285" t="n"/>
      <c r="AS35" s="31" t="n"/>
      <c r="AT35" s="15" t="n"/>
      <c r="AU35" s="285" t="n"/>
      <c r="AV35" s="31" t="n"/>
      <c r="AW35" s="15" t="n"/>
      <c r="AX35" s="285" t="n"/>
      <c r="AY35" s="15" t="n"/>
      <c r="AZ35" s="15" t="n"/>
      <c r="BA35" s="287" t="n"/>
      <c r="BB35" s="37" t="n"/>
      <c r="BC35" s="287" t="n"/>
      <c r="BD35" s="37" t="n"/>
      <c r="BE35" s="287" t="n"/>
      <c r="BF35" s="37" t="n"/>
      <c r="BG35" s="287" t="n"/>
      <c r="BH35" s="37" t="n"/>
      <c r="BI35" s="288" t="n"/>
      <c r="BJ35" s="37" t="n"/>
      <c r="BK35" s="288" t="n"/>
      <c r="BL35" s="37" t="n"/>
      <c r="BM35" s="288" t="n"/>
      <c r="BN35" s="37" t="n"/>
      <c r="BO35" s="288" t="n"/>
      <c r="BP35" s="288" t="n"/>
      <c r="BQ35" s="37" t="n"/>
      <c r="BR35" s="288" t="n"/>
      <c r="BS35" s="37" t="n"/>
      <c r="BT35" s="288" t="n"/>
      <c r="BU35" s="37" t="n"/>
      <c r="BV35" s="288" t="n"/>
      <c r="BW35" s="37" t="n"/>
      <c r="BX35" s="288" t="n"/>
      <c r="BY35" s="37" t="n"/>
      <c r="BZ35" s="288" t="n"/>
      <c r="CA35" s="37" t="n"/>
      <c r="CB35" s="288" t="n"/>
      <c r="CC35" s="37" t="n"/>
      <c r="CD35" s="288" t="n"/>
      <c r="CE35" s="37" t="n"/>
      <c r="CF35" s="288" t="n"/>
      <c r="CG35" s="291" t="n"/>
      <c r="CH35" s="288" t="n"/>
      <c r="CI35" s="291" t="n"/>
      <c r="CJ35" s="288" t="n"/>
      <c r="CK35" s="291" t="n"/>
      <c r="CL35" s="288" t="n"/>
      <c r="CM35" s="291" t="n"/>
      <c r="CN35" s="288" t="n"/>
      <c r="CO35" s="80" t="n"/>
      <c r="CP35" s="288" t="n"/>
      <c r="CQ35" s="80" t="n"/>
      <c r="CR35" s="288" t="n"/>
      <c r="CS35" s="80" t="n"/>
      <c r="CT35" s="288" t="n"/>
      <c r="CU35" s="80" t="n"/>
      <c r="CV35" s="269" t="n"/>
      <c r="CW35" s="288" t="n"/>
      <c r="CX35" s="37" t="n"/>
      <c r="CY35" s="288" t="n"/>
      <c r="CZ35" s="37" t="n"/>
      <c r="DA35" s="288" t="n"/>
      <c r="DB35" s="37" t="n"/>
      <c r="DC35" s="288" t="n"/>
      <c r="DD35" s="37" t="n"/>
      <c r="DE35" s="289" t="n"/>
      <c r="DF35" s="289" t="n"/>
      <c r="DG35" s="79" t="n"/>
    </row>
    <row r="36">
      <c r="A36" s="428" t="n"/>
      <c r="B36" s="288" t="n"/>
      <c r="C36" s="15" t="n"/>
      <c r="D36" s="15" t="n"/>
      <c r="E36" s="285" t="n"/>
      <c r="F36" s="15" t="n"/>
      <c r="G36" s="15" t="n"/>
      <c r="H36" s="285" t="n"/>
      <c r="I36" s="15" t="n"/>
      <c r="J36" s="15" t="n"/>
      <c r="K36" s="285" t="n"/>
      <c r="L36" s="15" t="n"/>
      <c r="M36" s="15" t="n"/>
      <c r="N36" s="285" t="n"/>
      <c r="O36" s="15" t="n"/>
      <c r="P36" s="15" t="n"/>
      <c r="Q36" s="285" t="n"/>
      <c r="R36" s="15" t="n"/>
      <c r="S36" s="15" t="n"/>
      <c r="T36" s="285" t="n"/>
      <c r="U36" s="15" t="n"/>
      <c r="V36" s="15" t="n"/>
      <c r="W36" s="285" t="n"/>
      <c r="X36" s="15" t="n"/>
      <c r="Y36" s="15" t="n"/>
      <c r="Z36" s="285" t="n"/>
      <c r="AA36" s="15" t="n"/>
      <c r="AB36" s="15" t="n"/>
      <c r="AC36" s="285" t="n"/>
      <c r="AD36" s="15" t="n"/>
      <c r="AE36" s="15" t="n"/>
      <c r="AF36" s="285" t="n"/>
      <c r="AG36" s="15" t="n"/>
      <c r="AH36" s="15" t="n"/>
      <c r="AI36" s="285" t="n"/>
      <c r="AJ36" s="15" t="n"/>
      <c r="AK36" s="15" t="n"/>
      <c r="AL36" s="285" t="n"/>
      <c r="AM36" s="31" t="n"/>
      <c r="AN36" s="15" t="n"/>
      <c r="AO36" s="285" t="n"/>
      <c r="AP36" s="31" t="n"/>
      <c r="AQ36" s="15" t="n"/>
      <c r="AR36" s="285" t="n"/>
      <c r="AS36" s="31" t="n"/>
      <c r="AT36" s="15" t="n"/>
      <c r="AU36" s="285" t="n"/>
      <c r="AV36" s="31" t="n"/>
      <c r="AW36" s="15" t="n"/>
      <c r="AX36" s="285" t="n"/>
      <c r="AY36" s="15" t="n"/>
      <c r="AZ36" s="15" t="n"/>
      <c r="BA36" s="287" t="n"/>
      <c r="BB36" s="37" t="n"/>
      <c r="BC36" s="287" t="n"/>
      <c r="BD36" s="37" t="n"/>
      <c r="BE36" s="287" t="n"/>
      <c r="BF36" s="37" t="n"/>
      <c r="BG36" s="287" t="n"/>
      <c r="BH36" s="37" t="n"/>
      <c r="BI36" s="288" t="n"/>
      <c r="BJ36" s="37" t="n"/>
      <c r="BK36" s="288" t="n"/>
      <c r="BL36" s="37" t="n"/>
      <c r="BM36" s="288" t="n"/>
      <c r="BN36" s="37" t="n"/>
      <c r="BO36" s="288" t="n"/>
      <c r="BP36" s="288" t="n"/>
      <c r="BQ36" s="37" t="n"/>
      <c r="BR36" s="288" t="n"/>
      <c r="BS36" s="37" t="n"/>
      <c r="BT36" s="288" t="n"/>
      <c r="BU36" s="37" t="n"/>
      <c r="BV36" s="288" t="n"/>
      <c r="BW36" s="37" t="n"/>
      <c r="BX36" s="288" t="n"/>
      <c r="BY36" s="37" t="n"/>
      <c r="BZ36" s="288" t="n"/>
      <c r="CA36" s="37" t="n"/>
      <c r="CB36" s="288" t="n"/>
      <c r="CC36" s="37" t="n"/>
      <c r="CD36" s="288" t="n"/>
      <c r="CE36" s="37" t="n"/>
      <c r="CF36" s="288" t="n"/>
      <c r="CG36" s="291" t="n"/>
      <c r="CH36" s="288" t="n"/>
      <c r="CI36" s="291" t="n"/>
      <c r="CJ36" s="288" t="n"/>
      <c r="CK36" s="291" t="n"/>
      <c r="CL36" s="288" t="n"/>
      <c r="CM36" s="291" t="n"/>
      <c r="CN36" s="288" t="n"/>
      <c r="CO36" s="80" t="n"/>
      <c r="CP36" s="288" t="n"/>
      <c r="CQ36" s="80" t="n"/>
      <c r="CR36" s="288" t="n"/>
      <c r="CS36" s="80" t="n"/>
      <c r="CT36" s="288" t="n"/>
      <c r="CU36" s="80" t="n"/>
      <c r="CV36" s="269" t="n"/>
      <c r="CW36" s="288" t="n"/>
      <c r="CX36" s="37" t="n"/>
      <c r="CY36" s="288" t="n"/>
      <c r="CZ36" s="37" t="n"/>
      <c r="DA36" s="288" t="n"/>
      <c r="DB36" s="37" t="n"/>
      <c r="DC36" s="288" t="n"/>
      <c r="DD36" s="37" t="n"/>
      <c r="DE36" s="289" t="n"/>
      <c r="DF36" s="289" t="n"/>
      <c r="DG36" s="79" t="n"/>
    </row>
    <row r="37">
      <c r="A37" s="428" t="n"/>
      <c r="B37" s="288" t="n"/>
      <c r="C37" s="15" t="n"/>
      <c r="D37" s="15" t="n"/>
      <c r="E37" s="285" t="n"/>
      <c r="F37" s="15" t="n"/>
      <c r="G37" s="15" t="n"/>
      <c r="H37" s="285" t="n"/>
      <c r="I37" s="15" t="n"/>
      <c r="J37" s="15" t="n"/>
      <c r="K37" s="285" t="n"/>
      <c r="L37" s="15" t="n"/>
      <c r="M37" s="15" t="n"/>
      <c r="N37" s="285" t="n"/>
      <c r="O37" s="15" t="n"/>
      <c r="P37" s="15" t="n"/>
      <c r="Q37" s="285" t="n"/>
      <c r="R37" s="15" t="n"/>
      <c r="S37" s="15" t="n"/>
      <c r="T37" s="285" t="n"/>
      <c r="U37" s="15" t="n"/>
      <c r="V37" s="15" t="n"/>
      <c r="W37" s="285" t="n"/>
      <c r="X37" s="15" t="n"/>
      <c r="Y37" s="15" t="n"/>
      <c r="Z37" s="285" t="n"/>
      <c r="AA37" s="15" t="n"/>
      <c r="AB37" s="15" t="n"/>
      <c r="AC37" s="285" t="n"/>
      <c r="AD37" s="15" t="n"/>
      <c r="AE37" s="15" t="n"/>
      <c r="AF37" s="285" t="n"/>
      <c r="AG37" s="15" t="n"/>
      <c r="AH37" s="15" t="n"/>
      <c r="AI37" s="285" t="n"/>
      <c r="AJ37" s="15" t="n"/>
      <c r="AK37" s="15" t="n"/>
      <c r="AL37" s="285" t="n"/>
      <c r="AM37" s="31" t="n"/>
      <c r="AN37" s="15" t="n"/>
      <c r="AO37" s="285" t="n"/>
      <c r="AP37" s="31" t="n"/>
      <c r="AQ37" s="15" t="n"/>
      <c r="AR37" s="285" t="n"/>
      <c r="AS37" s="31" t="n"/>
      <c r="AT37" s="15" t="n"/>
      <c r="AU37" s="285" t="n"/>
      <c r="AV37" s="31" t="n"/>
      <c r="AW37" s="15" t="n"/>
      <c r="AX37" s="285" t="n"/>
      <c r="AY37" s="15" t="n"/>
      <c r="AZ37" s="15" t="n"/>
      <c r="BA37" s="287" t="n"/>
      <c r="BB37" s="37" t="n"/>
      <c r="BC37" s="287" t="n"/>
      <c r="BD37" s="37" t="n"/>
      <c r="BE37" s="287" t="n"/>
      <c r="BF37" s="37" t="n"/>
      <c r="BG37" s="287" t="n"/>
      <c r="BH37" s="37" t="n"/>
      <c r="BI37" s="288" t="n"/>
      <c r="BJ37" s="37" t="n"/>
      <c r="BK37" s="288" t="n"/>
      <c r="BL37" s="37" t="n"/>
      <c r="BM37" s="288" t="n"/>
      <c r="BN37" s="37" t="n"/>
      <c r="BO37" s="288" t="n"/>
      <c r="BP37" s="288" t="n"/>
      <c r="BQ37" s="37" t="n"/>
      <c r="BR37" s="288" t="n"/>
      <c r="BS37" s="37" t="n"/>
      <c r="BT37" s="288" t="n"/>
      <c r="BU37" s="37" t="n"/>
      <c r="BV37" s="288" t="n"/>
      <c r="BW37" s="37" t="n"/>
      <c r="BX37" s="288" t="n"/>
      <c r="BY37" s="37" t="n"/>
      <c r="BZ37" s="288" t="n"/>
      <c r="CA37" s="37" t="n"/>
      <c r="CB37" s="288" t="n"/>
      <c r="CC37" s="37" t="n"/>
      <c r="CD37" s="288" t="n"/>
      <c r="CE37" s="37" t="n"/>
      <c r="CF37" s="288" t="n"/>
      <c r="CG37" s="291" t="n"/>
      <c r="CH37" s="288" t="n"/>
      <c r="CI37" s="291" t="n"/>
      <c r="CJ37" s="288" t="n"/>
      <c r="CK37" s="291" t="n"/>
      <c r="CL37" s="288" t="n"/>
      <c r="CM37" s="291" t="n"/>
      <c r="CN37" s="288" t="n"/>
      <c r="CO37" s="80" t="n"/>
      <c r="CP37" s="288" t="n"/>
      <c r="CQ37" s="80" t="n"/>
      <c r="CR37" s="288" t="n"/>
      <c r="CS37" s="80" t="n"/>
      <c r="CT37" s="288" t="n"/>
      <c r="CU37" s="80" t="n"/>
      <c r="CV37" s="269" t="n"/>
      <c r="CW37" s="288" t="n"/>
      <c r="CX37" s="37" t="n"/>
      <c r="CY37" s="288" t="n"/>
      <c r="CZ37" s="37" t="n"/>
      <c r="DA37" s="288" t="n"/>
      <c r="DB37" s="37" t="n"/>
      <c r="DC37" s="288" t="n"/>
      <c r="DD37" s="37" t="n"/>
      <c r="DE37" s="289" t="n"/>
      <c r="DF37" s="289" t="n"/>
      <c r="DG37" s="79" t="n"/>
    </row>
    <row r="38">
      <c r="A38" s="428" t="n"/>
      <c r="B38" s="288" t="n"/>
      <c r="C38" s="15" t="n"/>
      <c r="D38" s="15" t="n"/>
      <c r="E38" s="285" t="n"/>
      <c r="F38" s="15" t="n"/>
      <c r="G38" s="15" t="n"/>
      <c r="H38" s="285" t="n"/>
      <c r="I38" s="15" t="n"/>
      <c r="J38" s="15" t="n"/>
      <c r="K38" s="285" t="n"/>
      <c r="L38" s="15" t="n"/>
      <c r="M38" s="15" t="n"/>
      <c r="N38" s="285" t="n"/>
      <c r="O38" s="15" t="n"/>
      <c r="P38" s="15" t="n"/>
      <c r="Q38" s="285" t="n"/>
      <c r="R38" s="15" t="n"/>
      <c r="S38" s="15" t="n"/>
      <c r="T38" s="285" t="n"/>
      <c r="U38" s="15" t="n"/>
      <c r="V38" s="15" t="n"/>
      <c r="W38" s="285" t="n"/>
      <c r="X38" s="15" t="n"/>
      <c r="Y38" s="15" t="n"/>
      <c r="Z38" s="285" t="n"/>
      <c r="AA38" s="15" t="n"/>
      <c r="AB38" s="15" t="n"/>
      <c r="AC38" s="285" t="n"/>
      <c r="AD38" s="15" t="n"/>
      <c r="AE38" s="15" t="n"/>
      <c r="AF38" s="285" t="n"/>
      <c r="AG38" s="15" t="n"/>
      <c r="AH38" s="15" t="n"/>
      <c r="AI38" s="285" t="n"/>
      <c r="AJ38" s="15" t="n"/>
      <c r="AK38" s="15" t="n"/>
      <c r="AL38" s="285" t="n"/>
      <c r="AM38" s="31" t="n"/>
      <c r="AN38" s="15" t="n"/>
      <c r="AO38" s="285" t="n"/>
      <c r="AP38" s="31" t="n"/>
      <c r="AQ38" s="15" t="n"/>
      <c r="AR38" s="285" t="n"/>
      <c r="AS38" s="31" t="n"/>
      <c r="AT38" s="15" t="n"/>
      <c r="AU38" s="285" t="n"/>
      <c r="AV38" s="31" t="n"/>
      <c r="AW38" s="15" t="n"/>
      <c r="AX38" s="285" t="n"/>
      <c r="AY38" s="15" t="n"/>
      <c r="AZ38" s="15" t="n"/>
      <c r="BA38" s="287" t="n"/>
      <c r="BB38" s="37" t="n"/>
      <c r="BC38" s="287" t="n"/>
      <c r="BD38" s="37" t="n"/>
      <c r="BE38" s="287" t="n"/>
      <c r="BF38" s="37" t="n"/>
      <c r="BG38" s="287" t="n"/>
      <c r="BH38" s="37" t="n"/>
      <c r="BI38" s="288" t="n"/>
      <c r="BJ38" s="37" t="n"/>
      <c r="BK38" s="288" t="n"/>
      <c r="BL38" s="37" t="n"/>
      <c r="BM38" s="288" t="n"/>
      <c r="BN38" s="37" t="n"/>
      <c r="BO38" s="288" t="n"/>
      <c r="BP38" s="288" t="n"/>
      <c r="BQ38" s="37" t="n"/>
      <c r="BR38" s="288" t="n"/>
      <c r="BS38" s="37" t="n"/>
      <c r="BT38" s="288" t="n"/>
      <c r="BU38" s="37" t="n"/>
      <c r="BV38" s="288" t="n"/>
      <c r="BW38" s="37" t="n"/>
      <c r="BX38" s="288" t="n"/>
      <c r="BY38" s="37" t="n"/>
      <c r="BZ38" s="288" t="n"/>
      <c r="CA38" s="37" t="n"/>
      <c r="CB38" s="288" t="n"/>
      <c r="CC38" s="37" t="n"/>
      <c r="CD38" s="288" t="n"/>
      <c r="CE38" s="37" t="n"/>
      <c r="CF38" s="288" t="n"/>
      <c r="CG38" s="291" t="n"/>
      <c r="CH38" s="288" t="n"/>
      <c r="CI38" s="291" t="n"/>
      <c r="CJ38" s="288" t="n"/>
      <c r="CK38" s="291" t="n"/>
      <c r="CL38" s="288" t="n"/>
      <c r="CM38" s="291" t="n"/>
      <c r="CN38" s="288" t="n"/>
      <c r="CO38" s="80" t="n"/>
      <c r="CP38" s="288" t="n"/>
      <c r="CQ38" s="80" t="n"/>
      <c r="CR38" s="288" t="n"/>
      <c r="CS38" s="80" t="n"/>
      <c r="CT38" s="288" t="n"/>
      <c r="CU38" s="80" t="n"/>
      <c r="CV38" s="269" t="n"/>
      <c r="CW38" s="288" t="n"/>
      <c r="CX38" s="37" t="n"/>
      <c r="CY38" s="288" t="n"/>
      <c r="CZ38" s="37" t="n"/>
      <c r="DA38" s="288" t="n"/>
      <c r="DB38" s="37" t="n"/>
      <c r="DC38" s="288" t="n"/>
      <c r="DD38" s="37" t="n"/>
      <c r="DE38" s="289" t="n"/>
      <c r="DF38" s="289" t="n"/>
      <c r="DG38" s="79" t="n"/>
    </row>
    <row r="39">
      <c r="A39" s="428" t="n"/>
      <c r="B39" s="288" t="n"/>
      <c r="C39" s="15" t="n"/>
      <c r="D39" s="15" t="n"/>
      <c r="E39" s="285" t="n"/>
      <c r="F39" s="15" t="n"/>
      <c r="G39" s="15" t="n"/>
      <c r="H39" s="285" t="n"/>
      <c r="I39" s="15" t="n"/>
      <c r="J39" s="15" t="n"/>
      <c r="K39" s="285" t="n"/>
      <c r="L39" s="15" t="n"/>
      <c r="M39" s="15" t="n"/>
      <c r="N39" s="285" t="n"/>
      <c r="O39" s="15" t="n"/>
      <c r="P39" s="15" t="n"/>
      <c r="Q39" s="285" t="n"/>
      <c r="R39" s="15" t="n"/>
      <c r="S39" s="15" t="n"/>
      <c r="T39" s="285" t="n"/>
      <c r="U39" s="15" t="n"/>
      <c r="V39" s="15" t="n"/>
      <c r="W39" s="285" t="n"/>
      <c r="X39" s="15" t="n"/>
      <c r="Y39" s="15" t="n"/>
      <c r="Z39" s="285" t="n"/>
      <c r="AA39" s="15" t="n"/>
      <c r="AB39" s="15" t="n"/>
      <c r="AC39" s="285" t="n"/>
      <c r="AD39" s="15" t="n"/>
      <c r="AE39" s="15" t="n"/>
      <c r="AF39" s="285" t="n"/>
      <c r="AG39" s="15" t="n"/>
      <c r="AH39" s="15" t="n"/>
      <c r="AI39" s="285" t="n"/>
      <c r="AJ39" s="15" t="n"/>
      <c r="AK39" s="15" t="n"/>
      <c r="AL39" s="285" t="n"/>
      <c r="AM39" s="31" t="n"/>
      <c r="AN39" s="15" t="n"/>
      <c r="AO39" s="285" t="n"/>
      <c r="AP39" s="31" t="n"/>
      <c r="AQ39" s="15" t="n"/>
      <c r="AR39" s="285" t="n"/>
      <c r="AS39" s="31" t="n"/>
      <c r="AT39" s="15" t="n"/>
      <c r="AU39" s="285" t="n"/>
      <c r="AV39" s="31" t="n"/>
      <c r="AW39" s="15" t="n"/>
      <c r="AX39" s="285" t="n"/>
      <c r="AY39" s="15" t="n"/>
      <c r="AZ39" s="15" t="n"/>
      <c r="BA39" s="287" t="n"/>
      <c r="BB39" s="37" t="n"/>
      <c r="BC39" s="287" t="n"/>
      <c r="BD39" s="37" t="n"/>
      <c r="BE39" s="287" t="n"/>
      <c r="BF39" s="37" t="n"/>
      <c r="BG39" s="287" t="n"/>
      <c r="BH39" s="37" t="n"/>
      <c r="BI39" s="288" t="n"/>
      <c r="BJ39" s="37" t="n"/>
      <c r="BK39" s="288" t="n"/>
      <c r="BL39" s="37" t="n"/>
      <c r="BM39" s="288" t="n"/>
      <c r="BN39" s="37" t="n"/>
      <c r="BO39" s="288" t="n"/>
      <c r="BP39" s="288" t="n"/>
      <c r="BQ39" s="37" t="n"/>
      <c r="BR39" s="288" t="n"/>
      <c r="BS39" s="37" t="n"/>
      <c r="BT39" s="288" t="n"/>
      <c r="BU39" s="37" t="n"/>
      <c r="BV39" s="288" t="n"/>
      <c r="BW39" s="37" t="n"/>
      <c r="BX39" s="288" t="n"/>
      <c r="BY39" s="37" t="n"/>
      <c r="BZ39" s="288" t="n"/>
      <c r="CA39" s="37" t="n"/>
      <c r="CB39" s="288" t="n"/>
      <c r="CC39" s="37" t="n"/>
      <c r="CD39" s="288" t="n"/>
      <c r="CE39" s="37" t="n"/>
      <c r="CF39" s="288" t="n"/>
      <c r="CG39" s="291" t="n"/>
      <c r="CH39" s="288" t="n"/>
      <c r="CI39" s="291" t="n"/>
      <c r="CJ39" s="288" t="n"/>
      <c r="CK39" s="291" t="n"/>
      <c r="CL39" s="288" t="n"/>
      <c r="CM39" s="291" t="n"/>
      <c r="CN39" s="288" t="n"/>
      <c r="CO39" s="80" t="n"/>
      <c r="CP39" s="288" t="n"/>
      <c r="CQ39" s="80" t="n"/>
      <c r="CR39" s="288" t="n"/>
      <c r="CS39" s="80" t="n"/>
      <c r="CT39" s="288" t="n"/>
      <c r="CU39" s="80" t="n"/>
      <c r="CV39" s="269" t="n"/>
      <c r="CW39" s="288" t="n"/>
      <c r="CX39" s="37" t="n"/>
      <c r="CY39" s="288" t="n"/>
      <c r="CZ39" s="37" t="n"/>
      <c r="DA39" s="288" t="n"/>
      <c r="DB39" s="37" t="n"/>
      <c r="DC39" s="288" t="n"/>
      <c r="DD39" s="37" t="n"/>
      <c r="DE39" s="289" t="n"/>
      <c r="DF39" s="289" t="n"/>
      <c r="DG39" s="79" t="n"/>
    </row>
    <row r="40" customFormat="1" s="40">
      <c r="A40" s="330" t="n"/>
      <c r="B40" s="288" t="n"/>
      <c r="C40" s="15" t="n"/>
      <c r="D40" s="15" t="n"/>
      <c r="E40" s="292" t="n"/>
      <c r="F40" s="15" t="n"/>
      <c r="G40" s="15" t="n"/>
      <c r="H40" s="292" t="n"/>
      <c r="I40" s="15" t="n"/>
      <c r="J40" s="15" t="n"/>
      <c r="K40" s="292" t="n"/>
      <c r="L40" s="15" t="n"/>
      <c r="M40" s="15" t="n"/>
      <c r="N40" s="292" t="n"/>
      <c r="O40" s="15" t="n"/>
      <c r="P40" s="15" t="n"/>
      <c r="Q40" s="292" t="n"/>
      <c r="R40" s="15" t="n"/>
      <c r="S40" s="15" t="n"/>
      <c r="T40" s="292" t="n"/>
      <c r="U40" s="15" t="n"/>
      <c r="V40" s="15" t="n"/>
      <c r="W40" s="292" t="n"/>
      <c r="X40" s="15" t="n"/>
      <c r="Y40" s="15" t="n"/>
      <c r="Z40" s="292" t="n"/>
      <c r="AA40" s="15" t="n"/>
      <c r="AB40" s="15" t="n"/>
      <c r="AC40" s="292" t="n"/>
      <c r="AD40" s="15" t="n"/>
      <c r="AE40" s="15" t="n"/>
      <c r="AF40" s="292" t="n"/>
      <c r="AG40" s="15" t="n"/>
      <c r="AH40" s="15" t="n"/>
      <c r="AI40" s="292" t="n"/>
      <c r="AJ40" s="15" t="n"/>
      <c r="AK40" s="15" t="n"/>
      <c r="AL40" s="292" t="n"/>
      <c r="AM40" s="31" t="n"/>
      <c r="AN40" s="15" t="n"/>
      <c r="AO40" s="292" t="n"/>
      <c r="AP40" s="31" t="n"/>
      <c r="AQ40" s="15" t="n"/>
      <c r="AR40" s="292" t="n"/>
      <c r="AS40" s="31" t="n"/>
      <c r="AT40" s="15" t="n"/>
      <c r="AU40" s="292" t="n"/>
      <c r="AV40" s="31" t="n"/>
      <c r="AW40" s="15" t="n"/>
      <c r="AX40" s="292" t="n"/>
      <c r="AY40" s="15" t="n"/>
      <c r="AZ40" s="15" t="n"/>
      <c r="BA40" s="291" t="n"/>
      <c r="BB40" s="37" t="n"/>
      <c r="BC40" s="291" t="n"/>
      <c r="BD40" s="37" t="n"/>
      <c r="BE40" s="291" t="n"/>
      <c r="BF40" s="37" t="n"/>
      <c r="BG40" s="291" t="n"/>
      <c r="BH40" s="37" t="n"/>
      <c r="BI40" s="291" t="n"/>
      <c r="BJ40" s="37" t="n"/>
      <c r="BK40" s="291" t="n"/>
      <c r="BL40" s="37" t="n"/>
      <c r="BM40" s="291" t="n"/>
      <c r="BN40" s="37" t="n"/>
      <c r="BO40" s="291" t="n"/>
      <c r="BP40" s="291" t="n"/>
      <c r="BQ40" s="37" t="n"/>
      <c r="BR40" s="291" t="n"/>
      <c r="BS40" s="37" t="n"/>
      <c r="BT40" s="291" t="n"/>
      <c r="BU40" s="37" t="n"/>
      <c r="BV40" s="291" t="n"/>
      <c r="BW40" s="37" t="n"/>
      <c r="BX40" s="291" t="n"/>
      <c r="BY40" s="37" t="n"/>
      <c r="BZ40" s="291" t="n"/>
      <c r="CA40" s="37" t="n"/>
      <c r="CB40" s="291" t="n"/>
      <c r="CC40" s="37" t="n"/>
      <c r="CD40" s="291" t="n"/>
      <c r="CE40" s="37" t="n"/>
      <c r="CF40" s="291" t="n"/>
      <c r="CG40" s="291" t="n"/>
      <c r="CH40" s="291" t="n"/>
      <c r="CI40" s="291" t="n"/>
      <c r="CJ40" s="291" t="n"/>
      <c r="CK40" s="291" t="n"/>
      <c r="CL40" s="291" t="n"/>
      <c r="CM40" s="291" t="n"/>
      <c r="CN40" s="291" t="n"/>
      <c r="CO40" s="80" t="n"/>
      <c r="CP40" s="291" t="n"/>
      <c r="CQ40" s="80" t="n"/>
      <c r="CR40" s="291" t="n"/>
      <c r="CS40" s="80" t="n"/>
      <c r="CT40" s="291" t="n"/>
      <c r="CU40" s="80" t="n"/>
      <c r="CW40" s="291" t="n"/>
      <c r="CX40" s="37" t="n"/>
      <c r="CY40" s="291" t="n"/>
      <c r="CZ40" s="37" t="n"/>
      <c r="DA40" s="291" t="n"/>
      <c r="DB40" s="37" t="n"/>
      <c r="DC40" s="291" t="n"/>
      <c r="DD40" s="37" t="n"/>
      <c r="DE40" s="311" t="n"/>
      <c r="DF40" s="311" t="n"/>
    </row>
    <row r="41">
      <c r="A41" s="428" t="n"/>
      <c r="B41" s="288" t="n"/>
      <c r="C41" s="15" t="n"/>
      <c r="D41" s="15" t="n"/>
      <c r="E41" s="285" t="n"/>
      <c r="F41" s="15" t="n"/>
      <c r="G41" s="15" t="n"/>
      <c r="H41" s="285" t="n"/>
      <c r="I41" s="15" t="n"/>
      <c r="J41" s="15" t="n"/>
      <c r="K41" s="285" t="n"/>
      <c r="L41" s="15" t="n"/>
      <c r="M41" s="15" t="n"/>
      <c r="N41" s="285" t="n"/>
      <c r="O41" s="15" t="n"/>
      <c r="P41" s="15" t="n"/>
      <c r="Q41" s="285" t="n"/>
      <c r="R41" s="15" t="n"/>
      <c r="S41" s="15" t="n"/>
      <c r="T41" s="285" t="n"/>
      <c r="U41" s="15" t="n"/>
      <c r="V41" s="15" t="n"/>
      <c r="W41" s="285" t="n"/>
      <c r="X41" s="15" t="n"/>
      <c r="Y41" s="15" t="n"/>
      <c r="Z41" s="285" t="n"/>
      <c r="AA41" s="15" t="n"/>
      <c r="AB41" s="15" t="n"/>
      <c r="AC41" s="285" t="n"/>
      <c r="AD41" s="15" t="n"/>
      <c r="AE41" s="15" t="n"/>
      <c r="AF41" s="285" t="n"/>
      <c r="AG41" s="15" t="n"/>
      <c r="AH41" s="15" t="n"/>
      <c r="AI41" s="285" t="n"/>
      <c r="AJ41" s="15" t="n"/>
      <c r="AK41" s="15" t="n"/>
      <c r="AL41" s="285" t="n"/>
      <c r="AM41" s="31" t="n"/>
      <c r="AN41" s="15" t="n"/>
      <c r="AO41" s="285" t="n"/>
      <c r="AP41" s="31" t="n"/>
      <c r="AQ41" s="15" t="n"/>
      <c r="AR41" s="285" t="n"/>
      <c r="AS41" s="31" t="n"/>
      <c r="AT41" s="15" t="n"/>
      <c r="AU41" s="285" t="n"/>
      <c r="AV41" s="31" t="n"/>
      <c r="AW41" s="15" t="n"/>
      <c r="AX41" s="285" t="n"/>
      <c r="AY41" s="15" t="n"/>
      <c r="AZ41" s="15" t="n"/>
      <c r="BA41" s="287" t="n"/>
      <c r="BB41" s="37" t="n"/>
      <c r="BC41" s="287" t="n"/>
      <c r="BD41" s="37" t="n"/>
      <c r="BE41" s="287" t="n"/>
      <c r="BF41" s="37" t="n"/>
      <c r="BG41" s="287" t="n"/>
      <c r="BH41" s="37" t="n"/>
      <c r="BI41" s="288" t="n"/>
      <c r="BJ41" s="37" t="n"/>
      <c r="BK41" s="288" t="n"/>
      <c r="BL41" s="37" t="n"/>
      <c r="BM41" s="288" t="n"/>
      <c r="BN41" s="37" t="n"/>
      <c r="BO41" s="288" t="n"/>
      <c r="BP41" s="288" t="n"/>
      <c r="BQ41" s="37" t="n"/>
      <c r="BR41" s="288" t="n"/>
      <c r="BS41" s="37" t="n"/>
      <c r="BT41" s="288" t="n"/>
      <c r="BU41" s="37" t="n"/>
      <c r="BV41" s="288" t="n"/>
      <c r="BW41" s="37" t="n"/>
      <c r="BX41" s="288" t="n"/>
      <c r="BY41" s="37" t="n"/>
      <c r="BZ41" s="288" t="n"/>
      <c r="CA41" s="37" t="n"/>
      <c r="CB41" s="288" t="n"/>
      <c r="CC41" s="37" t="n"/>
      <c r="CD41" s="288" t="n"/>
      <c r="CE41" s="37" t="n"/>
      <c r="CF41" s="288" t="n"/>
      <c r="CG41" s="291" t="n"/>
      <c r="CH41" s="288" t="n"/>
      <c r="CI41" s="291" t="n"/>
      <c r="CJ41" s="288" t="n"/>
      <c r="CK41" s="291" t="n"/>
      <c r="CL41" s="288" t="n"/>
      <c r="CM41" s="291" t="n"/>
      <c r="CN41" s="288" t="n"/>
      <c r="CO41" s="80" t="n"/>
      <c r="CP41" s="288" t="n"/>
      <c r="CQ41" s="80" t="n"/>
      <c r="CR41" s="288" t="n"/>
      <c r="CS41" s="80" t="n"/>
      <c r="CT41" s="288" t="n"/>
      <c r="CU41" s="80" t="n"/>
      <c r="CV41" s="269" t="n"/>
      <c r="CW41" s="288" t="n"/>
      <c r="CX41" s="37" t="n"/>
      <c r="CY41" s="288" t="n"/>
      <c r="CZ41" s="37" t="n"/>
      <c r="DA41" s="288" t="n"/>
      <c r="DB41" s="37" t="n"/>
      <c r="DC41" s="288" t="n"/>
      <c r="DD41" s="37" t="n"/>
      <c r="DE41" s="289" t="n"/>
      <c r="DF41" s="289" t="n"/>
      <c r="DG41" s="79" t="n"/>
    </row>
    <row r="42">
      <c r="A42" s="428" t="n"/>
      <c r="B42" s="288" t="n"/>
      <c r="C42" s="15" t="n"/>
      <c r="D42" s="15" t="n"/>
      <c r="E42" s="285" t="n"/>
      <c r="F42" s="15" t="n"/>
      <c r="G42" s="15" t="n"/>
      <c r="H42" s="285" t="n"/>
      <c r="I42" s="15" t="n"/>
      <c r="J42" s="15" t="n"/>
      <c r="K42" s="285" t="n"/>
      <c r="L42" s="15" t="n"/>
      <c r="M42" s="15" t="n"/>
      <c r="N42" s="285" t="n"/>
      <c r="O42" s="15" t="n"/>
      <c r="P42" s="15" t="n"/>
      <c r="Q42" s="285" t="n"/>
      <c r="R42" s="15" t="n"/>
      <c r="S42" s="15" t="n"/>
      <c r="T42" s="285" t="n"/>
      <c r="U42" s="15" t="n"/>
      <c r="V42" s="15" t="n"/>
      <c r="W42" s="285" t="n"/>
      <c r="X42" s="15" t="n"/>
      <c r="Y42" s="15" t="n"/>
      <c r="Z42" s="285" t="n"/>
      <c r="AA42" s="15" t="n"/>
      <c r="AB42" s="15" t="n"/>
      <c r="AC42" s="285" t="n"/>
      <c r="AD42" s="15" t="n"/>
      <c r="AE42" s="15" t="n"/>
      <c r="AF42" s="285" t="n"/>
      <c r="AG42" s="15" t="n"/>
      <c r="AH42" s="15" t="n"/>
      <c r="AI42" s="285" t="n"/>
      <c r="AJ42" s="15" t="n"/>
      <c r="AK42" s="15" t="n"/>
      <c r="AL42" s="285" t="n"/>
      <c r="AM42" s="31" t="n"/>
      <c r="AN42" s="15" t="n"/>
      <c r="AO42" s="285" t="n"/>
      <c r="AP42" s="31" t="n"/>
      <c r="AQ42" s="15" t="n"/>
      <c r="AR42" s="285" t="n"/>
      <c r="AS42" s="31" t="n"/>
      <c r="AT42" s="15" t="n"/>
      <c r="AU42" s="285" t="n"/>
      <c r="AV42" s="31" t="n"/>
      <c r="AW42" s="15" t="n"/>
      <c r="AX42" s="285" t="n"/>
      <c r="AY42" s="15" t="n"/>
      <c r="AZ42" s="15" t="n"/>
      <c r="BA42" s="287" t="n"/>
      <c r="BB42" s="37" t="n"/>
      <c r="BC42" s="287" t="n"/>
      <c r="BD42" s="37" t="n"/>
      <c r="BE42" s="287" t="n"/>
      <c r="BF42" s="37" t="n"/>
      <c r="BG42" s="287" t="n"/>
      <c r="BH42" s="37" t="n"/>
      <c r="BI42" s="288" t="n"/>
      <c r="BJ42" s="37" t="n"/>
      <c r="BK42" s="288" t="n"/>
      <c r="BL42" s="37" t="n"/>
      <c r="BM42" s="288" t="n"/>
      <c r="BN42" s="37" t="n"/>
      <c r="BO42" s="288" t="n"/>
      <c r="BP42" s="288" t="n"/>
      <c r="BQ42" s="37" t="n"/>
      <c r="BR42" s="288" t="n"/>
      <c r="BS42" s="37" t="n"/>
      <c r="BT42" s="288" t="n"/>
      <c r="BU42" s="37" t="n"/>
      <c r="BV42" s="288" t="n"/>
      <c r="BW42" s="37" t="n"/>
      <c r="BX42" s="288" t="n"/>
      <c r="BY42" s="37" t="n"/>
      <c r="BZ42" s="288" t="n"/>
      <c r="CA42" s="37" t="n"/>
      <c r="CB42" s="288" t="n"/>
      <c r="CC42" s="37" t="n"/>
      <c r="CD42" s="288" t="n"/>
      <c r="CE42" s="37" t="n"/>
      <c r="CF42" s="288" t="n"/>
      <c r="CG42" s="291" t="n"/>
      <c r="CH42" s="288" t="n"/>
      <c r="CI42" s="291" t="n"/>
      <c r="CJ42" s="288" t="n"/>
      <c r="CK42" s="291" t="n"/>
      <c r="CL42" s="288" t="n"/>
      <c r="CM42" s="291" t="n"/>
      <c r="CN42" s="288" t="n"/>
      <c r="CO42" s="80" t="n"/>
      <c r="CP42" s="288" t="n"/>
      <c r="CQ42" s="80" t="n"/>
      <c r="CR42" s="288" t="n"/>
      <c r="CS42" s="80" t="n"/>
      <c r="CT42" s="288" t="n"/>
      <c r="CU42" s="80" t="n"/>
      <c r="CV42" s="269" t="n"/>
      <c r="CW42" s="288" t="n"/>
      <c r="CX42" s="37" t="n"/>
      <c r="CY42" s="288" t="n"/>
      <c r="CZ42" s="37" t="n"/>
      <c r="DA42" s="288" t="n"/>
      <c r="DB42" s="37" t="n"/>
      <c r="DC42" s="288" t="n"/>
      <c r="DD42" s="37" t="n"/>
      <c r="DE42" s="289" t="n"/>
      <c r="DF42" s="289" t="n"/>
      <c r="DG42" s="79" t="n"/>
    </row>
    <row r="43">
      <c r="A43" s="428" t="n"/>
      <c r="B43" s="288" t="n"/>
      <c r="C43" s="15" t="n"/>
      <c r="D43" s="15" t="n"/>
      <c r="E43" s="285" t="n"/>
      <c r="F43" s="15" t="n"/>
      <c r="G43" s="15" t="n"/>
      <c r="H43" s="285" t="n"/>
      <c r="I43" s="15" t="n"/>
      <c r="J43" s="15" t="n"/>
      <c r="K43" s="285" t="n"/>
      <c r="L43" s="15" t="n"/>
      <c r="M43" s="15" t="n"/>
      <c r="N43" s="285" t="n"/>
      <c r="O43" s="15" t="n"/>
      <c r="P43" s="15" t="n"/>
      <c r="Q43" s="285" t="n"/>
      <c r="R43" s="15" t="n"/>
      <c r="S43" s="15" t="n"/>
      <c r="T43" s="285" t="n"/>
      <c r="U43" s="15" t="n"/>
      <c r="V43" s="15" t="n"/>
      <c r="W43" s="285" t="n"/>
      <c r="X43" s="15" t="n"/>
      <c r="Y43" s="15" t="n"/>
      <c r="Z43" s="285" t="n"/>
      <c r="AA43" s="15" t="n"/>
      <c r="AB43" s="15" t="n"/>
      <c r="AC43" s="285" t="n"/>
      <c r="AD43" s="15" t="n"/>
      <c r="AE43" s="15" t="n"/>
      <c r="AF43" s="285" t="n"/>
      <c r="AG43" s="15" t="n"/>
      <c r="AH43" s="15" t="n"/>
      <c r="AI43" s="285" t="n"/>
      <c r="AJ43" s="15" t="n"/>
      <c r="AK43" s="15" t="n"/>
      <c r="AL43" s="285" t="n"/>
      <c r="AM43" s="31" t="n"/>
      <c r="AN43" s="15" t="n"/>
      <c r="AO43" s="285" t="n"/>
      <c r="AP43" s="31" t="n"/>
      <c r="AQ43" s="15" t="n"/>
      <c r="AR43" s="285" t="n"/>
      <c r="AS43" s="31" t="n"/>
      <c r="AT43" s="15" t="n"/>
      <c r="AU43" s="285" t="n"/>
      <c r="AV43" s="31" t="n"/>
      <c r="AW43" s="15" t="n"/>
      <c r="AX43" s="285" t="n"/>
      <c r="AY43" s="15" t="n"/>
      <c r="AZ43" s="15" t="n"/>
      <c r="BA43" s="287" t="n"/>
      <c r="BB43" s="37" t="n"/>
      <c r="BC43" s="287" t="n"/>
      <c r="BD43" s="37" t="n"/>
      <c r="BE43" s="287" t="n"/>
      <c r="BF43" s="37" t="n"/>
      <c r="BG43" s="287" t="n"/>
      <c r="BH43" s="37" t="n"/>
      <c r="BI43" s="288" t="n"/>
      <c r="BJ43" s="37" t="n"/>
      <c r="BK43" s="288" t="n"/>
      <c r="BL43" s="37" t="n"/>
      <c r="BM43" s="288" t="n"/>
      <c r="BN43" s="37" t="n"/>
      <c r="BO43" s="288" t="n"/>
      <c r="BP43" s="288" t="n"/>
      <c r="BQ43" s="37" t="n"/>
      <c r="BR43" s="288" t="n"/>
      <c r="BS43" s="37" t="n"/>
      <c r="BT43" s="288" t="n"/>
      <c r="BU43" s="37" t="n"/>
      <c r="BV43" s="288" t="n"/>
      <c r="BW43" s="37" t="n"/>
      <c r="BX43" s="288" t="n"/>
      <c r="BY43" s="37" t="n"/>
      <c r="BZ43" s="288" t="n"/>
      <c r="CA43" s="37" t="n"/>
      <c r="CB43" s="288" t="n"/>
      <c r="CC43" s="37" t="n"/>
      <c r="CD43" s="288" t="n"/>
      <c r="CE43" s="37" t="n"/>
      <c r="CF43" s="288" t="n"/>
      <c r="CG43" s="291" t="n"/>
      <c r="CH43" s="288" t="n"/>
      <c r="CI43" s="291" t="n"/>
      <c r="CJ43" s="288" t="n"/>
      <c r="CK43" s="291" t="n"/>
      <c r="CL43" s="288" t="n"/>
      <c r="CM43" s="291" t="n"/>
      <c r="CN43" s="288" t="n"/>
      <c r="CO43" s="80" t="n"/>
      <c r="CP43" s="288" t="n"/>
      <c r="CQ43" s="80" t="n"/>
      <c r="CR43" s="288" t="n"/>
      <c r="CS43" s="80" t="n"/>
      <c r="CT43" s="288" t="n"/>
      <c r="CU43" s="80" t="n"/>
      <c r="CV43" s="269" t="n"/>
      <c r="CW43" s="288" t="n"/>
      <c r="CX43" s="37" t="n"/>
      <c r="CY43" s="288" t="n"/>
      <c r="CZ43" s="37" t="n"/>
      <c r="DA43" s="288" t="n"/>
      <c r="DB43" s="37" t="n"/>
      <c r="DC43" s="288" t="n"/>
      <c r="DD43" s="37" t="n"/>
      <c r="DE43" s="289" t="n"/>
      <c r="DF43" s="289" t="n"/>
      <c r="DG43" s="79" t="n"/>
    </row>
    <row r="44">
      <c r="A44" s="428" t="n"/>
      <c r="B44" s="288" t="n"/>
      <c r="C44" s="15" t="n"/>
      <c r="D44" s="15" t="n"/>
      <c r="E44" s="285" t="n"/>
      <c r="F44" s="15" t="n"/>
      <c r="G44" s="15" t="n"/>
      <c r="H44" s="285" t="n"/>
      <c r="I44" s="15" t="n"/>
      <c r="J44" s="15" t="n"/>
      <c r="K44" s="285" t="n"/>
      <c r="L44" s="15" t="n"/>
      <c r="M44" s="15" t="n"/>
      <c r="N44" s="285" t="n"/>
      <c r="O44" s="15" t="n"/>
      <c r="P44" s="15" t="n"/>
      <c r="Q44" s="285" t="n"/>
      <c r="R44" s="15" t="n"/>
      <c r="S44" s="15" t="n"/>
      <c r="T44" s="285" t="n"/>
      <c r="U44" s="15" t="n"/>
      <c r="V44" s="15" t="n"/>
      <c r="W44" s="285" t="n"/>
      <c r="X44" s="15" t="n"/>
      <c r="Y44" s="15" t="n"/>
      <c r="Z44" s="285" t="n"/>
      <c r="AA44" s="15" t="n"/>
      <c r="AB44" s="15" t="n"/>
      <c r="AC44" s="285" t="n"/>
      <c r="AD44" s="15" t="n"/>
      <c r="AE44" s="15" t="n"/>
      <c r="AF44" s="285" t="n"/>
      <c r="AG44" s="15" t="n"/>
      <c r="AH44" s="15" t="n"/>
      <c r="AI44" s="285" t="n"/>
      <c r="AJ44" s="15" t="n"/>
      <c r="AK44" s="15" t="n"/>
      <c r="AL44" s="285" t="n"/>
      <c r="AM44" s="31" t="n"/>
      <c r="AN44" s="15" t="n"/>
      <c r="AO44" s="285" t="n"/>
      <c r="AP44" s="31" t="n"/>
      <c r="AQ44" s="15" t="n"/>
      <c r="AR44" s="285" t="n"/>
      <c r="AS44" s="31" t="n"/>
      <c r="AT44" s="15" t="n"/>
      <c r="AU44" s="285" t="n"/>
      <c r="AV44" s="31" t="n"/>
      <c r="AW44" s="15" t="n"/>
      <c r="AX44" s="285" t="n"/>
      <c r="AY44" s="15" t="n"/>
      <c r="AZ44" s="15" t="n"/>
      <c r="BA44" s="287" t="n"/>
      <c r="BB44" s="37" t="n"/>
      <c r="BC44" s="287" t="n"/>
      <c r="BD44" s="37" t="n"/>
      <c r="BE44" s="287" t="n"/>
      <c r="BF44" s="37" t="n"/>
      <c r="BG44" s="287" t="n"/>
      <c r="BH44" s="37" t="n"/>
      <c r="BI44" s="288" t="n"/>
      <c r="BJ44" s="37" t="n"/>
      <c r="BK44" s="288" t="n"/>
      <c r="BL44" s="37" t="n"/>
      <c r="BM44" s="288" t="n"/>
      <c r="BN44" s="37" t="n"/>
      <c r="BO44" s="288" t="n"/>
      <c r="BP44" s="288" t="n"/>
      <c r="BQ44" s="37" t="n"/>
      <c r="BR44" s="288" t="n"/>
      <c r="BS44" s="37" t="n"/>
      <c r="BT44" s="288" t="n"/>
      <c r="BU44" s="37" t="n"/>
      <c r="BV44" s="288" t="n"/>
      <c r="BW44" s="37" t="n"/>
      <c r="BX44" s="288" t="n"/>
      <c r="BY44" s="37" t="n"/>
      <c r="BZ44" s="288" t="n"/>
      <c r="CA44" s="37" t="n"/>
      <c r="CB44" s="288" t="n"/>
      <c r="CC44" s="37" t="n"/>
      <c r="CD44" s="288" t="n"/>
      <c r="CE44" s="37" t="n"/>
      <c r="CF44" s="288" t="n"/>
      <c r="CG44" s="291" t="n"/>
      <c r="CH44" s="288" t="n"/>
      <c r="CI44" s="291" t="n"/>
      <c r="CJ44" s="288" t="n"/>
      <c r="CK44" s="291" t="n"/>
      <c r="CL44" s="288" t="n"/>
      <c r="CM44" s="291" t="n"/>
      <c r="CN44" s="288" t="n"/>
      <c r="CO44" s="80" t="n"/>
      <c r="CP44" s="288" t="n"/>
      <c r="CQ44" s="80" t="n"/>
      <c r="CR44" s="288" t="n"/>
      <c r="CS44" s="80" t="n"/>
      <c r="CT44" s="288" t="n"/>
      <c r="CU44" s="80" t="n"/>
      <c r="CV44" s="269" t="n"/>
      <c r="CW44" s="288" t="n"/>
      <c r="CX44" s="37" t="n"/>
      <c r="CY44" s="288" t="n"/>
      <c r="CZ44" s="37" t="n"/>
      <c r="DA44" s="288" t="n"/>
      <c r="DB44" s="37" t="n"/>
      <c r="DC44" s="288" t="n"/>
      <c r="DD44" s="37" t="n"/>
      <c r="DE44" s="289" t="n"/>
      <c r="DF44" s="289" t="n"/>
      <c r="DG44" s="79" t="n"/>
    </row>
    <row r="45">
      <c r="A45" s="428" t="n"/>
      <c r="B45" s="288" t="n"/>
      <c r="C45" s="15" t="n"/>
      <c r="D45" s="15" t="n"/>
      <c r="E45" s="285" t="n"/>
      <c r="F45" s="15" t="n"/>
      <c r="G45" s="15" t="n"/>
      <c r="H45" s="285" t="n"/>
      <c r="I45" s="15" t="n"/>
      <c r="J45" s="15" t="n"/>
      <c r="K45" s="285" t="n"/>
      <c r="L45" s="15" t="n"/>
      <c r="M45" s="15" t="n"/>
      <c r="N45" s="285" t="n"/>
      <c r="O45" s="15" t="n"/>
      <c r="P45" s="15" t="n"/>
      <c r="Q45" s="285" t="n"/>
      <c r="R45" s="15" t="n"/>
      <c r="S45" s="15" t="n"/>
      <c r="T45" s="285" t="n"/>
      <c r="U45" s="15" t="n"/>
      <c r="V45" s="15" t="n"/>
      <c r="W45" s="285" t="n"/>
      <c r="X45" s="15" t="n"/>
      <c r="Y45" s="15" t="n"/>
      <c r="Z45" s="285" t="n"/>
      <c r="AA45" s="15" t="n"/>
      <c r="AB45" s="15" t="n"/>
      <c r="AC45" s="285" t="n"/>
      <c r="AD45" s="15" t="n"/>
      <c r="AE45" s="15" t="n"/>
      <c r="AF45" s="285" t="n"/>
      <c r="AG45" s="15" t="n"/>
      <c r="AH45" s="15" t="n"/>
      <c r="AI45" s="285" t="n"/>
      <c r="AJ45" s="15" t="n"/>
      <c r="AK45" s="15" t="n"/>
      <c r="AL45" s="285" t="n"/>
      <c r="AM45" s="31" t="n"/>
      <c r="AN45" s="15" t="n"/>
      <c r="AO45" s="285" t="n"/>
      <c r="AP45" s="31" t="n"/>
      <c r="AQ45" s="15" t="n"/>
      <c r="AR45" s="285" t="n"/>
      <c r="AS45" s="31" t="n"/>
      <c r="AT45" s="15" t="n"/>
      <c r="AU45" s="285" t="n"/>
      <c r="AV45" s="31" t="n"/>
      <c r="AW45" s="15" t="n"/>
      <c r="AX45" s="285" t="n"/>
      <c r="AY45" s="15" t="n"/>
      <c r="AZ45" s="15" t="n"/>
      <c r="BA45" s="287" t="n"/>
      <c r="BB45" s="37" t="n"/>
      <c r="BC45" s="287" t="n"/>
      <c r="BD45" s="37" t="n"/>
      <c r="BE45" s="287" t="n"/>
      <c r="BF45" s="37" t="n"/>
      <c r="BG45" s="287" t="n"/>
      <c r="BH45" s="37" t="n"/>
      <c r="BI45" s="288" t="n"/>
      <c r="BJ45" s="37" t="n"/>
      <c r="BK45" s="288" t="n"/>
      <c r="BL45" s="37" t="n"/>
      <c r="BM45" s="288" t="n"/>
      <c r="BN45" s="37" t="n"/>
      <c r="BO45" s="288" t="n"/>
      <c r="BP45" s="288" t="n"/>
      <c r="BQ45" s="37" t="n"/>
      <c r="BR45" s="288" t="n"/>
      <c r="BS45" s="37" t="n"/>
      <c r="BT45" s="288" t="n"/>
      <c r="BU45" s="37" t="n"/>
      <c r="BV45" s="288" t="n"/>
      <c r="BW45" s="37" t="n"/>
      <c r="BX45" s="288" t="n"/>
      <c r="BY45" s="37" t="n"/>
      <c r="BZ45" s="288" t="n"/>
      <c r="CA45" s="37" t="n"/>
      <c r="CB45" s="288" t="n"/>
      <c r="CC45" s="37" t="n"/>
      <c r="CD45" s="288" t="n"/>
      <c r="CE45" s="37" t="n"/>
      <c r="CF45" s="288" t="n"/>
      <c r="CG45" s="291" t="n"/>
      <c r="CH45" s="288" t="n"/>
      <c r="CI45" s="291" t="n"/>
      <c r="CJ45" s="288" t="n"/>
      <c r="CK45" s="291" t="n"/>
      <c r="CL45" s="288" t="n"/>
      <c r="CM45" s="291" t="n"/>
      <c r="CN45" s="288" t="n"/>
      <c r="CO45" s="80" t="n"/>
      <c r="CP45" s="288" t="n"/>
      <c r="CQ45" s="80" t="n"/>
      <c r="CR45" s="288" t="n"/>
      <c r="CS45" s="80" t="n"/>
      <c r="CT45" s="288" t="n"/>
      <c r="CU45" s="80" t="n"/>
      <c r="CV45" s="269" t="n"/>
      <c r="CW45" s="288" t="n"/>
      <c r="CX45" s="37" t="n"/>
      <c r="CY45" s="288" t="n"/>
      <c r="CZ45" s="37" t="n"/>
      <c r="DA45" s="288" t="n"/>
      <c r="DB45" s="37" t="n"/>
      <c r="DC45" s="288" t="n"/>
      <c r="DD45" s="37" t="n"/>
      <c r="DE45" s="289" t="n"/>
      <c r="DF45" s="289" t="n"/>
      <c r="DG45" s="79" t="n"/>
    </row>
    <row r="46">
      <c r="A46" s="428" t="n"/>
      <c r="B46" s="288" t="n"/>
      <c r="C46" s="15" t="n"/>
      <c r="D46" s="15" t="n"/>
      <c r="E46" s="285" t="n"/>
      <c r="F46" s="15" t="n"/>
      <c r="G46" s="15" t="n"/>
      <c r="H46" s="285" t="n"/>
      <c r="I46" s="15" t="n"/>
      <c r="J46" s="15" t="n"/>
      <c r="K46" s="285" t="n"/>
      <c r="L46" s="15" t="n"/>
      <c r="M46" s="15" t="n"/>
      <c r="N46" s="285" t="n"/>
      <c r="O46" s="15" t="n"/>
      <c r="P46" s="15" t="n"/>
      <c r="Q46" s="285" t="n"/>
      <c r="R46" s="15" t="n"/>
      <c r="S46" s="15" t="n"/>
      <c r="T46" s="285" t="n"/>
      <c r="U46" s="15" t="n"/>
      <c r="V46" s="15" t="n"/>
      <c r="W46" s="285" t="n"/>
      <c r="X46" s="15" t="n"/>
      <c r="Y46" s="15" t="n"/>
      <c r="Z46" s="285" t="n"/>
      <c r="AA46" s="15" t="n"/>
      <c r="AB46" s="15" t="n"/>
      <c r="AC46" s="285" t="n"/>
      <c r="AD46" s="15" t="n"/>
      <c r="AE46" s="15" t="n"/>
      <c r="AF46" s="285" t="n"/>
      <c r="AG46" s="15" t="n"/>
      <c r="AH46" s="15" t="n"/>
      <c r="AI46" s="285" t="n"/>
      <c r="AJ46" s="15" t="n"/>
      <c r="AK46" s="15" t="n"/>
      <c r="AL46" s="285" t="n"/>
      <c r="AM46" s="31" t="n"/>
      <c r="AN46" s="15" t="n"/>
      <c r="AO46" s="285" t="n"/>
      <c r="AP46" s="31" t="n"/>
      <c r="AQ46" s="15" t="n"/>
      <c r="AR46" s="285" t="n"/>
      <c r="AS46" s="31" t="n"/>
      <c r="AT46" s="15" t="n"/>
      <c r="AU46" s="285" t="n"/>
      <c r="AV46" s="31" t="n"/>
      <c r="AW46" s="15" t="n"/>
      <c r="AX46" s="285" t="n"/>
      <c r="AY46" s="15" t="n"/>
      <c r="AZ46" s="15" t="n"/>
      <c r="BA46" s="287" t="n"/>
      <c r="BB46" s="37" t="n"/>
      <c r="BC46" s="287" t="n"/>
      <c r="BD46" s="37" t="n"/>
      <c r="BE46" s="287" t="n"/>
      <c r="BF46" s="37" t="n"/>
      <c r="BG46" s="287" t="n"/>
      <c r="BH46" s="37" t="n"/>
      <c r="BI46" s="288" t="n"/>
      <c r="BJ46" s="37" t="n"/>
      <c r="BK46" s="288" t="n"/>
      <c r="BL46" s="37" t="n"/>
      <c r="BM46" s="288" t="n"/>
      <c r="BN46" s="37" t="n"/>
      <c r="BO46" s="288" t="n"/>
      <c r="BP46" s="288" t="n"/>
      <c r="BQ46" s="37" t="n"/>
      <c r="BR46" s="288" t="n"/>
      <c r="BS46" s="37" t="n"/>
      <c r="BT46" s="288" t="n"/>
      <c r="BU46" s="37" t="n"/>
      <c r="BV46" s="288" t="n"/>
      <c r="BW46" s="37" t="n"/>
      <c r="BX46" s="288" t="n"/>
      <c r="BY46" s="37" t="n"/>
      <c r="BZ46" s="288" t="n"/>
      <c r="CA46" s="37" t="n"/>
      <c r="CB46" s="288" t="n"/>
      <c r="CC46" s="37" t="n"/>
      <c r="CD46" s="288" t="n"/>
      <c r="CE46" s="37" t="n"/>
      <c r="CF46" s="288" t="n"/>
      <c r="CG46" s="291" t="n"/>
      <c r="CH46" s="288" t="n"/>
      <c r="CI46" s="291" t="n"/>
      <c r="CJ46" s="288" t="n"/>
      <c r="CK46" s="291" t="n"/>
      <c r="CL46" s="288" t="n"/>
      <c r="CM46" s="291" t="n"/>
      <c r="CN46" s="288" t="n"/>
      <c r="CO46" s="80" t="n"/>
      <c r="CP46" s="288" t="n"/>
      <c r="CQ46" s="80" t="n"/>
      <c r="CR46" s="288" t="n"/>
      <c r="CS46" s="80" t="n"/>
      <c r="CT46" s="288" t="n"/>
      <c r="CU46" s="80" t="n"/>
      <c r="CV46" s="269" t="n"/>
      <c r="CW46" s="288" t="n"/>
      <c r="CX46" s="37" t="n"/>
      <c r="CY46" s="288" t="n"/>
      <c r="CZ46" s="37" t="n"/>
      <c r="DA46" s="288" t="n"/>
      <c r="DB46" s="37" t="n"/>
      <c r="DC46" s="288" t="n"/>
      <c r="DD46" s="37" t="n"/>
      <c r="DE46" s="289" t="n"/>
      <c r="DF46" s="289" t="n"/>
      <c r="DG46" s="79" t="n"/>
    </row>
    <row r="47">
      <c r="A47" s="428" t="n"/>
      <c r="B47" s="288" t="n"/>
      <c r="C47" s="15" t="n"/>
      <c r="D47" s="15" t="n"/>
      <c r="E47" s="285" t="n"/>
      <c r="F47" s="15" t="n"/>
      <c r="G47" s="15" t="n"/>
      <c r="H47" s="285" t="n"/>
      <c r="I47" s="15" t="n"/>
      <c r="J47" s="15" t="n"/>
      <c r="K47" s="285" t="n"/>
      <c r="L47" s="15" t="n"/>
      <c r="M47" s="15" t="n"/>
      <c r="N47" s="285" t="n"/>
      <c r="O47" s="15" t="n"/>
      <c r="P47" s="15" t="n"/>
      <c r="Q47" s="285" t="n"/>
      <c r="R47" s="15" t="n"/>
      <c r="S47" s="15" t="n"/>
      <c r="T47" s="285" t="n"/>
      <c r="U47" s="15" t="n"/>
      <c r="V47" s="15" t="n"/>
      <c r="W47" s="285" t="n"/>
      <c r="X47" s="15" t="n"/>
      <c r="Y47" s="15" t="n"/>
      <c r="Z47" s="285" t="n"/>
      <c r="AA47" s="15" t="n"/>
      <c r="AB47" s="15" t="n"/>
      <c r="AC47" s="285" t="n"/>
      <c r="AD47" s="15" t="n"/>
      <c r="AE47" s="15" t="n"/>
      <c r="AF47" s="285" t="n"/>
      <c r="AG47" s="15" t="n"/>
      <c r="AH47" s="15" t="n"/>
      <c r="AI47" s="285" t="n"/>
      <c r="AJ47" s="15" t="n"/>
      <c r="AK47" s="15" t="n"/>
      <c r="AL47" s="285" t="n"/>
      <c r="AM47" s="31" t="n"/>
      <c r="AN47" s="15" t="n"/>
      <c r="AO47" s="285" t="n"/>
      <c r="AP47" s="31" t="n"/>
      <c r="AQ47" s="15" t="n"/>
      <c r="AR47" s="285" t="n"/>
      <c r="AS47" s="31" t="n"/>
      <c r="AT47" s="15" t="n"/>
      <c r="AU47" s="285" t="n"/>
      <c r="AV47" s="31" t="n"/>
      <c r="AW47" s="15" t="n"/>
      <c r="AX47" s="285" t="n"/>
      <c r="AY47" s="15" t="n"/>
      <c r="AZ47" s="15" t="n"/>
      <c r="BA47" s="287" t="n"/>
      <c r="BB47" s="37" t="n"/>
      <c r="BC47" s="287" t="n"/>
      <c r="BD47" s="37" t="n"/>
      <c r="BE47" s="287" t="n"/>
      <c r="BF47" s="37" t="n"/>
      <c r="BG47" s="287" t="n"/>
      <c r="BH47" s="37" t="n"/>
      <c r="BI47" s="288" t="n"/>
      <c r="BJ47" s="37" t="n"/>
      <c r="BK47" s="288" t="n"/>
      <c r="BL47" s="37" t="n"/>
      <c r="BM47" s="288" t="n"/>
      <c r="BN47" s="37" t="n"/>
      <c r="BO47" s="288" t="n"/>
      <c r="BP47" s="288" t="n"/>
      <c r="BQ47" s="37" t="n"/>
      <c r="BR47" s="288" t="n"/>
      <c r="BS47" s="37" t="n"/>
      <c r="BT47" s="288" t="n"/>
      <c r="BU47" s="37" t="n"/>
      <c r="BV47" s="288" t="n"/>
      <c r="BW47" s="37" t="n"/>
      <c r="BX47" s="288" t="n"/>
      <c r="BY47" s="37" t="n"/>
      <c r="BZ47" s="288" t="n"/>
      <c r="CA47" s="37" t="n"/>
      <c r="CB47" s="288" t="n"/>
      <c r="CC47" s="37" t="n"/>
      <c r="CD47" s="288" t="n"/>
      <c r="CE47" s="37" t="n"/>
      <c r="CF47" s="288" t="n"/>
      <c r="CG47" s="291" t="n"/>
      <c r="CH47" s="288" t="n"/>
      <c r="CI47" s="291" t="n"/>
      <c r="CJ47" s="288" t="n"/>
      <c r="CK47" s="291" t="n"/>
      <c r="CL47" s="288" t="n"/>
      <c r="CM47" s="291" t="n"/>
      <c r="CN47" s="288" t="n"/>
      <c r="CO47" s="80" t="n"/>
      <c r="CP47" s="288" t="n"/>
      <c r="CQ47" s="80" t="n"/>
      <c r="CR47" s="288" t="n"/>
      <c r="CS47" s="80" t="n"/>
      <c r="CT47" s="288" t="n"/>
      <c r="CU47" s="80" t="n"/>
      <c r="CV47" s="269" t="n"/>
      <c r="CW47" s="288" t="n"/>
      <c r="CX47" s="37" t="n"/>
      <c r="CY47" s="288" t="n"/>
      <c r="CZ47" s="37" t="n"/>
      <c r="DA47" s="288" t="n"/>
      <c r="DB47" s="37" t="n"/>
      <c r="DC47" s="288" t="n"/>
      <c r="DD47" s="37" t="n"/>
      <c r="DE47" s="289" t="n"/>
      <c r="DF47" s="289" t="n"/>
      <c r="DG47" s="79" t="n"/>
    </row>
    <row r="48">
      <c r="A48" s="428" t="n"/>
      <c r="B48" s="288" t="n"/>
      <c r="C48" s="15" t="n"/>
      <c r="D48" s="15" t="n"/>
      <c r="E48" s="285" t="n"/>
      <c r="F48" s="15" t="n"/>
      <c r="G48" s="15" t="n"/>
      <c r="H48" s="285" t="n"/>
      <c r="I48" s="15" t="n"/>
      <c r="J48" s="15" t="n"/>
      <c r="K48" s="285" t="n"/>
      <c r="L48" s="15" t="n"/>
      <c r="M48" s="15" t="n"/>
      <c r="N48" s="285" t="n"/>
      <c r="O48" s="15" t="n"/>
      <c r="P48" s="15" t="n"/>
      <c r="Q48" s="285" t="n"/>
      <c r="R48" s="15" t="n"/>
      <c r="S48" s="15" t="n"/>
      <c r="T48" s="285" t="n"/>
      <c r="U48" s="15" t="n"/>
      <c r="V48" s="15" t="n"/>
      <c r="W48" s="285" t="n"/>
      <c r="X48" s="15" t="n"/>
      <c r="Y48" s="15" t="n"/>
      <c r="Z48" s="285" t="n"/>
      <c r="AA48" s="15" t="n"/>
      <c r="AB48" s="15" t="n"/>
      <c r="AC48" s="285" t="n"/>
      <c r="AD48" s="15" t="n"/>
      <c r="AE48" s="15" t="n"/>
      <c r="AF48" s="285" t="n"/>
      <c r="AG48" s="15" t="n"/>
      <c r="AH48" s="15" t="n"/>
      <c r="AI48" s="285" t="n"/>
      <c r="AJ48" s="15" t="n"/>
      <c r="AK48" s="15" t="n"/>
      <c r="AL48" s="285" t="n"/>
      <c r="AM48" s="31" t="n"/>
      <c r="AN48" s="15" t="n"/>
      <c r="AO48" s="285" t="n"/>
      <c r="AP48" s="31" t="n"/>
      <c r="AQ48" s="15" t="n"/>
      <c r="AR48" s="285" t="n"/>
      <c r="AS48" s="31" t="n"/>
      <c r="AT48" s="15" t="n"/>
      <c r="AU48" s="285" t="n"/>
      <c r="AV48" s="31" t="n"/>
      <c r="AW48" s="15" t="n"/>
      <c r="AX48" s="285" t="n"/>
      <c r="AY48" s="15" t="n"/>
      <c r="AZ48" s="15" t="n"/>
      <c r="BA48" s="287" t="n"/>
      <c r="BB48" s="37" t="n"/>
      <c r="BC48" s="287" t="n"/>
      <c r="BD48" s="37" t="n"/>
      <c r="BE48" s="287" t="n"/>
      <c r="BF48" s="37" t="n"/>
      <c r="BG48" s="287" t="n"/>
      <c r="BH48" s="37" t="n"/>
      <c r="BI48" s="288" t="n"/>
      <c r="BJ48" s="37" t="n"/>
      <c r="BK48" s="288" t="n"/>
      <c r="BL48" s="37" t="n"/>
      <c r="BM48" s="288" t="n"/>
      <c r="BN48" s="37" t="n"/>
      <c r="BO48" s="288" t="n"/>
      <c r="BP48" s="288" t="n"/>
      <c r="BQ48" s="37" t="n"/>
      <c r="BR48" s="288" t="n"/>
      <c r="BS48" s="37" t="n"/>
      <c r="BT48" s="288" t="n"/>
      <c r="BU48" s="37" t="n"/>
      <c r="BV48" s="288" t="n"/>
      <c r="BW48" s="37" t="n"/>
      <c r="BX48" s="288" t="n"/>
      <c r="BY48" s="37" t="n"/>
      <c r="BZ48" s="288" t="n"/>
      <c r="CA48" s="37" t="n"/>
      <c r="CB48" s="288" t="n"/>
      <c r="CC48" s="37" t="n"/>
      <c r="CD48" s="288" t="n"/>
      <c r="CE48" s="37" t="n"/>
      <c r="CF48" s="288" t="n"/>
      <c r="CG48" s="291" t="n"/>
      <c r="CH48" s="288" t="n"/>
      <c r="CI48" s="291" t="n"/>
      <c r="CJ48" s="288" t="n"/>
      <c r="CK48" s="291" t="n"/>
      <c r="CL48" s="288" t="n"/>
      <c r="CM48" s="291" t="n"/>
      <c r="CN48" s="288" t="n"/>
      <c r="CO48" s="80" t="n"/>
      <c r="CP48" s="288" t="n"/>
      <c r="CQ48" s="80" t="n"/>
      <c r="CR48" s="288" t="n"/>
      <c r="CS48" s="80" t="n"/>
      <c r="CT48" s="288" t="n"/>
      <c r="CU48" s="80" t="n"/>
      <c r="CV48" s="269" t="n"/>
      <c r="CW48" s="288" t="n"/>
      <c r="CX48" s="37" t="n"/>
      <c r="CY48" s="288" t="n"/>
      <c r="CZ48" s="37" t="n"/>
      <c r="DA48" s="288" t="n"/>
      <c r="DB48" s="37" t="n"/>
      <c r="DC48" s="288" t="n"/>
      <c r="DD48" s="37" t="n"/>
      <c r="DE48" s="295" t="n"/>
      <c r="DF48" s="295" t="n"/>
      <c r="DG48" s="79" t="n"/>
    </row>
    <row r="49">
      <c r="A49" s="428" t="n"/>
      <c r="B49" s="288" t="n"/>
      <c r="C49" s="15" t="n"/>
      <c r="D49" s="15" t="n"/>
      <c r="E49" s="285" t="n"/>
      <c r="F49" s="15" t="n"/>
      <c r="G49" s="15" t="n"/>
      <c r="H49" s="285" t="n"/>
      <c r="I49" s="15" t="n"/>
      <c r="J49" s="15" t="n"/>
      <c r="K49" s="285" t="n"/>
      <c r="L49" s="15" t="n"/>
      <c r="M49" s="15" t="n"/>
      <c r="N49" s="285" t="n"/>
      <c r="O49" s="15" t="n"/>
      <c r="P49" s="15" t="n"/>
      <c r="Q49" s="285" t="n"/>
      <c r="R49" s="15" t="n"/>
      <c r="S49" s="15" t="n"/>
      <c r="T49" s="285" t="n"/>
      <c r="U49" s="15" t="n"/>
      <c r="V49" s="15" t="n"/>
      <c r="W49" s="285" t="n"/>
      <c r="X49" s="15" t="n"/>
      <c r="Y49" s="15" t="n"/>
      <c r="Z49" s="285" t="n"/>
      <c r="AA49" s="15" t="n"/>
      <c r="AB49" s="15" t="n"/>
      <c r="AC49" s="285" t="n"/>
      <c r="AD49" s="15" t="n"/>
      <c r="AE49" s="15" t="n"/>
      <c r="AF49" s="285" t="n"/>
      <c r="AG49" s="15" t="n"/>
      <c r="AH49" s="15" t="n"/>
      <c r="AI49" s="285" t="n"/>
      <c r="AJ49" s="15" t="n"/>
      <c r="AK49" s="15" t="n"/>
      <c r="AL49" s="285" t="n"/>
      <c r="AM49" s="31" t="n"/>
      <c r="AN49" s="15" t="n"/>
      <c r="AO49" s="285" t="n"/>
      <c r="AP49" s="31" t="n"/>
      <c r="AQ49" s="15" t="n"/>
      <c r="AR49" s="285" t="n"/>
      <c r="AS49" s="31" t="n"/>
      <c r="AT49" s="15" t="n"/>
      <c r="AU49" s="285" t="n"/>
      <c r="AV49" s="31" t="n"/>
      <c r="AW49" s="15" t="n"/>
      <c r="AX49" s="285" t="n"/>
      <c r="AY49" s="15" t="n"/>
      <c r="AZ49" s="15" t="n"/>
      <c r="BA49" s="287" t="n"/>
      <c r="BB49" s="37" t="n"/>
      <c r="BC49" s="287" t="n"/>
      <c r="BD49" s="37" t="n"/>
      <c r="BE49" s="287" t="n"/>
      <c r="BF49" s="37" t="n"/>
      <c r="BG49" s="287" t="n"/>
      <c r="BH49" s="37" t="n"/>
      <c r="BI49" s="288" t="n"/>
      <c r="BJ49" s="37" t="n"/>
      <c r="BK49" s="288" t="n"/>
      <c r="BL49" s="37" t="n"/>
      <c r="BM49" s="288" t="n"/>
      <c r="BN49" s="37" t="n"/>
      <c r="BO49" s="288" t="n"/>
      <c r="BP49" s="288" t="n"/>
      <c r="BQ49" s="37" t="n"/>
      <c r="BR49" s="288" t="n"/>
      <c r="BS49" s="37" t="n"/>
      <c r="BT49" s="288" t="n"/>
      <c r="BU49" s="37" t="n"/>
      <c r="BV49" s="288" t="n"/>
      <c r="BW49" s="37" t="n"/>
      <c r="BX49" s="288" t="n"/>
      <c r="BY49" s="37" t="n"/>
      <c r="BZ49" s="288" t="n"/>
      <c r="CA49" s="37" t="n"/>
      <c r="CB49" s="288" t="n"/>
      <c r="CC49" s="37" t="n"/>
      <c r="CD49" s="288" t="n"/>
      <c r="CE49" s="37" t="n"/>
      <c r="CF49" s="288" t="n"/>
      <c r="CG49" s="291" t="n"/>
      <c r="CH49" s="288" t="n"/>
      <c r="CI49" s="291" t="n"/>
      <c r="CJ49" s="288" t="n"/>
      <c r="CK49" s="291" t="n"/>
      <c r="CL49" s="288" t="n"/>
      <c r="CM49" s="291" t="n"/>
      <c r="CN49" s="288" t="n"/>
      <c r="CO49" s="80" t="n"/>
      <c r="CP49" s="288" t="n"/>
      <c r="CQ49" s="80" t="n"/>
      <c r="CR49" s="288" t="n"/>
      <c r="CS49" s="80" t="n"/>
      <c r="CT49" s="288" t="n"/>
      <c r="CU49" s="80" t="n"/>
      <c r="CV49" s="269" t="n"/>
      <c r="CW49" s="288" t="n"/>
      <c r="CX49" s="37" t="n"/>
      <c r="CY49" s="288" t="n"/>
      <c r="CZ49" s="37" t="n"/>
      <c r="DA49" s="288" t="n"/>
      <c r="DB49" s="37" t="n"/>
      <c r="DC49" s="288" t="n"/>
      <c r="DD49" s="37" t="n"/>
      <c r="DE49" s="295" t="n"/>
      <c r="DF49" s="295" t="n"/>
      <c r="DG49" s="79" t="n"/>
    </row>
    <row r="50">
      <c r="A50" s="428" t="n"/>
      <c r="B50" s="288" t="n"/>
      <c r="C50" s="15" t="n"/>
      <c r="D50" s="15" t="n"/>
      <c r="E50" s="285" t="n"/>
      <c r="F50" s="15" t="n"/>
      <c r="G50" s="15" t="n"/>
      <c r="H50" s="285" t="n"/>
      <c r="I50" s="15" t="n"/>
      <c r="J50" s="15" t="n"/>
      <c r="K50" s="285" t="n"/>
      <c r="L50" s="15" t="n"/>
      <c r="M50" s="15" t="n"/>
      <c r="N50" s="285" t="n"/>
      <c r="O50" s="15" t="n"/>
      <c r="P50" s="15" t="n"/>
      <c r="Q50" s="285" t="n"/>
      <c r="R50" s="15" t="n"/>
      <c r="S50" s="15" t="n"/>
      <c r="T50" s="285" t="n"/>
      <c r="U50" s="15" t="n"/>
      <c r="V50" s="15" t="n"/>
      <c r="W50" s="285" t="n"/>
      <c r="X50" s="15" t="n"/>
      <c r="Y50" s="15" t="n"/>
      <c r="Z50" s="285" t="n"/>
      <c r="AA50" s="15" t="n"/>
      <c r="AB50" s="15" t="n"/>
      <c r="AC50" s="285" t="n"/>
      <c r="AD50" s="15" t="n"/>
      <c r="AE50" s="15" t="n"/>
      <c r="AF50" s="285" t="n"/>
      <c r="AG50" s="15" t="n"/>
      <c r="AH50" s="15" t="n"/>
      <c r="AI50" s="285" t="n"/>
      <c r="AJ50" s="15" t="n"/>
      <c r="AK50" s="15" t="n"/>
      <c r="AL50" s="285" t="n"/>
      <c r="AM50" s="31" t="n"/>
      <c r="AN50" s="15" t="n"/>
      <c r="AO50" s="285" t="n"/>
      <c r="AP50" s="31" t="n"/>
      <c r="AQ50" s="15" t="n"/>
      <c r="AR50" s="285" t="n"/>
      <c r="AS50" s="31" t="n"/>
      <c r="AT50" s="15" t="n"/>
      <c r="AU50" s="285" t="n"/>
      <c r="AV50" s="31" t="n"/>
      <c r="AW50" s="15" t="n"/>
      <c r="AX50" s="285" t="n"/>
      <c r="AY50" s="15" t="n"/>
      <c r="AZ50" s="15" t="n"/>
      <c r="BA50" s="287" t="n"/>
      <c r="BB50" s="37" t="n"/>
      <c r="BC50" s="287" t="n"/>
      <c r="BD50" s="37" t="n"/>
      <c r="BE50" s="287" t="n"/>
      <c r="BF50" s="37" t="n"/>
      <c r="BG50" s="287" t="n"/>
      <c r="BH50" s="37" t="n"/>
      <c r="BI50" s="288" t="n"/>
      <c r="BJ50" s="37" t="n"/>
      <c r="BK50" s="288" t="n"/>
      <c r="BL50" s="37" t="n"/>
      <c r="BM50" s="288" t="n"/>
      <c r="BN50" s="37" t="n"/>
      <c r="BO50" s="288" t="n"/>
      <c r="BP50" s="288" t="n"/>
      <c r="BQ50" s="37" t="n"/>
      <c r="BR50" s="288" t="n"/>
      <c r="BS50" s="37" t="n"/>
      <c r="BT50" s="288" t="n"/>
      <c r="BU50" s="37" t="n"/>
      <c r="BV50" s="288" t="n"/>
      <c r="BW50" s="37" t="n"/>
      <c r="BX50" s="288" t="n"/>
      <c r="BY50" s="37" t="n"/>
      <c r="BZ50" s="288" t="n"/>
      <c r="CA50" s="37" t="n"/>
      <c r="CB50" s="288" t="n"/>
      <c r="CC50" s="37" t="n"/>
      <c r="CD50" s="288" t="n"/>
      <c r="CE50" s="37" t="n"/>
      <c r="CF50" s="288" t="n"/>
      <c r="CG50" s="291" t="n"/>
      <c r="CH50" s="288" t="n"/>
      <c r="CI50" s="291" t="n"/>
      <c r="CJ50" s="288" t="n"/>
      <c r="CK50" s="291" t="n"/>
      <c r="CL50" s="288" t="n"/>
      <c r="CM50" s="291" t="n"/>
      <c r="CN50" s="288" t="n"/>
      <c r="CO50" s="80" t="n"/>
      <c r="CP50" s="288" t="n"/>
      <c r="CQ50" s="80" t="n"/>
      <c r="CR50" s="288" t="n"/>
      <c r="CS50" s="80" t="n"/>
      <c r="CT50" s="288" t="n"/>
      <c r="CU50" s="80" t="n"/>
      <c r="CV50" s="269" t="n"/>
      <c r="CW50" s="288" t="n"/>
      <c r="CX50" s="37" t="n"/>
      <c r="CY50" s="288" t="n"/>
      <c r="CZ50" s="37" t="n"/>
      <c r="DA50" s="288" t="n"/>
      <c r="DB50" s="37" t="n"/>
      <c r="DC50" s="288" t="n"/>
      <c r="DD50" s="37" t="n"/>
      <c r="DE50" s="295" t="n"/>
      <c r="DF50" s="295" t="n"/>
      <c r="DG50" s="79" t="n"/>
    </row>
    <row r="51">
      <c r="A51" s="428" t="n"/>
      <c r="B51" s="288" t="n"/>
      <c r="C51" s="15" t="n"/>
      <c r="D51" s="15" t="n"/>
      <c r="E51" s="285" t="n"/>
      <c r="F51" s="15" t="n"/>
      <c r="G51" s="15" t="n"/>
      <c r="H51" s="285" t="n"/>
      <c r="I51" s="15" t="n"/>
      <c r="J51" s="15" t="n"/>
      <c r="K51" s="285" t="n"/>
      <c r="L51" s="15" t="n"/>
      <c r="M51" s="15" t="n"/>
      <c r="N51" s="285" t="n"/>
      <c r="O51" s="15" t="n"/>
      <c r="P51" s="15" t="n"/>
      <c r="Q51" s="285" t="n"/>
      <c r="R51" s="15" t="n"/>
      <c r="S51" s="15" t="n"/>
      <c r="T51" s="285" t="n"/>
      <c r="U51" s="15" t="n"/>
      <c r="V51" s="15" t="n"/>
      <c r="W51" s="285" t="n"/>
      <c r="X51" s="15" t="n"/>
      <c r="Y51" s="15" t="n"/>
      <c r="Z51" s="285" t="n"/>
      <c r="AA51" s="15" t="n"/>
      <c r="AB51" s="15" t="n"/>
      <c r="AC51" s="285" t="n"/>
      <c r="AD51" s="15" t="n"/>
      <c r="AE51" s="15" t="n"/>
      <c r="AF51" s="285" t="n"/>
      <c r="AG51" s="15" t="n"/>
      <c r="AH51" s="15" t="n"/>
      <c r="AI51" s="285" t="n"/>
      <c r="AJ51" s="15" t="n"/>
      <c r="AK51" s="15" t="n"/>
      <c r="AL51" s="285" t="n"/>
      <c r="AM51" s="31" t="n"/>
      <c r="AN51" s="15" t="n"/>
      <c r="AO51" s="285" t="n"/>
      <c r="AP51" s="31" t="n"/>
      <c r="AQ51" s="15" t="n"/>
      <c r="AR51" s="285" t="n"/>
      <c r="AS51" s="31" t="n"/>
      <c r="AT51" s="15" t="n"/>
      <c r="AU51" s="285" t="n"/>
      <c r="AV51" s="31" t="n"/>
      <c r="AW51" s="15" t="n"/>
      <c r="AX51" s="285" t="n"/>
      <c r="AY51" s="15" t="n"/>
      <c r="AZ51" s="15" t="n"/>
      <c r="BA51" s="287" t="n"/>
      <c r="BB51" s="37" t="n"/>
      <c r="BC51" s="287" t="n"/>
      <c r="BD51" s="37" t="n"/>
      <c r="BE51" s="287" t="n"/>
      <c r="BF51" s="37" t="n"/>
      <c r="BG51" s="287" t="n"/>
      <c r="BH51" s="37" t="n"/>
      <c r="BI51" s="288" t="n"/>
      <c r="BJ51" s="37" t="n"/>
      <c r="BK51" s="288" t="n"/>
      <c r="BL51" s="37" t="n"/>
      <c r="BM51" s="288" t="n"/>
      <c r="BN51" s="37" t="n"/>
      <c r="BO51" s="288" t="n"/>
      <c r="BP51" s="288" t="n"/>
      <c r="BQ51" s="37" t="n"/>
      <c r="BR51" s="288" t="n"/>
      <c r="BS51" s="37" t="n"/>
      <c r="BT51" s="288" t="n"/>
      <c r="BU51" s="37" t="n"/>
      <c r="BV51" s="288" t="n"/>
      <c r="BW51" s="37" t="n"/>
      <c r="BX51" s="288" t="n"/>
      <c r="BY51" s="37" t="n"/>
      <c r="BZ51" s="288" t="n"/>
      <c r="CA51" s="37" t="n"/>
      <c r="CB51" s="288" t="n"/>
      <c r="CC51" s="37" t="n"/>
      <c r="CD51" s="288" t="n"/>
      <c r="CE51" s="37" t="n"/>
      <c r="CF51" s="288" t="n"/>
      <c r="CG51" s="291" t="n"/>
      <c r="CH51" s="288" t="n"/>
      <c r="CI51" s="291" t="n"/>
      <c r="CJ51" s="288" t="n"/>
      <c r="CK51" s="291" t="n"/>
      <c r="CL51" s="288" t="n"/>
      <c r="CM51" s="291" t="n"/>
      <c r="CN51" s="288" t="n"/>
      <c r="CO51" s="80" t="n"/>
      <c r="CP51" s="288" t="n"/>
      <c r="CQ51" s="80" t="n"/>
      <c r="CR51" s="288" t="n"/>
      <c r="CS51" s="80" t="n"/>
      <c r="CT51" s="288" t="n"/>
      <c r="CU51" s="80" t="n"/>
      <c r="CV51" s="269" t="n"/>
      <c r="CW51" s="288" t="n"/>
      <c r="CX51" s="37" t="n"/>
      <c r="CY51" s="288" t="n"/>
      <c r="CZ51" s="37" t="n"/>
      <c r="DA51" s="288" t="n"/>
      <c r="DB51" s="37" t="n"/>
      <c r="DC51" s="288" t="n"/>
      <c r="DD51" s="37" t="n"/>
      <c r="DE51" s="295" t="n"/>
      <c r="DF51" s="295" t="n"/>
      <c r="DG51" s="79" t="n"/>
    </row>
    <row r="52" customFormat="1" s="40">
      <c r="A52" s="330" t="n"/>
      <c r="B52" s="288" t="n"/>
      <c r="C52" s="15" t="n"/>
      <c r="D52" s="15" t="n"/>
      <c r="E52" s="292" t="n"/>
      <c r="F52" s="15" t="n"/>
      <c r="G52" s="15" t="n"/>
      <c r="H52" s="292" t="n"/>
      <c r="I52" s="15" t="n"/>
      <c r="J52" s="15" t="n"/>
      <c r="K52" s="292" t="n"/>
      <c r="L52" s="15" t="n"/>
      <c r="M52" s="15" t="n"/>
      <c r="N52" s="292" t="n"/>
      <c r="O52" s="15" t="n"/>
      <c r="P52" s="15" t="n"/>
      <c r="Q52" s="292" t="n"/>
      <c r="R52" s="15" t="n"/>
      <c r="S52" s="15" t="n"/>
      <c r="T52" s="292" t="n"/>
      <c r="U52" s="15" t="n"/>
      <c r="V52" s="15" t="n"/>
      <c r="W52" s="292" t="n"/>
      <c r="X52" s="15" t="n"/>
      <c r="Y52" s="15" t="n"/>
      <c r="Z52" s="292" t="n"/>
      <c r="AA52" s="15" t="n"/>
      <c r="AB52" s="15" t="n"/>
      <c r="AC52" s="292" t="n"/>
      <c r="AD52" s="15" t="n"/>
      <c r="AE52" s="15" t="n"/>
      <c r="AF52" s="292" t="n"/>
      <c r="AG52" s="15" t="n"/>
      <c r="AH52" s="15" t="n"/>
      <c r="AI52" s="292" t="n"/>
      <c r="AJ52" s="15" t="n"/>
      <c r="AK52" s="15" t="n"/>
      <c r="AL52" s="292" t="n"/>
      <c r="AM52" s="31" t="n"/>
      <c r="AN52" s="15" t="n"/>
      <c r="AO52" s="292" t="n"/>
      <c r="AP52" s="31" t="n"/>
      <c r="AQ52" s="15" t="n"/>
      <c r="AR52" s="292" t="n"/>
      <c r="AS52" s="31" t="n"/>
      <c r="AT52" s="15" t="n"/>
      <c r="AU52" s="292" t="n"/>
      <c r="AV52" s="31" t="n"/>
      <c r="AW52" s="15" t="n"/>
      <c r="AX52" s="292" t="n"/>
      <c r="AY52" s="15" t="n"/>
      <c r="AZ52" s="15" t="n"/>
      <c r="BA52" s="291" t="n"/>
      <c r="BB52" s="37" t="n"/>
      <c r="BC52" s="291" t="n"/>
      <c r="BD52" s="37" t="n"/>
      <c r="BE52" s="291" t="n"/>
      <c r="BF52" s="37" t="n"/>
      <c r="BG52" s="291" t="n"/>
      <c r="BH52" s="37" t="n"/>
      <c r="BI52" s="291" t="n"/>
      <c r="BJ52" s="37" t="n"/>
      <c r="BK52" s="291" t="n"/>
      <c r="BL52" s="37" t="n"/>
      <c r="BM52" s="291" t="n"/>
      <c r="BN52" s="37" t="n"/>
      <c r="BO52" s="291" t="n"/>
      <c r="BP52" s="291" t="n"/>
      <c r="BQ52" s="37" t="n"/>
      <c r="BR52" s="291" t="n"/>
      <c r="BS52" s="37" t="n"/>
      <c r="BT52" s="291" t="n"/>
      <c r="BU52" s="37" t="n"/>
      <c r="BV52" s="291" t="n"/>
      <c r="BW52" s="37" t="n"/>
      <c r="BX52" s="291" t="n"/>
      <c r="BY52" s="37" t="n"/>
      <c r="BZ52" s="291" t="n"/>
      <c r="CA52" s="37" t="n"/>
      <c r="CB52" s="291" t="n"/>
      <c r="CC52" s="37" t="n"/>
      <c r="CD52" s="291" t="n"/>
      <c r="CE52" s="37" t="n"/>
      <c r="CF52" s="291" t="n"/>
      <c r="CG52" s="291" t="n"/>
      <c r="CH52" s="291" t="n"/>
      <c r="CI52" s="291" t="n"/>
      <c r="CJ52" s="291" t="n"/>
      <c r="CK52" s="291" t="n"/>
      <c r="CL52" s="291" t="n"/>
      <c r="CM52" s="291" t="n"/>
      <c r="CN52" s="291" t="n"/>
      <c r="CO52" s="80" t="n"/>
      <c r="CP52" s="291" t="n"/>
      <c r="CQ52" s="80" t="n"/>
      <c r="CR52" s="291" t="n"/>
      <c r="CS52" s="80" t="n"/>
      <c r="CT52" s="291" t="n"/>
      <c r="CU52" s="80" t="n"/>
      <c r="CW52" s="291" t="n"/>
      <c r="CX52" s="37" t="n"/>
      <c r="CY52" s="291" t="n"/>
      <c r="CZ52" s="37" t="n"/>
      <c r="DA52" s="291" t="n"/>
      <c r="DB52" s="37" t="n"/>
      <c r="DC52" s="291" t="n"/>
      <c r="DD52" s="37" t="n"/>
      <c r="DE52" s="311" t="n"/>
      <c r="DF52" s="311" t="n"/>
    </row>
    <row r="53">
      <c r="A53" s="428" t="n"/>
      <c r="B53" s="288" t="n"/>
      <c r="C53" s="15" t="n"/>
      <c r="D53" s="15" t="n"/>
      <c r="E53" s="285" t="n"/>
      <c r="F53" s="15" t="n"/>
      <c r="G53" s="15" t="n"/>
      <c r="H53" s="285" t="n"/>
      <c r="I53" s="15" t="n"/>
      <c r="J53" s="15" t="n"/>
      <c r="K53" s="285" t="n"/>
      <c r="L53" s="15" t="n"/>
      <c r="M53" s="15" t="n"/>
      <c r="N53" s="285" t="n"/>
      <c r="O53" s="15" t="n"/>
      <c r="P53" s="15" t="n"/>
      <c r="Q53" s="285" t="n"/>
      <c r="R53" s="15" t="n"/>
      <c r="S53" s="15" t="n"/>
      <c r="T53" s="285" t="n"/>
      <c r="U53" s="15" t="n"/>
      <c r="V53" s="15" t="n"/>
      <c r="W53" s="285" t="n"/>
      <c r="X53" s="15" t="n"/>
      <c r="Y53" s="15" t="n"/>
      <c r="Z53" s="285" t="n"/>
      <c r="AA53" s="15" t="n"/>
      <c r="AB53" s="15" t="n"/>
      <c r="AC53" s="285" t="n"/>
      <c r="AD53" s="15" t="n"/>
      <c r="AE53" s="15" t="n"/>
      <c r="AF53" s="285" t="n"/>
      <c r="AG53" s="15" t="n"/>
      <c r="AH53" s="15" t="n"/>
      <c r="AI53" s="285" t="n"/>
      <c r="AJ53" s="15" t="n"/>
      <c r="AK53" s="15" t="n"/>
      <c r="AL53" s="285" t="n"/>
      <c r="AM53" s="31" t="n"/>
      <c r="AN53" s="15" t="n"/>
      <c r="AO53" s="285" t="n"/>
      <c r="AP53" s="31" t="n"/>
      <c r="AQ53" s="15" t="n"/>
      <c r="AR53" s="285" t="n"/>
      <c r="AS53" s="31" t="n"/>
      <c r="AT53" s="15" t="n"/>
      <c r="AU53" s="285" t="n"/>
      <c r="AV53" s="31" t="n"/>
      <c r="AW53" s="15" t="n"/>
      <c r="AX53" s="285" t="n"/>
      <c r="AY53" s="15" t="n"/>
      <c r="AZ53" s="15" t="n"/>
      <c r="BA53" s="287" t="n"/>
      <c r="BB53" s="37" t="n"/>
      <c r="BC53" s="287" t="n"/>
      <c r="BD53" s="37" t="n"/>
      <c r="BE53" s="287" t="n"/>
      <c r="BF53" s="37" t="n"/>
      <c r="BG53" s="287" t="n"/>
      <c r="BH53" s="37" t="n"/>
      <c r="BI53" s="288" t="n"/>
      <c r="BJ53" s="37" t="n"/>
      <c r="BK53" s="288" t="n"/>
      <c r="BL53" s="37" t="n"/>
      <c r="BM53" s="288" t="n"/>
      <c r="BN53" s="37" t="n"/>
      <c r="BO53" s="288" t="n"/>
      <c r="BP53" s="288" t="n"/>
      <c r="BQ53" s="37" t="n"/>
      <c r="BR53" s="288" t="n"/>
      <c r="BS53" s="37" t="n"/>
      <c r="BT53" s="288" t="n"/>
      <c r="BU53" s="37" t="n"/>
      <c r="BV53" s="288" t="n"/>
      <c r="BW53" s="37" t="n"/>
      <c r="BX53" s="288" t="n"/>
      <c r="BY53" s="37" t="n"/>
      <c r="BZ53" s="288" t="n"/>
      <c r="CA53" s="37" t="n"/>
      <c r="CB53" s="288" t="n"/>
      <c r="CC53" s="37" t="n"/>
      <c r="CD53" s="288" t="n"/>
      <c r="CE53" s="37" t="n"/>
      <c r="CF53" s="288" t="n"/>
      <c r="CG53" s="291" t="n"/>
      <c r="CH53" s="288" t="n"/>
      <c r="CI53" s="291" t="n"/>
      <c r="CJ53" s="288" t="n"/>
      <c r="CK53" s="291" t="n"/>
      <c r="CL53" s="288" t="n"/>
      <c r="CM53" s="291" t="n"/>
      <c r="CN53" s="288" t="n"/>
      <c r="CO53" s="80" t="n"/>
      <c r="CP53" s="288" t="n"/>
      <c r="CQ53" s="80" t="n"/>
      <c r="CR53" s="288" t="n"/>
      <c r="CS53" s="80" t="n"/>
      <c r="CT53" s="288" t="n"/>
      <c r="CU53" s="80" t="n"/>
      <c r="CV53" s="269" t="n"/>
      <c r="CW53" s="288" t="n"/>
      <c r="CX53" s="37" t="n"/>
      <c r="CY53" s="288" t="n"/>
      <c r="CZ53" s="37" t="n"/>
      <c r="DA53" s="288" t="n"/>
      <c r="DB53" s="37" t="n"/>
      <c r="DC53" s="288" t="n"/>
      <c r="DD53" s="37" t="n"/>
      <c r="DE53" s="295" t="n"/>
      <c r="DF53" s="295" t="n"/>
      <c r="DG53" s="79" t="n"/>
    </row>
    <row r="54">
      <c r="A54" s="428" t="n"/>
      <c r="B54" s="288" t="n"/>
      <c r="C54" s="15" t="n"/>
      <c r="D54" s="15" t="n"/>
      <c r="E54" s="285" t="n"/>
      <c r="F54" s="15" t="n"/>
      <c r="G54" s="15" t="n"/>
      <c r="H54" s="285" t="n"/>
      <c r="I54" s="15" t="n"/>
      <c r="J54" s="15" t="n"/>
      <c r="K54" s="285" t="n"/>
      <c r="L54" s="15" t="n"/>
      <c r="M54" s="15" t="n"/>
      <c r="N54" s="285" t="n"/>
      <c r="O54" s="15" t="n"/>
      <c r="P54" s="15" t="n"/>
      <c r="Q54" s="285" t="n"/>
      <c r="R54" s="15" t="n"/>
      <c r="S54" s="15" t="n"/>
      <c r="T54" s="285" t="n"/>
      <c r="U54" s="15" t="n"/>
      <c r="V54" s="15" t="n"/>
      <c r="W54" s="285" t="n"/>
      <c r="X54" s="15" t="n"/>
      <c r="Y54" s="15" t="n"/>
      <c r="Z54" s="285" t="n"/>
      <c r="AA54" s="15" t="n"/>
      <c r="AB54" s="15" t="n"/>
      <c r="AC54" s="285" t="n"/>
      <c r="AD54" s="15" t="n"/>
      <c r="AE54" s="15" t="n"/>
      <c r="AF54" s="285" t="n"/>
      <c r="AG54" s="15" t="n"/>
      <c r="AH54" s="15" t="n"/>
      <c r="AI54" s="285" t="n"/>
      <c r="AJ54" s="15" t="n"/>
      <c r="AK54" s="15" t="n"/>
      <c r="AL54" s="285" t="n"/>
      <c r="AM54" s="31" t="n"/>
      <c r="AN54" s="15" t="n"/>
      <c r="AO54" s="285" t="n"/>
      <c r="AP54" s="31" t="n"/>
      <c r="AQ54" s="15" t="n"/>
      <c r="AR54" s="285" t="n"/>
      <c r="AS54" s="31" t="n"/>
      <c r="AT54" s="15" t="n"/>
      <c r="AU54" s="285" t="n"/>
      <c r="AV54" s="31" t="n"/>
      <c r="AW54" s="15" t="n"/>
      <c r="AX54" s="285" t="n"/>
      <c r="AY54" s="15" t="n"/>
      <c r="AZ54" s="15" t="n"/>
      <c r="BA54" s="287" t="n"/>
      <c r="BB54" s="37" t="n"/>
      <c r="BC54" s="287" t="n"/>
      <c r="BD54" s="37" t="n"/>
      <c r="BE54" s="287" t="n"/>
      <c r="BF54" s="37" t="n"/>
      <c r="BG54" s="287" t="n"/>
      <c r="BH54" s="37" t="n"/>
      <c r="BI54" s="288" t="n"/>
      <c r="BJ54" s="37" t="n"/>
      <c r="BK54" s="288" t="n"/>
      <c r="BL54" s="37" t="n"/>
      <c r="BM54" s="288" t="n"/>
      <c r="BN54" s="37" t="n"/>
      <c r="BO54" s="288" t="n"/>
      <c r="BP54" s="288" t="n"/>
      <c r="BQ54" s="37" t="n"/>
      <c r="BR54" s="288" t="n"/>
      <c r="BS54" s="37" t="n"/>
      <c r="BT54" s="288" t="n"/>
      <c r="BU54" s="37" t="n"/>
      <c r="BV54" s="288" t="n"/>
      <c r="BW54" s="37" t="n"/>
      <c r="BX54" s="288" t="n"/>
      <c r="BY54" s="37" t="n"/>
      <c r="BZ54" s="288" t="n"/>
      <c r="CA54" s="37" t="n"/>
      <c r="CB54" s="288" t="n"/>
      <c r="CC54" s="37" t="n"/>
      <c r="CD54" s="288" t="n"/>
      <c r="CE54" s="37" t="n"/>
      <c r="CF54" s="288" t="n"/>
      <c r="CG54" s="291" t="n"/>
      <c r="CH54" s="288" t="n"/>
      <c r="CI54" s="291" t="n"/>
      <c r="CJ54" s="288" t="n"/>
      <c r="CK54" s="291" t="n"/>
      <c r="CL54" s="288" t="n"/>
      <c r="CM54" s="291" t="n"/>
      <c r="CN54" s="288" t="n"/>
      <c r="CO54" s="80" t="n"/>
      <c r="CP54" s="288" t="n"/>
      <c r="CQ54" s="80" t="n"/>
      <c r="CR54" s="288" t="n"/>
      <c r="CS54" s="80" t="n"/>
      <c r="CT54" s="288" t="n"/>
      <c r="CU54" s="80" t="n"/>
      <c r="CV54" s="269" t="n"/>
      <c r="CW54" s="288" t="n"/>
      <c r="CX54" s="37" t="n"/>
      <c r="CY54" s="288" t="n"/>
      <c r="CZ54" s="37" t="n"/>
      <c r="DA54" s="288" t="n"/>
      <c r="DB54" s="37" t="n"/>
      <c r="DC54" s="288" t="n"/>
      <c r="DD54" s="37" t="n"/>
      <c r="DE54" s="295" t="n"/>
      <c r="DF54" s="295" t="n"/>
      <c r="DG54" s="79" t="n"/>
    </row>
    <row r="55">
      <c r="A55" s="428" t="n"/>
      <c r="B55" s="288" t="n"/>
      <c r="C55" s="15" t="n"/>
      <c r="D55" s="15" t="n"/>
      <c r="E55" s="285" t="n"/>
      <c r="F55" s="15" t="n"/>
      <c r="G55" s="15" t="n"/>
      <c r="H55" s="285" t="n"/>
      <c r="I55" s="15" t="n"/>
      <c r="J55" s="15" t="n"/>
      <c r="K55" s="285" t="n"/>
      <c r="L55" s="15" t="n"/>
      <c r="M55" s="15" t="n"/>
      <c r="N55" s="285" t="n"/>
      <c r="O55" s="15" t="n"/>
      <c r="P55" s="15" t="n"/>
      <c r="Q55" s="285" t="n"/>
      <c r="R55" s="15" t="n"/>
      <c r="S55" s="15" t="n"/>
      <c r="T55" s="285" t="n"/>
      <c r="U55" s="15" t="n"/>
      <c r="V55" s="15" t="n"/>
      <c r="W55" s="285" t="n"/>
      <c r="X55" s="15" t="n"/>
      <c r="Y55" s="15" t="n"/>
      <c r="Z55" s="285" t="n"/>
      <c r="AA55" s="15" t="n"/>
      <c r="AB55" s="15" t="n"/>
      <c r="AC55" s="285" t="n"/>
      <c r="AD55" s="15" t="n"/>
      <c r="AE55" s="15" t="n"/>
      <c r="AF55" s="285" t="n"/>
      <c r="AG55" s="15" t="n"/>
      <c r="AH55" s="15" t="n"/>
      <c r="AI55" s="285" t="n"/>
      <c r="AJ55" s="15" t="n"/>
      <c r="AK55" s="15" t="n"/>
      <c r="AL55" s="285" t="n"/>
      <c r="AM55" s="31" t="n"/>
      <c r="AN55" s="15" t="n"/>
      <c r="AO55" s="285" t="n"/>
      <c r="AP55" s="31" t="n"/>
      <c r="AQ55" s="15" t="n"/>
      <c r="AR55" s="285" t="n"/>
      <c r="AS55" s="31" t="n"/>
      <c r="AT55" s="15" t="n"/>
      <c r="AU55" s="285" t="n"/>
      <c r="AV55" s="31" t="n"/>
      <c r="AW55" s="15" t="n"/>
      <c r="AX55" s="285" t="n"/>
      <c r="AY55" s="15" t="n"/>
      <c r="AZ55" s="15" t="n"/>
      <c r="BA55" s="287" t="n"/>
      <c r="BB55" s="37" t="n"/>
      <c r="BC55" s="287" t="n"/>
      <c r="BD55" s="37" t="n"/>
      <c r="BE55" s="287" t="n"/>
      <c r="BF55" s="37" t="n"/>
      <c r="BG55" s="287" t="n"/>
      <c r="BH55" s="37" t="n"/>
      <c r="BI55" s="288" t="n"/>
      <c r="BJ55" s="37" t="n"/>
      <c r="BK55" s="288" t="n"/>
      <c r="BL55" s="37" t="n"/>
      <c r="BM55" s="288" t="n"/>
      <c r="BN55" s="37" t="n"/>
      <c r="BO55" s="288" t="n"/>
      <c r="BP55" s="288" t="n"/>
      <c r="BQ55" s="37" t="n"/>
      <c r="BR55" s="288" t="n"/>
      <c r="BS55" s="37" t="n"/>
      <c r="BT55" s="288" t="n"/>
      <c r="BU55" s="37" t="n"/>
      <c r="BV55" s="288" t="n"/>
      <c r="BW55" s="37" t="n"/>
      <c r="BX55" s="288" t="n"/>
      <c r="BY55" s="37" t="n"/>
      <c r="BZ55" s="288" t="n"/>
      <c r="CA55" s="37" t="n"/>
      <c r="CB55" s="288" t="n"/>
      <c r="CC55" s="37" t="n"/>
      <c r="CD55" s="288" t="n"/>
      <c r="CE55" s="37" t="n"/>
      <c r="CF55" s="288" t="n"/>
      <c r="CG55" s="291" t="n"/>
      <c r="CH55" s="288" t="n"/>
      <c r="CI55" s="291" t="n"/>
      <c r="CJ55" s="288" t="n"/>
      <c r="CK55" s="291" t="n"/>
      <c r="CL55" s="288" t="n"/>
      <c r="CM55" s="291" t="n"/>
      <c r="CN55" s="288" t="n"/>
      <c r="CO55" s="80" t="n"/>
      <c r="CP55" s="288" t="n"/>
      <c r="CQ55" s="80" t="n"/>
      <c r="CR55" s="288" t="n"/>
      <c r="CS55" s="80" t="n"/>
      <c r="CT55" s="288" t="n"/>
      <c r="CU55" s="80" t="n"/>
      <c r="CV55" s="269" t="n"/>
      <c r="CW55" s="288" t="n"/>
      <c r="CX55" s="37" t="n"/>
      <c r="CY55" s="288" t="n"/>
      <c r="CZ55" s="37" t="n"/>
      <c r="DA55" s="288" t="n"/>
      <c r="DB55" s="37" t="n"/>
      <c r="DC55" s="288" t="n"/>
      <c r="DD55" s="37" t="n"/>
      <c r="DE55" s="295" t="n"/>
      <c r="DF55" s="295" t="n"/>
      <c r="DG55" s="79" t="n"/>
    </row>
    <row r="56">
      <c r="A56" s="428" t="n"/>
      <c r="B56" s="288" t="n"/>
      <c r="C56" s="15" t="n"/>
      <c r="D56" s="15" t="n"/>
      <c r="E56" s="285" t="n"/>
      <c r="F56" s="15" t="n"/>
      <c r="G56" s="15" t="n"/>
      <c r="H56" s="285" t="n"/>
      <c r="I56" s="15" t="n"/>
      <c r="J56" s="15" t="n"/>
      <c r="K56" s="285" t="n"/>
      <c r="L56" s="15" t="n"/>
      <c r="M56" s="15" t="n"/>
      <c r="N56" s="285" t="n"/>
      <c r="O56" s="15" t="n"/>
      <c r="P56" s="15" t="n"/>
      <c r="Q56" s="285" t="n"/>
      <c r="R56" s="15" t="n"/>
      <c r="S56" s="15" t="n"/>
      <c r="T56" s="285" t="n"/>
      <c r="U56" s="15" t="n"/>
      <c r="V56" s="15" t="n"/>
      <c r="W56" s="285" t="n"/>
      <c r="X56" s="15" t="n"/>
      <c r="Y56" s="15" t="n"/>
      <c r="Z56" s="285" t="n"/>
      <c r="AA56" s="15" t="n"/>
      <c r="AB56" s="15" t="n"/>
      <c r="AC56" s="285" t="n"/>
      <c r="AD56" s="15" t="n"/>
      <c r="AE56" s="15" t="n"/>
      <c r="AF56" s="285" t="n"/>
      <c r="AG56" s="15" t="n"/>
      <c r="AH56" s="15" t="n"/>
      <c r="AI56" s="285" t="n"/>
      <c r="AJ56" s="15" t="n"/>
      <c r="AK56" s="15" t="n"/>
      <c r="AL56" s="285" t="n"/>
      <c r="AM56" s="31" t="n"/>
      <c r="AN56" s="15" t="n"/>
      <c r="AO56" s="285" t="n"/>
      <c r="AP56" s="31" t="n"/>
      <c r="AQ56" s="15" t="n"/>
      <c r="AR56" s="285" t="n"/>
      <c r="AS56" s="31" t="n"/>
      <c r="AT56" s="15" t="n"/>
      <c r="AU56" s="285" t="n"/>
      <c r="AV56" s="31" t="n"/>
      <c r="AW56" s="15" t="n"/>
      <c r="AX56" s="285" t="n"/>
      <c r="AY56" s="15" t="n"/>
      <c r="AZ56" s="15" t="n"/>
      <c r="BA56" s="287" t="n"/>
      <c r="BB56" s="37" t="n"/>
      <c r="BC56" s="287" t="n"/>
      <c r="BD56" s="37" t="n"/>
      <c r="BE56" s="287" t="n"/>
      <c r="BF56" s="37" t="n"/>
      <c r="BG56" s="287" t="n"/>
      <c r="BH56" s="37" t="n"/>
      <c r="BI56" s="288" t="n"/>
      <c r="BJ56" s="37" t="n"/>
      <c r="BK56" s="288" t="n"/>
      <c r="BL56" s="37" t="n"/>
      <c r="BM56" s="288" t="n"/>
      <c r="BN56" s="37" t="n"/>
      <c r="BO56" s="288" t="n"/>
      <c r="BP56" s="288" t="n"/>
      <c r="BQ56" s="37" t="n"/>
      <c r="BR56" s="288" t="n"/>
      <c r="BS56" s="37" t="n"/>
      <c r="BT56" s="288" t="n"/>
      <c r="BU56" s="37" t="n"/>
      <c r="BV56" s="288" t="n"/>
      <c r="BW56" s="37" t="n"/>
      <c r="BX56" s="288" t="n"/>
      <c r="BY56" s="37" t="n"/>
      <c r="BZ56" s="288" t="n"/>
      <c r="CA56" s="37" t="n"/>
      <c r="CB56" s="288" t="n"/>
      <c r="CC56" s="37" t="n"/>
      <c r="CD56" s="288" t="n"/>
      <c r="CE56" s="37" t="n"/>
      <c r="CF56" s="288" t="n"/>
      <c r="CG56" s="291" t="n"/>
      <c r="CH56" s="288" t="n"/>
      <c r="CI56" s="291" t="n"/>
      <c r="CJ56" s="288" t="n"/>
      <c r="CK56" s="291" t="n"/>
      <c r="CL56" s="288" t="n"/>
      <c r="CM56" s="291" t="n"/>
      <c r="CN56" s="288" t="n"/>
      <c r="CO56" s="80" t="n"/>
      <c r="CP56" s="288" t="n"/>
      <c r="CQ56" s="80" t="n"/>
      <c r="CR56" s="288" t="n"/>
      <c r="CS56" s="80" t="n"/>
      <c r="CT56" s="288" t="n"/>
      <c r="CU56" s="80" t="n"/>
      <c r="CV56" s="269" t="n"/>
      <c r="CW56" s="288" t="n"/>
      <c r="CX56" s="37" t="n"/>
      <c r="CY56" s="288" t="n"/>
      <c r="CZ56" s="37" t="n"/>
      <c r="DA56" s="288" t="n"/>
      <c r="DB56" s="37" t="n"/>
      <c r="DC56" s="288" t="n"/>
      <c r="DD56" s="37" t="n"/>
      <c r="DE56" s="295" t="n"/>
      <c r="DF56" s="295" t="n"/>
      <c r="DG56" s="79" t="n"/>
    </row>
    <row r="57">
      <c r="A57" s="428" t="n"/>
      <c r="B57" s="288" t="n"/>
      <c r="C57" s="15" t="n"/>
      <c r="D57" s="15" t="n"/>
      <c r="E57" s="285" t="n"/>
      <c r="F57" s="15" t="n"/>
      <c r="G57" s="15" t="n"/>
      <c r="H57" s="285" t="n"/>
      <c r="I57" s="15" t="n"/>
      <c r="J57" s="15" t="n"/>
      <c r="K57" s="285" t="n"/>
      <c r="L57" s="15" t="n"/>
      <c r="M57" s="15" t="n"/>
      <c r="N57" s="285" t="n"/>
      <c r="O57" s="15" t="n"/>
      <c r="P57" s="15" t="n"/>
      <c r="Q57" s="285" t="n"/>
      <c r="R57" s="15" t="n"/>
      <c r="S57" s="15" t="n"/>
      <c r="T57" s="285" t="n"/>
      <c r="U57" s="15" t="n"/>
      <c r="V57" s="15" t="n"/>
      <c r="W57" s="285" t="n"/>
      <c r="X57" s="15" t="n"/>
      <c r="Y57" s="15" t="n"/>
      <c r="Z57" s="285" t="n"/>
      <c r="AA57" s="15" t="n"/>
      <c r="AB57" s="15" t="n"/>
      <c r="AC57" s="285" t="n"/>
      <c r="AD57" s="15" t="n"/>
      <c r="AE57" s="15" t="n"/>
      <c r="AF57" s="285" t="n"/>
      <c r="AG57" s="15" t="n"/>
      <c r="AH57" s="15" t="n"/>
      <c r="AI57" s="285" t="n"/>
      <c r="AJ57" s="15" t="n"/>
      <c r="AK57" s="15" t="n"/>
      <c r="AL57" s="285" t="n"/>
      <c r="AM57" s="31" t="n"/>
      <c r="AN57" s="15" t="n"/>
      <c r="AO57" s="285" t="n"/>
      <c r="AP57" s="31" t="n"/>
      <c r="AQ57" s="15" t="n"/>
      <c r="AR57" s="285" t="n"/>
      <c r="AS57" s="31" t="n"/>
      <c r="AT57" s="15" t="n"/>
      <c r="AU57" s="285" t="n"/>
      <c r="AV57" s="31" t="n"/>
      <c r="AW57" s="15" t="n"/>
      <c r="AX57" s="285" t="n"/>
      <c r="AY57" s="15" t="n"/>
      <c r="AZ57" s="15" t="n"/>
      <c r="BA57" s="287" t="n"/>
      <c r="BB57" s="37" t="n"/>
      <c r="BC57" s="287" t="n"/>
      <c r="BD57" s="37" t="n"/>
      <c r="BE57" s="287" t="n"/>
      <c r="BF57" s="37" t="n"/>
      <c r="BG57" s="287" t="n"/>
      <c r="BH57" s="37" t="n"/>
      <c r="BI57" s="288" t="n"/>
      <c r="BJ57" s="37" t="n"/>
      <c r="BK57" s="288" t="n"/>
      <c r="BL57" s="37" t="n"/>
      <c r="BM57" s="288" t="n"/>
      <c r="BN57" s="37" t="n"/>
      <c r="BO57" s="288" t="n"/>
      <c r="BP57" s="288" t="n"/>
      <c r="BQ57" s="37" t="n"/>
      <c r="BR57" s="288" t="n"/>
      <c r="BS57" s="37" t="n"/>
      <c r="BT57" s="288" t="n"/>
      <c r="BU57" s="37" t="n"/>
      <c r="BV57" s="288" t="n"/>
      <c r="BW57" s="37" t="n"/>
      <c r="BX57" s="288" t="n"/>
      <c r="BY57" s="37" t="n"/>
      <c r="BZ57" s="288" t="n"/>
      <c r="CA57" s="37" t="n"/>
      <c r="CB57" s="288" t="n"/>
      <c r="CC57" s="37" t="n"/>
      <c r="CD57" s="288" t="n"/>
      <c r="CE57" s="37" t="n"/>
      <c r="CF57" s="288" t="n"/>
      <c r="CG57" s="291" t="n"/>
      <c r="CH57" s="288" t="n"/>
      <c r="CI57" s="291" t="n"/>
      <c r="CJ57" s="288" t="n"/>
      <c r="CK57" s="291" t="n"/>
      <c r="CL57" s="288" t="n"/>
      <c r="CM57" s="291" t="n"/>
      <c r="CN57" s="288" t="n"/>
      <c r="CO57" s="80" t="n"/>
      <c r="CP57" s="288" t="n"/>
      <c r="CQ57" s="80" t="n"/>
      <c r="CR57" s="288" t="n"/>
      <c r="CS57" s="80" t="n"/>
      <c r="CT57" s="288" t="n"/>
      <c r="CU57" s="80" t="n"/>
      <c r="CV57" s="269" t="n"/>
      <c r="CW57" s="288" t="n"/>
      <c r="CX57" s="37" t="n"/>
      <c r="CY57" s="288" t="n"/>
      <c r="CZ57" s="37" t="n"/>
      <c r="DA57" s="288" t="n"/>
      <c r="DB57" s="37" t="n"/>
      <c r="DC57" s="288" t="n"/>
      <c r="DD57" s="37" t="n"/>
      <c r="DE57" s="295" t="n"/>
      <c r="DF57" s="295" t="n"/>
      <c r="DG57" s="79" t="n"/>
    </row>
    <row r="58">
      <c r="A58" s="428" t="n"/>
      <c r="B58" s="288" t="n"/>
      <c r="C58" s="15" t="n"/>
      <c r="D58" s="15" t="n"/>
      <c r="E58" s="285" t="n"/>
      <c r="F58" s="15" t="n"/>
      <c r="G58" s="15" t="n"/>
      <c r="H58" s="285" t="n"/>
      <c r="I58" s="15" t="n"/>
      <c r="J58" s="15" t="n"/>
      <c r="K58" s="285" t="n"/>
      <c r="L58" s="15" t="n"/>
      <c r="M58" s="15" t="n"/>
      <c r="N58" s="285" t="n"/>
      <c r="O58" s="15" t="n"/>
      <c r="P58" s="15" t="n"/>
      <c r="Q58" s="285" t="n"/>
      <c r="R58" s="15" t="n"/>
      <c r="S58" s="15" t="n"/>
      <c r="T58" s="285" t="n"/>
      <c r="U58" s="15" t="n"/>
      <c r="V58" s="15" t="n"/>
      <c r="W58" s="285" t="n"/>
      <c r="X58" s="15" t="n"/>
      <c r="Y58" s="15" t="n"/>
      <c r="Z58" s="285" t="n"/>
      <c r="AA58" s="15" t="n"/>
      <c r="AB58" s="15" t="n"/>
      <c r="AC58" s="285" t="n"/>
      <c r="AD58" s="15" t="n"/>
      <c r="AE58" s="15" t="n"/>
      <c r="AF58" s="285" t="n"/>
      <c r="AG58" s="15" t="n"/>
      <c r="AH58" s="15" t="n"/>
      <c r="AI58" s="285" t="n"/>
      <c r="AJ58" s="15" t="n"/>
      <c r="AK58" s="15" t="n"/>
      <c r="AL58" s="285" t="n"/>
      <c r="AM58" s="31" t="n"/>
      <c r="AN58" s="15" t="n"/>
      <c r="AO58" s="285" t="n"/>
      <c r="AP58" s="31" t="n"/>
      <c r="AQ58" s="15" t="n"/>
      <c r="AR58" s="285" t="n"/>
      <c r="AS58" s="31" t="n"/>
      <c r="AT58" s="15" t="n"/>
      <c r="AU58" s="285" t="n"/>
      <c r="AV58" s="31" t="n"/>
      <c r="AW58" s="15" t="n"/>
      <c r="AX58" s="285" t="n"/>
      <c r="AY58" s="15" t="n"/>
      <c r="AZ58" s="15" t="n"/>
      <c r="BA58" s="287" t="n"/>
      <c r="BB58" s="37" t="n"/>
      <c r="BC58" s="287" t="n"/>
      <c r="BD58" s="37" t="n"/>
      <c r="BE58" s="287" t="n"/>
      <c r="BF58" s="37" t="n"/>
      <c r="BG58" s="287" t="n"/>
      <c r="BH58" s="37" t="n"/>
      <c r="BI58" s="288" t="n"/>
      <c r="BJ58" s="37" t="n"/>
      <c r="BK58" s="288" t="n"/>
      <c r="BL58" s="37" t="n"/>
      <c r="BM58" s="288" t="n"/>
      <c r="BN58" s="37" t="n"/>
      <c r="BO58" s="288" t="n"/>
      <c r="BP58" s="288" t="n"/>
      <c r="BQ58" s="37" t="n"/>
      <c r="BR58" s="288" t="n"/>
      <c r="BS58" s="37" t="n"/>
      <c r="BT58" s="288" t="n"/>
      <c r="BU58" s="37" t="n"/>
      <c r="BV58" s="288" t="n"/>
      <c r="BW58" s="37" t="n"/>
      <c r="BX58" s="288" t="n"/>
      <c r="BY58" s="37" t="n"/>
      <c r="BZ58" s="288" t="n"/>
      <c r="CA58" s="37" t="n"/>
      <c r="CB58" s="288" t="n"/>
      <c r="CC58" s="37" t="n"/>
      <c r="CD58" s="288" t="n"/>
      <c r="CE58" s="37" t="n"/>
      <c r="CF58" s="288" t="n"/>
      <c r="CG58" s="291" t="n"/>
      <c r="CH58" s="288" t="n"/>
      <c r="CI58" s="291" t="n"/>
      <c r="CJ58" s="288" t="n"/>
      <c r="CK58" s="291" t="n"/>
      <c r="CL58" s="288" t="n"/>
      <c r="CM58" s="291" t="n"/>
      <c r="CN58" s="288" t="n"/>
      <c r="CO58" s="80" t="n"/>
      <c r="CP58" s="288" t="n"/>
      <c r="CQ58" s="80" t="n"/>
      <c r="CR58" s="288" t="n"/>
      <c r="CS58" s="80" t="n"/>
      <c r="CT58" s="288" t="n"/>
      <c r="CU58" s="80" t="n"/>
      <c r="CV58" s="269" t="n"/>
      <c r="CW58" s="288" t="n"/>
      <c r="CX58" s="37" t="n"/>
      <c r="CY58" s="288" t="n"/>
      <c r="CZ58" s="37" t="n"/>
      <c r="DA58" s="288" t="n"/>
      <c r="DB58" s="37" t="n"/>
      <c r="DC58" s="288" t="n"/>
      <c r="DD58" s="37" t="n"/>
      <c r="DE58" s="295" t="n"/>
      <c r="DF58" s="295" t="n"/>
      <c r="DG58" s="79" t="n"/>
    </row>
    <row r="59">
      <c r="A59" s="428" t="n"/>
      <c r="B59" s="288" t="n"/>
      <c r="C59" s="15" t="n"/>
      <c r="D59" s="15" t="n"/>
      <c r="E59" s="285" t="n"/>
      <c r="F59" s="15" t="n"/>
      <c r="G59" s="15" t="n"/>
      <c r="H59" s="285" t="n"/>
      <c r="I59" s="15" t="n"/>
      <c r="J59" s="15" t="n"/>
      <c r="K59" s="285" t="n"/>
      <c r="L59" s="15" t="n"/>
      <c r="M59" s="15" t="n"/>
      <c r="N59" s="285" t="n"/>
      <c r="O59" s="15" t="n"/>
      <c r="P59" s="15" t="n"/>
      <c r="Q59" s="285" t="n"/>
      <c r="R59" s="15" t="n"/>
      <c r="S59" s="15" t="n"/>
      <c r="T59" s="285" t="n"/>
      <c r="U59" s="15" t="n"/>
      <c r="V59" s="15" t="n"/>
      <c r="W59" s="285" t="n"/>
      <c r="X59" s="15" t="n"/>
      <c r="Y59" s="15" t="n"/>
      <c r="Z59" s="285" t="n"/>
      <c r="AA59" s="15" t="n"/>
      <c r="AB59" s="15" t="n"/>
      <c r="AC59" s="285" t="n"/>
      <c r="AD59" s="15" t="n"/>
      <c r="AE59" s="15" t="n"/>
      <c r="AF59" s="285" t="n"/>
      <c r="AG59" s="15" t="n"/>
      <c r="AH59" s="15" t="n"/>
      <c r="AI59" s="285" t="n"/>
      <c r="AJ59" s="15" t="n"/>
      <c r="AK59" s="15" t="n"/>
      <c r="AL59" s="285" t="n"/>
      <c r="AM59" s="31" t="n"/>
      <c r="AN59" s="15" t="n"/>
      <c r="AO59" s="285" t="n"/>
      <c r="AP59" s="31" t="n"/>
      <c r="AQ59" s="15" t="n"/>
      <c r="AR59" s="285" t="n"/>
      <c r="AS59" s="31" t="n"/>
      <c r="AT59" s="15" t="n"/>
      <c r="AU59" s="285" t="n"/>
      <c r="AV59" s="31" t="n"/>
      <c r="AW59" s="15" t="n"/>
      <c r="AX59" s="285" t="n"/>
      <c r="AY59" s="15" t="n"/>
      <c r="AZ59" s="15" t="n"/>
      <c r="BA59" s="287" t="n"/>
      <c r="BB59" s="37" t="n"/>
      <c r="BC59" s="287" t="n"/>
      <c r="BD59" s="37" t="n"/>
      <c r="BE59" s="287" t="n"/>
      <c r="BF59" s="37" t="n"/>
      <c r="BG59" s="287" t="n"/>
      <c r="BH59" s="37" t="n"/>
      <c r="BI59" s="288" t="n"/>
      <c r="BJ59" s="37" t="n"/>
      <c r="BK59" s="288" t="n"/>
      <c r="BL59" s="37" t="n"/>
      <c r="BM59" s="288" t="n"/>
      <c r="BN59" s="37" t="n"/>
      <c r="BO59" s="288" t="n"/>
      <c r="BP59" s="288" t="n"/>
      <c r="BQ59" s="37" t="n"/>
      <c r="BR59" s="288" t="n"/>
      <c r="BS59" s="37" t="n"/>
      <c r="BT59" s="288" t="n"/>
      <c r="BU59" s="37" t="n"/>
      <c r="BV59" s="288" t="n"/>
      <c r="BW59" s="37" t="n"/>
      <c r="BX59" s="288" t="n"/>
      <c r="BY59" s="37" t="n"/>
      <c r="BZ59" s="288" t="n"/>
      <c r="CA59" s="37" t="n"/>
      <c r="CB59" s="288" t="n"/>
      <c r="CC59" s="37" t="n"/>
      <c r="CD59" s="288" t="n"/>
      <c r="CE59" s="37" t="n"/>
      <c r="CF59" s="288" t="n"/>
      <c r="CG59" s="291" t="n"/>
      <c r="CH59" s="288" t="n"/>
      <c r="CI59" s="291" t="n"/>
      <c r="CJ59" s="288" t="n"/>
      <c r="CK59" s="291" t="n"/>
      <c r="CL59" s="288" t="n"/>
      <c r="CM59" s="291" t="n"/>
      <c r="CN59" s="288" t="n"/>
      <c r="CO59" s="80" t="n"/>
      <c r="CP59" s="288" t="n"/>
      <c r="CQ59" s="80" t="n"/>
      <c r="CR59" s="288" t="n"/>
      <c r="CS59" s="80" t="n"/>
      <c r="CT59" s="288" t="n"/>
      <c r="CU59" s="80" t="n"/>
      <c r="CV59" s="269" t="n"/>
      <c r="CW59" s="288" t="n"/>
      <c r="CX59" s="37" t="n"/>
      <c r="CY59" s="288" t="n"/>
      <c r="CZ59" s="37" t="n"/>
      <c r="DA59" s="288" t="n"/>
      <c r="DB59" s="37" t="n"/>
      <c r="DC59" s="288" t="n"/>
      <c r="DD59" s="37" t="n"/>
      <c r="DE59" s="295" t="n"/>
      <c r="DF59" s="295" t="n"/>
      <c r="DG59" s="296" t="n"/>
    </row>
    <row r="60">
      <c r="A60" s="428" t="n"/>
      <c r="B60" s="288" t="n"/>
      <c r="C60" s="15" t="n"/>
      <c r="D60" s="15" t="n"/>
      <c r="E60" s="285" t="n"/>
      <c r="F60" s="15" t="n"/>
      <c r="G60" s="15" t="n"/>
      <c r="H60" s="285" t="n"/>
      <c r="I60" s="15" t="n"/>
      <c r="J60" s="15" t="n"/>
      <c r="K60" s="285" t="n"/>
      <c r="L60" s="15" t="n"/>
      <c r="M60" s="15" t="n"/>
      <c r="N60" s="285" t="n"/>
      <c r="O60" s="15" t="n"/>
      <c r="P60" s="15" t="n"/>
      <c r="Q60" s="285" t="n"/>
      <c r="R60" s="15" t="n"/>
      <c r="S60" s="15" t="n"/>
      <c r="T60" s="285" t="n"/>
      <c r="U60" s="15" t="n"/>
      <c r="V60" s="15" t="n"/>
      <c r="W60" s="285" t="n"/>
      <c r="X60" s="15" t="n"/>
      <c r="Y60" s="15" t="n"/>
      <c r="Z60" s="285" t="n"/>
      <c r="AA60" s="15" t="n"/>
      <c r="AB60" s="15" t="n"/>
      <c r="AC60" s="285" t="n"/>
      <c r="AD60" s="15" t="n"/>
      <c r="AE60" s="15" t="n"/>
      <c r="AF60" s="285" t="n"/>
      <c r="AG60" s="15" t="n"/>
      <c r="AH60" s="15" t="n"/>
      <c r="AI60" s="285" t="n"/>
      <c r="AJ60" s="15" t="n"/>
      <c r="AK60" s="15" t="n"/>
      <c r="AL60" s="285" t="n"/>
      <c r="AM60" s="31" t="n"/>
      <c r="AN60" s="15" t="n"/>
      <c r="AO60" s="285" t="n"/>
      <c r="AP60" s="31" t="n"/>
      <c r="AQ60" s="15" t="n"/>
      <c r="AR60" s="285" t="n"/>
      <c r="AS60" s="31" t="n"/>
      <c r="AT60" s="15" t="n"/>
      <c r="AU60" s="285" t="n"/>
      <c r="AV60" s="31" t="n"/>
      <c r="AW60" s="15" t="n"/>
      <c r="AX60" s="285" t="n"/>
      <c r="AY60" s="15" t="n"/>
      <c r="AZ60" s="15" t="n"/>
      <c r="BA60" s="287" t="n"/>
      <c r="BB60" s="37" t="n"/>
      <c r="BC60" s="287" t="n"/>
      <c r="BD60" s="37" t="n"/>
      <c r="BE60" s="287" t="n"/>
      <c r="BF60" s="37" t="n"/>
      <c r="BG60" s="287" t="n"/>
      <c r="BH60" s="37" t="n"/>
      <c r="BI60" s="288" t="n"/>
      <c r="BJ60" s="37" t="n"/>
      <c r="BK60" s="288" t="n"/>
      <c r="BL60" s="37" t="n"/>
      <c r="BM60" s="288" t="n"/>
      <c r="BN60" s="37" t="n"/>
      <c r="BO60" s="288" t="n"/>
      <c r="BP60" s="288" t="n"/>
      <c r="BQ60" s="37" t="n"/>
      <c r="BR60" s="288" t="n"/>
      <c r="BS60" s="37" t="n"/>
      <c r="BT60" s="288" t="n"/>
      <c r="BU60" s="37" t="n"/>
      <c r="BV60" s="288" t="n"/>
      <c r="BW60" s="37" t="n"/>
      <c r="BX60" s="288" t="n"/>
      <c r="BY60" s="37" t="n"/>
      <c r="BZ60" s="288" t="n"/>
      <c r="CA60" s="37" t="n"/>
      <c r="CB60" s="288" t="n"/>
      <c r="CC60" s="37" t="n"/>
      <c r="CD60" s="288" t="n"/>
      <c r="CE60" s="37" t="n"/>
      <c r="CF60" s="288" t="n"/>
      <c r="CG60" s="291" t="n"/>
      <c r="CH60" s="288" t="n"/>
      <c r="CI60" s="291" t="n"/>
      <c r="CJ60" s="288" t="n"/>
      <c r="CK60" s="291" t="n"/>
      <c r="CL60" s="288" t="n"/>
      <c r="CM60" s="291" t="n"/>
      <c r="CN60" s="288" t="n"/>
      <c r="CO60" s="80" t="n"/>
      <c r="CP60" s="288" t="n"/>
      <c r="CQ60" s="80" t="n"/>
      <c r="CR60" s="288" t="n"/>
      <c r="CS60" s="80" t="n"/>
      <c r="CT60" s="288" t="n"/>
      <c r="CU60" s="80" t="n"/>
      <c r="CV60" s="269" t="n"/>
      <c r="CW60" s="288" t="n"/>
      <c r="CX60" s="37" t="n"/>
      <c r="CY60" s="288" t="n"/>
      <c r="CZ60" s="37" t="n"/>
      <c r="DA60" s="288" t="n"/>
      <c r="DB60" s="37" t="n"/>
      <c r="DC60" s="288" t="n"/>
      <c r="DD60" s="37" t="n"/>
      <c r="DE60" s="295" t="n"/>
      <c r="DF60" s="295" t="n"/>
      <c r="DG60" s="288" t="n"/>
    </row>
    <row r="61">
      <c r="A61" s="428" t="n"/>
      <c r="B61" s="288" t="n"/>
      <c r="C61" s="15" t="n"/>
      <c r="D61" s="15" t="n"/>
      <c r="E61" s="285" t="n"/>
      <c r="F61" s="15" t="n"/>
      <c r="G61" s="15" t="n"/>
      <c r="H61" s="285" t="n"/>
      <c r="I61" s="15" t="n"/>
      <c r="J61" s="15" t="n"/>
      <c r="K61" s="285" t="n"/>
      <c r="L61" s="15" t="n"/>
      <c r="M61" s="15" t="n"/>
      <c r="N61" s="285" t="n"/>
      <c r="O61" s="15" t="n"/>
      <c r="P61" s="15" t="n"/>
      <c r="Q61" s="285" t="n"/>
      <c r="R61" s="15" t="n"/>
      <c r="S61" s="15" t="n"/>
      <c r="T61" s="285" t="n"/>
      <c r="U61" s="15" t="n"/>
      <c r="V61" s="15" t="n"/>
      <c r="W61" s="285" t="n"/>
      <c r="X61" s="15" t="n"/>
      <c r="Y61" s="15" t="n"/>
      <c r="Z61" s="285" t="n"/>
      <c r="AA61" s="15" t="n"/>
      <c r="AB61" s="15" t="n"/>
      <c r="AC61" s="285" t="n"/>
      <c r="AD61" s="15" t="n"/>
      <c r="AE61" s="15" t="n"/>
      <c r="AF61" s="285" t="n"/>
      <c r="AG61" s="15" t="n"/>
      <c r="AH61" s="15" t="n"/>
      <c r="AI61" s="285" t="n"/>
      <c r="AJ61" s="15" t="n"/>
      <c r="AK61" s="15" t="n"/>
      <c r="AL61" s="285" t="n"/>
      <c r="AM61" s="31" t="n"/>
      <c r="AN61" s="15" t="n"/>
      <c r="AO61" s="285" t="n"/>
      <c r="AP61" s="31" t="n"/>
      <c r="AQ61" s="15" t="n"/>
      <c r="AR61" s="285" t="n"/>
      <c r="AS61" s="31" t="n"/>
      <c r="AT61" s="15" t="n"/>
      <c r="AU61" s="285" t="n"/>
      <c r="AV61" s="31" t="n"/>
      <c r="AW61" s="15" t="n"/>
      <c r="AX61" s="285" t="n"/>
      <c r="AY61" s="15" t="n"/>
      <c r="AZ61" s="15" t="n"/>
      <c r="BA61" s="287" t="n"/>
      <c r="BB61" s="37" t="n"/>
      <c r="BC61" s="287" t="n"/>
      <c r="BD61" s="37" t="n"/>
      <c r="BE61" s="287" t="n"/>
      <c r="BF61" s="37" t="n"/>
      <c r="BG61" s="287" t="n"/>
      <c r="BH61" s="37" t="n"/>
      <c r="BI61" s="288" t="n"/>
      <c r="BJ61" s="37" t="n"/>
      <c r="BK61" s="288" t="n"/>
      <c r="BL61" s="37" t="n"/>
      <c r="BM61" s="288" t="n"/>
      <c r="BN61" s="37" t="n"/>
      <c r="BO61" s="288" t="n"/>
      <c r="BP61" s="288" t="n"/>
      <c r="BQ61" s="37" t="n"/>
      <c r="BR61" s="288" t="n"/>
      <c r="BS61" s="37" t="n"/>
      <c r="BT61" s="288" t="n"/>
      <c r="BU61" s="37" t="n"/>
      <c r="BV61" s="288" t="n"/>
      <c r="BW61" s="37" t="n"/>
      <c r="BX61" s="288" t="n"/>
      <c r="BY61" s="37" t="n"/>
      <c r="BZ61" s="288" t="n"/>
      <c r="CA61" s="37" t="n"/>
      <c r="CB61" s="288" t="n"/>
      <c r="CC61" s="37" t="n"/>
      <c r="CD61" s="288" t="n"/>
      <c r="CE61" s="37" t="n"/>
      <c r="CF61" s="288" t="n"/>
      <c r="CG61" s="291" t="n"/>
      <c r="CH61" s="288" t="n"/>
      <c r="CI61" s="291" t="n"/>
      <c r="CJ61" s="288" t="n"/>
      <c r="CK61" s="291" t="n"/>
      <c r="CL61" s="288" t="n"/>
      <c r="CM61" s="291" t="n"/>
      <c r="CN61" s="288" t="n"/>
      <c r="CO61" s="80" t="n"/>
      <c r="CP61" s="288" t="n"/>
      <c r="CQ61" s="80" t="n"/>
      <c r="CR61" s="288" t="n"/>
      <c r="CS61" s="80" t="n"/>
      <c r="CT61" s="288" t="n"/>
      <c r="CU61" s="80" t="n"/>
      <c r="CV61" s="269" t="n"/>
      <c r="CW61" s="288" t="n"/>
      <c r="CX61" s="37" t="n"/>
      <c r="CY61" s="288" t="n"/>
      <c r="CZ61" s="37" t="n"/>
      <c r="DA61" s="288" t="n"/>
      <c r="DB61" s="37" t="n"/>
      <c r="DC61" s="288" t="n"/>
      <c r="DD61" s="37" t="n"/>
      <c r="DE61" s="295" t="n"/>
      <c r="DF61" s="295" t="n"/>
      <c r="DG61" s="296" t="n"/>
    </row>
    <row r="62">
      <c r="A62" s="428" t="n"/>
      <c r="B62" s="288" t="n"/>
      <c r="C62" s="15" t="n"/>
      <c r="D62" s="15" t="n"/>
      <c r="E62" s="285" t="n"/>
      <c r="F62" s="15" t="n"/>
      <c r="G62" s="15" t="n"/>
      <c r="H62" s="285" t="n"/>
      <c r="I62" s="15" t="n"/>
      <c r="J62" s="15" t="n"/>
      <c r="K62" s="285" t="n"/>
      <c r="L62" s="15" t="n"/>
      <c r="M62" s="15" t="n"/>
      <c r="N62" s="285" t="n"/>
      <c r="O62" s="15" t="n"/>
      <c r="P62" s="15" t="n"/>
      <c r="Q62" s="285" t="n"/>
      <c r="R62" s="15" t="n"/>
      <c r="S62" s="15" t="n"/>
      <c r="T62" s="285" t="n"/>
      <c r="U62" s="15" t="n"/>
      <c r="V62" s="15" t="n"/>
      <c r="W62" s="285" t="n"/>
      <c r="X62" s="15" t="n"/>
      <c r="Y62" s="15" t="n"/>
      <c r="Z62" s="285" t="n"/>
      <c r="AA62" s="15" t="n"/>
      <c r="AB62" s="15" t="n"/>
      <c r="AC62" s="285" t="n"/>
      <c r="AD62" s="15" t="n"/>
      <c r="AE62" s="15" t="n"/>
      <c r="AF62" s="285" t="n"/>
      <c r="AG62" s="15" t="n"/>
      <c r="AH62" s="15" t="n"/>
      <c r="AI62" s="285" t="n"/>
      <c r="AJ62" s="15" t="n"/>
      <c r="AK62" s="15" t="n"/>
      <c r="AL62" s="285" t="n"/>
      <c r="AM62" s="31" t="n"/>
      <c r="AN62" s="15" t="n"/>
      <c r="AO62" s="285" t="n"/>
      <c r="AP62" s="31" t="n"/>
      <c r="AQ62" s="15" t="n"/>
      <c r="AR62" s="285" t="n"/>
      <c r="AS62" s="31" t="n"/>
      <c r="AT62" s="15" t="n"/>
      <c r="AU62" s="285" t="n"/>
      <c r="AV62" s="31" t="n"/>
      <c r="AW62" s="15" t="n"/>
      <c r="AX62" s="285" t="n"/>
      <c r="AY62" s="15" t="n"/>
      <c r="AZ62" s="15" t="n"/>
      <c r="BA62" s="287" t="n"/>
      <c r="BB62" s="37" t="n"/>
      <c r="BC62" s="287" t="n"/>
      <c r="BD62" s="37" t="n"/>
      <c r="BE62" s="287" t="n"/>
      <c r="BF62" s="37" t="n"/>
      <c r="BG62" s="287" t="n"/>
      <c r="BH62" s="37" t="n"/>
      <c r="BI62" s="288" t="n"/>
      <c r="BJ62" s="37" t="n"/>
      <c r="BK62" s="288" t="n"/>
      <c r="BL62" s="37" t="n"/>
      <c r="BM62" s="288" t="n"/>
      <c r="BN62" s="37" t="n"/>
      <c r="BO62" s="288" t="n"/>
      <c r="BP62" s="288" t="n"/>
      <c r="BQ62" s="37" t="n"/>
      <c r="BR62" s="288" t="n"/>
      <c r="BS62" s="37" t="n"/>
      <c r="BT62" s="288" t="n"/>
      <c r="BU62" s="37" t="n"/>
      <c r="BV62" s="288" t="n"/>
      <c r="BW62" s="37" t="n"/>
      <c r="BX62" s="288" t="n"/>
      <c r="BY62" s="37" t="n"/>
      <c r="BZ62" s="288" t="n"/>
      <c r="CA62" s="37" t="n"/>
      <c r="CB62" s="288" t="n"/>
      <c r="CC62" s="37" t="n"/>
      <c r="CD62" s="288" t="n"/>
      <c r="CE62" s="37" t="n"/>
      <c r="CF62" s="288" t="n"/>
      <c r="CG62" s="291" t="n"/>
      <c r="CH62" s="288" t="n"/>
      <c r="CI62" s="291" t="n"/>
      <c r="CJ62" s="288" t="n"/>
      <c r="CK62" s="291" t="n"/>
      <c r="CL62" s="288" t="n"/>
      <c r="CM62" s="291" t="n"/>
      <c r="CN62" s="288" t="n"/>
      <c r="CO62" s="80" t="n"/>
      <c r="CP62" s="288" t="n"/>
      <c r="CQ62" s="80" t="n"/>
      <c r="CR62" s="288" t="n"/>
      <c r="CS62" s="80" t="n"/>
      <c r="CT62" s="288" t="n"/>
      <c r="CU62" s="80" t="n"/>
      <c r="CV62" s="269" t="n"/>
      <c r="CW62" s="288" t="n"/>
      <c r="CX62" s="37" t="n"/>
      <c r="CY62" s="288" t="n"/>
      <c r="CZ62" s="37" t="n"/>
      <c r="DA62" s="288" t="n"/>
      <c r="DB62" s="37" t="n"/>
      <c r="DC62" s="288" t="n"/>
      <c r="DD62" s="37" t="n"/>
      <c r="DE62" s="295" t="n"/>
      <c r="DF62" s="295" t="n"/>
      <c r="DG62" s="288" t="n"/>
    </row>
    <row r="63">
      <c r="A63" s="428" t="n"/>
      <c r="B63" s="288" t="n"/>
      <c r="C63" s="15" t="n"/>
      <c r="D63" s="15" t="n"/>
      <c r="E63" s="285" t="n"/>
      <c r="F63" s="15" t="n"/>
      <c r="G63" s="15" t="n"/>
      <c r="H63" s="285" t="n"/>
      <c r="I63" s="15" t="n"/>
      <c r="J63" s="15" t="n"/>
      <c r="K63" s="285" t="n"/>
      <c r="L63" s="15" t="n"/>
      <c r="M63" s="15" t="n"/>
      <c r="N63" s="285" t="n"/>
      <c r="O63" s="15" t="n"/>
      <c r="P63" s="15" t="n"/>
      <c r="Q63" s="285" t="n"/>
      <c r="R63" s="15" t="n"/>
      <c r="S63" s="15" t="n"/>
      <c r="T63" s="285" t="n"/>
      <c r="U63" s="15" t="n"/>
      <c r="V63" s="15" t="n"/>
      <c r="W63" s="285" t="n"/>
      <c r="X63" s="15" t="n"/>
      <c r="Y63" s="15" t="n"/>
      <c r="Z63" s="285" t="n"/>
      <c r="AA63" s="15" t="n"/>
      <c r="AB63" s="15" t="n"/>
      <c r="AC63" s="285" t="n"/>
      <c r="AD63" s="15" t="n"/>
      <c r="AE63" s="15" t="n"/>
      <c r="AF63" s="285" t="n"/>
      <c r="AG63" s="15" t="n"/>
      <c r="AH63" s="15" t="n"/>
      <c r="AI63" s="285" t="n"/>
      <c r="AJ63" s="15" t="n"/>
      <c r="AK63" s="15" t="n"/>
      <c r="AL63" s="285" t="n"/>
      <c r="AM63" s="31" t="n"/>
      <c r="AN63" s="15" t="n"/>
      <c r="AO63" s="285" t="n"/>
      <c r="AP63" s="31" t="n"/>
      <c r="AQ63" s="15" t="n"/>
      <c r="AR63" s="285" t="n"/>
      <c r="AS63" s="31" t="n"/>
      <c r="AT63" s="15" t="n"/>
      <c r="AU63" s="285" t="n"/>
      <c r="AV63" s="31" t="n"/>
      <c r="AW63" s="15" t="n"/>
      <c r="AX63" s="285" t="n"/>
      <c r="AY63" s="15" t="n"/>
      <c r="AZ63" s="15" t="n"/>
      <c r="BA63" s="287" t="n"/>
      <c r="BB63" s="37" t="n"/>
      <c r="BC63" s="287" t="n"/>
      <c r="BD63" s="37" t="n"/>
      <c r="BE63" s="287" t="n"/>
      <c r="BF63" s="37" t="n"/>
      <c r="BG63" s="287" t="n"/>
      <c r="BH63" s="37" t="n"/>
      <c r="BI63" s="288" t="n"/>
      <c r="BJ63" s="37" t="n"/>
      <c r="BK63" s="288" t="n"/>
      <c r="BL63" s="37" t="n"/>
      <c r="BM63" s="288" t="n"/>
      <c r="BN63" s="37" t="n"/>
      <c r="BO63" s="288" t="n"/>
      <c r="BP63" s="288" t="n"/>
      <c r="BQ63" s="37" t="n"/>
      <c r="BR63" s="288" t="n"/>
      <c r="BS63" s="37" t="n"/>
      <c r="BT63" s="288" t="n"/>
      <c r="BU63" s="37" t="n"/>
      <c r="BV63" s="288" t="n"/>
      <c r="BW63" s="37" t="n"/>
      <c r="BX63" s="288" t="n"/>
      <c r="BY63" s="37" t="n"/>
      <c r="BZ63" s="288" t="n"/>
      <c r="CA63" s="37" t="n"/>
      <c r="CB63" s="288" t="n"/>
      <c r="CC63" s="37" t="n"/>
      <c r="CD63" s="288" t="n"/>
      <c r="CE63" s="37" t="n"/>
      <c r="CF63" s="288" t="n"/>
      <c r="CG63" s="291" t="n"/>
      <c r="CH63" s="288" t="n"/>
      <c r="CI63" s="291" t="n"/>
      <c r="CJ63" s="288" t="n"/>
      <c r="CK63" s="291" t="n"/>
      <c r="CL63" s="288" t="n"/>
      <c r="CM63" s="291" t="n"/>
      <c r="CN63" s="288" t="n"/>
      <c r="CO63" s="80" t="n"/>
      <c r="CP63" s="288" t="n"/>
      <c r="CQ63" s="80" t="n"/>
      <c r="CR63" s="288" t="n"/>
      <c r="CS63" s="80" t="n"/>
      <c r="CT63" s="288" t="n"/>
      <c r="CU63" s="80" t="n"/>
      <c r="CV63" s="269" t="n"/>
      <c r="CW63" s="288" t="n"/>
      <c r="CX63" s="37" t="n"/>
      <c r="CY63" s="288" t="n"/>
      <c r="CZ63" s="37" t="n"/>
      <c r="DA63" s="288" t="n"/>
      <c r="DB63" s="37" t="n"/>
      <c r="DC63" s="288" t="n"/>
      <c r="DD63" s="37" t="n"/>
      <c r="DE63" s="295" t="n"/>
      <c r="DF63" s="295" t="n"/>
      <c r="DG63" s="288" t="n"/>
    </row>
    <row r="64" customFormat="1" s="40">
      <c r="A64" s="330" t="n"/>
      <c r="B64" s="288" t="n"/>
      <c r="C64" s="15" t="n"/>
      <c r="D64" s="15" t="n"/>
      <c r="E64" s="292" t="n"/>
      <c r="F64" s="15" t="n"/>
      <c r="G64" s="15" t="n"/>
      <c r="H64" s="292" t="n"/>
      <c r="I64" s="15" t="n"/>
      <c r="J64" s="15" t="n"/>
      <c r="K64" s="292" t="n"/>
      <c r="L64" s="15" t="n"/>
      <c r="M64" s="15" t="n"/>
      <c r="N64" s="292" t="n"/>
      <c r="O64" s="15" t="n"/>
      <c r="P64" s="15" t="n"/>
      <c r="Q64" s="292" t="n"/>
      <c r="R64" s="15" t="n"/>
      <c r="S64" s="15" t="n"/>
      <c r="T64" s="292" t="n"/>
      <c r="U64" s="15" t="n"/>
      <c r="V64" s="15" t="n"/>
      <c r="W64" s="292" t="n"/>
      <c r="X64" s="15" t="n"/>
      <c r="Y64" s="15" t="n"/>
      <c r="Z64" s="292" t="n"/>
      <c r="AA64" s="15" t="n"/>
      <c r="AB64" s="15" t="n"/>
      <c r="AC64" s="292" t="n"/>
      <c r="AD64" s="15" t="n"/>
      <c r="AE64" s="15" t="n"/>
      <c r="AF64" s="292" t="n"/>
      <c r="AG64" s="15" t="n"/>
      <c r="AH64" s="15" t="n"/>
      <c r="AI64" s="292" t="n"/>
      <c r="AJ64" s="15" t="n"/>
      <c r="AK64" s="15" t="n"/>
      <c r="AL64" s="292" t="n"/>
      <c r="AM64" s="31" t="n"/>
      <c r="AN64" s="15" t="n"/>
      <c r="AO64" s="292" t="n"/>
      <c r="AP64" s="31" t="n"/>
      <c r="AQ64" s="15" t="n"/>
      <c r="AR64" s="292" t="n"/>
      <c r="AS64" s="31" t="n"/>
      <c r="AT64" s="15" t="n"/>
      <c r="AU64" s="292" t="n"/>
      <c r="AV64" s="31" t="n"/>
      <c r="AW64" s="15" t="n"/>
      <c r="AX64" s="292" t="n"/>
      <c r="AY64" s="15" t="n"/>
      <c r="AZ64" s="15" t="n"/>
      <c r="BA64" s="291" t="n"/>
      <c r="BB64" s="37" t="n"/>
      <c r="BC64" s="291" t="n"/>
      <c r="BD64" s="37" t="n"/>
      <c r="BE64" s="291" t="n"/>
      <c r="BF64" s="37" t="n"/>
      <c r="BG64" s="291" t="n"/>
      <c r="BH64" s="37" t="n"/>
      <c r="BI64" s="291" t="n"/>
      <c r="BJ64" s="37" t="n"/>
      <c r="BK64" s="291" t="n"/>
      <c r="BL64" s="37" t="n"/>
      <c r="BM64" s="291" t="n"/>
      <c r="BN64" s="37" t="n"/>
      <c r="BO64" s="291" t="n"/>
      <c r="BP64" s="291" t="n"/>
      <c r="BQ64" s="37" t="n"/>
      <c r="BR64" s="291" t="n"/>
      <c r="BS64" s="37" t="n"/>
      <c r="BT64" s="291" t="n"/>
      <c r="BU64" s="37" t="n"/>
      <c r="BV64" s="291" t="n"/>
      <c r="BW64" s="37" t="n"/>
      <c r="BX64" s="291" t="n"/>
      <c r="BY64" s="37" t="n"/>
      <c r="BZ64" s="291" t="n"/>
      <c r="CA64" s="37" t="n"/>
      <c r="CB64" s="291" t="n"/>
      <c r="CC64" s="37" t="n"/>
      <c r="CD64" s="291" t="n"/>
      <c r="CE64" s="37" t="n"/>
      <c r="CF64" s="291" t="n"/>
      <c r="CG64" s="291" t="n"/>
      <c r="CH64" s="291" t="n"/>
      <c r="CI64" s="291" t="n"/>
      <c r="CJ64" s="291" t="n"/>
      <c r="CK64" s="291" t="n"/>
      <c r="CL64" s="291" t="n"/>
      <c r="CM64" s="291" t="n"/>
      <c r="CN64" s="291" t="n"/>
      <c r="CO64" s="80" t="n"/>
      <c r="CP64" s="291" t="n"/>
      <c r="CQ64" s="80" t="n"/>
      <c r="CR64" s="291" t="n"/>
      <c r="CS64" s="80" t="n"/>
      <c r="CT64" s="291" t="n"/>
      <c r="CU64" s="80" t="n"/>
      <c r="CW64" s="291" t="n"/>
      <c r="CX64" s="37" t="n"/>
      <c r="CY64" s="291" t="n"/>
      <c r="CZ64" s="37" t="n"/>
      <c r="DA64" s="291" t="n"/>
      <c r="DB64" s="37" t="n"/>
      <c r="DC64" s="291" t="n"/>
      <c r="DD64" s="37" t="n"/>
      <c r="DE64" s="311" t="n"/>
      <c r="DF64" s="311" t="n"/>
    </row>
    <row r="65">
      <c r="A65" s="428" t="n"/>
      <c r="B65" s="288" t="n"/>
      <c r="C65" s="15" t="n"/>
      <c r="D65" s="15" t="n"/>
      <c r="E65" s="285" t="n"/>
      <c r="F65" s="15" t="n"/>
      <c r="G65" s="15" t="n"/>
      <c r="H65" s="285" t="n"/>
      <c r="I65" s="15" t="n"/>
      <c r="J65" s="15" t="n"/>
      <c r="K65" s="285" t="n"/>
      <c r="L65" s="15" t="n"/>
      <c r="M65" s="15" t="n"/>
      <c r="N65" s="285" t="n"/>
      <c r="O65" s="15" t="n"/>
      <c r="P65" s="15" t="n"/>
      <c r="Q65" s="285" t="n"/>
      <c r="R65" s="15" t="n"/>
      <c r="S65" s="15" t="n"/>
      <c r="T65" s="285" t="n"/>
      <c r="U65" s="15" t="n"/>
      <c r="V65" s="15" t="n"/>
      <c r="W65" s="285" t="n"/>
      <c r="X65" s="15" t="n"/>
      <c r="Y65" s="15" t="n"/>
      <c r="Z65" s="285" t="n"/>
      <c r="AA65" s="15" t="n"/>
      <c r="AB65" s="15" t="n"/>
      <c r="AC65" s="285" t="n"/>
      <c r="AD65" s="15" t="n"/>
      <c r="AE65" s="15" t="n"/>
      <c r="AF65" s="285" t="n"/>
      <c r="AG65" s="15" t="n"/>
      <c r="AH65" s="15" t="n"/>
      <c r="AI65" s="285" t="n"/>
      <c r="AJ65" s="15" t="n"/>
      <c r="AK65" s="15" t="n"/>
      <c r="AL65" s="285" t="n"/>
      <c r="AM65" s="31" t="n"/>
      <c r="AN65" s="15" t="n"/>
      <c r="AO65" s="285" t="n"/>
      <c r="AP65" s="31" t="n"/>
      <c r="AQ65" s="15" t="n"/>
      <c r="AR65" s="285" t="n"/>
      <c r="AS65" s="31" t="n"/>
      <c r="AT65" s="15" t="n"/>
      <c r="AU65" s="285" t="n"/>
      <c r="AV65" s="31" t="n"/>
      <c r="AW65" s="15" t="n"/>
      <c r="AX65" s="285" t="n"/>
      <c r="AY65" s="15" t="n"/>
      <c r="AZ65" s="15" t="n"/>
      <c r="BA65" s="287" t="n"/>
      <c r="BB65" s="37" t="n"/>
      <c r="BC65" s="287" t="n"/>
      <c r="BD65" s="37" t="n"/>
      <c r="BE65" s="287" t="n"/>
      <c r="BF65" s="37" t="n"/>
      <c r="BG65" s="287" t="n"/>
      <c r="BH65" s="37" t="n"/>
      <c r="BI65" s="288" t="n"/>
      <c r="BJ65" s="37" t="n"/>
      <c r="BK65" s="288" t="n"/>
      <c r="BL65" s="37" t="n"/>
      <c r="BM65" s="288" t="n"/>
      <c r="BN65" s="37" t="n"/>
      <c r="BO65" s="288" t="n"/>
      <c r="BP65" s="288" t="n"/>
      <c r="BQ65" s="37" t="n"/>
      <c r="BR65" s="288" t="n"/>
      <c r="BS65" s="37" t="n"/>
      <c r="BT65" s="288" t="n"/>
      <c r="BU65" s="37" t="n"/>
      <c r="BV65" s="288" t="n"/>
      <c r="BW65" s="37" t="n"/>
      <c r="BX65" s="288" t="n"/>
      <c r="BY65" s="37" t="n"/>
      <c r="BZ65" s="288" t="n"/>
      <c r="CA65" s="37" t="n"/>
      <c r="CB65" s="288" t="n"/>
      <c r="CC65" s="37" t="n"/>
      <c r="CD65" s="288" t="n"/>
      <c r="CE65" s="37" t="n"/>
      <c r="CF65" s="288" t="n"/>
      <c r="CG65" s="291" t="n"/>
      <c r="CH65" s="288" t="n"/>
      <c r="CI65" s="291" t="n"/>
      <c r="CJ65" s="288" t="n"/>
      <c r="CK65" s="291" t="n"/>
      <c r="CL65" s="288" t="n"/>
      <c r="CM65" s="291" t="n"/>
      <c r="CN65" s="288" t="n"/>
      <c r="CO65" s="80" t="n"/>
      <c r="CP65" s="288" t="n"/>
      <c r="CQ65" s="80" t="n"/>
      <c r="CR65" s="288" t="n"/>
      <c r="CS65" s="80" t="n"/>
      <c r="CT65" s="288" t="n"/>
      <c r="CU65" s="80" t="n"/>
      <c r="CV65" s="269" t="n"/>
      <c r="CW65" s="288" t="n"/>
      <c r="CX65" s="37" t="n"/>
      <c r="CY65" s="288" t="n"/>
      <c r="CZ65" s="37" t="n"/>
      <c r="DA65" s="288" t="n"/>
      <c r="DB65" s="37" t="n"/>
      <c r="DC65" s="288" t="n"/>
      <c r="DD65" s="37" t="n"/>
      <c r="DE65" s="295" t="n"/>
      <c r="DF65" s="295" t="n"/>
      <c r="DG65" s="288" t="n"/>
    </row>
    <row r="66">
      <c r="A66" s="428" t="n"/>
      <c r="B66" s="288" t="n"/>
      <c r="C66" s="15" t="n"/>
      <c r="D66" s="15" t="n"/>
      <c r="E66" s="285" t="n"/>
      <c r="F66" s="15" t="n"/>
      <c r="G66" s="15" t="n"/>
      <c r="H66" s="285" t="n"/>
      <c r="I66" s="15" t="n"/>
      <c r="J66" s="15" t="n"/>
      <c r="K66" s="285" t="n"/>
      <c r="L66" s="15" t="n"/>
      <c r="M66" s="15" t="n"/>
      <c r="N66" s="285" t="n"/>
      <c r="O66" s="15" t="n"/>
      <c r="P66" s="15" t="n"/>
      <c r="Q66" s="285" t="n"/>
      <c r="R66" s="15" t="n"/>
      <c r="S66" s="15" t="n"/>
      <c r="T66" s="285" t="n"/>
      <c r="U66" s="15" t="n"/>
      <c r="V66" s="15" t="n"/>
      <c r="W66" s="285" t="n"/>
      <c r="X66" s="15" t="n"/>
      <c r="Y66" s="15" t="n"/>
      <c r="Z66" s="285" t="n"/>
      <c r="AA66" s="15" t="n"/>
      <c r="AB66" s="15" t="n"/>
      <c r="AC66" s="285" t="n"/>
      <c r="AD66" s="15" t="n"/>
      <c r="AE66" s="15" t="n"/>
      <c r="AF66" s="285" t="n"/>
      <c r="AG66" s="15" t="n"/>
      <c r="AH66" s="15" t="n"/>
      <c r="AI66" s="285" t="n"/>
      <c r="AJ66" s="15" t="n"/>
      <c r="AK66" s="15" t="n"/>
      <c r="AL66" s="285" t="n"/>
      <c r="AM66" s="31" t="n"/>
      <c r="AN66" s="15" t="n"/>
      <c r="AO66" s="285" t="n"/>
      <c r="AP66" s="31" t="n"/>
      <c r="AQ66" s="15" t="n"/>
      <c r="AR66" s="285" t="n"/>
      <c r="AS66" s="31" t="n"/>
      <c r="AT66" s="15" t="n"/>
      <c r="AU66" s="285" t="n"/>
      <c r="AV66" s="31" t="n"/>
      <c r="AW66" s="15" t="n"/>
      <c r="AX66" s="285" t="n"/>
      <c r="AY66" s="15" t="n"/>
      <c r="AZ66" s="15" t="n"/>
      <c r="BA66" s="287" t="n"/>
      <c r="BB66" s="37" t="n"/>
      <c r="BC66" s="287" t="n"/>
      <c r="BD66" s="37" t="n"/>
      <c r="BE66" s="287" t="n"/>
      <c r="BF66" s="37" t="n"/>
      <c r="BG66" s="287" t="n"/>
      <c r="BH66" s="37" t="n"/>
      <c r="BI66" s="288" t="n"/>
      <c r="BJ66" s="37" t="n"/>
      <c r="BK66" s="288" t="n"/>
      <c r="BL66" s="37" t="n"/>
      <c r="BM66" s="288" t="n"/>
      <c r="BN66" s="37" t="n"/>
      <c r="BO66" s="288" t="n"/>
      <c r="BP66" s="288" t="n"/>
      <c r="BQ66" s="37" t="n"/>
      <c r="BR66" s="288" t="n"/>
      <c r="BS66" s="37" t="n"/>
      <c r="BT66" s="288" t="n"/>
      <c r="BU66" s="37" t="n"/>
      <c r="BV66" s="288" t="n"/>
      <c r="BW66" s="37" t="n"/>
      <c r="BX66" s="288" t="n"/>
      <c r="BY66" s="37" t="n"/>
      <c r="BZ66" s="288" t="n"/>
      <c r="CA66" s="37" t="n"/>
      <c r="CB66" s="288" t="n"/>
      <c r="CC66" s="37" t="n"/>
      <c r="CD66" s="288" t="n"/>
      <c r="CE66" s="37" t="n"/>
      <c r="CF66" s="288" t="n"/>
      <c r="CG66" s="291" t="n"/>
      <c r="CH66" s="288" t="n"/>
      <c r="CI66" s="291" t="n"/>
      <c r="CJ66" s="288" t="n"/>
      <c r="CK66" s="291" t="n"/>
      <c r="CL66" s="288" t="n"/>
      <c r="CM66" s="291" t="n"/>
      <c r="CN66" s="288" t="n"/>
      <c r="CO66" s="80" t="n"/>
      <c r="CP66" s="288" t="n"/>
      <c r="CQ66" s="80" t="n"/>
      <c r="CR66" s="288" t="n"/>
      <c r="CS66" s="80" t="n"/>
      <c r="CT66" s="288" t="n"/>
      <c r="CU66" s="80" t="n"/>
      <c r="CV66" s="269" t="n"/>
      <c r="CW66" s="288" t="n"/>
      <c r="CX66" s="37" t="n"/>
      <c r="CY66" s="288" t="n"/>
      <c r="CZ66" s="37" t="n"/>
      <c r="DA66" s="288" t="n"/>
      <c r="DB66" s="37" t="n"/>
      <c r="DC66" s="288" t="n"/>
      <c r="DD66" s="37" t="n"/>
      <c r="DE66" s="295" t="n"/>
      <c r="DF66" s="295" t="n"/>
      <c r="DG66" s="288" t="n"/>
    </row>
    <row r="67">
      <c r="A67" s="428" t="n"/>
      <c r="B67" s="288" t="n"/>
      <c r="C67" s="15" t="n"/>
      <c r="D67" s="15" t="n"/>
      <c r="E67" s="285" t="n"/>
      <c r="F67" s="15" t="n"/>
      <c r="G67" s="15" t="n"/>
      <c r="H67" s="285" t="n"/>
      <c r="I67" s="15" t="n"/>
      <c r="J67" s="15" t="n"/>
      <c r="K67" s="285" t="n"/>
      <c r="L67" s="15" t="n"/>
      <c r="M67" s="15" t="n"/>
      <c r="N67" s="285" t="n"/>
      <c r="O67" s="15" t="n"/>
      <c r="P67" s="15" t="n"/>
      <c r="Q67" s="285" t="n"/>
      <c r="R67" s="15" t="n"/>
      <c r="S67" s="15" t="n"/>
      <c r="T67" s="285" t="n"/>
      <c r="U67" s="15" t="n"/>
      <c r="V67" s="15" t="n"/>
      <c r="W67" s="285" t="n"/>
      <c r="X67" s="15" t="n"/>
      <c r="Y67" s="15" t="n"/>
      <c r="Z67" s="285" t="n"/>
      <c r="AA67" s="15" t="n"/>
      <c r="AB67" s="15" t="n"/>
      <c r="AC67" s="285" t="n"/>
      <c r="AD67" s="15" t="n"/>
      <c r="AE67" s="15" t="n"/>
      <c r="AF67" s="285" t="n"/>
      <c r="AG67" s="15" t="n"/>
      <c r="AH67" s="15" t="n"/>
      <c r="AI67" s="285" t="n"/>
      <c r="AJ67" s="15" t="n"/>
      <c r="AK67" s="15" t="n"/>
      <c r="AL67" s="285" t="n"/>
      <c r="AM67" s="31" t="n"/>
      <c r="AN67" s="15" t="n"/>
      <c r="AO67" s="285" t="n"/>
      <c r="AP67" s="31" t="n"/>
      <c r="AQ67" s="15" t="n"/>
      <c r="AR67" s="285" t="n"/>
      <c r="AS67" s="31" t="n"/>
      <c r="AT67" s="15" t="n"/>
      <c r="AU67" s="285" t="n"/>
      <c r="AV67" s="31" t="n"/>
      <c r="AW67" s="15" t="n"/>
      <c r="AX67" s="285" t="n"/>
      <c r="AY67" s="15" t="n"/>
      <c r="AZ67" s="15" t="n"/>
      <c r="BA67" s="287" t="n"/>
      <c r="BB67" s="37" t="n"/>
      <c r="BC67" s="287" t="n"/>
      <c r="BD67" s="37" t="n"/>
      <c r="BE67" s="287" t="n"/>
      <c r="BF67" s="37" t="n"/>
      <c r="BG67" s="287" t="n"/>
      <c r="BH67" s="37" t="n"/>
      <c r="BI67" s="288" t="n"/>
      <c r="BJ67" s="37" t="n"/>
      <c r="BK67" s="288" t="n"/>
      <c r="BL67" s="37" t="n"/>
      <c r="BM67" s="288" t="n"/>
      <c r="BN67" s="37" t="n"/>
      <c r="BO67" s="288" t="n"/>
      <c r="BP67" s="288" t="n"/>
      <c r="BQ67" s="37" t="n"/>
      <c r="BR67" s="288" t="n"/>
      <c r="BS67" s="37" t="n"/>
      <c r="BT67" s="288" t="n"/>
      <c r="BU67" s="37" t="n"/>
      <c r="BV67" s="288" t="n"/>
      <c r="BW67" s="37" t="n"/>
      <c r="BX67" s="288" t="n"/>
      <c r="BY67" s="37" t="n"/>
      <c r="BZ67" s="288" t="n"/>
      <c r="CA67" s="37" t="n"/>
      <c r="CB67" s="288" t="n"/>
      <c r="CC67" s="37" t="n"/>
      <c r="CD67" s="288" t="n"/>
      <c r="CE67" s="37" t="n"/>
      <c r="CF67" s="288" t="n"/>
      <c r="CG67" s="291" t="n"/>
      <c r="CH67" s="288" t="n"/>
      <c r="CI67" s="291" t="n"/>
      <c r="CJ67" s="288" t="n"/>
      <c r="CK67" s="291" t="n"/>
      <c r="CL67" s="288" t="n"/>
      <c r="CM67" s="291" t="n"/>
      <c r="CN67" s="288" t="n"/>
      <c r="CO67" s="80" t="n"/>
      <c r="CP67" s="288" t="n"/>
      <c r="CQ67" s="80" t="n"/>
      <c r="CR67" s="288" t="n"/>
      <c r="CS67" s="80" t="n"/>
      <c r="CT67" s="288" t="n"/>
      <c r="CU67" s="80" t="n"/>
      <c r="CV67" s="269" t="n"/>
      <c r="CW67" s="288" t="n"/>
      <c r="CX67" s="37" t="n"/>
      <c r="CY67" s="288" t="n"/>
      <c r="CZ67" s="37" t="n"/>
      <c r="DA67" s="288" t="n"/>
      <c r="DB67" s="37" t="n"/>
      <c r="DC67" s="288" t="n"/>
      <c r="DD67" s="37" t="n"/>
      <c r="DE67" s="295" t="n"/>
      <c r="DF67" s="295" t="n"/>
      <c r="DG67" s="288" t="n"/>
    </row>
    <row r="68">
      <c r="A68" s="428" t="n"/>
      <c r="B68" s="288" t="n"/>
      <c r="C68" s="15" t="n"/>
      <c r="D68" s="15" t="n"/>
      <c r="E68" s="285" t="n"/>
      <c r="F68" s="15" t="n"/>
      <c r="G68" s="15" t="n"/>
      <c r="H68" s="285" t="n"/>
      <c r="I68" s="15" t="n"/>
      <c r="J68" s="15" t="n"/>
      <c r="K68" s="285" t="n"/>
      <c r="L68" s="15" t="n"/>
      <c r="M68" s="15" t="n"/>
      <c r="N68" s="285" t="n"/>
      <c r="O68" s="15" t="n"/>
      <c r="P68" s="15" t="n"/>
      <c r="Q68" s="285" t="n"/>
      <c r="R68" s="15" t="n"/>
      <c r="S68" s="15" t="n"/>
      <c r="T68" s="285" t="n"/>
      <c r="U68" s="15" t="n"/>
      <c r="V68" s="15" t="n"/>
      <c r="W68" s="285" t="n"/>
      <c r="X68" s="15" t="n"/>
      <c r="Y68" s="15" t="n"/>
      <c r="Z68" s="285" t="n"/>
      <c r="AA68" s="15" t="n"/>
      <c r="AB68" s="15" t="n"/>
      <c r="AC68" s="285" t="n"/>
      <c r="AD68" s="15" t="n"/>
      <c r="AE68" s="15" t="n"/>
      <c r="AF68" s="285" t="n"/>
      <c r="AG68" s="15" t="n"/>
      <c r="AH68" s="15" t="n"/>
      <c r="AI68" s="285" t="n"/>
      <c r="AJ68" s="15" t="n"/>
      <c r="AK68" s="15" t="n"/>
      <c r="AL68" s="285" t="n"/>
      <c r="AM68" s="31" t="n"/>
      <c r="AN68" s="15" t="n"/>
      <c r="AO68" s="285" t="n"/>
      <c r="AP68" s="31" t="n"/>
      <c r="AQ68" s="15" t="n"/>
      <c r="AR68" s="285" t="n"/>
      <c r="AS68" s="31" t="n"/>
      <c r="AT68" s="15" t="n"/>
      <c r="AU68" s="285" t="n"/>
      <c r="AV68" s="31" t="n"/>
      <c r="AW68" s="15" t="n"/>
      <c r="AX68" s="285" t="n"/>
      <c r="AY68" s="15" t="n"/>
      <c r="AZ68" s="15" t="n"/>
      <c r="BA68" s="287" t="n"/>
      <c r="BB68" s="37" t="n"/>
      <c r="BC68" s="287" t="n"/>
      <c r="BD68" s="37" t="n"/>
      <c r="BE68" s="287" t="n"/>
      <c r="BF68" s="37" t="n"/>
      <c r="BG68" s="287" t="n"/>
      <c r="BH68" s="37" t="n"/>
      <c r="BI68" s="288" t="n"/>
      <c r="BJ68" s="37" t="n"/>
      <c r="BK68" s="288" t="n"/>
      <c r="BL68" s="37" t="n"/>
      <c r="BM68" s="288" t="n"/>
      <c r="BN68" s="37" t="n"/>
      <c r="BO68" s="288" t="n"/>
      <c r="BP68" s="288" t="n"/>
      <c r="BQ68" s="37" t="n"/>
      <c r="BR68" s="288" t="n"/>
      <c r="BS68" s="37" t="n"/>
      <c r="BT68" s="288" t="n"/>
      <c r="BU68" s="37" t="n"/>
      <c r="BV68" s="288" t="n"/>
      <c r="BW68" s="37" t="n"/>
      <c r="BX68" s="288" t="n"/>
      <c r="BY68" s="37" t="n"/>
      <c r="BZ68" s="288" t="n"/>
      <c r="CA68" s="37" t="n"/>
      <c r="CB68" s="288" t="n"/>
      <c r="CC68" s="37" t="n"/>
      <c r="CD68" s="288" t="n"/>
      <c r="CE68" s="37" t="n"/>
      <c r="CF68" s="288" t="n"/>
      <c r="CG68" s="291" t="n"/>
      <c r="CH68" s="288" t="n"/>
      <c r="CI68" s="291" t="n"/>
      <c r="CJ68" s="288" t="n"/>
      <c r="CK68" s="291" t="n"/>
      <c r="CL68" s="288" t="n"/>
      <c r="CM68" s="291" t="n"/>
      <c r="CN68" s="288" t="n"/>
      <c r="CO68" s="80" t="n"/>
      <c r="CP68" s="288" t="n"/>
      <c r="CQ68" s="80" t="n"/>
      <c r="CR68" s="288" t="n"/>
      <c r="CS68" s="80" t="n"/>
      <c r="CT68" s="288" t="n"/>
      <c r="CU68" s="80" t="n"/>
      <c r="CV68" s="269" t="n"/>
      <c r="CW68" s="288" t="n"/>
      <c r="CX68" s="37" t="n"/>
      <c r="CY68" s="288" t="n"/>
      <c r="CZ68" s="37" t="n"/>
      <c r="DA68" s="288" t="n"/>
      <c r="DB68" s="37" t="n"/>
      <c r="DC68" s="288" t="n"/>
      <c r="DD68" s="37" t="n"/>
      <c r="DE68" s="295" t="n"/>
      <c r="DF68" s="295" t="n"/>
      <c r="DG68" s="288" t="n"/>
    </row>
    <row r="69">
      <c r="A69" s="428" t="n"/>
      <c r="B69" s="288" t="n"/>
      <c r="C69" s="15" t="n"/>
      <c r="D69" s="15" t="n"/>
      <c r="E69" s="285" t="n"/>
      <c r="F69" s="15" t="n"/>
      <c r="G69" s="15" t="n"/>
      <c r="H69" s="285" t="n"/>
      <c r="I69" s="15" t="n"/>
      <c r="J69" s="15" t="n"/>
      <c r="K69" s="285" t="n"/>
      <c r="L69" s="15" t="n"/>
      <c r="M69" s="15" t="n"/>
      <c r="N69" s="285" t="n"/>
      <c r="O69" s="15" t="n"/>
      <c r="P69" s="15" t="n"/>
      <c r="Q69" s="285" t="n"/>
      <c r="R69" s="15" t="n"/>
      <c r="S69" s="15" t="n"/>
      <c r="T69" s="285" t="n"/>
      <c r="U69" s="15" t="n"/>
      <c r="V69" s="15" t="n"/>
      <c r="W69" s="285" t="n"/>
      <c r="X69" s="15" t="n"/>
      <c r="Y69" s="15" t="n"/>
      <c r="Z69" s="285" t="n"/>
      <c r="AA69" s="15" t="n"/>
      <c r="AB69" s="15" t="n"/>
      <c r="AC69" s="285" t="n"/>
      <c r="AD69" s="15" t="n"/>
      <c r="AE69" s="15" t="n"/>
      <c r="AF69" s="285" t="n"/>
      <c r="AG69" s="15" t="n"/>
      <c r="AH69" s="15" t="n"/>
      <c r="AI69" s="285" t="n"/>
      <c r="AJ69" s="15" t="n"/>
      <c r="AK69" s="15" t="n"/>
      <c r="AL69" s="285" t="n"/>
      <c r="AM69" s="31" t="n"/>
      <c r="AN69" s="15" t="n"/>
      <c r="AO69" s="285" t="n"/>
      <c r="AP69" s="31" t="n"/>
      <c r="AQ69" s="15" t="n"/>
      <c r="AR69" s="285" t="n"/>
      <c r="AS69" s="31" t="n"/>
      <c r="AT69" s="15" t="n"/>
      <c r="AU69" s="285" t="n"/>
      <c r="AV69" s="31" t="n"/>
      <c r="AW69" s="15" t="n"/>
      <c r="AX69" s="285" t="n"/>
      <c r="AY69" s="15" t="n"/>
      <c r="AZ69" s="15" t="n"/>
      <c r="BA69" s="287" t="n"/>
      <c r="BB69" s="37" t="n"/>
      <c r="BC69" s="287" t="n"/>
      <c r="BD69" s="37" t="n"/>
      <c r="BE69" s="287" t="n"/>
      <c r="BF69" s="37" t="n"/>
      <c r="BG69" s="287" t="n"/>
      <c r="BH69" s="37" t="n"/>
      <c r="BI69" s="288" t="n"/>
      <c r="BJ69" s="37" t="n"/>
      <c r="BK69" s="288" t="n"/>
      <c r="BL69" s="37" t="n"/>
      <c r="BM69" s="288" t="n"/>
      <c r="BN69" s="37" t="n"/>
      <c r="BO69" s="288" t="n"/>
      <c r="BP69" s="288" t="n"/>
      <c r="BQ69" s="37" t="n"/>
      <c r="BR69" s="288" t="n"/>
      <c r="BS69" s="37" t="n"/>
      <c r="BT69" s="288" t="n"/>
      <c r="BU69" s="37" t="n"/>
      <c r="BV69" s="288" t="n"/>
      <c r="BW69" s="37" t="n"/>
      <c r="BX69" s="288" t="n"/>
      <c r="BY69" s="37" t="n"/>
      <c r="BZ69" s="288" t="n"/>
      <c r="CA69" s="37" t="n"/>
      <c r="CB69" s="288" t="n"/>
      <c r="CC69" s="37" t="n"/>
      <c r="CD69" s="288" t="n"/>
      <c r="CE69" s="37" t="n"/>
      <c r="CF69" s="288" t="n"/>
      <c r="CG69" s="291" t="n"/>
      <c r="CH69" s="288" t="n"/>
      <c r="CI69" s="291" t="n"/>
      <c r="CJ69" s="288" t="n"/>
      <c r="CK69" s="291" t="n"/>
      <c r="CL69" s="288" t="n"/>
      <c r="CM69" s="291" t="n"/>
      <c r="CN69" s="288" t="n"/>
      <c r="CO69" s="80" t="n"/>
      <c r="CP69" s="288" t="n"/>
      <c r="CQ69" s="80" t="n"/>
      <c r="CR69" s="288" t="n"/>
      <c r="CS69" s="80" t="n"/>
      <c r="CT69" s="288" t="n"/>
      <c r="CU69" s="80" t="n"/>
      <c r="CV69" s="269" t="n"/>
      <c r="CW69" s="288" t="n"/>
      <c r="CX69" s="37" t="n"/>
      <c r="CY69" s="288" t="n"/>
      <c r="CZ69" s="37" t="n"/>
      <c r="DA69" s="288" t="n"/>
      <c r="DB69" s="37" t="n"/>
      <c r="DC69" s="288" t="n"/>
      <c r="DD69" s="37" t="n"/>
      <c r="DE69" s="295" t="n"/>
      <c r="DF69" s="295" t="n"/>
      <c r="DG69" s="288" t="n"/>
    </row>
    <row r="70" ht="15" customHeight="1">
      <c r="A70" s="428" t="n"/>
      <c r="B70" s="288" t="n"/>
      <c r="C70" s="15" t="n"/>
      <c r="D70" s="15" t="n"/>
      <c r="E70" s="285" t="n"/>
      <c r="F70" s="15" t="n"/>
      <c r="G70" s="15" t="n"/>
      <c r="H70" s="285" t="n"/>
      <c r="I70" s="15" t="n"/>
      <c r="J70" s="15" t="n"/>
      <c r="K70" s="285" t="n"/>
      <c r="L70" s="15" t="n"/>
      <c r="M70" s="15" t="n"/>
      <c r="N70" s="285" t="n"/>
      <c r="O70" s="15" t="n"/>
      <c r="P70" s="15" t="n"/>
      <c r="Q70" s="285" t="n"/>
      <c r="R70" s="15" t="n"/>
      <c r="S70" s="15" t="n"/>
      <c r="T70" s="285" t="n"/>
      <c r="U70" s="15" t="n"/>
      <c r="V70" s="15" t="n"/>
      <c r="W70" s="285" t="n"/>
      <c r="X70" s="15" t="n"/>
      <c r="Y70" s="15" t="n"/>
      <c r="Z70" s="285" t="n"/>
      <c r="AA70" s="15" t="n"/>
      <c r="AB70" s="15" t="n"/>
      <c r="AC70" s="285" t="n"/>
      <c r="AD70" s="15" t="n"/>
      <c r="AE70" s="15" t="n"/>
      <c r="AF70" s="285" t="n"/>
      <c r="AG70" s="15" t="n"/>
      <c r="AH70" s="15" t="n"/>
      <c r="AI70" s="285" t="n"/>
      <c r="AJ70" s="15" t="n"/>
      <c r="AK70" s="15" t="n"/>
      <c r="AL70" s="285" t="n"/>
      <c r="AM70" s="31" t="n"/>
      <c r="AN70" s="15" t="n"/>
      <c r="AO70" s="285" t="n"/>
      <c r="AP70" s="31" t="n"/>
      <c r="AQ70" s="15" t="n"/>
      <c r="AR70" s="285" t="n"/>
      <c r="AS70" s="31" t="n"/>
      <c r="AT70" s="15" t="n"/>
      <c r="AU70" s="285" t="n"/>
      <c r="AV70" s="31" t="n"/>
      <c r="AW70" s="15" t="n"/>
      <c r="AX70" s="285" t="n"/>
      <c r="AY70" s="15" t="n"/>
      <c r="AZ70" s="15" t="n"/>
      <c r="BA70" s="287" t="n"/>
      <c r="BB70" s="37" t="n"/>
      <c r="BC70" s="287" t="n"/>
      <c r="BD70" s="37" t="n"/>
      <c r="BE70" s="287" t="n"/>
      <c r="BF70" s="37" t="n"/>
      <c r="BG70" s="287" t="n"/>
      <c r="BH70" s="37" t="n"/>
      <c r="BI70" s="288" t="n"/>
      <c r="BJ70" s="37" t="n"/>
      <c r="BK70" s="288" t="n"/>
      <c r="BL70" s="37" t="n"/>
      <c r="BM70" s="288" t="n"/>
      <c r="BN70" s="37" t="n"/>
      <c r="BO70" s="288" t="n"/>
      <c r="BP70" s="288" t="n"/>
      <c r="BQ70" s="37" t="n"/>
      <c r="BR70" s="288" t="n"/>
      <c r="BS70" s="37" t="n"/>
      <c r="BT70" s="288" t="n"/>
      <c r="BU70" s="37" t="n"/>
      <c r="BV70" s="288" t="n"/>
      <c r="BW70" s="37" t="n"/>
      <c r="BX70" s="288" t="n"/>
      <c r="BY70" s="37" t="n"/>
      <c r="BZ70" s="288" t="n"/>
      <c r="CA70" s="37" t="n"/>
      <c r="CB70" s="288" t="n"/>
      <c r="CC70" s="37" t="n"/>
      <c r="CD70" s="288" t="n"/>
      <c r="CE70" s="37" t="n"/>
      <c r="CF70" s="288" t="n"/>
      <c r="CG70" s="291" t="n"/>
      <c r="CH70" s="288" t="n"/>
      <c r="CI70" s="291" t="n"/>
      <c r="CJ70" s="288" t="n"/>
      <c r="CK70" s="291" t="n"/>
      <c r="CL70" s="288" t="n"/>
      <c r="CM70" s="291" t="n"/>
      <c r="CN70" s="288" t="n"/>
      <c r="CO70" s="80" t="n"/>
      <c r="CP70" s="288" t="n"/>
      <c r="CQ70" s="80" t="n"/>
      <c r="CR70" s="288" t="n"/>
      <c r="CS70" s="80" t="n"/>
      <c r="CT70" s="288" t="n"/>
      <c r="CU70" s="80" t="n"/>
      <c r="CV70" s="269" t="n"/>
      <c r="CW70" s="288" t="n"/>
      <c r="CX70" s="37" t="n"/>
      <c r="CY70" s="288" t="n"/>
      <c r="CZ70" s="37" t="n"/>
      <c r="DA70" s="288" t="n"/>
      <c r="DB70" s="37" t="n"/>
      <c r="DC70" s="288" t="n"/>
      <c r="DD70" s="37" t="n"/>
      <c r="DE70" s="295" t="n"/>
      <c r="DF70" s="295" t="n"/>
      <c r="DG70" s="288" t="n"/>
    </row>
    <row r="71">
      <c r="A71" s="428" t="n"/>
      <c r="B71" s="288" t="n"/>
      <c r="C71" s="15" t="n"/>
      <c r="D71" s="15" t="n"/>
      <c r="E71" s="285" t="n"/>
      <c r="F71" s="15" t="n"/>
      <c r="G71" s="15" t="n"/>
      <c r="H71" s="285" t="n"/>
      <c r="I71" s="15" t="n"/>
      <c r="J71" s="15" t="n"/>
      <c r="K71" s="285" t="n"/>
      <c r="L71" s="15" t="n"/>
      <c r="M71" s="15" t="n"/>
      <c r="N71" s="285" t="n"/>
      <c r="O71" s="15" t="n"/>
      <c r="P71" s="15" t="n"/>
      <c r="Q71" s="285" t="n"/>
      <c r="R71" s="15" t="n"/>
      <c r="S71" s="15" t="n"/>
      <c r="T71" s="285" t="n"/>
      <c r="U71" s="15" t="n"/>
      <c r="V71" s="15" t="n"/>
      <c r="W71" s="285" t="n"/>
      <c r="X71" s="15" t="n"/>
      <c r="Y71" s="15" t="n"/>
      <c r="Z71" s="285" t="n"/>
      <c r="AA71" s="15" t="n"/>
      <c r="AB71" s="15" t="n"/>
      <c r="AC71" s="285" t="n"/>
      <c r="AD71" s="15" t="n"/>
      <c r="AE71" s="15" t="n"/>
      <c r="AF71" s="285" t="n"/>
      <c r="AG71" s="15" t="n"/>
      <c r="AH71" s="15" t="n"/>
      <c r="AI71" s="285" t="n"/>
      <c r="AJ71" s="15" t="n"/>
      <c r="AK71" s="15" t="n"/>
      <c r="AL71" s="285" t="n"/>
      <c r="AM71" s="31" t="n"/>
      <c r="AN71" s="15" t="n"/>
      <c r="AO71" s="285" t="n"/>
      <c r="AP71" s="31" t="n"/>
      <c r="AQ71" s="15" t="n"/>
      <c r="AR71" s="285" t="n"/>
      <c r="AS71" s="31" t="n"/>
      <c r="AT71" s="15" t="n"/>
      <c r="AU71" s="285" t="n"/>
      <c r="AV71" s="31" t="n"/>
      <c r="AW71" s="15" t="n"/>
      <c r="AX71" s="285" t="n"/>
      <c r="AY71" s="15" t="n"/>
      <c r="AZ71" s="15" t="n"/>
      <c r="BA71" s="287" t="n"/>
      <c r="BB71" s="37" t="n"/>
      <c r="BC71" s="287" t="n"/>
      <c r="BD71" s="37" t="n"/>
      <c r="BE71" s="287" t="n"/>
      <c r="BF71" s="37" t="n"/>
      <c r="BG71" s="287" t="n"/>
      <c r="BH71" s="37" t="n"/>
      <c r="BI71" s="288" t="n"/>
      <c r="BJ71" s="37" t="n"/>
      <c r="BK71" s="288" t="n"/>
      <c r="BL71" s="37" t="n"/>
      <c r="BM71" s="288" t="n"/>
      <c r="BN71" s="37" t="n"/>
      <c r="BO71" s="288" t="n"/>
      <c r="BP71" s="288" t="n"/>
      <c r="BQ71" s="37" t="n"/>
      <c r="BR71" s="288" t="n"/>
      <c r="BS71" s="37" t="n"/>
      <c r="BT71" s="288" t="n"/>
      <c r="BU71" s="37" t="n"/>
      <c r="BV71" s="288" t="n"/>
      <c r="BW71" s="37" t="n"/>
      <c r="BX71" s="288" t="n"/>
      <c r="BY71" s="37" t="n"/>
      <c r="BZ71" s="288" t="n"/>
      <c r="CA71" s="37" t="n"/>
      <c r="CB71" s="288" t="n"/>
      <c r="CC71" s="37" t="n"/>
      <c r="CD71" s="288" t="n"/>
      <c r="CE71" s="37" t="n"/>
      <c r="CF71" s="288" t="n"/>
      <c r="CG71" s="291" t="n"/>
      <c r="CH71" s="288" t="n"/>
      <c r="CI71" s="291" t="n"/>
      <c r="CJ71" s="288" t="n"/>
      <c r="CK71" s="291" t="n"/>
      <c r="CL71" s="288" t="n"/>
      <c r="CM71" s="291" t="n"/>
      <c r="CN71" s="288" t="n"/>
      <c r="CO71" s="80" t="n"/>
      <c r="CP71" s="288" t="n"/>
      <c r="CQ71" s="80" t="n"/>
      <c r="CR71" s="288" t="n"/>
      <c r="CS71" s="80" t="n"/>
      <c r="CT71" s="288" t="n"/>
      <c r="CU71" s="80" t="n"/>
      <c r="CV71" s="269" t="n"/>
      <c r="CW71" s="288" t="n"/>
      <c r="CX71" s="37" t="n"/>
      <c r="CY71" s="288" t="n"/>
      <c r="CZ71" s="37" t="n"/>
      <c r="DA71" s="288" t="n"/>
      <c r="DB71" s="37" t="n"/>
      <c r="DC71" s="288" t="n"/>
      <c r="DD71" s="37" t="n"/>
      <c r="DE71" s="295" t="n"/>
      <c r="DF71" s="295" t="n"/>
      <c r="DG71" s="288" t="n"/>
    </row>
    <row r="72">
      <c r="A72" s="428" t="n"/>
      <c r="B72" s="288" t="n"/>
      <c r="C72" s="15" t="n"/>
      <c r="D72" s="15" t="n"/>
      <c r="E72" s="285" t="n"/>
      <c r="F72" s="15" t="n"/>
      <c r="G72" s="15" t="n"/>
      <c r="H72" s="285" t="n"/>
      <c r="I72" s="15" t="n"/>
      <c r="J72" s="15" t="n"/>
      <c r="K72" s="285" t="n"/>
      <c r="L72" s="15" t="n"/>
      <c r="M72" s="15" t="n"/>
      <c r="N72" s="285" t="n"/>
      <c r="O72" s="15" t="n"/>
      <c r="P72" s="15" t="n"/>
      <c r="Q72" s="285" t="n"/>
      <c r="R72" s="15" t="n"/>
      <c r="S72" s="15" t="n"/>
      <c r="T72" s="285" t="n"/>
      <c r="U72" s="15" t="n"/>
      <c r="V72" s="15" t="n"/>
      <c r="W72" s="285" t="n"/>
      <c r="X72" s="15" t="n"/>
      <c r="Y72" s="15" t="n"/>
      <c r="Z72" s="285" t="n"/>
      <c r="AA72" s="15" t="n"/>
      <c r="AB72" s="15" t="n"/>
      <c r="AC72" s="285" t="n"/>
      <c r="AD72" s="15" t="n"/>
      <c r="AE72" s="15" t="n"/>
      <c r="AF72" s="285" t="n"/>
      <c r="AG72" s="15" t="n"/>
      <c r="AH72" s="15" t="n"/>
      <c r="AI72" s="285" t="n"/>
      <c r="AJ72" s="15" t="n"/>
      <c r="AK72" s="15" t="n"/>
      <c r="AL72" s="285" t="n"/>
      <c r="AM72" s="31" t="n"/>
      <c r="AN72" s="15" t="n"/>
      <c r="AO72" s="285" t="n"/>
      <c r="AP72" s="31" t="n"/>
      <c r="AQ72" s="15" t="n"/>
      <c r="AR72" s="285" t="n"/>
      <c r="AS72" s="31" t="n"/>
      <c r="AT72" s="15" t="n"/>
      <c r="AU72" s="285" t="n"/>
      <c r="AV72" s="31" t="n"/>
      <c r="AW72" s="15" t="n"/>
      <c r="AX72" s="285" t="n"/>
      <c r="AY72" s="15" t="n"/>
      <c r="AZ72" s="15" t="n"/>
      <c r="BA72" s="287" t="n"/>
      <c r="BB72" s="37" t="n"/>
      <c r="BC72" s="287" t="n"/>
      <c r="BD72" s="37" t="n"/>
      <c r="BE72" s="287" t="n"/>
      <c r="BF72" s="37" t="n"/>
      <c r="BG72" s="287" t="n"/>
      <c r="BH72" s="37" t="n"/>
      <c r="BI72" s="288" t="n"/>
      <c r="BJ72" s="37" t="n"/>
      <c r="BK72" s="288" t="n"/>
      <c r="BL72" s="37" t="n"/>
      <c r="BM72" s="288" t="n"/>
      <c r="BN72" s="37" t="n"/>
      <c r="BO72" s="288" t="n"/>
      <c r="BP72" s="288" t="n"/>
      <c r="BQ72" s="37" t="n"/>
      <c r="BR72" s="288" t="n"/>
      <c r="BS72" s="37" t="n"/>
      <c r="BT72" s="288" t="n"/>
      <c r="BU72" s="37" t="n"/>
      <c r="BV72" s="288" t="n"/>
      <c r="BW72" s="37" t="n"/>
      <c r="BX72" s="288" t="n"/>
      <c r="BY72" s="37" t="n"/>
      <c r="BZ72" s="288" t="n"/>
      <c r="CA72" s="37" t="n"/>
      <c r="CB72" s="288" t="n"/>
      <c r="CC72" s="37" t="n"/>
      <c r="CD72" s="288" t="n"/>
      <c r="CE72" s="37" t="n"/>
      <c r="CF72" s="288" t="n"/>
      <c r="CG72" s="291" t="n"/>
      <c r="CH72" s="288" t="n"/>
      <c r="CI72" s="291" t="n"/>
      <c r="CJ72" s="288" t="n"/>
      <c r="CK72" s="291" t="n"/>
      <c r="CL72" s="288" t="n"/>
      <c r="CM72" s="291" t="n"/>
      <c r="CN72" s="288" t="n"/>
      <c r="CO72" s="80" t="n"/>
      <c r="CP72" s="288" t="n"/>
      <c r="CQ72" s="80" t="n"/>
      <c r="CR72" s="288" t="n"/>
      <c r="CS72" s="80" t="n"/>
      <c r="CT72" s="288" t="n"/>
      <c r="CU72" s="80" t="n"/>
      <c r="CV72" s="269" t="n"/>
      <c r="CW72" s="288" t="n"/>
      <c r="CX72" s="37" t="n"/>
      <c r="CY72" s="288" t="n"/>
      <c r="CZ72" s="37" t="n"/>
      <c r="DA72" s="288" t="n"/>
      <c r="DB72" s="37" t="n"/>
      <c r="DC72" s="288" t="n"/>
      <c r="DD72" s="37" t="n"/>
      <c r="DE72" s="295" t="n"/>
      <c r="DF72" s="295" t="n"/>
      <c r="DG72" s="288" t="n"/>
    </row>
    <row r="73">
      <c r="A73" s="428" t="n"/>
      <c r="B73" s="288" t="n"/>
      <c r="C73" s="15" t="n"/>
      <c r="D73" s="15" t="n"/>
      <c r="E73" s="285" t="n"/>
      <c r="F73" s="15" t="n"/>
      <c r="G73" s="15" t="n"/>
      <c r="H73" s="285" t="n"/>
      <c r="I73" s="15" t="n"/>
      <c r="J73" s="15" t="n"/>
      <c r="K73" s="285" t="n"/>
      <c r="L73" s="15" t="n"/>
      <c r="M73" s="15" t="n"/>
      <c r="N73" s="285" t="n"/>
      <c r="O73" s="15" t="n"/>
      <c r="P73" s="15" t="n"/>
      <c r="Q73" s="285" t="n"/>
      <c r="R73" s="15" t="n"/>
      <c r="S73" s="15" t="n"/>
      <c r="T73" s="285" t="n"/>
      <c r="U73" s="15" t="n"/>
      <c r="V73" s="15" t="n"/>
      <c r="W73" s="285" t="n"/>
      <c r="X73" s="15" t="n"/>
      <c r="Y73" s="15" t="n"/>
      <c r="Z73" s="285" t="n"/>
      <c r="AA73" s="15" t="n"/>
      <c r="AB73" s="15" t="n"/>
      <c r="AC73" s="285" t="n"/>
      <c r="AD73" s="15" t="n"/>
      <c r="AE73" s="15" t="n"/>
      <c r="AF73" s="285" t="n"/>
      <c r="AG73" s="15" t="n"/>
      <c r="AH73" s="15" t="n"/>
      <c r="AI73" s="285" t="n"/>
      <c r="AJ73" s="15" t="n"/>
      <c r="AK73" s="15" t="n"/>
      <c r="AL73" s="285" t="n"/>
      <c r="AM73" s="31" t="n"/>
      <c r="AN73" s="15" t="n"/>
      <c r="AO73" s="285" t="n"/>
      <c r="AP73" s="31" t="n"/>
      <c r="AQ73" s="15" t="n"/>
      <c r="AR73" s="285" t="n"/>
      <c r="AS73" s="31" t="n"/>
      <c r="AT73" s="15" t="n"/>
      <c r="AU73" s="285" t="n"/>
      <c r="AV73" s="31" t="n"/>
      <c r="AW73" s="15" t="n"/>
      <c r="AX73" s="285" t="n"/>
      <c r="AY73" s="15" t="n"/>
      <c r="AZ73" s="15" t="n"/>
      <c r="BA73" s="287" t="n"/>
      <c r="BB73" s="37" t="n"/>
      <c r="BC73" s="287" t="n"/>
      <c r="BD73" s="37" t="n"/>
      <c r="BE73" s="287" t="n"/>
      <c r="BF73" s="37" t="n"/>
      <c r="BG73" s="287" t="n"/>
      <c r="BH73" s="37" t="n"/>
      <c r="BI73" s="288" t="n"/>
      <c r="BJ73" s="37" t="n"/>
      <c r="BK73" s="288" t="n"/>
      <c r="BL73" s="37" t="n"/>
      <c r="BM73" s="288" t="n"/>
      <c r="BN73" s="37" t="n"/>
      <c r="BO73" s="288" t="n"/>
      <c r="BP73" s="288" t="n"/>
      <c r="BQ73" s="37" t="n"/>
      <c r="BR73" s="288" t="n"/>
      <c r="BS73" s="37" t="n"/>
      <c r="BT73" s="288" t="n"/>
      <c r="BU73" s="37" t="n"/>
      <c r="BV73" s="288" t="n"/>
      <c r="BW73" s="37" t="n"/>
      <c r="BX73" s="288" t="n"/>
      <c r="BY73" s="37" t="n"/>
      <c r="BZ73" s="288" t="n"/>
      <c r="CA73" s="37" t="n"/>
      <c r="CB73" s="288" t="n"/>
      <c r="CC73" s="37" t="n"/>
      <c r="CD73" s="288" t="n"/>
      <c r="CE73" s="37" t="n"/>
      <c r="CF73" s="288" t="n"/>
      <c r="CG73" s="291" t="n"/>
      <c r="CH73" s="288" t="n"/>
      <c r="CI73" s="291" t="n"/>
      <c r="CJ73" s="288" t="n"/>
      <c r="CK73" s="291" t="n"/>
      <c r="CL73" s="288" t="n"/>
      <c r="CM73" s="291" t="n"/>
      <c r="CN73" s="288" t="n"/>
      <c r="CO73" s="80" t="n"/>
      <c r="CP73" s="288" t="n"/>
      <c r="CQ73" s="80" t="n"/>
      <c r="CR73" s="288" t="n"/>
      <c r="CS73" s="80" t="n"/>
      <c r="CT73" s="288" t="n"/>
      <c r="CU73" s="80" t="n"/>
      <c r="CV73" s="269" t="n"/>
      <c r="CW73" s="288" t="n"/>
      <c r="CX73" s="37" t="n"/>
      <c r="CY73" s="288" t="n"/>
      <c r="CZ73" s="37" t="n"/>
      <c r="DA73" s="288" t="n"/>
      <c r="DB73" s="37" t="n"/>
      <c r="DC73" s="288" t="n"/>
      <c r="DD73" s="37" t="n"/>
      <c r="DE73" s="295" t="n"/>
      <c r="DF73" s="295" t="n"/>
      <c r="DG73" s="288" t="n"/>
    </row>
    <row r="74">
      <c r="A74" s="428" t="n"/>
      <c r="B74" s="288" t="n"/>
      <c r="C74" s="15" t="n"/>
      <c r="D74" s="15" t="n"/>
      <c r="E74" s="285" t="n"/>
      <c r="F74" s="15" t="n"/>
      <c r="G74" s="15" t="n"/>
      <c r="H74" s="285" t="n"/>
      <c r="I74" s="15" t="n"/>
      <c r="J74" s="15" t="n"/>
      <c r="K74" s="285" t="n"/>
      <c r="L74" s="15" t="n"/>
      <c r="M74" s="15" t="n"/>
      <c r="N74" s="285" t="n"/>
      <c r="O74" s="15" t="n"/>
      <c r="P74" s="15" t="n"/>
      <c r="Q74" s="285" t="n"/>
      <c r="R74" s="15" t="n"/>
      <c r="S74" s="15" t="n"/>
      <c r="T74" s="285" t="n"/>
      <c r="U74" s="15" t="n"/>
      <c r="V74" s="15" t="n"/>
      <c r="W74" s="285" t="n"/>
      <c r="X74" s="15" t="n"/>
      <c r="Y74" s="15" t="n"/>
      <c r="Z74" s="285" t="n"/>
      <c r="AA74" s="15" t="n"/>
      <c r="AB74" s="15" t="n"/>
      <c r="AC74" s="285" t="n"/>
      <c r="AD74" s="15" t="n"/>
      <c r="AE74" s="15" t="n"/>
      <c r="AF74" s="285" t="n"/>
      <c r="AG74" s="15" t="n"/>
      <c r="AH74" s="15" t="n"/>
      <c r="AI74" s="285" t="n"/>
      <c r="AJ74" s="15" t="n"/>
      <c r="AK74" s="15" t="n"/>
      <c r="AL74" s="285" t="n"/>
      <c r="AM74" s="31" t="n"/>
      <c r="AN74" s="15" t="n"/>
      <c r="AO74" s="285" t="n"/>
      <c r="AP74" s="31" t="n"/>
      <c r="AQ74" s="15" t="n"/>
      <c r="AR74" s="285" t="n"/>
      <c r="AS74" s="31" t="n"/>
      <c r="AT74" s="15" t="n"/>
      <c r="AU74" s="285" t="n"/>
      <c r="AV74" s="31" t="n"/>
      <c r="AW74" s="15" t="n"/>
      <c r="AX74" s="285" t="n"/>
      <c r="AY74" s="15" t="n"/>
      <c r="AZ74" s="15" t="n"/>
      <c r="BA74" s="287" t="n"/>
      <c r="BB74" s="37" t="n"/>
      <c r="BC74" s="287" t="n"/>
      <c r="BD74" s="37" t="n"/>
      <c r="BE74" s="287" t="n"/>
      <c r="BF74" s="37" t="n"/>
      <c r="BG74" s="287" t="n"/>
      <c r="BH74" s="37" t="n"/>
      <c r="BI74" s="288" t="n"/>
      <c r="BJ74" s="37" t="n"/>
      <c r="BK74" s="288" t="n"/>
      <c r="BL74" s="37" t="n"/>
      <c r="BM74" s="288" t="n"/>
      <c r="BN74" s="37" t="n"/>
      <c r="BO74" s="288" t="n"/>
      <c r="BP74" s="288" t="n"/>
      <c r="BQ74" s="37" t="n"/>
      <c r="BR74" s="288" t="n"/>
      <c r="BS74" s="37" t="n"/>
      <c r="BT74" s="288" t="n"/>
      <c r="BU74" s="37" t="n"/>
      <c r="BV74" s="288" t="n"/>
      <c r="BW74" s="37" t="n"/>
      <c r="BX74" s="288" t="n"/>
      <c r="BY74" s="37" t="n"/>
      <c r="BZ74" s="288" t="n"/>
      <c r="CA74" s="37" t="n"/>
      <c r="CB74" s="288" t="n"/>
      <c r="CC74" s="37" t="n"/>
      <c r="CD74" s="288" t="n"/>
      <c r="CE74" s="37" t="n"/>
      <c r="CF74" s="288" t="n"/>
      <c r="CG74" s="291" t="n"/>
      <c r="CH74" s="288" t="n"/>
      <c r="CI74" s="291" t="n"/>
      <c r="CJ74" s="288" t="n"/>
      <c r="CK74" s="291" t="n"/>
      <c r="CL74" s="288" t="n"/>
      <c r="CM74" s="291" t="n"/>
      <c r="CN74" s="288" t="n"/>
      <c r="CO74" s="80" t="n"/>
      <c r="CP74" s="288" t="n"/>
      <c r="CQ74" s="80" t="n"/>
      <c r="CR74" s="288" t="n"/>
      <c r="CS74" s="80" t="n"/>
      <c r="CT74" s="288" t="n"/>
      <c r="CU74" s="80" t="n"/>
      <c r="CV74" s="269" t="n"/>
      <c r="CW74" s="288" t="n"/>
      <c r="CX74" s="37" t="n"/>
      <c r="CY74" s="288" t="n"/>
      <c r="CZ74" s="37" t="n"/>
      <c r="DA74" s="288" t="n"/>
      <c r="DB74" s="37" t="n"/>
      <c r="DC74" s="288" t="n"/>
      <c r="DD74" s="37" t="n"/>
      <c r="DE74" s="295" t="n"/>
      <c r="DF74" s="295" t="n"/>
      <c r="DG74" s="288" t="n"/>
    </row>
    <row r="75">
      <c r="A75" s="428" t="n"/>
      <c r="B75" s="288" t="n"/>
      <c r="C75" s="15" t="n"/>
      <c r="D75" s="15" t="n"/>
      <c r="E75" s="285" t="n"/>
      <c r="F75" s="15" t="n"/>
      <c r="G75" s="15" t="n"/>
      <c r="H75" s="285" t="n"/>
      <c r="I75" s="15" t="n"/>
      <c r="J75" s="15" t="n"/>
      <c r="K75" s="285" t="n"/>
      <c r="L75" s="15" t="n"/>
      <c r="M75" s="15" t="n"/>
      <c r="N75" s="285" t="n"/>
      <c r="O75" s="15" t="n"/>
      <c r="P75" s="15" t="n"/>
      <c r="Q75" s="285" t="n"/>
      <c r="R75" s="15" t="n"/>
      <c r="S75" s="15" t="n"/>
      <c r="T75" s="285" t="n"/>
      <c r="U75" s="15" t="n"/>
      <c r="V75" s="15" t="n"/>
      <c r="W75" s="285" t="n"/>
      <c r="X75" s="15" t="n"/>
      <c r="Y75" s="15" t="n"/>
      <c r="Z75" s="285" t="n"/>
      <c r="AA75" s="15" t="n"/>
      <c r="AB75" s="15" t="n"/>
      <c r="AC75" s="285" t="n"/>
      <c r="AD75" s="15" t="n"/>
      <c r="AE75" s="15" t="n"/>
      <c r="AF75" s="285" t="n"/>
      <c r="AG75" s="15" t="n"/>
      <c r="AH75" s="15" t="n"/>
      <c r="AI75" s="285" t="n"/>
      <c r="AJ75" s="15" t="n"/>
      <c r="AK75" s="15" t="n"/>
      <c r="AL75" s="285" t="n"/>
      <c r="AM75" s="31" t="n"/>
      <c r="AN75" s="15" t="n"/>
      <c r="AO75" s="285" t="n"/>
      <c r="AP75" s="31" t="n"/>
      <c r="AQ75" s="15" t="n"/>
      <c r="AR75" s="285" t="n"/>
      <c r="AS75" s="31" t="n"/>
      <c r="AT75" s="15" t="n"/>
      <c r="AU75" s="285" t="n"/>
      <c r="AV75" s="31" t="n"/>
      <c r="AW75" s="15" t="n"/>
      <c r="AX75" s="285" t="n"/>
      <c r="AY75" s="15" t="n"/>
      <c r="AZ75" s="15" t="n"/>
      <c r="BA75" s="287" t="n"/>
      <c r="BB75" s="37" t="n"/>
      <c r="BC75" s="287" t="n"/>
      <c r="BD75" s="37" t="n"/>
      <c r="BE75" s="287" t="n"/>
      <c r="BF75" s="37" t="n"/>
      <c r="BG75" s="287" t="n"/>
      <c r="BH75" s="37" t="n"/>
      <c r="BI75" s="288" t="n"/>
      <c r="BJ75" s="37" t="n"/>
      <c r="BK75" s="288" t="n"/>
      <c r="BL75" s="37" t="n"/>
      <c r="BM75" s="288" t="n"/>
      <c r="BN75" s="37" t="n"/>
      <c r="BO75" s="288" t="n"/>
      <c r="BP75" s="288" t="n"/>
      <c r="BQ75" s="37" t="n"/>
      <c r="BR75" s="288" t="n"/>
      <c r="BS75" s="37" t="n"/>
      <c r="BT75" s="288" t="n"/>
      <c r="BU75" s="37" t="n"/>
      <c r="BV75" s="288" t="n"/>
      <c r="BW75" s="37" t="n"/>
      <c r="BX75" s="288" t="n"/>
      <c r="BY75" s="37" t="n"/>
      <c r="BZ75" s="288" t="n"/>
      <c r="CA75" s="37" t="n"/>
      <c r="CB75" s="288" t="n"/>
      <c r="CC75" s="37" t="n"/>
      <c r="CD75" s="288" t="n"/>
      <c r="CE75" s="37" t="n"/>
      <c r="CF75" s="288" t="n"/>
      <c r="CG75" s="291" t="n"/>
      <c r="CH75" s="288" t="n"/>
      <c r="CI75" s="291" t="n"/>
      <c r="CJ75" s="288" t="n"/>
      <c r="CK75" s="291" t="n"/>
      <c r="CL75" s="288" t="n"/>
      <c r="CM75" s="291" t="n"/>
      <c r="CN75" s="288" t="n"/>
      <c r="CO75" s="80" t="n"/>
      <c r="CP75" s="288" t="n"/>
      <c r="CQ75" s="80" t="n"/>
      <c r="CR75" s="288" t="n"/>
      <c r="CS75" s="80" t="n"/>
      <c r="CT75" s="288" t="n"/>
      <c r="CU75" s="80" t="n"/>
      <c r="CV75" s="269" t="n"/>
      <c r="CW75" s="288" t="n"/>
      <c r="CX75" s="37" t="n"/>
      <c r="CY75" s="288" t="n"/>
      <c r="CZ75" s="37" t="n"/>
      <c r="DA75" s="288" t="n"/>
      <c r="DB75" s="37" t="n"/>
      <c r="DC75" s="288" t="n"/>
      <c r="DD75" s="37" t="n"/>
      <c r="DE75" s="295" t="n"/>
      <c r="DF75" s="295" t="n"/>
      <c r="DG75" s="288" t="n"/>
    </row>
    <row r="76" customFormat="1" s="40">
      <c r="A76" s="330" t="n"/>
      <c r="B76" s="288" t="n"/>
      <c r="C76" s="15" t="n"/>
      <c r="D76" s="15" t="n"/>
      <c r="E76" s="292" t="n"/>
      <c r="F76" s="15" t="n"/>
      <c r="G76" s="15" t="n"/>
      <c r="H76" s="292" t="n"/>
      <c r="I76" s="15" t="n"/>
      <c r="J76" s="15" t="n"/>
      <c r="K76" s="292" t="n"/>
      <c r="L76" s="15" t="n"/>
      <c r="M76" s="15" t="n"/>
      <c r="N76" s="292" t="n"/>
      <c r="O76" s="15" t="n"/>
      <c r="P76" s="15" t="n"/>
      <c r="Q76" s="292" t="n"/>
      <c r="R76" s="15" t="n"/>
      <c r="S76" s="15" t="n"/>
      <c r="T76" s="292" t="n"/>
      <c r="U76" s="15" t="n"/>
      <c r="V76" s="15" t="n"/>
      <c r="W76" s="292" t="n"/>
      <c r="X76" s="15" t="n"/>
      <c r="Y76" s="15" t="n"/>
      <c r="Z76" s="292" t="n"/>
      <c r="AA76" s="15" t="n"/>
      <c r="AB76" s="15" t="n"/>
      <c r="AC76" s="292" t="n"/>
      <c r="AD76" s="15" t="n"/>
      <c r="AE76" s="15" t="n"/>
      <c r="AF76" s="292" t="n"/>
      <c r="AG76" s="15" t="n"/>
      <c r="AH76" s="15" t="n"/>
      <c r="AI76" s="292" t="n"/>
      <c r="AJ76" s="15" t="n"/>
      <c r="AK76" s="15" t="n"/>
      <c r="AL76" s="292" t="n"/>
      <c r="AM76" s="31" t="n"/>
      <c r="AN76" s="15" t="n"/>
      <c r="AO76" s="292" t="n"/>
      <c r="AP76" s="31" t="n"/>
      <c r="AQ76" s="15" t="n"/>
      <c r="AR76" s="292" t="n"/>
      <c r="AS76" s="31" t="n"/>
      <c r="AT76" s="15" t="n"/>
      <c r="AU76" s="292" t="n"/>
      <c r="AV76" s="31" t="n"/>
      <c r="AW76" s="15" t="n"/>
      <c r="AX76" s="292" t="n"/>
      <c r="AY76" s="15" t="n"/>
      <c r="AZ76" s="15" t="n"/>
      <c r="BA76" s="291" t="n"/>
      <c r="BB76" s="37" t="n"/>
      <c r="BC76" s="291" t="n"/>
      <c r="BD76" s="37" t="n"/>
      <c r="BE76" s="291" t="n"/>
      <c r="BF76" s="37" t="n"/>
      <c r="BG76" s="291" t="n"/>
      <c r="BH76" s="37" t="n"/>
      <c r="BI76" s="291" t="n"/>
      <c r="BJ76" s="37" t="n"/>
      <c r="BK76" s="291" t="n"/>
      <c r="BL76" s="37" t="n"/>
      <c r="BM76" s="291" t="n"/>
      <c r="BN76" s="37" t="n"/>
      <c r="BO76" s="291" t="n"/>
      <c r="BP76" s="291" t="n"/>
      <c r="BQ76" s="37" t="n"/>
      <c r="BR76" s="291" t="n"/>
      <c r="BS76" s="37" t="n"/>
      <c r="BT76" s="291" t="n"/>
      <c r="BU76" s="37" t="n"/>
      <c r="BV76" s="291" t="n"/>
      <c r="BW76" s="37" t="n"/>
      <c r="BX76" s="291" t="n"/>
      <c r="BY76" s="37" t="n"/>
      <c r="BZ76" s="291" t="n"/>
      <c r="CA76" s="37" t="n"/>
      <c r="CB76" s="291" t="n"/>
      <c r="CC76" s="37" t="n"/>
      <c r="CD76" s="291" t="n"/>
      <c r="CE76" s="37" t="n"/>
      <c r="CF76" s="291" t="n"/>
      <c r="CG76" s="291" t="n"/>
      <c r="CH76" s="291" t="n"/>
      <c r="CI76" s="291" t="n"/>
      <c r="CJ76" s="291" t="n"/>
      <c r="CK76" s="291" t="n"/>
      <c r="CL76" s="291" t="n"/>
      <c r="CM76" s="291" t="n"/>
      <c r="CN76" s="291" t="n"/>
      <c r="CO76" s="80" t="n"/>
      <c r="CP76" s="291" t="n"/>
      <c r="CQ76" s="80" t="n"/>
      <c r="CR76" s="291" t="n"/>
      <c r="CS76" s="80" t="n"/>
      <c r="CT76" s="291" t="n"/>
      <c r="CU76" s="80" t="n"/>
      <c r="CW76" s="291" t="n"/>
      <c r="CX76" s="37" t="n"/>
      <c r="CY76" s="291" t="n"/>
      <c r="CZ76" s="37" t="n"/>
      <c r="DA76" s="291" t="n"/>
      <c r="DB76" s="37" t="n"/>
      <c r="DC76" s="291" t="n"/>
      <c r="DD76" s="37" t="n"/>
      <c r="DE76" s="311" t="n"/>
      <c r="DF76" s="311" t="n"/>
    </row>
    <row r="77">
      <c r="A77" s="428" t="n"/>
      <c r="B77" s="288" t="n"/>
      <c r="C77" s="15" t="n"/>
      <c r="D77" s="15" t="n"/>
      <c r="E77" s="285" t="n"/>
      <c r="F77" s="15" t="n"/>
      <c r="G77" s="15" t="n"/>
      <c r="H77" s="285" t="n"/>
      <c r="I77" s="15" t="n"/>
      <c r="J77" s="15" t="n"/>
      <c r="K77" s="285" t="n"/>
      <c r="L77" s="15" t="n"/>
      <c r="M77" s="15" t="n"/>
      <c r="N77" s="285" t="n"/>
      <c r="O77" s="15" t="n"/>
      <c r="P77" s="15" t="n"/>
      <c r="Q77" s="285" t="n"/>
      <c r="R77" s="15" t="n"/>
      <c r="S77" s="15" t="n"/>
      <c r="T77" s="285" t="n"/>
      <c r="U77" s="15" t="n"/>
      <c r="V77" s="15" t="n"/>
      <c r="W77" s="285" t="n"/>
      <c r="X77" s="15" t="n"/>
      <c r="Y77" s="15" t="n"/>
      <c r="Z77" s="285" t="n"/>
      <c r="AA77" s="15" t="n"/>
      <c r="AB77" s="15" t="n"/>
      <c r="AC77" s="285" t="n"/>
      <c r="AD77" s="15" t="n"/>
      <c r="AE77" s="15" t="n"/>
      <c r="AF77" s="285" t="n"/>
      <c r="AG77" s="15" t="n"/>
      <c r="AH77" s="15" t="n"/>
      <c r="AI77" s="285" t="n"/>
      <c r="AJ77" s="15" t="n"/>
      <c r="AK77" s="15" t="n"/>
      <c r="AL77" s="285" t="n"/>
      <c r="AM77" s="31" t="n"/>
      <c r="AN77" s="15" t="n"/>
      <c r="AO77" s="285" t="n"/>
      <c r="AP77" s="31" t="n"/>
      <c r="AQ77" s="15" t="n"/>
      <c r="AR77" s="285" t="n"/>
      <c r="AS77" s="31" t="n"/>
      <c r="AT77" s="15" t="n"/>
      <c r="AU77" s="285" t="n"/>
      <c r="AV77" s="31" t="n"/>
      <c r="AW77" s="15" t="n"/>
      <c r="AX77" s="285" t="n"/>
      <c r="AY77" s="15" t="n"/>
      <c r="AZ77" s="15" t="n"/>
      <c r="BA77" s="287" t="n"/>
      <c r="BB77" s="37" t="n"/>
      <c r="BC77" s="287" t="n"/>
      <c r="BD77" s="37" t="n"/>
      <c r="BE77" s="287" t="n"/>
      <c r="BF77" s="37" t="n"/>
      <c r="BG77" s="287" t="n"/>
      <c r="BH77" s="37" t="n"/>
      <c r="BI77" s="288" t="n"/>
      <c r="BJ77" s="37" t="n"/>
      <c r="BK77" s="288" t="n"/>
      <c r="BL77" s="37" t="n"/>
      <c r="BM77" s="288" t="n"/>
      <c r="BN77" s="37" t="n"/>
      <c r="BO77" s="288" t="n"/>
      <c r="BP77" s="288" t="n"/>
      <c r="BQ77" s="37" t="n"/>
      <c r="BR77" s="288" t="n"/>
      <c r="BS77" s="37" t="n"/>
      <c r="BT77" s="288" t="n"/>
      <c r="BU77" s="37" t="n"/>
      <c r="BV77" s="288" t="n"/>
      <c r="BW77" s="37" t="n"/>
      <c r="BX77" s="288" t="n"/>
      <c r="BY77" s="37" t="n"/>
      <c r="BZ77" s="288" t="n"/>
      <c r="CA77" s="37" t="n"/>
      <c r="CB77" s="288" t="n"/>
      <c r="CC77" s="37" t="n"/>
      <c r="CD77" s="288" t="n"/>
      <c r="CE77" s="37" t="n"/>
      <c r="CF77" s="288" t="n"/>
      <c r="CG77" s="291" t="n"/>
      <c r="CH77" s="288" t="n"/>
      <c r="CI77" s="291" t="n"/>
      <c r="CJ77" s="288" t="n"/>
      <c r="CK77" s="291" t="n"/>
      <c r="CL77" s="288" t="n"/>
      <c r="CM77" s="291" t="n"/>
      <c r="CN77" s="288" t="n"/>
      <c r="CO77" s="80" t="n"/>
      <c r="CP77" s="288" t="n"/>
      <c r="CQ77" s="80" t="n"/>
      <c r="CR77" s="288" t="n"/>
      <c r="CS77" s="80" t="n"/>
      <c r="CT77" s="288" t="n"/>
      <c r="CU77" s="80" t="n"/>
      <c r="CV77" s="269" t="n"/>
      <c r="CW77" s="288" t="n"/>
      <c r="CX77" s="37" t="n"/>
      <c r="CY77" s="288" t="n"/>
      <c r="CZ77" s="37" t="n"/>
      <c r="DA77" s="288" t="n"/>
      <c r="DB77" s="37" t="n"/>
      <c r="DC77" s="288" t="n"/>
      <c r="DD77" s="37" t="n"/>
      <c r="DE77" s="295" t="n"/>
      <c r="DF77" s="295" t="n"/>
      <c r="DG77" s="288" t="n"/>
    </row>
    <row r="78">
      <c r="A78" s="428" t="n"/>
      <c r="B78" s="288" t="n"/>
      <c r="C78" s="15" t="n"/>
      <c r="D78" s="15" t="n"/>
      <c r="E78" s="285" t="n"/>
      <c r="F78" s="15" t="n"/>
      <c r="G78" s="15" t="n"/>
      <c r="H78" s="285" t="n"/>
      <c r="I78" s="15" t="n"/>
      <c r="J78" s="15" t="n"/>
      <c r="K78" s="285" t="n"/>
      <c r="L78" s="15" t="n"/>
      <c r="M78" s="15" t="n"/>
      <c r="N78" s="285" t="n"/>
      <c r="O78" s="15" t="n"/>
      <c r="P78" s="15" t="n"/>
      <c r="Q78" s="285" t="n"/>
      <c r="R78" s="15" t="n"/>
      <c r="S78" s="15" t="n"/>
      <c r="T78" s="285" t="n"/>
      <c r="U78" s="15" t="n"/>
      <c r="V78" s="15" t="n"/>
      <c r="W78" s="285" t="n"/>
      <c r="X78" s="15" t="n"/>
      <c r="Y78" s="15" t="n"/>
      <c r="Z78" s="285" t="n"/>
      <c r="AA78" s="15" t="n"/>
      <c r="AB78" s="15" t="n"/>
      <c r="AC78" s="285" t="n"/>
      <c r="AD78" s="15" t="n"/>
      <c r="AE78" s="15" t="n"/>
      <c r="AF78" s="285" t="n"/>
      <c r="AG78" s="15" t="n"/>
      <c r="AH78" s="15" t="n"/>
      <c r="AI78" s="285" t="n"/>
      <c r="AJ78" s="15" t="n"/>
      <c r="AK78" s="15" t="n"/>
      <c r="AL78" s="285" t="n"/>
      <c r="AM78" s="31" t="n"/>
      <c r="AN78" s="15" t="n"/>
      <c r="AO78" s="285" t="n"/>
      <c r="AP78" s="31" t="n"/>
      <c r="AQ78" s="15" t="n"/>
      <c r="AR78" s="285" t="n"/>
      <c r="AS78" s="31" t="n"/>
      <c r="AT78" s="15" t="n"/>
      <c r="AU78" s="285" t="n"/>
      <c r="AV78" s="31" t="n"/>
      <c r="AW78" s="15" t="n"/>
      <c r="AX78" s="285" t="n"/>
      <c r="AY78" s="15" t="n"/>
      <c r="AZ78" s="15" t="n"/>
      <c r="BA78" s="287" t="n"/>
      <c r="BB78" s="37" t="n"/>
      <c r="BC78" s="287" t="n"/>
      <c r="BD78" s="37" t="n"/>
      <c r="BE78" s="287" t="n"/>
      <c r="BF78" s="37" t="n"/>
      <c r="BG78" s="287" t="n"/>
      <c r="BH78" s="37" t="n"/>
      <c r="BI78" s="288" t="n"/>
      <c r="BJ78" s="37" t="n"/>
      <c r="BK78" s="288" t="n"/>
      <c r="BL78" s="37" t="n"/>
      <c r="BM78" s="288" t="n"/>
      <c r="BN78" s="37" t="n"/>
      <c r="BO78" s="288" t="n"/>
      <c r="BP78" s="288" t="n"/>
      <c r="BQ78" s="37" t="n"/>
      <c r="BR78" s="288" t="n"/>
      <c r="BS78" s="37" t="n"/>
      <c r="BT78" s="288" t="n"/>
      <c r="BU78" s="37" t="n"/>
      <c r="BV78" s="288" t="n"/>
      <c r="BW78" s="37" t="n"/>
      <c r="BX78" s="288" t="n"/>
      <c r="BY78" s="37" t="n"/>
      <c r="BZ78" s="288" t="n"/>
      <c r="CA78" s="37" t="n"/>
      <c r="CB78" s="288" t="n"/>
      <c r="CC78" s="37" t="n"/>
      <c r="CD78" s="288" t="n"/>
      <c r="CE78" s="37" t="n"/>
      <c r="CF78" s="288" t="n"/>
      <c r="CG78" s="291" t="n"/>
      <c r="CH78" s="288" t="n"/>
      <c r="CI78" s="291" t="n"/>
      <c r="CJ78" s="288" t="n"/>
      <c r="CK78" s="291" t="n"/>
      <c r="CL78" s="288" t="n"/>
      <c r="CM78" s="291" t="n"/>
      <c r="CN78" s="288" t="n"/>
      <c r="CO78" s="80" t="n"/>
      <c r="CP78" s="288" t="n"/>
      <c r="CQ78" s="80" t="n"/>
      <c r="CR78" s="288" t="n"/>
      <c r="CS78" s="80" t="n"/>
      <c r="CT78" s="288" t="n"/>
      <c r="CU78" s="80" t="n"/>
      <c r="CV78" s="269" t="n"/>
      <c r="CW78" s="288" t="n"/>
      <c r="CX78" s="37" t="n"/>
      <c r="CY78" s="288" t="n"/>
      <c r="CZ78" s="37" t="n"/>
      <c r="DA78" s="288" t="n"/>
      <c r="DB78" s="37" t="n"/>
      <c r="DC78" s="288" t="n"/>
      <c r="DD78" s="37" t="n"/>
      <c r="DE78" s="295" t="n"/>
      <c r="DF78" s="295" t="n"/>
      <c r="DG78" s="288" t="n"/>
    </row>
    <row r="79">
      <c r="A79" s="428" t="n"/>
      <c r="B79" s="288" t="n"/>
      <c r="C79" s="15" t="n"/>
      <c r="D79" s="15" t="n"/>
      <c r="E79" s="285" t="n"/>
      <c r="F79" s="15" t="n"/>
      <c r="G79" s="15" t="n"/>
      <c r="H79" s="285" t="n"/>
      <c r="I79" s="15" t="n"/>
      <c r="J79" s="15" t="n"/>
      <c r="K79" s="285" t="n"/>
      <c r="L79" s="15" t="n"/>
      <c r="M79" s="15" t="n"/>
      <c r="N79" s="285" t="n"/>
      <c r="O79" s="15" t="n"/>
      <c r="P79" s="15" t="n"/>
      <c r="Q79" s="285" t="n"/>
      <c r="R79" s="15" t="n"/>
      <c r="S79" s="15" t="n"/>
      <c r="T79" s="285" t="n"/>
      <c r="U79" s="15" t="n"/>
      <c r="V79" s="15" t="n"/>
      <c r="W79" s="285" t="n"/>
      <c r="X79" s="15" t="n"/>
      <c r="Y79" s="15" t="n"/>
      <c r="Z79" s="285" t="n"/>
      <c r="AA79" s="15" t="n"/>
      <c r="AB79" s="15" t="n"/>
      <c r="AC79" s="285" t="n"/>
      <c r="AD79" s="15" t="n"/>
      <c r="AE79" s="15" t="n"/>
      <c r="AF79" s="285" t="n"/>
      <c r="AG79" s="15" t="n"/>
      <c r="AH79" s="15" t="n"/>
      <c r="AI79" s="285" t="n"/>
      <c r="AJ79" s="15" t="n"/>
      <c r="AK79" s="15" t="n"/>
      <c r="AL79" s="285" t="n"/>
      <c r="AM79" s="31" t="n"/>
      <c r="AN79" s="15" t="n"/>
      <c r="AO79" s="285" t="n"/>
      <c r="AP79" s="31" t="n"/>
      <c r="AQ79" s="15" t="n"/>
      <c r="AR79" s="285" t="n"/>
      <c r="AS79" s="31" t="n"/>
      <c r="AT79" s="15" t="n"/>
      <c r="AU79" s="285" t="n"/>
      <c r="AV79" s="31" t="n"/>
      <c r="AW79" s="15" t="n"/>
      <c r="AX79" s="285" t="n"/>
      <c r="AY79" s="15" t="n"/>
      <c r="AZ79" s="15" t="n"/>
      <c r="BA79" s="287" t="n"/>
      <c r="BB79" s="37" t="n"/>
      <c r="BC79" s="287" t="n"/>
      <c r="BD79" s="37" t="n"/>
      <c r="BE79" s="287" t="n"/>
      <c r="BF79" s="37" t="n"/>
      <c r="BG79" s="287" t="n"/>
      <c r="BH79" s="37" t="n"/>
      <c r="BI79" s="288" t="n"/>
      <c r="BJ79" s="37" t="n"/>
      <c r="BK79" s="288" t="n"/>
      <c r="BL79" s="37" t="n"/>
      <c r="BM79" s="288" t="n"/>
      <c r="BN79" s="37" t="n"/>
      <c r="BO79" s="288" t="n"/>
      <c r="BP79" s="288" t="n"/>
      <c r="BQ79" s="37" t="n"/>
      <c r="BR79" s="288" t="n"/>
      <c r="BS79" s="37" t="n"/>
      <c r="BT79" s="288" t="n"/>
      <c r="BU79" s="37" t="n"/>
      <c r="BV79" s="288" t="n"/>
      <c r="BW79" s="37" t="n"/>
      <c r="BX79" s="288" t="n"/>
      <c r="BY79" s="37" t="n"/>
      <c r="BZ79" s="288" t="n"/>
      <c r="CA79" s="37" t="n"/>
      <c r="CB79" s="288" t="n"/>
      <c r="CC79" s="37" t="n"/>
      <c r="CD79" s="288" t="n"/>
      <c r="CE79" s="37" t="n"/>
      <c r="CF79" s="288" t="n"/>
      <c r="CG79" s="291" t="n"/>
      <c r="CH79" s="288" t="n"/>
      <c r="CI79" s="291" t="n"/>
      <c r="CJ79" s="288" t="n"/>
      <c r="CK79" s="291" t="n"/>
      <c r="CL79" s="288" t="n"/>
      <c r="CM79" s="291" t="n"/>
      <c r="CN79" s="288" t="n"/>
      <c r="CO79" s="80" t="n"/>
      <c r="CP79" s="288" t="n"/>
      <c r="CQ79" s="80" t="n"/>
      <c r="CR79" s="288" t="n"/>
      <c r="CS79" s="80" t="n"/>
      <c r="CT79" s="288" t="n"/>
      <c r="CU79" s="80" t="n"/>
      <c r="CV79" s="269" t="n"/>
      <c r="CW79" s="288" t="n"/>
      <c r="CX79" s="37" t="n"/>
      <c r="CY79" s="288" t="n"/>
      <c r="CZ79" s="37" t="n"/>
      <c r="DA79" s="288" t="n"/>
      <c r="DB79" s="37" t="n"/>
      <c r="DC79" s="288" t="n"/>
      <c r="DD79" s="37" t="n"/>
      <c r="DE79" s="295" t="n"/>
      <c r="DF79" s="295" t="n"/>
      <c r="DG79" s="288" t="n"/>
    </row>
    <row r="80">
      <c r="A80" s="428" t="n"/>
      <c r="B80" s="288" t="n"/>
      <c r="C80" s="15" t="n"/>
      <c r="D80" s="15" t="n"/>
      <c r="E80" s="285" t="n"/>
      <c r="F80" s="15" t="n"/>
      <c r="G80" s="15" t="n"/>
      <c r="H80" s="285" t="n"/>
      <c r="I80" s="15" t="n"/>
      <c r="J80" s="15" t="n"/>
      <c r="K80" s="285" t="n"/>
      <c r="L80" s="15" t="n"/>
      <c r="M80" s="15" t="n"/>
      <c r="N80" s="285" t="n"/>
      <c r="O80" s="15" t="n"/>
      <c r="P80" s="15" t="n"/>
      <c r="Q80" s="285" t="n"/>
      <c r="R80" s="15" t="n"/>
      <c r="S80" s="15" t="n"/>
      <c r="T80" s="285" t="n"/>
      <c r="U80" s="15" t="n"/>
      <c r="V80" s="15" t="n"/>
      <c r="W80" s="285" t="n"/>
      <c r="X80" s="15" t="n"/>
      <c r="Y80" s="15" t="n"/>
      <c r="Z80" s="285" t="n"/>
      <c r="AA80" s="15" t="n"/>
      <c r="AB80" s="15" t="n"/>
      <c r="AC80" s="285" t="n"/>
      <c r="AD80" s="15" t="n"/>
      <c r="AE80" s="15" t="n"/>
      <c r="AF80" s="285" t="n"/>
      <c r="AG80" s="15" t="n"/>
      <c r="AH80" s="15" t="n"/>
      <c r="AI80" s="285" t="n"/>
      <c r="AJ80" s="15" t="n"/>
      <c r="AK80" s="15" t="n"/>
      <c r="AL80" s="285" t="n"/>
      <c r="AM80" s="31" t="n"/>
      <c r="AN80" s="15" t="n"/>
      <c r="AO80" s="285" t="n"/>
      <c r="AP80" s="31" t="n"/>
      <c r="AQ80" s="15" t="n"/>
      <c r="AR80" s="285" t="n"/>
      <c r="AS80" s="31" t="n"/>
      <c r="AT80" s="15" t="n"/>
      <c r="AU80" s="285" t="n"/>
      <c r="AV80" s="31" t="n"/>
      <c r="AW80" s="15" t="n"/>
      <c r="AX80" s="285" t="n"/>
      <c r="AY80" s="15" t="n"/>
      <c r="AZ80" s="15" t="n"/>
      <c r="BA80" s="287" t="n"/>
      <c r="BB80" s="37" t="n"/>
      <c r="BC80" s="287" t="n"/>
      <c r="BD80" s="37" t="n"/>
      <c r="BE80" s="287" t="n"/>
      <c r="BF80" s="37" t="n"/>
      <c r="BG80" s="287" t="n"/>
      <c r="BH80" s="37" t="n"/>
      <c r="BI80" s="288" t="n"/>
      <c r="BJ80" s="37" t="n"/>
      <c r="BK80" s="288" t="n"/>
      <c r="BL80" s="37" t="n"/>
      <c r="BM80" s="288" t="n"/>
      <c r="BN80" s="37" t="n"/>
      <c r="BO80" s="288" t="n"/>
      <c r="BP80" s="288" t="n"/>
      <c r="BQ80" s="37" t="n"/>
      <c r="BR80" s="288" t="n"/>
      <c r="BS80" s="37" t="n"/>
      <c r="BT80" s="288" t="n"/>
      <c r="BU80" s="37" t="n"/>
      <c r="BV80" s="288" t="n"/>
      <c r="BW80" s="37" t="n"/>
      <c r="BX80" s="288" t="n"/>
      <c r="BY80" s="37" t="n"/>
      <c r="BZ80" s="288" t="n"/>
      <c r="CA80" s="37" t="n"/>
      <c r="CB80" s="288" t="n"/>
      <c r="CC80" s="37" t="n"/>
      <c r="CD80" s="288" t="n"/>
      <c r="CE80" s="37" t="n"/>
      <c r="CF80" s="288" t="n"/>
      <c r="CG80" s="291" t="n"/>
      <c r="CH80" s="288" t="n"/>
      <c r="CI80" s="291" t="n"/>
      <c r="CJ80" s="288" t="n"/>
      <c r="CK80" s="291" t="n"/>
      <c r="CL80" s="288" t="n"/>
      <c r="CM80" s="291" t="n"/>
      <c r="CN80" s="288" t="n"/>
      <c r="CO80" s="80" t="n"/>
      <c r="CP80" s="288" t="n"/>
      <c r="CQ80" s="80" t="n"/>
      <c r="CR80" s="288" t="n"/>
      <c r="CS80" s="80" t="n"/>
      <c r="CT80" s="288" t="n"/>
      <c r="CU80" s="80" t="n"/>
      <c r="CV80" s="269" t="n"/>
      <c r="CW80" s="288" t="n"/>
      <c r="CX80" s="37" t="n"/>
      <c r="CY80" s="288" t="n"/>
      <c r="CZ80" s="37" t="n"/>
      <c r="DA80" s="288" t="n"/>
      <c r="DB80" s="37" t="n"/>
      <c r="DC80" s="288" t="n"/>
      <c r="DD80" s="37" t="n"/>
      <c r="DE80" s="295" t="n"/>
      <c r="DF80" s="295" t="n"/>
      <c r="DG80" s="288" t="n"/>
    </row>
    <row r="81">
      <c r="A81" s="428" t="n"/>
      <c r="B81" s="288" t="n"/>
      <c r="C81" s="15" t="n"/>
      <c r="D81" s="15" t="n"/>
      <c r="E81" s="285" t="n"/>
      <c r="F81" s="15" t="n"/>
      <c r="G81" s="15" t="n"/>
      <c r="H81" s="285" t="n"/>
      <c r="I81" s="15" t="n"/>
      <c r="J81" s="15" t="n"/>
      <c r="K81" s="285" t="n"/>
      <c r="L81" s="15" t="n"/>
      <c r="M81" s="15" t="n"/>
      <c r="N81" s="285" t="n"/>
      <c r="O81" s="15" t="n"/>
      <c r="P81" s="15" t="n"/>
      <c r="Q81" s="285" t="n"/>
      <c r="R81" s="15" t="n"/>
      <c r="S81" s="15" t="n"/>
      <c r="T81" s="285" t="n"/>
      <c r="U81" s="15" t="n"/>
      <c r="V81" s="15" t="n"/>
      <c r="W81" s="285" t="n"/>
      <c r="X81" s="15" t="n"/>
      <c r="Y81" s="15" t="n"/>
      <c r="Z81" s="285" t="n"/>
      <c r="AA81" s="15" t="n"/>
      <c r="AB81" s="15" t="n"/>
      <c r="AC81" s="285" t="n"/>
      <c r="AD81" s="15" t="n"/>
      <c r="AE81" s="15" t="n"/>
      <c r="AF81" s="285" t="n"/>
      <c r="AG81" s="15" t="n"/>
      <c r="AH81" s="15" t="n"/>
      <c r="AI81" s="285" t="n"/>
      <c r="AJ81" s="15" t="n"/>
      <c r="AK81" s="15" t="n"/>
      <c r="AL81" s="285" t="n"/>
      <c r="AM81" s="31" t="n"/>
      <c r="AN81" s="15" t="n"/>
      <c r="AO81" s="285" t="n"/>
      <c r="AP81" s="31" t="n"/>
      <c r="AQ81" s="15" t="n"/>
      <c r="AR81" s="285" t="n"/>
      <c r="AS81" s="31" t="n"/>
      <c r="AT81" s="15" t="n"/>
      <c r="AU81" s="285" t="n"/>
      <c r="AV81" s="31" t="n"/>
      <c r="AW81" s="15" t="n"/>
      <c r="AX81" s="285" t="n"/>
      <c r="AY81" s="15" t="n"/>
      <c r="AZ81" s="15" t="n"/>
      <c r="BA81" s="287" t="n"/>
      <c r="BB81" s="37" t="n"/>
      <c r="BC81" s="287" t="n"/>
      <c r="BD81" s="37" t="n"/>
      <c r="BE81" s="287" t="n"/>
      <c r="BF81" s="37" t="n"/>
      <c r="BG81" s="287" t="n"/>
      <c r="BH81" s="37" t="n"/>
      <c r="BI81" s="288" t="n"/>
      <c r="BJ81" s="37" t="n"/>
      <c r="BK81" s="288" t="n"/>
      <c r="BL81" s="37" t="n"/>
      <c r="BM81" s="288" t="n"/>
      <c r="BN81" s="37" t="n"/>
      <c r="BO81" s="288" t="n"/>
      <c r="BP81" s="288" t="n"/>
      <c r="BQ81" s="37" t="n"/>
      <c r="BR81" s="288" t="n"/>
      <c r="BS81" s="37" t="n"/>
      <c r="BT81" s="288" t="n"/>
      <c r="BU81" s="37" t="n"/>
      <c r="BV81" s="288" t="n"/>
      <c r="BW81" s="37" t="n"/>
      <c r="BX81" s="288" t="n"/>
      <c r="BY81" s="37" t="n"/>
      <c r="BZ81" s="288" t="n"/>
      <c r="CA81" s="37" t="n"/>
      <c r="CB81" s="288" t="n"/>
      <c r="CC81" s="37" t="n"/>
      <c r="CD81" s="288" t="n"/>
      <c r="CE81" s="37" t="n"/>
      <c r="CF81" s="288" t="n"/>
      <c r="CG81" s="291" t="n"/>
      <c r="CH81" s="288" t="n"/>
      <c r="CI81" s="291" t="n"/>
      <c r="CJ81" s="288" t="n"/>
      <c r="CK81" s="291" t="n"/>
      <c r="CL81" s="288" t="n"/>
      <c r="CM81" s="291" t="n"/>
      <c r="CN81" s="288" t="n"/>
      <c r="CO81" s="80" t="n"/>
      <c r="CP81" s="288" t="n"/>
      <c r="CQ81" s="80" t="n"/>
      <c r="CR81" s="288" t="n"/>
      <c r="CS81" s="80" t="n"/>
      <c r="CT81" s="288" t="n"/>
      <c r="CU81" s="80" t="n"/>
      <c r="CV81" s="269" t="n"/>
      <c r="CW81" s="288" t="n"/>
      <c r="CX81" s="37" t="n"/>
      <c r="CY81" s="288" t="n"/>
      <c r="CZ81" s="37" t="n"/>
      <c r="DA81" s="288" t="n"/>
      <c r="DB81" s="37" t="n"/>
      <c r="DC81" s="288" t="n"/>
      <c r="DD81" s="37" t="n"/>
      <c r="DE81" s="295" t="n"/>
      <c r="DF81" s="295" t="n"/>
      <c r="DG81" s="288" t="n"/>
    </row>
    <row r="82">
      <c r="A82" s="428" t="n"/>
      <c r="B82" s="288" t="n"/>
      <c r="C82" s="15" t="n"/>
      <c r="D82" s="15" t="n"/>
      <c r="E82" s="285" t="n"/>
      <c r="F82" s="15" t="n"/>
      <c r="G82" s="15" t="n"/>
      <c r="H82" s="285" t="n"/>
      <c r="I82" s="15" t="n"/>
      <c r="J82" s="15" t="n"/>
      <c r="K82" s="285" t="n"/>
      <c r="L82" s="15" t="n"/>
      <c r="M82" s="15" t="n"/>
      <c r="N82" s="285" t="n"/>
      <c r="O82" s="15" t="n"/>
      <c r="P82" s="15" t="n"/>
      <c r="Q82" s="285" t="n"/>
      <c r="R82" s="15" t="n"/>
      <c r="S82" s="15" t="n"/>
      <c r="T82" s="285" t="n"/>
      <c r="U82" s="15" t="n"/>
      <c r="V82" s="15" t="n"/>
      <c r="W82" s="285" t="n"/>
      <c r="X82" s="15" t="n"/>
      <c r="Y82" s="15" t="n"/>
      <c r="Z82" s="285" t="n"/>
      <c r="AA82" s="15" t="n"/>
      <c r="AB82" s="15" t="n"/>
      <c r="AC82" s="285" t="n"/>
      <c r="AD82" s="15" t="n"/>
      <c r="AE82" s="15" t="n"/>
      <c r="AF82" s="285" t="n"/>
      <c r="AG82" s="15" t="n"/>
      <c r="AH82" s="15" t="n"/>
      <c r="AI82" s="285" t="n"/>
      <c r="AJ82" s="15" t="n"/>
      <c r="AK82" s="15" t="n"/>
      <c r="AL82" s="285" t="n"/>
      <c r="AM82" s="31" t="n"/>
      <c r="AN82" s="15" t="n"/>
      <c r="AO82" s="285" t="n"/>
      <c r="AP82" s="31" t="n"/>
      <c r="AQ82" s="15" t="n"/>
      <c r="AR82" s="285" t="n"/>
      <c r="AS82" s="31" t="n"/>
      <c r="AT82" s="15" t="n"/>
      <c r="AU82" s="285" t="n"/>
      <c r="AV82" s="31" t="n"/>
      <c r="AW82" s="15" t="n"/>
      <c r="AX82" s="285" t="n"/>
      <c r="AY82" s="15" t="n"/>
      <c r="AZ82" s="15" t="n"/>
      <c r="BA82" s="287" t="n"/>
      <c r="BB82" s="37" t="n"/>
      <c r="BC82" s="287" t="n"/>
      <c r="BD82" s="37" t="n"/>
      <c r="BE82" s="287" t="n"/>
      <c r="BF82" s="37" t="n"/>
      <c r="BG82" s="287" t="n"/>
      <c r="BH82" s="37" t="n"/>
      <c r="BI82" s="288" t="n"/>
      <c r="BJ82" s="37" t="n"/>
      <c r="BK82" s="288" t="n"/>
      <c r="BL82" s="37" t="n"/>
      <c r="BM82" s="288" t="n"/>
      <c r="BN82" s="37" t="n"/>
      <c r="BO82" s="288" t="n"/>
      <c r="BP82" s="288" t="n"/>
      <c r="BQ82" s="37" t="n"/>
      <c r="BR82" s="288" t="n"/>
      <c r="BS82" s="37" t="n"/>
      <c r="BT82" s="288" t="n"/>
      <c r="BU82" s="37" t="n"/>
      <c r="BV82" s="288" t="n"/>
      <c r="BW82" s="37" t="n"/>
      <c r="BX82" s="288" t="n"/>
      <c r="BY82" s="37" t="n"/>
      <c r="BZ82" s="288" t="n"/>
      <c r="CA82" s="37" t="n"/>
      <c r="CB82" s="288" t="n"/>
      <c r="CC82" s="37" t="n"/>
      <c r="CD82" s="288" t="n"/>
      <c r="CE82" s="37" t="n"/>
      <c r="CF82" s="288" t="n"/>
      <c r="CG82" s="291" t="n"/>
      <c r="CH82" s="288" t="n"/>
      <c r="CI82" s="291" t="n"/>
      <c r="CJ82" s="288" t="n"/>
      <c r="CK82" s="291" t="n"/>
      <c r="CL82" s="288" t="n"/>
      <c r="CM82" s="291" t="n"/>
      <c r="CN82" s="288" t="n"/>
      <c r="CO82" s="80" t="n"/>
      <c r="CP82" s="288" t="n"/>
      <c r="CQ82" s="80" t="n"/>
      <c r="CR82" s="288" t="n"/>
      <c r="CS82" s="80" t="n"/>
      <c r="CT82" s="288" t="n"/>
      <c r="CU82" s="80" t="n"/>
      <c r="CV82" s="269" t="n"/>
      <c r="CW82" s="288" t="n"/>
      <c r="CX82" s="37" t="n"/>
      <c r="CY82" s="288" t="n"/>
      <c r="CZ82" s="37" t="n"/>
      <c r="DA82" s="288" t="n"/>
      <c r="DB82" s="37" t="n"/>
      <c r="DC82" s="288" t="n"/>
      <c r="DD82" s="37" t="n"/>
      <c r="DE82" s="295" t="n"/>
      <c r="DF82" s="295" t="n"/>
      <c r="DG82" s="288" t="n"/>
    </row>
    <row r="83">
      <c r="A83" s="428" t="n"/>
      <c r="B83" s="288" t="n"/>
      <c r="C83" s="15" t="n"/>
      <c r="D83" s="15" t="n"/>
      <c r="E83" s="285" t="n"/>
      <c r="F83" s="15" t="n"/>
      <c r="G83" s="15" t="n"/>
      <c r="H83" s="285" t="n"/>
      <c r="I83" s="15" t="n"/>
      <c r="J83" s="15" t="n"/>
      <c r="K83" s="285" t="n"/>
      <c r="L83" s="15" t="n"/>
      <c r="M83" s="15" t="n"/>
      <c r="N83" s="285" t="n"/>
      <c r="O83" s="15" t="n"/>
      <c r="P83" s="15" t="n"/>
      <c r="Q83" s="285" t="n"/>
      <c r="R83" s="15" t="n"/>
      <c r="S83" s="15" t="n"/>
      <c r="T83" s="285" t="n"/>
      <c r="U83" s="15" t="n"/>
      <c r="V83" s="15" t="n"/>
      <c r="W83" s="285" t="n"/>
      <c r="X83" s="15" t="n"/>
      <c r="Y83" s="15" t="n"/>
      <c r="Z83" s="285" t="n"/>
      <c r="AA83" s="15" t="n"/>
      <c r="AB83" s="15" t="n"/>
      <c r="AC83" s="285" t="n"/>
      <c r="AD83" s="15" t="n"/>
      <c r="AE83" s="15" t="n"/>
      <c r="AF83" s="285" t="n"/>
      <c r="AG83" s="15" t="n"/>
      <c r="AH83" s="15" t="n"/>
      <c r="AI83" s="285" t="n"/>
      <c r="AJ83" s="15" t="n"/>
      <c r="AK83" s="15" t="n"/>
      <c r="AL83" s="285" t="n"/>
      <c r="AM83" s="31" t="n"/>
      <c r="AN83" s="15" t="n"/>
      <c r="AO83" s="285" t="n"/>
      <c r="AP83" s="31" t="n"/>
      <c r="AQ83" s="15" t="n"/>
      <c r="AR83" s="285" t="n"/>
      <c r="AS83" s="31" t="n"/>
      <c r="AT83" s="15" t="n"/>
      <c r="AU83" s="285" t="n"/>
      <c r="AV83" s="31" t="n"/>
      <c r="AW83" s="15" t="n"/>
      <c r="AX83" s="285" t="n"/>
      <c r="AY83" s="15" t="n"/>
      <c r="AZ83" s="15" t="n"/>
      <c r="BA83" s="287" t="n"/>
      <c r="BB83" s="37" t="n"/>
      <c r="BC83" s="287" t="n"/>
      <c r="BD83" s="37" t="n"/>
      <c r="BE83" s="287" t="n"/>
      <c r="BF83" s="37" t="n"/>
      <c r="BG83" s="287" t="n"/>
      <c r="BH83" s="37" t="n"/>
      <c r="BI83" s="288" t="n"/>
      <c r="BJ83" s="37" t="n"/>
      <c r="BK83" s="288" t="n"/>
      <c r="BL83" s="37" t="n"/>
      <c r="BM83" s="288" t="n"/>
      <c r="BN83" s="37" t="n"/>
      <c r="BO83" s="288" t="n"/>
      <c r="BP83" s="288" t="n"/>
      <c r="BQ83" s="37" t="n"/>
      <c r="BR83" s="288" t="n"/>
      <c r="BS83" s="37" t="n"/>
      <c r="BT83" s="288" t="n"/>
      <c r="BU83" s="37" t="n"/>
      <c r="BV83" s="288" t="n"/>
      <c r="BW83" s="37" t="n"/>
      <c r="BX83" s="288" t="n"/>
      <c r="BY83" s="37" t="n"/>
      <c r="BZ83" s="288" t="n"/>
      <c r="CA83" s="37" t="n"/>
      <c r="CB83" s="288" t="n"/>
      <c r="CC83" s="37" t="n"/>
      <c r="CD83" s="288" t="n"/>
      <c r="CE83" s="37" t="n"/>
      <c r="CF83" s="288" t="n"/>
      <c r="CG83" s="291" t="n"/>
      <c r="CH83" s="288" t="n"/>
      <c r="CI83" s="291" t="n"/>
      <c r="CJ83" s="288" t="n"/>
      <c r="CK83" s="291" t="n"/>
      <c r="CL83" s="288" t="n"/>
      <c r="CM83" s="291" t="n"/>
      <c r="CN83" s="288" t="n"/>
      <c r="CO83" s="80" t="n"/>
      <c r="CP83" s="288" t="n"/>
      <c r="CQ83" s="80" t="n"/>
      <c r="CR83" s="288" t="n"/>
      <c r="CS83" s="80" t="n"/>
      <c r="CT83" s="288" t="n"/>
      <c r="CU83" s="80" t="n"/>
      <c r="CV83" s="269" t="n"/>
      <c r="CW83" s="288" t="n"/>
      <c r="CX83" s="37" t="n"/>
      <c r="CY83" s="288" t="n"/>
      <c r="CZ83" s="37" t="n"/>
      <c r="DA83" s="288" t="n"/>
      <c r="DB83" s="37" t="n"/>
      <c r="DC83" s="288" t="n"/>
      <c r="DD83" s="37" t="n"/>
      <c r="DE83" s="295" t="n"/>
      <c r="DF83" s="295" t="n"/>
      <c r="DG83" s="288" t="n"/>
    </row>
    <row r="84">
      <c r="A84" s="428" t="n"/>
      <c r="B84" s="288" t="n"/>
      <c r="C84" s="15" t="n"/>
      <c r="D84" s="15" t="n"/>
      <c r="E84" s="285" t="n"/>
      <c r="F84" s="15" t="n"/>
      <c r="G84" s="15" t="n"/>
      <c r="H84" s="285" t="n"/>
      <c r="I84" s="15" t="n"/>
      <c r="J84" s="15" t="n"/>
      <c r="K84" s="285" t="n"/>
      <c r="L84" s="15" t="n"/>
      <c r="M84" s="15" t="n"/>
      <c r="N84" s="285" t="n"/>
      <c r="O84" s="15" t="n"/>
      <c r="P84" s="15" t="n"/>
      <c r="Q84" s="285" t="n"/>
      <c r="R84" s="15" t="n"/>
      <c r="S84" s="15" t="n"/>
      <c r="T84" s="285" t="n"/>
      <c r="U84" s="15" t="n"/>
      <c r="V84" s="15" t="n"/>
      <c r="W84" s="285" t="n"/>
      <c r="X84" s="15" t="n"/>
      <c r="Y84" s="15" t="n"/>
      <c r="Z84" s="285" t="n"/>
      <c r="AA84" s="15" t="n"/>
      <c r="AB84" s="15" t="n"/>
      <c r="AC84" s="285" t="n"/>
      <c r="AD84" s="15" t="n"/>
      <c r="AE84" s="15" t="n"/>
      <c r="AF84" s="285" t="n"/>
      <c r="AG84" s="15" t="n"/>
      <c r="AH84" s="15" t="n"/>
      <c r="AI84" s="285" t="n"/>
      <c r="AJ84" s="15" t="n"/>
      <c r="AK84" s="15" t="n"/>
      <c r="AL84" s="285" t="n"/>
      <c r="AM84" s="31" t="n"/>
      <c r="AN84" s="15" t="n"/>
      <c r="AO84" s="285" t="n"/>
      <c r="AP84" s="31" t="n"/>
      <c r="AQ84" s="15" t="n"/>
      <c r="AR84" s="285" t="n"/>
      <c r="AS84" s="31" t="n"/>
      <c r="AT84" s="15" t="n"/>
      <c r="AU84" s="285" t="n"/>
      <c r="AV84" s="31" t="n"/>
      <c r="AW84" s="15" t="n"/>
      <c r="AX84" s="285" t="n"/>
      <c r="AY84" s="15" t="n"/>
      <c r="AZ84" s="15" t="n"/>
      <c r="BA84" s="287" t="n"/>
      <c r="BB84" s="37" t="n"/>
      <c r="BC84" s="287" t="n"/>
      <c r="BD84" s="37" t="n"/>
      <c r="BE84" s="287" t="n"/>
      <c r="BF84" s="37" t="n"/>
      <c r="BG84" s="287" t="n"/>
      <c r="BH84" s="37" t="n"/>
      <c r="BI84" s="288" t="n"/>
      <c r="BJ84" s="37" t="n"/>
      <c r="BK84" s="288" t="n"/>
      <c r="BL84" s="37" t="n"/>
      <c r="BM84" s="288" t="n"/>
      <c r="BN84" s="37" t="n"/>
      <c r="BO84" s="288" t="n"/>
      <c r="BP84" s="288" t="n"/>
      <c r="BQ84" s="37" t="n"/>
      <c r="BR84" s="288" t="n"/>
      <c r="BS84" s="37" t="n"/>
      <c r="BT84" s="288" t="n"/>
      <c r="BU84" s="37" t="n"/>
      <c r="BV84" s="288" t="n"/>
      <c r="BW84" s="37" t="n"/>
      <c r="BX84" s="288" t="n"/>
      <c r="BY84" s="37" t="n"/>
      <c r="BZ84" s="288" t="n"/>
      <c r="CA84" s="37" t="n"/>
      <c r="CB84" s="288" t="n"/>
      <c r="CC84" s="37" t="n"/>
      <c r="CD84" s="288" t="n"/>
      <c r="CE84" s="37" t="n"/>
      <c r="CF84" s="288" t="n"/>
      <c r="CG84" s="291" t="n"/>
      <c r="CH84" s="288" t="n"/>
      <c r="CI84" s="291" t="n"/>
      <c r="CJ84" s="288" t="n"/>
      <c r="CK84" s="291" t="n"/>
      <c r="CL84" s="288" t="n"/>
      <c r="CM84" s="291" t="n"/>
      <c r="CN84" s="288" t="n"/>
      <c r="CO84" s="80" t="n"/>
      <c r="CP84" s="288" t="n"/>
      <c r="CQ84" s="80" t="n"/>
      <c r="CR84" s="288" t="n"/>
      <c r="CS84" s="80" t="n"/>
      <c r="CT84" s="288" t="n"/>
      <c r="CU84" s="80" t="n"/>
      <c r="CV84" s="269" t="n"/>
      <c r="CW84" s="288" t="n"/>
      <c r="CX84" s="37" t="n"/>
      <c r="CY84" s="288" t="n"/>
      <c r="CZ84" s="37" t="n"/>
      <c r="DA84" s="288" t="n"/>
      <c r="DB84" s="37" t="n"/>
      <c r="DC84" s="288" t="n"/>
      <c r="DD84" s="37" t="n"/>
      <c r="DE84" s="295" t="n"/>
      <c r="DF84" s="295" t="n"/>
      <c r="DG84" s="288" t="n"/>
    </row>
    <row r="85">
      <c r="A85" s="428" t="n"/>
      <c r="B85" s="288" t="n"/>
      <c r="C85" s="15" t="n"/>
      <c r="D85" s="15" t="n"/>
      <c r="E85" s="285" t="n"/>
      <c r="F85" s="15" t="n"/>
      <c r="G85" s="15" t="n"/>
      <c r="H85" s="285" t="n"/>
      <c r="I85" s="15" t="n"/>
      <c r="J85" s="15" t="n"/>
      <c r="K85" s="285" t="n"/>
      <c r="L85" s="15" t="n"/>
      <c r="M85" s="15" t="n"/>
      <c r="N85" s="285" t="n"/>
      <c r="O85" s="15" t="n"/>
      <c r="P85" s="15" t="n"/>
      <c r="Q85" s="285" t="n"/>
      <c r="R85" s="15" t="n"/>
      <c r="S85" s="15" t="n"/>
      <c r="T85" s="285" t="n"/>
      <c r="U85" s="15" t="n"/>
      <c r="V85" s="15" t="n"/>
      <c r="W85" s="285" t="n"/>
      <c r="X85" s="15" t="n"/>
      <c r="Y85" s="15" t="n"/>
      <c r="Z85" s="285" t="n"/>
      <c r="AA85" s="15" t="n"/>
      <c r="AB85" s="15" t="n"/>
      <c r="AC85" s="285" t="n"/>
      <c r="AD85" s="15" t="n"/>
      <c r="AE85" s="15" t="n"/>
      <c r="AF85" s="285" t="n"/>
      <c r="AG85" s="15" t="n"/>
      <c r="AH85" s="15" t="n"/>
      <c r="AI85" s="285" t="n"/>
      <c r="AJ85" s="15" t="n"/>
      <c r="AK85" s="15" t="n"/>
      <c r="AL85" s="285" t="n"/>
      <c r="AM85" s="31" t="n"/>
      <c r="AN85" s="15" t="n"/>
      <c r="AO85" s="285" t="n"/>
      <c r="AP85" s="31" t="n"/>
      <c r="AQ85" s="15" t="n"/>
      <c r="AR85" s="285" t="n"/>
      <c r="AS85" s="31" t="n"/>
      <c r="AT85" s="15" t="n"/>
      <c r="AU85" s="285" t="n"/>
      <c r="AV85" s="31" t="n"/>
      <c r="AW85" s="15" t="n"/>
      <c r="AX85" s="285" t="n"/>
      <c r="AY85" s="15" t="n"/>
      <c r="AZ85" s="15" t="n"/>
      <c r="BA85" s="287" t="n"/>
      <c r="BB85" s="37" t="n"/>
      <c r="BC85" s="287" t="n"/>
      <c r="BD85" s="37" t="n"/>
      <c r="BE85" s="287" t="n"/>
      <c r="BF85" s="37" t="n"/>
      <c r="BG85" s="287" t="n"/>
      <c r="BH85" s="37" t="n"/>
      <c r="BI85" s="288" t="n"/>
      <c r="BJ85" s="37" t="n"/>
      <c r="BK85" s="288" t="n"/>
      <c r="BL85" s="37" t="n"/>
      <c r="BM85" s="288" t="n"/>
      <c r="BN85" s="37" t="n"/>
      <c r="BO85" s="288" t="n"/>
      <c r="BP85" s="288" t="n"/>
      <c r="BQ85" s="37" t="n"/>
      <c r="BR85" s="288" t="n"/>
      <c r="BS85" s="37" t="n"/>
      <c r="BT85" s="288" t="n"/>
      <c r="BU85" s="37" t="n"/>
      <c r="BV85" s="288" t="n"/>
      <c r="BW85" s="37" t="n"/>
      <c r="BX85" s="288" t="n"/>
      <c r="BY85" s="37" t="n"/>
      <c r="BZ85" s="288" t="n"/>
      <c r="CA85" s="37" t="n"/>
      <c r="CB85" s="288" t="n"/>
      <c r="CC85" s="37" t="n"/>
      <c r="CD85" s="288" t="n"/>
      <c r="CE85" s="37" t="n"/>
      <c r="CF85" s="288" t="n"/>
      <c r="CG85" s="291" t="n"/>
      <c r="CH85" s="288" t="n"/>
      <c r="CI85" s="291" t="n"/>
      <c r="CJ85" s="288" t="n"/>
      <c r="CK85" s="291" t="n"/>
      <c r="CL85" s="288" t="n"/>
      <c r="CM85" s="291" t="n"/>
      <c r="CN85" s="288" t="n"/>
      <c r="CO85" s="80" t="n"/>
      <c r="CP85" s="288" t="n"/>
      <c r="CQ85" s="80" t="n"/>
      <c r="CR85" s="288" t="n"/>
      <c r="CS85" s="80" t="n"/>
      <c r="CT85" s="288" t="n"/>
      <c r="CU85" s="80" t="n"/>
      <c r="CV85" s="269" t="n"/>
      <c r="CW85" s="288" t="n"/>
      <c r="CX85" s="37" t="n"/>
      <c r="CY85" s="288" t="n"/>
      <c r="CZ85" s="37" t="n"/>
      <c r="DA85" s="288" t="n"/>
      <c r="DB85" s="37" t="n"/>
      <c r="DC85" s="288" t="n"/>
      <c r="DD85" s="37" t="n"/>
      <c r="DE85" s="295" t="n"/>
      <c r="DF85" s="295" t="n"/>
      <c r="DG85" s="296" t="n"/>
    </row>
    <row r="86">
      <c r="A86" s="428" t="n"/>
      <c r="B86" s="288" t="n"/>
      <c r="C86" s="15" t="n"/>
      <c r="D86" s="15" t="n"/>
      <c r="E86" s="285" t="n"/>
      <c r="F86" s="15" t="n"/>
      <c r="G86" s="15" t="n"/>
      <c r="H86" s="285" t="n"/>
      <c r="I86" s="15" t="n"/>
      <c r="J86" s="15" t="n"/>
      <c r="K86" s="285" t="n"/>
      <c r="L86" s="15" t="n"/>
      <c r="M86" s="15" t="n"/>
      <c r="N86" s="285" t="n"/>
      <c r="O86" s="15" t="n"/>
      <c r="P86" s="15" t="n"/>
      <c r="Q86" s="285" t="n"/>
      <c r="R86" s="15" t="n"/>
      <c r="S86" s="15" t="n"/>
      <c r="T86" s="285" t="n"/>
      <c r="U86" s="15" t="n"/>
      <c r="V86" s="15" t="n"/>
      <c r="W86" s="285" t="n"/>
      <c r="X86" s="15" t="n"/>
      <c r="Y86" s="15" t="n"/>
      <c r="Z86" s="285" t="n"/>
      <c r="AA86" s="15" t="n"/>
      <c r="AB86" s="15" t="n"/>
      <c r="AC86" s="285" t="n"/>
      <c r="AD86" s="15" t="n"/>
      <c r="AE86" s="15" t="n"/>
      <c r="AF86" s="285" t="n"/>
      <c r="AG86" s="15" t="n"/>
      <c r="AH86" s="15" t="n"/>
      <c r="AI86" s="285" t="n"/>
      <c r="AJ86" s="15" t="n"/>
      <c r="AK86" s="15" t="n"/>
      <c r="AL86" s="285" t="n"/>
      <c r="AM86" s="31" t="n"/>
      <c r="AN86" s="15" t="n"/>
      <c r="AO86" s="285" t="n"/>
      <c r="AP86" s="31" t="n"/>
      <c r="AQ86" s="15" t="n"/>
      <c r="AR86" s="285" t="n"/>
      <c r="AS86" s="31" t="n"/>
      <c r="AT86" s="15" t="n"/>
      <c r="AU86" s="285" t="n"/>
      <c r="AV86" s="31" t="n"/>
      <c r="AW86" s="15" t="n"/>
      <c r="AX86" s="285" t="n"/>
      <c r="AY86" s="15" t="n"/>
      <c r="AZ86" s="15" t="n"/>
      <c r="BA86" s="287" t="n"/>
      <c r="BB86" s="37" t="n"/>
      <c r="BC86" s="287" t="n"/>
      <c r="BD86" s="37" t="n"/>
      <c r="BE86" s="287" t="n"/>
      <c r="BF86" s="37" t="n"/>
      <c r="BG86" s="287" t="n"/>
      <c r="BH86" s="37" t="n"/>
      <c r="BI86" s="288" t="n"/>
      <c r="BJ86" s="37" t="n"/>
      <c r="BK86" s="288" t="n"/>
      <c r="BL86" s="37" t="n"/>
      <c r="BM86" s="288" t="n"/>
      <c r="BN86" s="37" t="n"/>
      <c r="BO86" s="288" t="n"/>
      <c r="BP86" s="288" t="n"/>
      <c r="BQ86" s="37" t="n"/>
      <c r="BR86" s="288" t="n"/>
      <c r="BS86" s="37" t="n"/>
      <c r="BT86" s="288" t="n"/>
      <c r="BU86" s="37" t="n"/>
      <c r="BV86" s="288" t="n"/>
      <c r="BW86" s="37" t="n"/>
      <c r="BX86" s="288" t="n"/>
      <c r="BY86" s="37" t="n"/>
      <c r="BZ86" s="288" t="n"/>
      <c r="CA86" s="37" t="n"/>
      <c r="CB86" s="288" t="n"/>
      <c r="CC86" s="37" t="n"/>
      <c r="CD86" s="288" t="n"/>
      <c r="CE86" s="37" t="n"/>
      <c r="CF86" s="288" t="n"/>
      <c r="CG86" s="291" t="n"/>
      <c r="CH86" s="288" t="n"/>
      <c r="CI86" s="291" t="n"/>
      <c r="CJ86" s="288" t="n"/>
      <c r="CK86" s="291" t="n"/>
      <c r="CL86" s="288" t="n"/>
      <c r="CM86" s="291" t="n"/>
      <c r="CN86" s="288" t="n"/>
      <c r="CO86" s="80" t="n"/>
      <c r="CP86" s="288" t="n"/>
      <c r="CQ86" s="80" t="n"/>
      <c r="CR86" s="288" t="n"/>
      <c r="CS86" s="80" t="n"/>
      <c r="CT86" s="288" t="n"/>
      <c r="CU86" s="80" t="n"/>
      <c r="CV86" s="269" t="n"/>
      <c r="CW86" s="288" t="n"/>
      <c r="CX86" s="37" t="n"/>
      <c r="CY86" s="288" t="n"/>
      <c r="CZ86" s="37" t="n"/>
      <c r="DA86" s="288" t="n"/>
      <c r="DB86" s="37" t="n"/>
      <c r="DC86" s="288" t="n"/>
      <c r="DD86" s="37" t="n"/>
      <c r="DE86" s="295" t="n"/>
      <c r="DF86" s="295" t="n"/>
      <c r="DG86" s="288" t="n"/>
    </row>
    <row r="87">
      <c r="A87" s="428" t="n"/>
      <c r="B87" s="288" t="n"/>
      <c r="C87" s="15" t="n"/>
      <c r="D87" s="15" t="n"/>
      <c r="E87" s="285" t="n"/>
      <c r="F87" s="15" t="n"/>
      <c r="G87" s="15" t="n"/>
      <c r="H87" s="285" t="n"/>
      <c r="I87" s="15" t="n"/>
      <c r="J87" s="15" t="n"/>
      <c r="K87" s="285" t="n"/>
      <c r="L87" s="15" t="n"/>
      <c r="M87" s="15" t="n"/>
      <c r="N87" s="285" t="n"/>
      <c r="O87" s="15" t="n"/>
      <c r="P87" s="15" t="n"/>
      <c r="Q87" s="285" t="n"/>
      <c r="R87" s="15" t="n"/>
      <c r="S87" s="15" t="n"/>
      <c r="T87" s="285" t="n"/>
      <c r="U87" s="15" t="n"/>
      <c r="V87" s="15" t="n"/>
      <c r="W87" s="285" t="n"/>
      <c r="X87" s="15" t="n"/>
      <c r="Y87" s="15" t="n"/>
      <c r="Z87" s="285" t="n"/>
      <c r="AA87" s="15" t="n"/>
      <c r="AB87" s="15" t="n"/>
      <c r="AC87" s="285" t="n"/>
      <c r="AD87" s="15" t="n"/>
      <c r="AE87" s="15" t="n"/>
      <c r="AF87" s="285" t="n"/>
      <c r="AG87" s="15" t="n"/>
      <c r="AH87" s="15" t="n"/>
      <c r="AI87" s="285" t="n"/>
      <c r="AJ87" s="15" t="n"/>
      <c r="AK87" s="15" t="n"/>
      <c r="AL87" s="285" t="n"/>
      <c r="AM87" s="31" t="n"/>
      <c r="AN87" s="15" t="n"/>
      <c r="AO87" s="285" t="n"/>
      <c r="AP87" s="31" t="n"/>
      <c r="AQ87" s="15" t="n"/>
      <c r="AR87" s="285" t="n"/>
      <c r="AS87" s="31" t="n"/>
      <c r="AT87" s="15" t="n"/>
      <c r="AU87" s="285" t="n"/>
      <c r="AV87" s="31" t="n"/>
      <c r="AW87" s="15" t="n"/>
      <c r="AX87" s="285" t="n"/>
      <c r="AY87" s="15" t="n"/>
      <c r="AZ87" s="15" t="n"/>
      <c r="BA87" s="287" t="n"/>
      <c r="BB87" s="37" t="n"/>
      <c r="BC87" s="287" t="n"/>
      <c r="BD87" s="37" t="n"/>
      <c r="BE87" s="287" t="n"/>
      <c r="BF87" s="37" t="n"/>
      <c r="BG87" s="287" t="n"/>
      <c r="BH87" s="37" t="n"/>
      <c r="BI87" s="288" t="n"/>
      <c r="BJ87" s="37" t="n"/>
      <c r="BK87" s="288" t="n"/>
      <c r="BL87" s="37" t="n"/>
      <c r="BM87" s="288" t="n"/>
      <c r="BN87" s="37" t="n"/>
      <c r="BO87" s="288" t="n"/>
      <c r="BP87" s="288" t="n"/>
      <c r="BQ87" s="37" t="n"/>
      <c r="BR87" s="288" t="n"/>
      <c r="BS87" s="37" t="n"/>
      <c r="BT87" s="288" t="n"/>
      <c r="BU87" s="37" t="n"/>
      <c r="BV87" s="288" t="n"/>
      <c r="BW87" s="37" t="n"/>
      <c r="BX87" s="288" t="n"/>
      <c r="BY87" s="37" t="n"/>
      <c r="BZ87" s="288" t="n"/>
      <c r="CA87" s="37" t="n"/>
      <c r="CB87" s="288" t="n"/>
      <c r="CC87" s="37" t="n"/>
      <c r="CD87" s="288" t="n"/>
      <c r="CE87" s="37" t="n"/>
      <c r="CF87" s="288" t="n"/>
      <c r="CG87" s="291" t="n"/>
      <c r="CH87" s="288" t="n"/>
      <c r="CI87" s="291" t="n"/>
      <c r="CJ87" s="288" t="n"/>
      <c r="CK87" s="291" t="n"/>
      <c r="CL87" s="288" t="n"/>
      <c r="CM87" s="291" t="n"/>
      <c r="CN87" s="288" t="n"/>
      <c r="CO87" s="80" t="n"/>
      <c r="CP87" s="288" t="n"/>
      <c r="CQ87" s="80" t="n"/>
      <c r="CR87" s="288" t="n"/>
      <c r="CS87" s="80" t="n"/>
      <c r="CT87" s="288" t="n"/>
      <c r="CU87" s="80" t="n"/>
      <c r="CV87" s="269" t="n"/>
      <c r="CW87" s="288" t="n"/>
      <c r="CX87" s="37" t="n"/>
      <c r="CY87" s="288" t="n"/>
      <c r="CZ87" s="37" t="n"/>
      <c r="DA87" s="288" t="n"/>
      <c r="DB87" s="37" t="n"/>
      <c r="DC87" s="288" t="n"/>
      <c r="DD87" s="37" t="n"/>
      <c r="DE87" s="295" t="n"/>
      <c r="DF87" s="295" t="n"/>
      <c r="DG87" s="288" t="n"/>
    </row>
    <row r="88" customFormat="1" s="40">
      <c r="A88" s="330" t="n"/>
      <c r="B88" s="288" t="n"/>
      <c r="C88" s="15" t="n"/>
      <c r="D88" s="15" t="n"/>
      <c r="E88" s="292" t="n"/>
      <c r="F88" s="15" t="n"/>
      <c r="G88" s="15" t="n"/>
      <c r="H88" s="292" t="n"/>
      <c r="I88" s="15" t="n"/>
      <c r="J88" s="15" t="n"/>
      <c r="K88" s="292" t="n"/>
      <c r="L88" s="15" t="n"/>
      <c r="M88" s="15" t="n"/>
      <c r="N88" s="292" t="n"/>
      <c r="O88" s="15" t="n"/>
      <c r="P88" s="15" t="n"/>
      <c r="Q88" s="292" t="n"/>
      <c r="R88" s="15" t="n"/>
      <c r="S88" s="15" t="n"/>
      <c r="T88" s="292" t="n"/>
      <c r="U88" s="15" t="n"/>
      <c r="V88" s="15" t="n"/>
      <c r="W88" s="292" t="n"/>
      <c r="X88" s="15" t="n"/>
      <c r="Y88" s="15" t="n"/>
      <c r="Z88" s="292" t="n"/>
      <c r="AA88" s="15" t="n"/>
      <c r="AB88" s="15" t="n"/>
      <c r="AC88" s="292" t="n"/>
      <c r="AD88" s="15" t="n"/>
      <c r="AE88" s="15" t="n"/>
      <c r="AF88" s="292" t="n"/>
      <c r="AG88" s="15" t="n"/>
      <c r="AH88" s="15" t="n"/>
      <c r="AI88" s="292" t="n"/>
      <c r="AJ88" s="15" t="n"/>
      <c r="AK88" s="15" t="n"/>
      <c r="AL88" s="292" t="n"/>
      <c r="AM88" s="31" t="n"/>
      <c r="AN88" s="15" t="n"/>
      <c r="AO88" s="292" t="n"/>
      <c r="AP88" s="31" t="n"/>
      <c r="AQ88" s="15" t="n"/>
      <c r="AR88" s="292" t="n"/>
      <c r="AS88" s="31" t="n"/>
      <c r="AT88" s="15" t="n"/>
      <c r="AU88" s="292" t="n"/>
      <c r="AV88" s="31" t="n"/>
      <c r="AW88" s="15" t="n"/>
      <c r="AX88" s="292" t="n"/>
      <c r="AY88" s="15" t="n"/>
      <c r="AZ88" s="15" t="n"/>
      <c r="BA88" s="291" t="n"/>
      <c r="BB88" s="37" t="n"/>
      <c r="BC88" s="291" t="n"/>
      <c r="BD88" s="37" t="n"/>
      <c r="BE88" s="291" t="n"/>
      <c r="BF88" s="37" t="n"/>
      <c r="BG88" s="291" t="n"/>
      <c r="BH88" s="37" t="n"/>
      <c r="BI88" s="291" t="n"/>
      <c r="BJ88" s="37" t="n"/>
      <c r="BK88" s="291" t="n"/>
      <c r="BL88" s="37" t="n"/>
      <c r="BM88" s="291" t="n"/>
      <c r="BN88" s="37" t="n"/>
      <c r="BO88" s="291" t="n"/>
      <c r="BP88" s="291" t="n"/>
      <c r="BQ88" s="37" t="n"/>
      <c r="BR88" s="291" t="n"/>
      <c r="BS88" s="37" t="n"/>
      <c r="BT88" s="291" t="n"/>
      <c r="BU88" s="37" t="n"/>
      <c r="BV88" s="291" t="n"/>
      <c r="BW88" s="37" t="n"/>
      <c r="BX88" s="291" t="n"/>
      <c r="BY88" s="37" t="n"/>
      <c r="BZ88" s="291" t="n"/>
      <c r="CA88" s="37" t="n"/>
      <c r="CB88" s="291" t="n"/>
      <c r="CC88" s="37" t="n"/>
      <c r="CD88" s="291" t="n"/>
      <c r="CE88" s="37" t="n"/>
      <c r="CF88" s="291" t="n"/>
      <c r="CG88" s="291" t="n"/>
      <c r="CH88" s="291" t="n"/>
      <c r="CI88" s="291" t="n"/>
      <c r="CJ88" s="291" t="n"/>
      <c r="CK88" s="291" t="n"/>
      <c r="CL88" s="291" t="n"/>
      <c r="CM88" s="291" t="n"/>
      <c r="CN88" s="291" t="n"/>
      <c r="CO88" s="80" t="n"/>
      <c r="CP88" s="291" t="n"/>
      <c r="CQ88" s="80" t="n"/>
      <c r="CR88" s="288" t="n"/>
      <c r="CS88" s="80" t="n"/>
      <c r="CT88" s="291" t="n"/>
      <c r="CU88" s="80" t="n"/>
      <c r="CW88" s="291" t="n"/>
      <c r="CX88" s="37" t="n"/>
      <c r="CY88" s="291" t="n"/>
      <c r="CZ88" s="37" t="n"/>
      <c r="DA88" s="291" t="n"/>
      <c r="DB88" s="37" t="n"/>
      <c r="DC88" s="291" t="n"/>
      <c r="DD88" s="37" t="n"/>
      <c r="DE88" s="311" t="n"/>
      <c r="DF88" s="311" t="n"/>
    </row>
    <row r="89">
      <c r="A89" s="428" t="n"/>
      <c r="B89" s="288" t="n"/>
      <c r="C89" s="15" t="n"/>
      <c r="D89" s="15" t="n"/>
      <c r="E89" s="285" t="n"/>
      <c r="F89" s="15" t="n"/>
      <c r="G89" s="15" t="n"/>
      <c r="H89" s="285" t="n"/>
      <c r="I89" s="15" t="n"/>
      <c r="J89" s="15" t="n"/>
      <c r="K89" s="285" t="n"/>
      <c r="L89" s="15" t="n"/>
      <c r="M89" s="15" t="n"/>
      <c r="N89" s="285" t="n"/>
      <c r="O89" s="15" t="n"/>
      <c r="P89" s="15" t="n"/>
      <c r="Q89" s="285" t="n"/>
      <c r="R89" s="15" t="n"/>
      <c r="S89" s="15" t="n"/>
      <c r="T89" s="285" t="n"/>
      <c r="U89" s="15" t="n"/>
      <c r="V89" s="15" t="n"/>
      <c r="W89" s="285" t="n"/>
      <c r="X89" s="15" t="n"/>
      <c r="Y89" s="15" t="n"/>
      <c r="Z89" s="285" t="n"/>
      <c r="AA89" s="15" t="n"/>
      <c r="AB89" s="15" t="n"/>
      <c r="AC89" s="285" t="n"/>
      <c r="AD89" s="15" t="n"/>
      <c r="AE89" s="15" t="n"/>
      <c r="AF89" s="285" t="n"/>
      <c r="AG89" s="15" t="n"/>
      <c r="AH89" s="15" t="n"/>
      <c r="AI89" s="285" t="n"/>
      <c r="AJ89" s="15" t="n"/>
      <c r="AK89" s="15" t="n"/>
      <c r="AL89" s="285" t="n"/>
      <c r="AM89" s="31" t="n"/>
      <c r="AN89" s="15" t="n"/>
      <c r="AO89" s="285" t="n"/>
      <c r="AP89" s="31" t="n"/>
      <c r="AQ89" s="15" t="n"/>
      <c r="AR89" s="285" t="n"/>
      <c r="AS89" s="31" t="n"/>
      <c r="AT89" s="15" t="n"/>
      <c r="AU89" s="285" t="n"/>
      <c r="AV89" s="31" t="n"/>
      <c r="AW89" s="15" t="n"/>
      <c r="AX89" s="285" t="n"/>
      <c r="AY89" s="15" t="n"/>
      <c r="AZ89" s="15" t="n"/>
      <c r="BA89" s="287" t="n"/>
      <c r="BB89" s="37" t="n"/>
      <c r="BC89" s="287" t="n"/>
      <c r="BD89" s="37" t="n"/>
      <c r="BE89" s="287" t="n"/>
      <c r="BF89" s="37" t="n"/>
      <c r="BG89" s="287" t="n"/>
      <c r="BH89" s="37" t="n"/>
      <c r="BI89" s="288" t="n"/>
      <c r="BJ89" s="37" t="n"/>
      <c r="BK89" s="288" t="n"/>
      <c r="BL89" s="37" t="n"/>
      <c r="BM89" s="288" t="n"/>
      <c r="BN89" s="37" t="n"/>
      <c r="BO89" s="288" t="n"/>
      <c r="BP89" s="288" t="n"/>
      <c r="BQ89" s="37" t="n"/>
      <c r="BR89" s="288" t="n"/>
      <c r="BS89" s="37" t="n"/>
      <c r="BT89" s="288" t="n"/>
      <c r="BU89" s="37" t="n"/>
      <c r="BV89" s="288" t="n"/>
      <c r="BW89" s="37" t="n"/>
      <c r="BX89" s="288" t="n"/>
      <c r="BY89" s="37" t="n"/>
      <c r="BZ89" s="288" t="n"/>
      <c r="CA89" s="37" t="n"/>
      <c r="CB89" s="288" t="n"/>
      <c r="CC89" s="37" t="n"/>
      <c r="CD89" s="288" t="n"/>
      <c r="CE89" s="37" t="n"/>
      <c r="CF89" s="288" t="n"/>
      <c r="CG89" s="291" t="n"/>
      <c r="CH89" s="288" t="n"/>
      <c r="CI89" s="291" t="n"/>
      <c r="CJ89" s="288" t="n"/>
      <c r="CK89" s="291" t="n"/>
      <c r="CL89" s="288" t="n"/>
      <c r="CM89" s="291" t="n"/>
      <c r="CN89" s="288" t="n"/>
      <c r="CO89" s="80" t="n"/>
      <c r="CP89" s="288" t="n"/>
      <c r="CQ89" s="80" t="n"/>
      <c r="CR89" s="288" t="n"/>
      <c r="CS89" s="80" t="n"/>
      <c r="CT89" s="288" t="n"/>
      <c r="CU89" s="80" t="n"/>
      <c r="CV89" s="269" t="n"/>
      <c r="CW89" s="288" t="n"/>
      <c r="CX89" s="37" t="n"/>
      <c r="CY89" s="288" t="n"/>
      <c r="CZ89" s="37" t="n"/>
      <c r="DA89" s="288" t="n"/>
      <c r="DB89" s="37" t="n"/>
      <c r="DC89" s="288" t="n"/>
      <c r="DD89" s="37" t="n"/>
      <c r="DE89" s="295" t="n"/>
      <c r="DF89" s="295" t="n"/>
      <c r="DG89" s="288" t="n"/>
    </row>
    <row r="90">
      <c r="A90" s="428" t="n"/>
      <c r="B90" s="288" t="n"/>
      <c r="C90" s="15" t="n"/>
      <c r="D90" s="15" t="n"/>
      <c r="E90" s="285" t="n"/>
      <c r="F90" s="15" t="n"/>
      <c r="G90" s="15" t="n"/>
      <c r="H90" s="285" t="n"/>
      <c r="I90" s="15" t="n"/>
      <c r="J90" s="15" t="n"/>
      <c r="K90" s="285" t="n"/>
      <c r="L90" s="15" t="n"/>
      <c r="M90" s="15" t="n"/>
      <c r="N90" s="285" t="n"/>
      <c r="O90" s="15" t="n"/>
      <c r="P90" s="15" t="n"/>
      <c r="Q90" s="285" t="n"/>
      <c r="R90" s="15" t="n"/>
      <c r="S90" s="15" t="n"/>
      <c r="T90" s="285" t="n"/>
      <c r="U90" s="15" t="n"/>
      <c r="V90" s="15" t="n"/>
      <c r="W90" s="285" t="n"/>
      <c r="X90" s="15" t="n"/>
      <c r="Y90" s="15" t="n"/>
      <c r="Z90" s="285" t="n"/>
      <c r="AA90" s="15" t="n"/>
      <c r="AB90" s="15" t="n"/>
      <c r="AC90" s="285" t="n"/>
      <c r="AD90" s="15" t="n"/>
      <c r="AE90" s="15" t="n"/>
      <c r="AF90" s="285" t="n"/>
      <c r="AG90" s="15" t="n"/>
      <c r="AH90" s="15" t="n"/>
      <c r="AI90" s="285" t="n"/>
      <c r="AJ90" s="15" t="n"/>
      <c r="AK90" s="15" t="n"/>
      <c r="AL90" s="285" t="n"/>
      <c r="AM90" s="31" t="n"/>
      <c r="AN90" s="15" t="n"/>
      <c r="AO90" s="285" t="n"/>
      <c r="AP90" s="31" t="n"/>
      <c r="AQ90" s="15" t="n"/>
      <c r="AR90" s="285" t="n"/>
      <c r="AS90" s="31" t="n"/>
      <c r="AT90" s="15" t="n"/>
      <c r="AU90" s="285" t="n"/>
      <c r="AV90" s="31" t="n"/>
      <c r="AW90" s="15" t="n"/>
      <c r="AX90" s="285" t="n"/>
      <c r="AY90" s="15" t="n"/>
      <c r="AZ90" s="15" t="n"/>
      <c r="BA90" s="287" t="n"/>
      <c r="BB90" s="37" t="n"/>
      <c r="BC90" s="287" t="n"/>
      <c r="BD90" s="37" t="n"/>
      <c r="BE90" s="287" t="n"/>
      <c r="BF90" s="37" t="n"/>
      <c r="BG90" s="287" t="n"/>
      <c r="BH90" s="37" t="n"/>
      <c r="BI90" s="288" t="n"/>
      <c r="BJ90" s="37" t="n"/>
      <c r="BK90" s="288" t="n"/>
      <c r="BL90" s="37" t="n"/>
      <c r="BM90" s="288" t="n"/>
      <c r="BN90" s="37" t="n"/>
      <c r="BO90" s="288" t="n"/>
      <c r="BP90" s="288" t="n"/>
      <c r="BQ90" s="37" t="n"/>
      <c r="BR90" s="288" t="n"/>
      <c r="BS90" s="37" t="n"/>
      <c r="BT90" s="288" t="n"/>
      <c r="BU90" s="37" t="n"/>
      <c r="BV90" s="288" t="n"/>
      <c r="BW90" s="37" t="n"/>
      <c r="BX90" s="288" t="n"/>
      <c r="BY90" s="37" t="n"/>
      <c r="BZ90" s="288" t="n"/>
      <c r="CA90" s="37" t="n"/>
      <c r="CB90" s="288" t="n"/>
      <c r="CC90" s="37" t="n"/>
      <c r="CD90" s="288" t="n"/>
      <c r="CE90" s="37" t="n"/>
      <c r="CF90" s="288" t="n"/>
      <c r="CG90" s="291" t="n"/>
      <c r="CH90" s="288" t="n"/>
      <c r="CI90" s="291" t="n"/>
      <c r="CJ90" s="288" t="n"/>
      <c r="CK90" s="291" t="n"/>
      <c r="CL90" s="288" t="n"/>
      <c r="CM90" s="291" t="n"/>
      <c r="CN90" s="288" t="n"/>
      <c r="CO90" s="80" t="n"/>
      <c r="CP90" s="288" t="n"/>
      <c r="CQ90" s="80" t="n"/>
      <c r="CR90" s="288" t="n"/>
      <c r="CS90" s="80" t="n"/>
      <c r="CT90" s="288" t="n"/>
      <c r="CU90" s="80" t="n"/>
      <c r="CV90" s="269" t="n"/>
      <c r="CW90" s="288" t="n"/>
      <c r="CX90" s="37" t="n"/>
      <c r="CY90" s="288" t="n"/>
      <c r="CZ90" s="37" t="n"/>
      <c r="DA90" s="288" t="n"/>
      <c r="DB90" s="37" t="n"/>
      <c r="DC90" s="288" t="n"/>
      <c r="DD90" s="37" t="n"/>
      <c r="DE90" s="295" t="n"/>
      <c r="DF90" s="295" t="n"/>
      <c r="DG90" s="296" t="n"/>
    </row>
    <row r="91">
      <c r="A91" s="428" t="n"/>
      <c r="B91" s="288" t="n"/>
      <c r="C91" s="15" t="n"/>
      <c r="D91" s="15" t="n"/>
      <c r="E91" s="285" t="n"/>
      <c r="F91" s="15" t="n"/>
      <c r="G91" s="15" t="n"/>
      <c r="H91" s="285" t="n"/>
      <c r="I91" s="15" t="n"/>
      <c r="J91" s="15" t="n"/>
      <c r="K91" s="285" t="n"/>
      <c r="L91" s="15" t="n"/>
      <c r="M91" s="15" t="n"/>
      <c r="N91" s="285" t="n"/>
      <c r="O91" s="15" t="n"/>
      <c r="P91" s="15" t="n"/>
      <c r="Q91" s="285" t="n"/>
      <c r="R91" s="15" t="n"/>
      <c r="S91" s="15" t="n"/>
      <c r="T91" s="285" t="n"/>
      <c r="U91" s="15" t="n"/>
      <c r="V91" s="15" t="n"/>
      <c r="W91" s="285" t="n"/>
      <c r="X91" s="15" t="n"/>
      <c r="Y91" s="15" t="n"/>
      <c r="Z91" s="285" t="n"/>
      <c r="AA91" s="15" t="n"/>
      <c r="AB91" s="15" t="n"/>
      <c r="AC91" s="285" t="n"/>
      <c r="AD91" s="15" t="n"/>
      <c r="AE91" s="15" t="n"/>
      <c r="AF91" s="285" t="n"/>
      <c r="AG91" s="15" t="n"/>
      <c r="AH91" s="15" t="n"/>
      <c r="AI91" s="285" t="n"/>
      <c r="AJ91" s="15" t="n"/>
      <c r="AK91" s="15" t="n"/>
      <c r="AL91" s="285" t="n"/>
      <c r="AM91" s="31" t="n"/>
      <c r="AN91" s="15" t="n"/>
      <c r="AO91" s="285" t="n"/>
      <c r="AP91" s="31" t="n"/>
      <c r="AQ91" s="15" t="n"/>
      <c r="AR91" s="285" t="n"/>
      <c r="AS91" s="31" t="n"/>
      <c r="AT91" s="15" t="n"/>
      <c r="AU91" s="285" t="n"/>
      <c r="AV91" s="31" t="n"/>
      <c r="AW91" s="15" t="n"/>
      <c r="AX91" s="285" t="n"/>
      <c r="AY91" s="15" t="n"/>
      <c r="AZ91" s="15" t="n"/>
      <c r="BA91" s="287" t="n"/>
      <c r="BB91" s="37" t="n"/>
      <c r="BC91" s="287" t="n"/>
      <c r="BD91" s="37" t="n"/>
      <c r="BE91" s="287" t="n"/>
      <c r="BF91" s="37" t="n"/>
      <c r="BG91" s="287" t="n"/>
      <c r="BH91" s="37" t="n"/>
      <c r="BI91" s="288" t="n"/>
      <c r="BJ91" s="37" t="n"/>
      <c r="BK91" s="288" t="n"/>
      <c r="BL91" s="37" t="n"/>
      <c r="BM91" s="288" t="n"/>
      <c r="BN91" s="37" t="n"/>
      <c r="BO91" s="288" t="n"/>
      <c r="BP91" s="288" t="n"/>
      <c r="BQ91" s="37" t="n"/>
      <c r="BR91" s="288" t="n"/>
      <c r="BS91" s="37" t="n"/>
      <c r="BT91" s="288" t="n"/>
      <c r="BU91" s="37" t="n"/>
      <c r="BV91" s="288" t="n"/>
      <c r="BW91" s="37" t="n"/>
      <c r="BX91" s="288" t="n"/>
      <c r="BY91" s="37" t="n"/>
      <c r="BZ91" s="288" t="n"/>
      <c r="CA91" s="37" t="n"/>
      <c r="CB91" s="288" t="n"/>
      <c r="CC91" s="37" t="n"/>
      <c r="CD91" s="288" t="n"/>
      <c r="CE91" s="37" t="n"/>
      <c r="CF91" s="288" t="n"/>
      <c r="CG91" s="291" t="n"/>
      <c r="CH91" s="288" t="n"/>
      <c r="CI91" s="291" t="n"/>
      <c r="CJ91" s="288" t="n"/>
      <c r="CK91" s="291" t="n"/>
      <c r="CL91" s="288" t="n"/>
      <c r="CM91" s="291" t="n"/>
      <c r="CN91" s="288" t="n"/>
      <c r="CO91" s="80" t="n"/>
      <c r="CP91" s="288" t="n"/>
      <c r="CQ91" s="80" t="n"/>
      <c r="CR91" s="288" t="n"/>
      <c r="CS91" s="80" t="n"/>
      <c r="CT91" s="288" t="n"/>
      <c r="CU91" s="80" t="n"/>
      <c r="CV91" s="269" t="n"/>
      <c r="CW91" s="288" t="n"/>
      <c r="CX91" s="37" t="n"/>
      <c r="CY91" s="288" t="n"/>
      <c r="CZ91" s="37" t="n"/>
      <c r="DA91" s="288" t="n"/>
      <c r="DB91" s="37" t="n"/>
      <c r="DC91" s="288" t="n"/>
      <c r="DD91" s="37" t="n"/>
      <c r="DE91" s="295" t="n"/>
      <c r="DF91" s="295" t="n"/>
      <c r="DG91" s="296" t="n"/>
    </row>
    <row r="92">
      <c r="A92" s="428" t="n"/>
      <c r="B92" s="288" t="n"/>
      <c r="C92" s="15" t="n"/>
      <c r="D92" s="15" t="n"/>
      <c r="E92" s="285" t="n"/>
      <c r="F92" s="15" t="n"/>
      <c r="G92" s="15" t="n"/>
      <c r="H92" s="285" t="n"/>
      <c r="I92" s="15" t="n"/>
      <c r="J92" s="15" t="n"/>
      <c r="K92" s="285" t="n"/>
      <c r="L92" s="15" t="n"/>
      <c r="M92" s="15" t="n"/>
      <c r="N92" s="285" t="n"/>
      <c r="O92" s="15" t="n"/>
      <c r="P92" s="15" t="n"/>
      <c r="Q92" s="285" t="n"/>
      <c r="R92" s="15" t="n"/>
      <c r="S92" s="15" t="n"/>
      <c r="T92" s="285" t="n"/>
      <c r="U92" s="15" t="n"/>
      <c r="V92" s="15" t="n"/>
      <c r="W92" s="285" t="n"/>
      <c r="X92" s="15" t="n"/>
      <c r="Y92" s="15" t="n"/>
      <c r="Z92" s="285" t="n"/>
      <c r="AA92" s="15" t="n"/>
      <c r="AB92" s="15" t="n"/>
      <c r="AC92" s="285" t="n"/>
      <c r="AD92" s="15" t="n"/>
      <c r="AE92" s="15" t="n"/>
      <c r="AF92" s="285" t="n"/>
      <c r="AG92" s="15" t="n"/>
      <c r="AH92" s="15" t="n"/>
      <c r="AI92" s="285" t="n"/>
      <c r="AJ92" s="15" t="n"/>
      <c r="AK92" s="15" t="n"/>
      <c r="AL92" s="285" t="n"/>
      <c r="AM92" s="31" t="n"/>
      <c r="AN92" s="15" t="n"/>
      <c r="AO92" s="285" t="n"/>
      <c r="AP92" s="31" t="n"/>
      <c r="AQ92" s="15" t="n"/>
      <c r="AR92" s="285" t="n"/>
      <c r="AS92" s="31" t="n"/>
      <c r="AT92" s="15" t="n"/>
      <c r="AU92" s="285" t="n"/>
      <c r="AV92" s="31" t="n"/>
      <c r="AW92" s="15" t="n"/>
      <c r="AX92" s="285" t="n"/>
      <c r="AY92" s="15" t="n"/>
      <c r="AZ92" s="15" t="n"/>
      <c r="BA92" s="287" t="n"/>
      <c r="BB92" s="37" t="n"/>
      <c r="BC92" s="287" t="n"/>
      <c r="BD92" s="37" t="n"/>
      <c r="BE92" s="287" t="n"/>
      <c r="BF92" s="37" t="n"/>
      <c r="BG92" s="287" t="n"/>
      <c r="BH92" s="37" t="n"/>
      <c r="BI92" s="288" t="n"/>
      <c r="BJ92" s="37" t="n"/>
      <c r="BK92" s="288" t="n"/>
      <c r="BL92" s="37" t="n"/>
      <c r="BM92" s="288" t="n"/>
      <c r="BN92" s="37" t="n"/>
      <c r="BO92" s="288" t="n"/>
      <c r="BP92" s="288" t="n"/>
      <c r="BQ92" s="37" t="n"/>
      <c r="BR92" s="288" t="n"/>
      <c r="BS92" s="37" t="n"/>
      <c r="BT92" s="288" t="n"/>
      <c r="BU92" s="37" t="n"/>
      <c r="BV92" s="288" t="n"/>
      <c r="BW92" s="37" t="n"/>
      <c r="BX92" s="288" t="n"/>
      <c r="BY92" s="37" t="n"/>
      <c r="BZ92" s="288" t="n"/>
      <c r="CA92" s="37" t="n"/>
      <c r="CB92" s="288" t="n"/>
      <c r="CC92" s="37" t="n"/>
      <c r="CD92" s="288" t="n"/>
      <c r="CE92" s="37" t="n"/>
      <c r="CF92" s="288" t="n"/>
      <c r="CG92" s="291" t="n"/>
      <c r="CH92" s="288" t="n"/>
      <c r="CI92" s="291" t="n"/>
      <c r="CJ92" s="288" t="n"/>
      <c r="CK92" s="291" t="n"/>
      <c r="CL92" s="288" t="n"/>
      <c r="CM92" s="291" t="n"/>
      <c r="CN92" s="288" t="n"/>
      <c r="CO92" s="80" t="n"/>
      <c r="CP92" s="288" t="n"/>
      <c r="CQ92" s="80" t="n"/>
      <c r="CR92" s="288" t="n"/>
      <c r="CS92" s="80" t="n"/>
      <c r="CT92" s="288" t="n"/>
      <c r="CU92" s="80" t="n"/>
      <c r="CV92" s="269" t="n"/>
      <c r="CW92" s="288" t="n"/>
      <c r="CX92" s="37" t="n"/>
      <c r="CY92" s="288" t="n"/>
      <c r="CZ92" s="37" t="n"/>
      <c r="DA92" s="288" t="n"/>
      <c r="DB92" s="37" t="n"/>
      <c r="DC92" s="288" t="n"/>
      <c r="DD92" s="37" t="n"/>
      <c r="DE92" s="295" t="n"/>
      <c r="DF92" s="295" t="n"/>
      <c r="DG92" s="296" t="n"/>
    </row>
    <row r="93">
      <c r="A93" s="428" t="n"/>
      <c r="B93" s="288" t="n"/>
      <c r="C93" s="15" t="n"/>
      <c r="D93" s="15" t="n"/>
      <c r="E93" s="285" t="n"/>
      <c r="F93" s="15" t="n"/>
      <c r="G93" s="15" t="n"/>
      <c r="H93" s="285" t="n"/>
      <c r="I93" s="15" t="n"/>
      <c r="J93" s="15" t="n"/>
      <c r="K93" s="285" t="n"/>
      <c r="L93" s="15" t="n"/>
      <c r="M93" s="15" t="n"/>
      <c r="N93" s="285" t="n"/>
      <c r="O93" s="15" t="n"/>
      <c r="P93" s="15" t="n"/>
      <c r="Q93" s="285" t="n"/>
      <c r="R93" s="15" t="n"/>
      <c r="S93" s="15" t="n"/>
      <c r="T93" s="285" t="n"/>
      <c r="U93" s="15" t="n"/>
      <c r="V93" s="15" t="n"/>
      <c r="W93" s="285" t="n"/>
      <c r="X93" s="15" t="n"/>
      <c r="Y93" s="15" t="n"/>
      <c r="Z93" s="285" t="n"/>
      <c r="AA93" s="15" t="n"/>
      <c r="AB93" s="15" t="n"/>
      <c r="AC93" s="285" t="n"/>
      <c r="AD93" s="15" t="n"/>
      <c r="AE93" s="15" t="n"/>
      <c r="AF93" s="285" t="n"/>
      <c r="AG93" s="15" t="n"/>
      <c r="AH93" s="15" t="n"/>
      <c r="AI93" s="285" t="n"/>
      <c r="AJ93" s="15" t="n"/>
      <c r="AK93" s="15" t="n"/>
      <c r="AL93" s="285" t="n"/>
      <c r="AM93" s="31" t="n"/>
      <c r="AN93" s="15" t="n"/>
      <c r="AO93" s="285" t="n"/>
      <c r="AP93" s="31" t="n"/>
      <c r="AQ93" s="15" t="n"/>
      <c r="AR93" s="285" t="n"/>
      <c r="AS93" s="31" t="n"/>
      <c r="AT93" s="15" t="n"/>
      <c r="AU93" s="285" t="n"/>
      <c r="AV93" s="31" t="n"/>
      <c r="AW93" s="15" t="n"/>
      <c r="AX93" s="285" t="n"/>
      <c r="AY93" s="15" t="n"/>
      <c r="AZ93" s="15" t="n"/>
      <c r="BA93" s="287" t="n"/>
      <c r="BB93" s="37" t="n"/>
      <c r="BC93" s="287" t="n"/>
      <c r="BD93" s="37" t="n"/>
      <c r="BE93" s="287" t="n"/>
      <c r="BF93" s="37" t="n"/>
      <c r="BG93" s="287" t="n"/>
      <c r="BH93" s="37" t="n"/>
      <c r="BI93" s="288" t="n"/>
      <c r="BJ93" s="37" t="n"/>
      <c r="BK93" s="288" t="n"/>
      <c r="BL93" s="37" t="n"/>
      <c r="BM93" s="288" t="n"/>
      <c r="BN93" s="37" t="n"/>
      <c r="BO93" s="288" t="n"/>
      <c r="BP93" s="288" t="n"/>
      <c r="BQ93" s="37" t="n"/>
      <c r="BR93" s="288" t="n"/>
      <c r="BS93" s="37" t="n"/>
      <c r="BT93" s="288" t="n"/>
      <c r="BU93" s="37" t="n"/>
      <c r="BV93" s="288" t="n"/>
      <c r="BW93" s="37" t="n"/>
      <c r="BX93" s="288" t="n"/>
      <c r="BY93" s="37" t="n"/>
      <c r="BZ93" s="288" t="n"/>
      <c r="CA93" s="37" t="n"/>
      <c r="CB93" s="288" t="n"/>
      <c r="CC93" s="37" t="n"/>
      <c r="CD93" s="288" t="n"/>
      <c r="CE93" s="37" t="n"/>
      <c r="CF93" s="288" t="n"/>
      <c r="CG93" s="291" t="n"/>
      <c r="CH93" s="288" t="n"/>
      <c r="CI93" s="291" t="n"/>
      <c r="CJ93" s="288" t="n"/>
      <c r="CK93" s="291" t="n"/>
      <c r="CL93" s="288" t="n"/>
      <c r="CM93" s="291" t="n"/>
      <c r="CN93" s="288" t="n"/>
      <c r="CO93" s="80" t="n"/>
      <c r="CP93" s="288" t="n"/>
      <c r="CQ93" s="80" t="n"/>
      <c r="CR93" s="288" t="n"/>
      <c r="CS93" s="80" t="n"/>
      <c r="CT93" s="288" t="n"/>
      <c r="CU93" s="80" t="n"/>
      <c r="CV93" s="269" t="n"/>
      <c r="CW93" s="288" t="n"/>
      <c r="CX93" s="37" t="n"/>
      <c r="CY93" s="288" t="n"/>
      <c r="CZ93" s="37" t="n"/>
      <c r="DA93" s="288" t="n"/>
      <c r="DB93" s="37" t="n"/>
      <c r="DC93" s="288" t="n"/>
      <c r="DD93" s="37" t="n"/>
      <c r="DE93" s="295" t="n"/>
      <c r="DF93" s="295" t="n"/>
      <c r="DG93" s="288" t="n"/>
    </row>
    <row r="94">
      <c r="A94" s="428" t="n"/>
      <c r="B94" s="288" t="n"/>
      <c r="C94" s="15" t="n"/>
      <c r="D94" s="15" t="n"/>
      <c r="E94" s="285" t="n"/>
      <c r="F94" s="15" t="n"/>
      <c r="G94" s="15" t="n"/>
      <c r="H94" s="285" t="n"/>
      <c r="I94" s="15" t="n"/>
      <c r="J94" s="15" t="n"/>
      <c r="K94" s="285" t="n"/>
      <c r="L94" s="15" t="n"/>
      <c r="M94" s="15" t="n"/>
      <c r="N94" s="285" t="n"/>
      <c r="O94" s="15" t="n"/>
      <c r="P94" s="15" t="n"/>
      <c r="Q94" s="285" t="n"/>
      <c r="R94" s="15" t="n"/>
      <c r="S94" s="15" t="n"/>
      <c r="T94" s="285" t="n"/>
      <c r="U94" s="15" t="n"/>
      <c r="V94" s="15" t="n"/>
      <c r="W94" s="285" t="n"/>
      <c r="X94" s="15" t="n"/>
      <c r="Y94" s="15" t="n"/>
      <c r="Z94" s="285" t="n"/>
      <c r="AA94" s="15" t="n"/>
      <c r="AB94" s="15" t="n"/>
      <c r="AC94" s="285" t="n"/>
      <c r="AD94" s="15" t="n"/>
      <c r="AE94" s="15" t="n"/>
      <c r="AF94" s="285" t="n"/>
      <c r="AG94" s="15" t="n"/>
      <c r="AH94" s="15" t="n"/>
      <c r="AI94" s="285" t="n"/>
      <c r="AJ94" s="15" t="n"/>
      <c r="AK94" s="15" t="n"/>
      <c r="AL94" s="285" t="n"/>
      <c r="AM94" s="31" t="n"/>
      <c r="AN94" s="15" t="n"/>
      <c r="AO94" s="285" t="n"/>
      <c r="AP94" s="31" t="n"/>
      <c r="AQ94" s="15" t="n"/>
      <c r="AR94" s="285" t="n"/>
      <c r="AS94" s="31" t="n"/>
      <c r="AT94" s="15" t="n"/>
      <c r="AU94" s="285" t="n"/>
      <c r="AV94" s="31" t="n"/>
      <c r="AW94" s="15" t="n"/>
      <c r="AX94" s="285" t="n"/>
      <c r="AY94" s="15" t="n"/>
      <c r="AZ94" s="15" t="n"/>
      <c r="BA94" s="287" t="n"/>
      <c r="BB94" s="37" t="n"/>
      <c r="BC94" s="287" t="n"/>
      <c r="BD94" s="37" t="n"/>
      <c r="BE94" s="287" t="n"/>
      <c r="BF94" s="37" t="n"/>
      <c r="BG94" s="287" t="n"/>
      <c r="BH94" s="37" t="n"/>
      <c r="BI94" s="288" t="n"/>
      <c r="BJ94" s="37" t="n"/>
      <c r="BK94" s="288" t="n"/>
      <c r="BL94" s="37" t="n"/>
      <c r="BM94" s="288" t="n"/>
      <c r="BN94" s="37" t="n"/>
      <c r="BO94" s="288" t="n"/>
      <c r="BP94" s="288" t="n"/>
      <c r="BQ94" s="37" t="n"/>
      <c r="BR94" s="288" t="n"/>
      <c r="BS94" s="37" t="n"/>
      <c r="BT94" s="288" t="n"/>
      <c r="BU94" s="37" t="n"/>
      <c r="BV94" s="288" t="n"/>
      <c r="BW94" s="37" t="n"/>
      <c r="BX94" s="288" t="n"/>
      <c r="BY94" s="37" t="n"/>
      <c r="BZ94" s="288" t="n"/>
      <c r="CA94" s="37" t="n"/>
      <c r="CB94" s="288" t="n"/>
      <c r="CC94" s="37" t="n"/>
      <c r="CD94" s="288" t="n"/>
      <c r="CE94" s="37" t="n"/>
      <c r="CF94" s="288" t="n"/>
      <c r="CG94" s="291" t="n"/>
      <c r="CH94" s="288" t="n"/>
      <c r="CI94" s="291" t="n"/>
      <c r="CJ94" s="288" t="n"/>
      <c r="CK94" s="291" t="n"/>
      <c r="CL94" s="288" t="n"/>
      <c r="CM94" s="291" t="n"/>
      <c r="CN94" s="288" t="n"/>
      <c r="CO94" s="80" t="n"/>
      <c r="CP94" s="288" t="n"/>
      <c r="CQ94" s="80" t="n"/>
      <c r="CR94" s="288" t="n"/>
      <c r="CS94" s="80" t="n"/>
      <c r="CT94" s="288" t="n"/>
      <c r="CU94" s="80" t="n"/>
      <c r="CV94" s="269" t="n"/>
      <c r="CW94" s="288" t="n"/>
      <c r="CX94" s="37" t="n"/>
      <c r="CY94" s="288" t="n"/>
      <c r="CZ94" s="37" t="n"/>
      <c r="DA94" s="288" t="n"/>
      <c r="DB94" s="37" t="n"/>
      <c r="DC94" s="288" t="n"/>
      <c r="DD94" s="37" t="n"/>
      <c r="DE94" s="295" t="n"/>
      <c r="DF94" s="295" t="n"/>
      <c r="DG94" s="288" t="n"/>
    </row>
    <row r="95">
      <c r="A95" s="428" t="n"/>
      <c r="B95" s="288" t="n"/>
      <c r="C95" s="15" t="n"/>
      <c r="D95" s="15" t="n"/>
      <c r="E95" s="285" t="n"/>
      <c r="F95" s="15" t="n"/>
      <c r="G95" s="15" t="n"/>
      <c r="H95" s="285" t="n"/>
      <c r="I95" s="15" t="n"/>
      <c r="J95" s="15" t="n"/>
      <c r="K95" s="285" t="n"/>
      <c r="L95" s="15" t="n"/>
      <c r="M95" s="15" t="n"/>
      <c r="N95" s="285" t="n"/>
      <c r="O95" s="15" t="n"/>
      <c r="P95" s="15" t="n"/>
      <c r="Q95" s="285" t="n"/>
      <c r="R95" s="15" t="n"/>
      <c r="S95" s="15" t="n"/>
      <c r="T95" s="285" t="n"/>
      <c r="U95" s="15" t="n"/>
      <c r="V95" s="15" t="n"/>
      <c r="W95" s="285" t="n"/>
      <c r="X95" s="15" t="n"/>
      <c r="Y95" s="15" t="n"/>
      <c r="Z95" s="285" t="n"/>
      <c r="AA95" s="15" t="n"/>
      <c r="AB95" s="15" t="n"/>
      <c r="AC95" s="285" t="n"/>
      <c r="AD95" s="15" t="n"/>
      <c r="AE95" s="15" t="n"/>
      <c r="AF95" s="285" t="n"/>
      <c r="AG95" s="15" t="n"/>
      <c r="AH95" s="15" t="n"/>
      <c r="AI95" s="285" t="n"/>
      <c r="AJ95" s="15" t="n"/>
      <c r="AK95" s="15" t="n"/>
      <c r="AL95" s="285" t="n"/>
      <c r="AM95" s="31" t="n"/>
      <c r="AN95" s="15" t="n"/>
      <c r="AO95" s="285" t="n"/>
      <c r="AP95" s="31" t="n"/>
      <c r="AQ95" s="15" t="n"/>
      <c r="AR95" s="285" t="n"/>
      <c r="AS95" s="31" t="n"/>
      <c r="AT95" s="15" t="n"/>
      <c r="AU95" s="285" t="n"/>
      <c r="AV95" s="31" t="n"/>
      <c r="AW95" s="15" t="n"/>
      <c r="AX95" s="285" t="n"/>
      <c r="AY95" s="15" t="n"/>
      <c r="AZ95" s="15" t="n"/>
      <c r="BA95" s="287" t="n"/>
      <c r="BB95" s="37" t="n"/>
      <c r="BC95" s="287" t="n"/>
      <c r="BD95" s="37" t="n"/>
      <c r="BE95" s="287" t="n"/>
      <c r="BF95" s="37" t="n"/>
      <c r="BG95" s="287" t="n"/>
      <c r="BH95" s="37" t="n"/>
      <c r="BI95" s="288" t="n"/>
      <c r="BJ95" s="37" t="n"/>
      <c r="BK95" s="288" t="n"/>
      <c r="BL95" s="37" t="n"/>
      <c r="BM95" s="288" t="n"/>
      <c r="BN95" s="37" t="n"/>
      <c r="BO95" s="288" t="n"/>
      <c r="BP95" s="288" t="n"/>
      <c r="BQ95" s="37" t="n"/>
      <c r="BR95" s="288" t="n"/>
      <c r="BS95" s="37" t="n"/>
      <c r="BT95" s="288" t="n"/>
      <c r="BU95" s="37" t="n"/>
      <c r="BV95" s="288" t="n"/>
      <c r="BW95" s="37" t="n"/>
      <c r="BX95" s="288" t="n"/>
      <c r="BY95" s="37" t="n"/>
      <c r="BZ95" s="288" t="n"/>
      <c r="CA95" s="37" t="n"/>
      <c r="CB95" s="288" t="n"/>
      <c r="CC95" s="37" t="n"/>
      <c r="CD95" s="288" t="n"/>
      <c r="CE95" s="37" t="n"/>
      <c r="CF95" s="288" t="n"/>
      <c r="CG95" s="291" t="n"/>
      <c r="CH95" s="288" t="n"/>
      <c r="CI95" s="291" t="n"/>
      <c r="CJ95" s="288" t="n"/>
      <c r="CK95" s="291" t="n"/>
      <c r="CL95" s="288" t="n"/>
      <c r="CM95" s="291" t="n"/>
      <c r="CN95" s="288" t="n"/>
      <c r="CO95" s="80" t="n"/>
      <c r="CP95" s="288" t="n"/>
      <c r="CQ95" s="80" t="n"/>
      <c r="CR95" s="288" t="n"/>
      <c r="CS95" s="80" t="n"/>
      <c r="CT95" s="288" t="n"/>
      <c r="CU95" s="80" t="n"/>
      <c r="CV95" s="269" t="n"/>
      <c r="CW95" s="288" t="n"/>
      <c r="CX95" s="37" t="n"/>
      <c r="CY95" s="288" t="n"/>
      <c r="CZ95" s="37" t="n"/>
      <c r="DA95" s="288" t="n"/>
      <c r="DB95" s="37" t="n"/>
      <c r="DC95" s="288" t="n"/>
      <c r="DD95" s="37" t="n"/>
      <c r="DE95" s="295" t="n"/>
      <c r="DF95" s="295" t="n"/>
      <c r="DG95" s="288" t="n"/>
    </row>
    <row r="96">
      <c r="A96" s="428" t="n"/>
      <c r="B96" s="288" t="n"/>
      <c r="C96" s="15" t="n"/>
      <c r="D96" s="15" t="n"/>
      <c r="E96" s="285" t="n"/>
      <c r="F96" s="15" t="n"/>
      <c r="G96" s="15" t="n"/>
      <c r="H96" s="285" t="n"/>
      <c r="I96" s="15" t="n"/>
      <c r="J96" s="15" t="n"/>
      <c r="K96" s="285" t="n"/>
      <c r="L96" s="15" t="n"/>
      <c r="M96" s="15" t="n"/>
      <c r="N96" s="285" t="n"/>
      <c r="O96" s="15" t="n"/>
      <c r="P96" s="15" t="n"/>
      <c r="Q96" s="285" t="n"/>
      <c r="R96" s="15" t="n"/>
      <c r="S96" s="15" t="n"/>
      <c r="T96" s="285" t="n"/>
      <c r="U96" s="15" t="n"/>
      <c r="V96" s="15" t="n"/>
      <c r="W96" s="285" t="n"/>
      <c r="X96" s="15" t="n"/>
      <c r="Y96" s="15" t="n"/>
      <c r="Z96" s="285" t="n"/>
      <c r="AA96" s="15" t="n"/>
      <c r="AB96" s="15" t="n"/>
      <c r="AC96" s="285" t="n"/>
      <c r="AD96" s="15" t="n"/>
      <c r="AE96" s="15" t="n"/>
      <c r="AF96" s="285" t="n"/>
      <c r="AG96" s="15" t="n"/>
      <c r="AH96" s="15" t="n"/>
      <c r="AI96" s="285" t="n"/>
      <c r="AJ96" s="15" t="n"/>
      <c r="AK96" s="15" t="n"/>
      <c r="AL96" s="285" t="n"/>
      <c r="AM96" s="31" t="n"/>
      <c r="AN96" s="15" t="n"/>
      <c r="AO96" s="285" t="n"/>
      <c r="AP96" s="31" t="n"/>
      <c r="AQ96" s="15" t="n"/>
      <c r="AR96" s="285" t="n"/>
      <c r="AS96" s="31" t="n"/>
      <c r="AT96" s="15" t="n"/>
      <c r="AU96" s="285" t="n"/>
      <c r="AV96" s="31" t="n"/>
      <c r="AW96" s="15" t="n"/>
      <c r="AX96" s="285" t="n"/>
      <c r="AY96" s="15" t="n"/>
      <c r="AZ96" s="15" t="n"/>
      <c r="BA96" s="287" t="n"/>
      <c r="BB96" s="37" t="n"/>
      <c r="BC96" s="287" t="n"/>
      <c r="BD96" s="37" t="n"/>
      <c r="BE96" s="287" t="n"/>
      <c r="BF96" s="37" t="n"/>
      <c r="BG96" s="287" t="n"/>
      <c r="BH96" s="37" t="n"/>
      <c r="BI96" s="288" t="n"/>
      <c r="BJ96" s="37" t="n"/>
      <c r="BK96" s="288" t="n"/>
      <c r="BL96" s="37" t="n"/>
      <c r="BM96" s="288" t="n"/>
      <c r="BN96" s="37" t="n"/>
      <c r="BO96" s="288" t="n"/>
      <c r="BP96" s="288" t="n"/>
      <c r="BQ96" s="37" t="n"/>
      <c r="BR96" s="288" t="n"/>
      <c r="BS96" s="37" t="n"/>
      <c r="BT96" s="288" t="n"/>
      <c r="BU96" s="37" t="n"/>
      <c r="BV96" s="288" t="n"/>
      <c r="BW96" s="37" t="n"/>
      <c r="BX96" s="288" t="n"/>
      <c r="BY96" s="37" t="n"/>
      <c r="BZ96" s="288" t="n"/>
      <c r="CA96" s="37" t="n"/>
      <c r="CB96" s="288" t="n"/>
      <c r="CC96" s="37" t="n"/>
      <c r="CD96" s="288" t="n"/>
      <c r="CE96" s="37" t="n"/>
      <c r="CF96" s="288" t="n"/>
      <c r="CG96" s="291" t="n"/>
      <c r="CH96" s="288" t="n"/>
      <c r="CI96" s="291" t="n"/>
      <c r="CJ96" s="288" t="n"/>
      <c r="CK96" s="291" t="n"/>
      <c r="CL96" s="288" t="n"/>
      <c r="CM96" s="291" t="n"/>
      <c r="CN96" s="288" t="n"/>
      <c r="CO96" s="80" t="n"/>
      <c r="CP96" s="288" t="n"/>
      <c r="CQ96" s="80" t="n"/>
      <c r="CR96" s="288" t="n"/>
      <c r="CS96" s="80" t="n"/>
      <c r="CT96" s="288" t="n"/>
      <c r="CU96" s="80" t="n"/>
      <c r="CV96" s="269" t="n"/>
      <c r="CW96" s="288" t="n"/>
      <c r="CX96" s="37" t="n"/>
      <c r="CY96" s="288" t="n"/>
      <c r="CZ96" s="37" t="n"/>
      <c r="DA96" s="288" t="n"/>
      <c r="DB96" s="37" t="n"/>
      <c r="DC96" s="288" t="n"/>
      <c r="DD96" s="37" t="n"/>
      <c r="DE96" s="295" t="n"/>
      <c r="DF96" s="295" t="n"/>
      <c r="DG96" s="288" t="n"/>
    </row>
    <row r="97">
      <c r="A97" s="428" t="n"/>
      <c r="B97" s="288" t="n"/>
      <c r="C97" s="15" t="n"/>
      <c r="D97" s="15" t="n"/>
      <c r="E97" s="285" t="n"/>
      <c r="F97" s="15" t="n"/>
      <c r="G97" s="15" t="n"/>
      <c r="H97" s="285" t="n"/>
      <c r="I97" s="15" t="n"/>
      <c r="J97" s="15" t="n"/>
      <c r="K97" s="285" t="n"/>
      <c r="L97" s="15" t="n"/>
      <c r="M97" s="15" t="n"/>
      <c r="N97" s="285" t="n"/>
      <c r="O97" s="15" t="n"/>
      <c r="P97" s="15" t="n"/>
      <c r="Q97" s="285" t="n"/>
      <c r="R97" s="15" t="n"/>
      <c r="S97" s="15" t="n"/>
      <c r="T97" s="285" t="n"/>
      <c r="U97" s="15" t="n"/>
      <c r="V97" s="15" t="n"/>
      <c r="W97" s="285" t="n"/>
      <c r="X97" s="15" t="n"/>
      <c r="Y97" s="15" t="n"/>
      <c r="Z97" s="285" t="n"/>
      <c r="AA97" s="15" t="n"/>
      <c r="AB97" s="15" t="n"/>
      <c r="AC97" s="285" t="n"/>
      <c r="AD97" s="15" t="n"/>
      <c r="AE97" s="15" t="n"/>
      <c r="AF97" s="285" t="n"/>
      <c r="AG97" s="15" t="n"/>
      <c r="AH97" s="15" t="n"/>
      <c r="AI97" s="285" t="n"/>
      <c r="AJ97" s="15" t="n"/>
      <c r="AK97" s="15" t="n"/>
      <c r="AL97" s="285" t="n"/>
      <c r="AM97" s="31" t="n"/>
      <c r="AN97" s="15" t="n"/>
      <c r="AO97" s="285" t="n"/>
      <c r="AP97" s="31" t="n"/>
      <c r="AQ97" s="15" t="n"/>
      <c r="AR97" s="285" t="n"/>
      <c r="AS97" s="31" t="n"/>
      <c r="AT97" s="15" t="n"/>
      <c r="AU97" s="285" t="n"/>
      <c r="AV97" s="31" t="n"/>
      <c r="AW97" s="15" t="n"/>
      <c r="AX97" s="285" t="n"/>
      <c r="AY97" s="15" t="n"/>
      <c r="AZ97" s="15" t="n"/>
      <c r="BA97" s="287" t="n"/>
      <c r="BB97" s="37" t="n"/>
      <c r="BC97" s="287" t="n"/>
      <c r="BD97" s="37" t="n"/>
      <c r="BE97" s="287" t="n"/>
      <c r="BF97" s="37" t="n"/>
      <c r="BG97" s="287" t="n"/>
      <c r="BH97" s="37" t="n"/>
      <c r="BI97" s="288" t="n"/>
      <c r="BJ97" s="37" t="n"/>
      <c r="BK97" s="288" t="n"/>
      <c r="BL97" s="37" t="n"/>
      <c r="BM97" s="288" t="n"/>
      <c r="BN97" s="37" t="n"/>
      <c r="BO97" s="288" t="n"/>
      <c r="BP97" s="288" t="n"/>
      <c r="BQ97" s="37" t="n"/>
      <c r="BR97" s="288" t="n"/>
      <c r="BS97" s="37" t="n"/>
      <c r="BT97" s="288" t="n"/>
      <c r="BU97" s="37" t="n"/>
      <c r="BV97" s="288" t="n"/>
      <c r="BW97" s="37" t="n"/>
      <c r="BX97" s="288" t="n"/>
      <c r="BY97" s="37" t="n"/>
      <c r="BZ97" s="288" t="n"/>
      <c r="CA97" s="37" t="n"/>
      <c r="CB97" s="288" t="n"/>
      <c r="CC97" s="37" t="n"/>
      <c r="CD97" s="288" t="n"/>
      <c r="CE97" s="37" t="n"/>
      <c r="CF97" s="288" t="n"/>
      <c r="CG97" s="291" t="n"/>
      <c r="CH97" s="288" t="n"/>
      <c r="CI97" s="291" t="n"/>
      <c r="CJ97" s="288" t="n"/>
      <c r="CK97" s="291" t="n"/>
      <c r="CL97" s="288" t="n"/>
      <c r="CM97" s="291" t="n"/>
      <c r="CN97" s="288" t="n"/>
      <c r="CO97" s="80" t="n"/>
      <c r="CP97" s="288" t="n"/>
      <c r="CQ97" s="80" t="n"/>
      <c r="CR97" s="288" t="n"/>
      <c r="CS97" s="80" t="n"/>
      <c r="CT97" s="288" t="n"/>
      <c r="CU97" s="80" t="n"/>
      <c r="CV97" s="269" t="n"/>
      <c r="CW97" s="288" t="n"/>
      <c r="CX97" s="37" t="n"/>
      <c r="CY97" s="288" t="n"/>
      <c r="CZ97" s="37" t="n"/>
      <c r="DA97" s="288" t="n"/>
      <c r="DB97" s="37" t="n"/>
      <c r="DC97" s="288" t="n"/>
      <c r="DD97" s="37" t="n"/>
      <c r="DE97" s="295" t="n"/>
      <c r="DF97" s="295" t="n"/>
      <c r="DG97" s="288" t="n"/>
    </row>
    <row r="98">
      <c r="A98" s="428" t="n"/>
      <c r="B98" s="288" t="n"/>
      <c r="C98" s="15" t="n"/>
      <c r="D98" s="15" t="n"/>
      <c r="E98" s="285" t="n"/>
      <c r="F98" s="15" t="n"/>
      <c r="G98" s="15" t="n"/>
      <c r="H98" s="285" t="n"/>
      <c r="I98" s="15" t="n"/>
      <c r="J98" s="15" t="n"/>
      <c r="K98" s="285" t="n"/>
      <c r="L98" s="15" t="n"/>
      <c r="M98" s="15" t="n"/>
      <c r="N98" s="285" t="n"/>
      <c r="O98" s="15" t="n"/>
      <c r="P98" s="15" t="n"/>
      <c r="Q98" s="285" t="n"/>
      <c r="R98" s="15" t="n"/>
      <c r="S98" s="15" t="n"/>
      <c r="T98" s="285" t="n"/>
      <c r="U98" s="15" t="n"/>
      <c r="V98" s="15" t="n"/>
      <c r="W98" s="285" t="n"/>
      <c r="X98" s="15" t="n"/>
      <c r="Y98" s="15" t="n"/>
      <c r="Z98" s="285" t="n"/>
      <c r="AA98" s="15" t="n"/>
      <c r="AB98" s="15" t="n"/>
      <c r="AC98" s="285" t="n"/>
      <c r="AD98" s="15" t="n"/>
      <c r="AE98" s="15" t="n"/>
      <c r="AF98" s="285" t="n"/>
      <c r="AG98" s="15" t="n"/>
      <c r="AH98" s="15" t="n"/>
      <c r="AI98" s="285" t="n"/>
      <c r="AJ98" s="15" t="n"/>
      <c r="AK98" s="15" t="n"/>
      <c r="AL98" s="285" t="n"/>
      <c r="AM98" s="31" t="n"/>
      <c r="AN98" s="15" t="n"/>
      <c r="AO98" s="285" t="n"/>
      <c r="AP98" s="31" t="n"/>
      <c r="AQ98" s="15" t="n"/>
      <c r="AR98" s="285" t="n"/>
      <c r="AS98" s="31" t="n"/>
      <c r="AT98" s="15" t="n"/>
      <c r="AU98" s="285" t="n"/>
      <c r="AV98" s="31" t="n"/>
      <c r="AW98" s="15" t="n"/>
      <c r="AX98" s="285" t="n"/>
      <c r="AY98" s="15" t="n"/>
      <c r="AZ98" s="15" t="n"/>
      <c r="BA98" s="287" t="n"/>
      <c r="BB98" s="37" t="n"/>
      <c r="BC98" s="287" t="n"/>
      <c r="BD98" s="37" t="n"/>
      <c r="BE98" s="287" t="n"/>
      <c r="BF98" s="37" t="n"/>
      <c r="BG98" s="287" t="n"/>
      <c r="BH98" s="37" t="n"/>
      <c r="BI98" s="288" t="n"/>
      <c r="BJ98" s="37" t="n"/>
      <c r="BK98" s="288" t="n"/>
      <c r="BL98" s="37" t="n"/>
      <c r="BM98" s="288" t="n"/>
      <c r="BN98" s="37" t="n"/>
      <c r="BP98" s="298" t="n"/>
      <c r="BQ98" s="37" t="n"/>
      <c r="BR98" s="298" t="n"/>
      <c r="BS98" s="37" t="n"/>
      <c r="BT98" s="298" t="n"/>
      <c r="BU98" s="37" t="n"/>
      <c r="BV98" s="298" t="n"/>
      <c r="BW98" s="37" t="n"/>
      <c r="BX98" s="298" t="n"/>
      <c r="BY98" s="37" t="n"/>
      <c r="BZ98" s="298" t="n"/>
      <c r="CA98" s="37" t="n"/>
      <c r="CB98" s="298" t="n"/>
      <c r="CC98" s="37" t="n"/>
      <c r="CD98" s="298" t="n"/>
      <c r="CE98" s="37" t="n"/>
      <c r="CF98" s="298" t="n"/>
      <c r="CG98" s="291" t="n"/>
      <c r="CH98" s="298" t="n"/>
      <c r="CI98" s="291" t="n"/>
      <c r="CJ98" s="298" t="n"/>
      <c r="CK98" s="291" t="n"/>
      <c r="CL98" s="298" t="n"/>
      <c r="CM98" s="291" t="n"/>
      <c r="CN98" s="288" t="n"/>
      <c r="CO98" s="80" t="n"/>
      <c r="CP98" s="288" t="n"/>
      <c r="CQ98" s="80" t="n"/>
      <c r="CR98" s="288" t="n"/>
      <c r="CS98" s="80" t="n"/>
      <c r="CT98" s="288" t="n"/>
      <c r="CU98" s="80" t="n"/>
      <c r="CV98" s="269" t="n"/>
      <c r="CW98" s="298" t="n"/>
      <c r="CX98" s="37" t="n"/>
      <c r="CY98" s="298" t="n"/>
      <c r="CZ98" s="37" t="n"/>
      <c r="DA98" s="298" t="n"/>
      <c r="DB98" s="37" t="n"/>
      <c r="DC98" s="298" t="n"/>
      <c r="DD98" s="37" t="n"/>
      <c r="DE98" s="295" t="n"/>
      <c r="DF98" s="295" t="n"/>
    </row>
    <row r="99">
      <c r="A99" s="428" t="n"/>
      <c r="B99" s="288" t="n"/>
      <c r="C99" s="15" t="n"/>
      <c r="D99" s="15" t="n"/>
      <c r="E99" s="285" t="n"/>
      <c r="F99" s="15" t="n"/>
      <c r="G99" s="15" t="n"/>
      <c r="H99" s="285" t="n"/>
      <c r="I99" s="15" t="n"/>
      <c r="J99" s="15" t="n"/>
      <c r="K99" s="285" t="n"/>
      <c r="L99" s="15" t="n"/>
      <c r="M99" s="15" t="n"/>
      <c r="N99" s="285" t="n"/>
      <c r="O99" s="15" t="n"/>
      <c r="P99" s="15" t="n"/>
      <c r="Q99" s="285" t="n"/>
      <c r="R99" s="15" t="n"/>
      <c r="S99" s="15" t="n"/>
      <c r="T99" s="285" t="n"/>
      <c r="U99" s="15" t="n"/>
      <c r="V99" s="15" t="n"/>
      <c r="W99" s="285" t="n"/>
      <c r="X99" s="15" t="n"/>
      <c r="Y99" s="15" t="n"/>
      <c r="Z99" s="285" t="n"/>
      <c r="AA99" s="15" t="n"/>
      <c r="AB99" s="15" t="n"/>
      <c r="AC99" s="285" t="n"/>
      <c r="AD99" s="15" t="n"/>
      <c r="AE99" s="15" t="n"/>
      <c r="AF99" s="285" t="n"/>
      <c r="AG99" s="15" t="n"/>
      <c r="AH99" s="15" t="n"/>
      <c r="AI99" s="285" t="n"/>
      <c r="AJ99" s="15" t="n"/>
      <c r="AK99" s="15" t="n"/>
      <c r="AL99" s="285" t="n"/>
      <c r="AM99" s="31" t="n"/>
      <c r="AN99" s="15" t="n"/>
      <c r="AO99" s="285" t="n"/>
      <c r="AP99" s="31" t="n"/>
      <c r="AQ99" s="15" t="n"/>
      <c r="AR99" s="285" t="n"/>
      <c r="AS99" s="31" t="n"/>
      <c r="AT99" s="15" t="n"/>
      <c r="AU99" s="285" t="n"/>
      <c r="AV99" s="31" t="n"/>
      <c r="AW99" s="15" t="n"/>
      <c r="AX99" s="285" t="n"/>
      <c r="AY99" s="15" t="n"/>
      <c r="AZ99" s="15" t="n"/>
      <c r="BA99" s="287" t="n"/>
      <c r="BB99" s="37" t="n"/>
      <c r="BC99" s="287" t="n"/>
      <c r="BD99" s="37" t="n"/>
      <c r="BE99" s="287" t="n"/>
      <c r="BF99" s="37" t="n"/>
      <c r="BG99" s="287" t="n"/>
      <c r="BH99" s="37" t="n"/>
      <c r="BI99" s="288" t="n"/>
      <c r="BJ99" s="37" t="n"/>
      <c r="BK99" s="288" t="n"/>
      <c r="BL99" s="37" t="n"/>
      <c r="BM99" s="288" t="n"/>
      <c r="BN99" s="37" t="n"/>
      <c r="BP99" s="298" t="n"/>
      <c r="BQ99" s="37" t="n"/>
      <c r="BR99" s="298" t="n"/>
      <c r="BS99" s="37" t="n"/>
      <c r="BT99" s="298" t="n"/>
      <c r="BU99" s="37" t="n"/>
      <c r="BV99" s="298" t="n"/>
      <c r="BW99" s="37" t="n"/>
      <c r="BX99" s="298" t="n"/>
      <c r="BY99" s="37" t="n"/>
      <c r="BZ99" s="298" t="n"/>
      <c r="CA99" s="37" t="n"/>
      <c r="CB99" s="298" t="n"/>
      <c r="CC99" s="37" t="n"/>
      <c r="CD99" s="298" t="n"/>
      <c r="CE99" s="37" t="n"/>
      <c r="CF99" s="298" t="n"/>
      <c r="CG99" s="291" t="n"/>
      <c r="CH99" s="298" t="n"/>
      <c r="CI99" s="291" t="n"/>
      <c r="CJ99" s="298" t="n"/>
      <c r="CK99" s="291" t="n"/>
      <c r="CL99" s="298" t="n"/>
      <c r="CM99" s="291" t="n"/>
      <c r="CN99" s="288" t="n"/>
      <c r="CO99" s="80" t="n"/>
      <c r="CP99" s="288" t="n"/>
      <c r="CQ99" s="80" t="n"/>
      <c r="CR99" s="288" t="n"/>
      <c r="CS99" s="80" t="n"/>
      <c r="CT99" s="288" t="n"/>
      <c r="CU99" s="80" t="n"/>
      <c r="CV99" s="269" t="n"/>
      <c r="CW99" s="298" t="n"/>
      <c r="CX99" s="37" t="n"/>
      <c r="CY99" s="298" t="n"/>
      <c r="CZ99" s="37" t="n"/>
      <c r="DA99" s="298" t="n"/>
      <c r="DB99" s="37" t="n"/>
      <c r="DC99" s="298" t="n"/>
      <c r="DD99" s="37" t="n"/>
      <c r="DE99" s="295" t="n"/>
    </row>
    <row r="100">
      <c r="A100" s="330" t="n"/>
      <c r="B100" s="288" t="n"/>
      <c r="C100" s="15" t="n"/>
      <c r="D100" s="15" t="n"/>
      <c r="E100" s="22" t="n"/>
      <c r="F100" s="15" t="n"/>
      <c r="G100" s="15" t="n"/>
      <c r="H100" s="22" t="n"/>
      <c r="I100" s="15" t="n"/>
      <c r="J100" s="15" t="n"/>
      <c r="K100" s="22" t="n"/>
      <c r="L100" s="15" t="n"/>
      <c r="M100" s="15" t="n"/>
      <c r="N100" s="22" t="n"/>
      <c r="O100" s="15" t="n"/>
      <c r="P100" s="15" t="n"/>
      <c r="Q100" s="22" t="n"/>
      <c r="R100" s="15" t="n"/>
      <c r="S100" s="15" t="n"/>
      <c r="T100" s="22" t="n"/>
      <c r="U100" s="15" t="n"/>
      <c r="V100" s="15" t="n"/>
      <c r="W100" s="22" t="n"/>
      <c r="X100" s="15" t="n"/>
      <c r="Y100" s="15" t="n"/>
      <c r="Z100" s="22" t="n"/>
      <c r="AA100" s="15" t="n"/>
      <c r="AB100" s="15" t="n"/>
      <c r="AC100" s="22" t="n"/>
      <c r="AD100" s="15" t="n"/>
      <c r="AE100" s="15" t="n"/>
      <c r="AF100" s="22" t="n"/>
      <c r="AG100" s="15" t="n"/>
      <c r="AH100" s="15" t="n"/>
      <c r="AI100" s="22" t="n"/>
      <c r="AJ100" s="15" t="n"/>
      <c r="AK100" s="15" t="n"/>
      <c r="AL100" s="22" t="n"/>
      <c r="AM100" s="31" t="n"/>
      <c r="AN100" s="15" t="n"/>
      <c r="AO100" s="22" t="n"/>
      <c r="AP100" s="31" t="n"/>
      <c r="AQ100" s="15" t="n"/>
      <c r="AR100" s="22" t="n"/>
      <c r="AS100" s="31" t="n"/>
      <c r="AT100" s="15" t="n"/>
      <c r="AU100" s="22" t="n"/>
      <c r="AV100" s="31" t="n"/>
      <c r="AW100" s="15" t="n"/>
      <c r="AX100" s="22" t="n"/>
      <c r="AY100" s="15" t="n"/>
      <c r="AZ100" s="15" t="n"/>
      <c r="BA100" s="287" t="n"/>
      <c r="BB100" s="37" t="n"/>
      <c r="BC100" s="287" t="n"/>
      <c r="BD100" s="37" t="n"/>
      <c r="BE100" s="287" t="n"/>
      <c r="BF100" s="37" t="n"/>
      <c r="BG100" s="287" t="n"/>
      <c r="BH100" s="37" t="n"/>
      <c r="BI100" s="288" t="n"/>
      <c r="BJ100" s="37" t="n"/>
      <c r="BK100" s="288" t="n"/>
      <c r="BL100" s="37" t="n"/>
      <c r="BM100" s="288" t="n"/>
      <c r="BN100" s="37" t="n"/>
      <c r="BP100" s="298" t="n"/>
      <c r="BQ100" s="37" t="n"/>
      <c r="BR100" s="298" t="n"/>
      <c r="BS100" s="37" t="n"/>
      <c r="BT100" s="298" t="n"/>
      <c r="BU100" s="37" t="n"/>
      <c r="BV100" s="298" t="n"/>
      <c r="BW100" s="37" t="n"/>
      <c r="BX100" s="298" t="n"/>
      <c r="BY100" s="37" t="n"/>
      <c r="BZ100" s="298" t="n"/>
      <c r="CA100" s="37" t="n"/>
      <c r="CB100" s="298" t="n"/>
      <c r="CC100" s="37" t="n"/>
      <c r="CD100" s="298" t="n"/>
      <c r="CE100" s="37" t="n"/>
      <c r="CF100" s="298" t="n"/>
      <c r="CG100" s="291" t="n"/>
      <c r="CH100" s="298" t="n"/>
      <c r="CI100" s="291" t="n"/>
      <c r="CJ100" s="298" t="n"/>
      <c r="CK100" s="291" t="n"/>
      <c r="CL100" s="298" t="n"/>
      <c r="CM100" s="291" t="n"/>
      <c r="CN100" s="288" t="n"/>
      <c r="CO100" s="80" t="n"/>
      <c r="CP100" s="288" t="n"/>
      <c r="CQ100" s="80" t="n"/>
      <c r="CR100" s="288" t="n"/>
      <c r="CS100" s="80" t="n"/>
      <c r="CT100" s="288" t="n"/>
      <c r="CU100" s="80" t="n"/>
      <c r="CV100" s="1" t="n"/>
      <c r="CW100" s="298" t="n"/>
      <c r="CX100" s="37" t="n"/>
      <c r="CY100" s="298" t="n"/>
      <c r="CZ100" s="37" t="n"/>
      <c r="DA100" s="298" t="n"/>
      <c r="DB100" s="37" t="n"/>
      <c r="DC100" s="298" t="n"/>
      <c r="DD100" s="37" t="n"/>
      <c r="DE100" s="295" t="n"/>
    </row>
    <row r="101">
      <c r="A101" s="428" t="n"/>
      <c r="B101" s="288" t="n"/>
      <c r="C101" s="15" t="n"/>
      <c r="D101" s="15" t="n"/>
      <c r="E101" s="285" t="n"/>
      <c r="F101" s="15" t="n"/>
      <c r="G101" s="15" t="n"/>
      <c r="H101" s="285" t="n"/>
      <c r="I101" s="15" t="n"/>
      <c r="J101" s="15" t="n"/>
      <c r="K101" s="285" t="n"/>
      <c r="L101" s="15" t="n"/>
      <c r="M101" s="15" t="n"/>
      <c r="N101" s="285" t="n"/>
      <c r="O101" s="15" t="n"/>
      <c r="P101" s="15" t="n"/>
      <c r="Q101" s="285" t="n"/>
      <c r="R101" s="15" t="n"/>
      <c r="S101" s="15" t="n"/>
      <c r="T101" s="285" t="n"/>
      <c r="U101" s="15" t="n"/>
      <c r="V101" s="15" t="n"/>
      <c r="W101" s="285" t="n"/>
      <c r="X101" s="15" t="n"/>
      <c r="Y101" s="15" t="n"/>
      <c r="Z101" s="285" t="n"/>
      <c r="AA101" s="15" t="n"/>
      <c r="AB101" s="15" t="n"/>
      <c r="AC101" s="285" t="n"/>
      <c r="AD101" s="15" t="n"/>
      <c r="AE101" s="15" t="n"/>
      <c r="AF101" s="285" t="n"/>
      <c r="AG101" s="15" t="n"/>
      <c r="AH101" s="15" t="n"/>
      <c r="AI101" s="285" t="n"/>
      <c r="AJ101" s="15" t="n"/>
      <c r="AK101" s="15" t="n"/>
      <c r="AL101" s="285" t="n"/>
      <c r="AM101" s="31" t="n"/>
      <c r="AN101" s="15" t="n"/>
      <c r="AO101" s="285" t="n"/>
      <c r="AP101" s="31" t="n"/>
      <c r="AQ101" s="15" t="n"/>
      <c r="AR101" s="285" t="n"/>
      <c r="AS101" s="31" t="n"/>
      <c r="AT101" s="15" t="n"/>
      <c r="AU101" s="285" t="n"/>
      <c r="AV101" s="31" t="n"/>
      <c r="AW101" s="15" t="n"/>
      <c r="AX101" s="285" t="n"/>
      <c r="AY101" s="15" t="n"/>
      <c r="AZ101" s="15" t="n"/>
      <c r="BA101" s="287" t="n"/>
      <c r="BB101" s="37" t="n"/>
      <c r="BC101" s="287" t="n"/>
      <c r="BD101" s="37" t="n"/>
      <c r="BE101" s="287" t="n"/>
      <c r="BF101" s="37" t="n"/>
      <c r="BG101" s="287" t="n"/>
      <c r="BH101" s="37" t="n"/>
      <c r="BI101" s="288" t="n"/>
      <c r="BJ101" s="37" t="n"/>
      <c r="BK101" s="288" t="n"/>
      <c r="BL101" s="37" t="n"/>
      <c r="BM101" s="288" t="n"/>
      <c r="BN101" s="37" t="n"/>
      <c r="BP101" s="288" t="n"/>
      <c r="BQ101" s="37" t="n"/>
      <c r="BR101" s="298" t="n"/>
      <c r="BS101" s="37" t="n"/>
      <c r="BT101" s="298" t="n"/>
      <c r="BU101" s="37" t="n"/>
      <c r="BV101" s="288" t="n"/>
      <c r="BW101" s="37" t="n"/>
      <c r="BX101" s="298" t="n"/>
      <c r="BY101" s="37" t="n"/>
      <c r="BZ101" s="288" t="n"/>
      <c r="CA101" s="37" t="n"/>
      <c r="CB101" s="298" t="n"/>
      <c r="CC101" s="37" t="n"/>
      <c r="CD101" s="298" t="n"/>
      <c r="CE101" s="37" t="n"/>
      <c r="CF101" s="298" t="n"/>
      <c r="CG101" s="291" t="n"/>
      <c r="CH101" s="288" t="n"/>
      <c r="CI101" s="291" t="n"/>
      <c r="CJ101" s="288" t="n"/>
      <c r="CK101" s="291" t="n"/>
      <c r="CL101" s="298" t="n"/>
      <c r="CM101" s="291" t="n"/>
      <c r="CN101" s="288" t="n"/>
      <c r="CO101" s="80" t="n"/>
      <c r="CP101" s="288" t="n"/>
      <c r="CQ101" s="80" t="n"/>
      <c r="CR101" s="288" t="n"/>
      <c r="CS101" s="80" t="n"/>
      <c r="CT101" s="288" t="n"/>
      <c r="CU101" s="80" t="n"/>
      <c r="CV101" s="269" t="n"/>
      <c r="CW101" s="288" t="n"/>
      <c r="CX101" s="37" t="n"/>
      <c r="CY101" s="298" t="n"/>
      <c r="CZ101" s="37" t="n"/>
      <c r="DA101" s="298" t="n"/>
      <c r="DB101" s="37" t="n"/>
      <c r="DC101" s="298" t="n"/>
      <c r="DD101" s="37" t="n"/>
      <c r="DE101" s="295" t="n"/>
    </row>
    <row r="102">
      <c r="A102" s="428" t="n"/>
      <c r="B102" s="288" t="n"/>
      <c r="C102" s="15" t="n"/>
      <c r="D102" s="15" t="n"/>
      <c r="E102" s="285" t="n"/>
      <c r="F102" s="15" t="n"/>
      <c r="G102" s="15" t="n"/>
      <c r="H102" s="285" t="n"/>
      <c r="I102" s="15" t="n"/>
      <c r="J102" s="15" t="n"/>
      <c r="K102" s="285" t="n"/>
      <c r="L102" s="15" t="n"/>
      <c r="M102" s="15" t="n"/>
      <c r="N102" s="285" t="n"/>
      <c r="O102" s="15" t="n"/>
      <c r="P102" s="15" t="n"/>
      <c r="Q102" s="285" t="n"/>
      <c r="R102" s="15" t="n"/>
      <c r="S102" s="15" t="n"/>
      <c r="T102" s="285" t="n"/>
      <c r="U102" s="15" t="n"/>
      <c r="V102" s="15" t="n"/>
      <c r="W102" s="285" t="n"/>
      <c r="X102" s="15" t="n"/>
      <c r="Y102" s="15" t="n"/>
      <c r="Z102" s="285" t="n"/>
      <c r="AA102" s="15" t="n"/>
      <c r="AB102" s="15" t="n"/>
      <c r="AC102" s="285" t="n"/>
      <c r="AD102" s="15" t="n"/>
      <c r="AE102" s="15" t="n"/>
      <c r="AF102" s="285" t="n"/>
      <c r="AG102" s="15" t="n"/>
      <c r="AH102" s="15" t="n"/>
      <c r="AI102" s="285" t="n"/>
      <c r="AJ102" s="15" t="n"/>
      <c r="AK102" s="15" t="n"/>
      <c r="AL102" s="285" t="n"/>
      <c r="AM102" s="31" t="n"/>
      <c r="AN102" s="15" t="n"/>
      <c r="AO102" s="285" t="n"/>
      <c r="AP102" s="31" t="n"/>
      <c r="AQ102" s="15" t="n"/>
      <c r="AR102" s="285" t="n"/>
      <c r="AS102" s="31" t="n"/>
      <c r="AT102" s="15" t="n"/>
      <c r="AU102" s="285" t="n"/>
      <c r="AV102" s="31" t="n"/>
      <c r="AW102" s="15" t="n"/>
      <c r="AX102" s="285" t="n"/>
      <c r="AY102" s="15" t="n"/>
      <c r="AZ102" s="15" t="n"/>
      <c r="BA102" s="287" t="n"/>
      <c r="BB102" s="37" t="n"/>
      <c r="BC102" s="287" t="n"/>
      <c r="BD102" s="37" t="n"/>
      <c r="BE102" s="287" t="n"/>
      <c r="BF102" s="37" t="n"/>
      <c r="BG102" s="287" t="n"/>
      <c r="BH102" s="37" t="n"/>
      <c r="BI102" s="288" t="n"/>
      <c r="BJ102" s="37" t="n"/>
      <c r="BK102" s="288" t="n"/>
      <c r="BL102" s="37" t="n"/>
      <c r="BM102" s="288" t="n"/>
      <c r="BN102" s="37" t="n"/>
      <c r="BP102" s="288" t="n"/>
      <c r="BQ102" s="37" t="n"/>
      <c r="BR102" s="288" t="n"/>
      <c r="BS102" s="37" t="n"/>
      <c r="BT102" s="288" t="n"/>
      <c r="BU102" s="37" t="n"/>
      <c r="BV102" s="288" t="n"/>
      <c r="BW102" s="37" t="n"/>
      <c r="BX102" s="298" t="n"/>
      <c r="BY102" s="37" t="n"/>
      <c r="BZ102" s="288" t="n"/>
      <c r="CA102" s="37" t="n"/>
      <c r="CB102" s="288" t="n"/>
      <c r="CC102" s="37" t="n"/>
      <c r="CD102" s="288" t="n"/>
      <c r="CE102" s="37" t="n"/>
      <c r="CF102" s="288" t="n"/>
      <c r="CG102" s="291" t="n"/>
      <c r="CH102" s="288" t="n"/>
      <c r="CI102" s="291" t="n"/>
      <c r="CJ102" s="288" t="n"/>
      <c r="CK102" s="291" t="n"/>
      <c r="CL102" s="288" t="n"/>
      <c r="CM102" s="291" t="n"/>
      <c r="CN102" s="288" t="n"/>
      <c r="CO102" s="80" t="n"/>
      <c r="CP102" s="288" t="n"/>
      <c r="CQ102" s="80" t="n"/>
      <c r="CR102" s="288" t="n"/>
      <c r="CS102" s="80" t="n"/>
      <c r="CT102" s="288" t="n"/>
      <c r="CU102" s="80" t="n"/>
      <c r="CV102" s="269" t="n"/>
      <c r="CW102" s="288" t="n"/>
      <c r="CX102" s="37" t="n"/>
      <c r="CY102" s="288" t="n"/>
      <c r="CZ102" s="37" t="n"/>
      <c r="DA102" s="288" t="n"/>
      <c r="DB102" s="37" t="n"/>
      <c r="DC102" s="288" t="n"/>
      <c r="DD102" s="37" t="n"/>
      <c r="DE102" s="295" t="n"/>
    </row>
    <row r="103">
      <c r="A103" s="428" t="n"/>
      <c r="B103" s="288" t="n"/>
      <c r="C103" s="15" t="n"/>
      <c r="D103" s="15" t="n"/>
      <c r="E103" s="285" t="n"/>
      <c r="F103" s="15" t="n"/>
      <c r="G103" s="15" t="n"/>
      <c r="H103" s="285" t="n"/>
      <c r="I103" s="15" t="n"/>
      <c r="J103" s="15" t="n"/>
      <c r="K103" s="285" t="n"/>
      <c r="L103" s="15" t="n"/>
      <c r="M103" s="15" t="n"/>
      <c r="N103" s="285" t="n"/>
      <c r="O103" s="15" t="n"/>
      <c r="P103" s="15" t="n"/>
      <c r="Q103" s="285" t="n"/>
      <c r="R103" s="15" t="n"/>
      <c r="S103" s="15" t="n"/>
      <c r="T103" s="285" t="n"/>
      <c r="U103" s="15" t="n"/>
      <c r="V103" s="15" t="n"/>
      <c r="W103" s="285" t="n"/>
      <c r="X103" s="15" t="n"/>
      <c r="Y103" s="15" t="n"/>
      <c r="Z103" s="285" t="n"/>
      <c r="AA103" s="15" t="n"/>
      <c r="AB103" s="15" t="n"/>
      <c r="AC103" s="285" t="n"/>
      <c r="AD103" s="15" t="n"/>
      <c r="AE103" s="15" t="n"/>
      <c r="AF103" s="285" t="n"/>
      <c r="AG103" s="15" t="n"/>
      <c r="AH103" s="15" t="n"/>
      <c r="AI103" s="285" t="n"/>
      <c r="AJ103" s="15" t="n"/>
      <c r="AK103" s="15" t="n"/>
      <c r="AL103" s="285" t="n"/>
      <c r="AM103" s="31" t="n"/>
      <c r="AN103" s="15" t="n"/>
      <c r="AO103" s="285" t="n"/>
      <c r="AP103" s="31" t="n"/>
      <c r="AQ103" s="15" t="n"/>
      <c r="AR103" s="285" t="n"/>
      <c r="AS103" s="31" t="n"/>
      <c r="AT103" s="15" t="n"/>
      <c r="AU103" s="285" t="n"/>
      <c r="AV103" s="31" t="n"/>
      <c r="AW103" s="15" t="n"/>
      <c r="AX103" s="285" t="n"/>
      <c r="AY103" s="15" t="n"/>
      <c r="AZ103" s="15" t="n"/>
      <c r="BA103" s="287" t="n"/>
      <c r="BB103" s="37" t="n"/>
      <c r="BC103" s="287" t="n"/>
      <c r="BD103" s="37" t="n"/>
      <c r="BE103" s="287" t="n"/>
      <c r="BF103" s="37" t="n"/>
      <c r="BG103" s="287" t="n"/>
      <c r="BH103" s="37" t="n"/>
      <c r="BI103" s="288" t="n"/>
      <c r="BJ103" s="37" t="n"/>
      <c r="BK103" s="288" t="n"/>
      <c r="BL103" s="37" t="n"/>
      <c r="BM103" s="288" t="n"/>
      <c r="BN103" s="37" t="n"/>
      <c r="BP103" s="288" t="n"/>
      <c r="BQ103" s="37" t="n"/>
      <c r="BR103" s="288" t="n"/>
      <c r="BS103" s="37" t="n"/>
      <c r="BT103" s="288" t="n"/>
      <c r="BU103" s="37" t="n"/>
      <c r="BV103" s="288" t="n"/>
      <c r="BW103" s="37" t="n"/>
      <c r="BX103" s="298" t="n"/>
      <c r="BY103" s="37" t="n"/>
      <c r="BZ103" s="288" t="n"/>
      <c r="CA103" s="37" t="n"/>
      <c r="CB103" s="288" t="n"/>
      <c r="CC103" s="37" t="n"/>
      <c r="CD103" s="288" t="n"/>
      <c r="CE103" s="37" t="n"/>
      <c r="CF103" s="288" t="n"/>
      <c r="CG103" s="291" t="n"/>
      <c r="CH103" s="288" t="n"/>
      <c r="CI103" s="291" t="n"/>
      <c r="CJ103" s="288" t="n"/>
      <c r="CK103" s="291" t="n"/>
      <c r="CL103" s="288" t="n"/>
      <c r="CM103" s="291" t="n"/>
      <c r="CN103" s="288" t="n"/>
      <c r="CO103" s="80" t="n"/>
      <c r="CP103" s="288" t="n"/>
      <c r="CQ103" s="80" t="n"/>
      <c r="CR103" s="288" t="n"/>
      <c r="CS103" s="80" t="n"/>
      <c r="CT103" s="288" t="n"/>
      <c r="CU103" s="80" t="n"/>
      <c r="CV103" s="269" t="n"/>
      <c r="CW103" s="288" t="n"/>
      <c r="CX103" s="37" t="n"/>
      <c r="CY103" s="288" t="n"/>
      <c r="CZ103" s="37" t="n"/>
      <c r="DA103" s="288" t="n"/>
      <c r="DB103" s="37" t="n"/>
      <c r="DC103" s="288" t="n"/>
      <c r="DD103" s="37" t="n"/>
      <c r="DE103" s="295" t="n"/>
    </row>
    <row r="104">
      <c r="A104" s="428" t="n"/>
      <c r="B104" s="288" t="n"/>
      <c r="C104" s="15" t="n"/>
      <c r="D104" s="15" t="n"/>
      <c r="E104" s="285" t="n"/>
      <c r="F104" s="15" t="n"/>
      <c r="G104" s="15" t="n"/>
      <c r="H104" s="285" t="n"/>
      <c r="I104" s="15" t="n"/>
      <c r="J104" s="15" t="n"/>
      <c r="K104" s="285" t="n"/>
      <c r="L104" s="15" t="n"/>
      <c r="M104" s="15" t="n"/>
      <c r="N104" s="285" t="n"/>
      <c r="O104" s="15" t="n"/>
      <c r="P104" s="15" t="n"/>
      <c r="Q104" s="285" t="n"/>
      <c r="R104" s="15" t="n"/>
      <c r="S104" s="15" t="n"/>
      <c r="T104" s="285" t="n"/>
      <c r="U104" s="15" t="n"/>
      <c r="V104" s="15" t="n"/>
      <c r="W104" s="285" t="n"/>
      <c r="X104" s="15" t="n"/>
      <c r="Y104" s="15" t="n"/>
      <c r="Z104" s="285" t="n"/>
      <c r="AA104" s="15" t="n"/>
      <c r="AB104" s="15" t="n"/>
      <c r="AC104" s="285" t="n"/>
      <c r="AD104" s="15" t="n"/>
      <c r="AE104" s="15" t="n"/>
      <c r="AF104" s="285" t="n"/>
      <c r="AG104" s="15" t="n"/>
      <c r="AH104" s="15" t="n"/>
      <c r="AI104" s="285" t="n"/>
      <c r="AJ104" s="15" t="n"/>
      <c r="AK104" s="15" t="n"/>
      <c r="AL104" s="285" t="n"/>
      <c r="AM104" s="31" t="n"/>
      <c r="AN104" s="15" t="n"/>
      <c r="AO104" s="285" t="n"/>
      <c r="AP104" s="31" t="n"/>
      <c r="AQ104" s="15" t="n"/>
      <c r="AR104" s="285" t="n"/>
      <c r="AS104" s="31" t="n"/>
      <c r="AT104" s="15" t="n"/>
      <c r="AU104" s="285" t="n"/>
      <c r="AV104" s="31" t="n"/>
      <c r="AW104" s="15" t="n"/>
      <c r="AX104" s="285" t="n"/>
      <c r="AY104" s="15" t="n"/>
      <c r="AZ104" s="15" t="n"/>
      <c r="BA104" s="287" t="n"/>
      <c r="BB104" s="37" t="n"/>
      <c r="BC104" s="287" t="n"/>
      <c r="BD104" s="37" t="n"/>
      <c r="BE104" s="287" t="n"/>
      <c r="BF104" s="37" t="n"/>
      <c r="BG104" s="287" t="n"/>
      <c r="BH104" s="37" t="n"/>
      <c r="BI104" s="288" t="n"/>
      <c r="BJ104" s="37" t="n"/>
      <c r="BK104" s="288" t="n"/>
      <c r="BL104" s="37" t="n"/>
      <c r="BM104" s="288" t="n"/>
      <c r="BN104" s="37" t="n"/>
      <c r="BP104" s="288" t="n"/>
      <c r="BQ104" s="37" t="n"/>
      <c r="BR104" s="288" t="n"/>
      <c r="BS104" s="37" t="n"/>
      <c r="BT104" s="288" t="n"/>
      <c r="BU104" s="37" t="n"/>
      <c r="BV104" s="288" t="n"/>
      <c r="BW104" s="37" t="n"/>
      <c r="BX104" s="288" t="n"/>
      <c r="BY104" s="37" t="n"/>
      <c r="BZ104" s="288" t="n"/>
      <c r="CA104" s="37" t="n"/>
      <c r="CB104" s="288" t="n"/>
      <c r="CC104" s="37" t="n"/>
      <c r="CD104" s="288" t="n"/>
      <c r="CE104" s="37" t="n"/>
      <c r="CF104" s="288" t="n"/>
      <c r="CG104" s="291" t="n"/>
      <c r="CH104" s="288" t="n"/>
      <c r="CI104" s="291" t="n"/>
      <c r="CJ104" s="288" t="n"/>
      <c r="CK104" s="291" t="n"/>
      <c r="CL104" s="288" t="n"/>
      <c r="CM104" s="291" t="n"/>
      <c r="CN104" s="288" t="n"/>
      <c r="CO104" s="80" t="n"/>
      <c r="CP104" s="288" t="n"/>
      <c r="CQ104" s="80" t="n"/>
      <c r="CR104" s="288" t="n"/>
      <c r="CS104" s="80" t="n"/>
      <c r="CT104" s="288" t="n"/>
      <c r="CU104" s="80" t="n"/>
      <c r="CV104" s="269" t="n"/>
      <c r="CW104" s="288" t="n"/>
      <c r="CX104" s="37" t="n"/>
      <c r="CY104" s="288" t="n"/>
      <c r="CZ104" s="37" t="n"/>
      <c r="DA104" s="288" t="n"/>
      <c r="DB104" s="37" t="n"/>
      <c r="DC104" s="288" t="n"/>
      <c r="DD104" s="37" t="n"/>
    </row>
    <row r="105" customFormat="1" s="40">
      <c r="A105" s="428" t="n"/>
      <c r="B105" s="288" t="n"/>
      <c r="C105" s="15" t="n"/>
      <c r="D105" s="15" t="n"/>
      <c r="E105" s="285" t="n"/>
      <c r="F105" s="15" t="n"/>
      <c r="G105" s="15" t="n"/>
      <c r="H105" s="285" t="n"/>
      <c r="I105" s="15" t="n"/>
      <c r="J105" s="15" t="n"/>
      <c r="K105" s="285" t="n"/>
      <c r="L105" s="15" t="n"/>
      <c r="M105" s="15" t="n"/>
      <c r="N105" s="285" t="n"/>
      <c r="O105" s="15" t="n"/>
      <c r="P105" s="15" t="n"/>
      <c r="Q105" s="285" t="n"/>
      <c r="R105" s="15" t="n"/>
      <c r="S105" s="15" t="n"/>
      <c r="T105" s="285" t="n"/>
      <c r="U105" s="15" t="n"/>
      <c r="V105" s="15" t="n"/>
      <c r="W105" s="285" t="n"/>
      <c r="X105" s="15" t="n"/>
      <c r="Y105" s="15" t="n"/>
      <c r="Z105" s="285" t="n"/>
      <c r="AA105" s="15" t="n"/>
      <c r="AB105" s="15" t="n"/>
      <c r="AC105" s="285" t="n"/>
      <c r="AD105" s="15" t="n"/>
      <c r="AE105" s="15" t="n"/>
      <c r="AF105" s="285" t="n"/>
      <c r="AG105" s="15" t="n"/>
      <c r="AH105" s="15" t="n"/>
      <c r="AI105" s="285" t="n"/>
      <c r="AJ105" s="15" t="n"/>
      <c r="AK105" s="15" t="n"/>
      <c r="AL105" s="285" t="n"/>
      <c r="AM105" s="31" t="n"/>
      <c r="AN105" s="15" t="n"/>
      <c r="AO105" s="285" t="n"/>
      <c r="AP105" s="31" t="n"/>
      <c r="AQ105" s="15" t="n"/>
      <c r="AR105" s="285" t="n"/>
      <c r="AS105" s="31" t="n"/>
      <c r="AT105" s="15" t="n"/>
      <c r="AU105" s="285" t="n"/>
      <c r="AV105" s="31" t="n"/>
      <c r="AW105" s="15" t="n"/>
      <c r="AX105" s="285" t="n"/>
      <c r="AY105" s="15" t="n"/>
      <c r="AZ105" s="15" t="n"/>
      <c r="BA105" s="287" t="n"/>
      <c r="BB105" s="37" t="n"/>
      <c r="BC105" s="287" t="n"/>
      <c r="BD105" s="37" t="n"/>
      <c r="BE105" s="287" t="n"/>
      <c r="BF105" s="37" t="n"/>
      <c r="BG105" s="287" t="n"/>
      <c r="BH105" s="37" t="n"/>
      <c r="BI105" s="288" t="n"/>
      <c r="BJ105" s="37" t="n"/>
      <c r="BK105" s="288" t="n"/>
      <c r="BL105" s="37" t="n"/>
      <c r="BM105" s="288" t="n"/>
      <c r="BN105" s="37" t="n"/>
      <c r="BP105" s="288" t="n"/>
      <c r="BQ105" s="37" t="n"/>
      <c r="BR105" s="288" t="n"/>
      <c r="BS105" s="37" t="n"/>
      <c r="BT105" s="288" t="n"/>
      <c r="BU105" s="37" t="n"/>
      <c r="BV105" s="288" t="n"/>
      <c r="BW105" s="37" t="n"/>
      <c r="BX105" s="288" t="n"/>
      <c r="BY105" s="37" t="n"/>
      <c r="BZ105" s="288" t="n"/>
      <c r="CA105" s="37" t="n"/>
      <c r="CB105" s="288" t="n"/>
      <c r="CC105" s="37" t="n"/>
      <c r="CD105" s="288" t="n"/>
      <c r="CE105" s="37" t="n"/>
      <c r="CF105" s="288" t="n"/>
      <c r="CG105" s="291" t="n"/>
      <c r="CH105" s="288" t="n"/>
      <c r="CI105" s="291" t="n"/>
      <c r="CJ105" s="288" t="n"/>
      <c r="CK105" s="291" t="n"/>
      <c r="CL105" s="288" t="n"/>
      <c r="CM105" s="291" t="n"/>
      <c r="CN105" s="288" t="n"/>
      <c r="CO105" s="80" t="n"/>
      <c r="CP105" s="288" t="n"/>
      <c r="CQ105" s="80" t="n"/>
      <c r="CR105" s="288" t="n"/>
      <c r="CS105" s="80" t="n"/>
      <c r="CT105" s="288" t="n"/>
      <c r="CU105" s="80" t="n"/>
      <c r="CW105" s="288" t="n"/>
      <c r="CX105" s="37" t="n"/>
      <c r="CY105" s="288" t="n"/>
      <c r="CZ105" s="37" t="n"/>
      <c r="DA105" s="288" t="n"/>
      <c r="DB105" s="37" t="n"/>
      <c r="DC105" s="288" t="n"/>
      <c r="DD105" s="37" t="n"/>
      <c r="DE105" s="304" t="n"/>
      <c r="DF105" s="304" t="n"/>
    </row>
    <row r="106" customFormat="1" s="40">
      <c r="A106" s="428" t="n"/>
      <c r="B106" s="288" t="n"/>
      <c r="C106" s="15" t="n"/>
      <c r="D106" s="15" t="n"/>
      <c r="E106" s="285" t="n"/>
      <c r="F106" s="15" t="n"/>
      <c r="G106" s="15" t="n"/>
      <c r="H106" s="285" t="n"/>
      <c r="I106" s="15" t="n"/>
      <c r="J106" s="15" t="n"/>
      <c r="K106" s="285" t="n"/>
      <c r="L106" s="15" t="n"/>
      <c r="M106" s="15" t="n"/>
      <c r="N106" s="285" t="n"/>
      <c r="O106" s="15" t="n"/>
      <c r="P106" s="15" t="n"/>
      <c r="Q106" s="285" t="n"/>
      <c r="R106" s="15" t="n"/>
      <c r="S106" s="15" t="n"/>
      <c r="T106" s="285" t="n"/>
      <c r="U106" s="15" t="n"/>
      <c r="V106" s="15" t="n"/>
      <c r="W106" s="285" t="n"/>
      <c r="X106" s="15" t="n"/>
      <c r="Y106" s="15" t="n"/>
      <c r="Z106" s="285" t="n"/>
      <c r="AA106" s="15" t="n"/>
      <c r="AB106" s="15" t="n"/>
      <c r="AC106" s="285" t="n"/>
      <c r="AD106" s="15" t="n"/>
      <c r="AE106" s="15" t="n"/>
      <c r="AF106" s="285" t="n"/>
      <c r="AG106" s="15" t="n"/>
      <c r="AH106" s="15" t="n"/>
      <c r="AI106" s="285" t="n"/>
      <c r="AJ106" s="15" t="n"/>
      <c r="AK106" s="15" t="n"/>
      <c r="AL106" s="285" t="n"/>
      <c r="AM106" s="31" t="n"/>
      <c r="AN106" s="15" t="n"/>
      <c r="AO106" s="285" t="n"/>
      <c r="AP106" s="31" t="n"/>
      <c r="AQ106" s="15" t="n"/>
      <c r="AR106" s="285" t="n"/>
      <c r="AS106" s="31" t="n"/>
      <c r="AT106" s="15" t="n"/>
      <c r="AU106" s="285" t="n"/>
      <c r="AV106" s="31" t="n"/>
      <c r="AW106" s="15" t="n"/>
      <c r="AX106" s="285" t="n"/>
      <c r="AY106" s="15" t="n"/>
      <c r="AZ106" s="15" t="n"/>
      <c r="BA106" s="287" t="n"/>
      <c r="BB106" s="37" t="n"/>
      <c r="BC106" s="287" t="n"/>
      <c r="BD106" s="37" t="n"/>
      <c r="BE106" s="287" t="n"/>
      <c r="BF106" s="37" t="n"/>
      <c r="BG106" s="287" t="n"/>
      <c r="BH106" s="37" t="n"/>
      <c r="BI106" s="288" t="n"/>
      <c r="BJ106" s="37" t="n"/>
      <c r="BK106" s="288" t="n"/>
      <c r="BL106" s="37" t="n"/>
      <c r="BM106" s="288" t="n"/>
      <c r="BN106" s="37" t="n"/>
      <c r="BO106" s="1" t="n"/>
      <c r="BP106" s="288" t="n"/>
      <c r="BQ106" s="37" t="n"/>
      <c r="BR106" s="288" t="n"/>
      <c r="BS106" s="37" t="n"/>
      <c r="BT106" s="288" t="n"/>
      <c r="BU106" s="37" t="n"/>
      <c r="BV106" s="288" t="n"/>
      <c r="BW106" s="37" t="n"/>
      <c r="BX106" s="288" t="n"/>
      <c r="BY106" s="37" t="n"/>
      <c r="BZ106" s="288" t="n"/>
      <c r="CA106" s="37" t="n"/>
      <c r="CB106" s="288" t="n"/>
      <c r="CC106" s="37" t="n"/>
      <c r="CD106" s="288" t="n"/>
      <c r="CE106" s="37" t="n"/>
      <c r="CF106" s="288" t="n"/>
      <c r="CG106" s="291" t="n"/>
      <c r="CH106" s="288" t="n"/>
      <c r="CI106" s="291" t="n"/>
      <c r="CJ106" s="288" t="n"/>
      <c r="CK106" s="291" t="n"/>
      <c r="CL106" s="288" t="n"/>
      <c r="CM106" s="291" t="n"/>
      <c r="CN106" s="288" t="n"/>
      <c r="CO106" s="80" t="n"/>
      <c r="CP106" s="288" t="n"/>
      <c r="CQ106" s="80" t="n"/>
      <c r="CR106" s="288" t="n"/>
      <c r="CS106" s="80" t="n"/>
      <c r="CT106" s="288" t="n"/>
      <c r="CU106" s="80" t="n"/>
      <c r="CW106" s="288" t="n"/>
      <c r="CX106" s="37" t="n"/>
      <c r="CY106" s="288" t="n"/>
      <c r="CZ106" s="37" t="n"/>
      <c r="DA106" s="288" t="n"/>
      <c r="DB106" s="37" t="n"/>
      <c r="DC106" s="288" t="n"/>
      <c r="DD106" s="37" t="n"/>
      <c r="DE106" s="270" t="n"/>
      <c r="DF106" s="270" t="n"/>
    </row>
    <row r="107" customFormat="1" s="40">
      <c r="A107" s="428" t="n"/>
      <c r="B107" s="288" t="n"/>
      <c r="C107" s="15" t="n"/>
      <c r="D107" s="15" t="n"/>
      <c r="E107" s="285" t="n"/>
      <c r="F107" s="15" t="n"/>
      <c r="G107" s="15" t="n"/>
      <c r="H107" s="285" t="n"/>
      <c r="I107" s="15" t="n"/>
      <c r="J107" s="15" t="n"/>
      <c r="K107" s="285" t="n"/>
      <c r="L107" s="15" t="n"/>
      <c r="M107" s="15" t="n"/>
      <c r="N107" s="285" t="n"/>
      <c r="O107" s="15" t="n"/>
      <c r="P107" s="15" t="n"/>
      <c r="Q107" s="285" t="n"/>
      <c r="R107" s="15" t="n"/>
      <c r="S107" s="15" t="n"/>
      <c r="T107" s="285" t="n"/>
      <c r="U107" s="15" t="n"/>
      <c r="V107" s="15" t="n"/>
      <c r="W107" s="285" t="n"/>
      <c r="X107" s="15" t="n"/>
      <c r="Y107" s="15" t="n"/>
      <c r="Z107" s="285" t="n"/>
      <c r="AA107" s="15" t="n"/>
      <c r="AB107" s="15" t="n"/>
      <c r="AC107" s="285" t="n"/>
      <c r="AD107" s="15" t="n"/>
      <c r="AE107" s="15" t="n"/>
      <c r="AF107" s="285" t="n"/>
      <c r="AG107" s="15" t="n"/>
      <c r="AH107" s="15" t="n"/>
      <c r="AI107" s="285" t="n"/>
      <c r="AJ107" s="15" t="n"/>
      <c r="AK107" s="15" t="n"/>
      <c r="AL107" s="285" t="n"/>
      <c r="AM107" s="31" t="n"/>
      <c r="AN107" s="15" t="n"/>
      <c r="AO107" s="285" t="n"/>
      <c r="AP107" s="31" t="n"/>
      <c r="AQ107" s="15" t="n"/>
      <c r="AR107" s="285" t="n"/>
      <c r="AS107" s="31" t="n"/>
      <c r="AT107" s="15" t="n"/>
      <c r="AU107" s="285" t="n"/>
      <c r="AV107" s="31" t="n"/>
      <c r="AW107" s="15" t="n"/>
      <c r="AX107" s="285" t="n"/>
      <c r="AY107" s="15" t="n"/>
      <c r="AZ107" s="15" t="n"/>
      <c r="BA107" s="287" t="n"/>
      <c r="BB107" s="37" t="n"/>
      <c r="BC107" s="287" t="n"/>
      <c r="BD107" s="37" t="n"/>
      <c r="BE107" s="287" t="n"/>
      <c r="BF107" s="37" t="n"/>
      <c r="BG107" s="287" t="n"/>
      <c r="BH107" s="37" t="n"/>
      <c r="BI107" s="288" t="n"/>
      <c r="BJ107" s="37" t="n"/>
      <c r="BK107" s="288" t="n"/>
      <c r="BL107" s="37" t="n"/>
      <c r="BM107" s="288" t="n"/>
      <c r="BN107" s="37" t="n"/>
      <c r="BO107" s="1" t="n"/>
      <c r="BP107" s="288" t="n"/>
      <c r="BQ107" s="37" t="n"/>
      <c r="BR107" s="288" t="n"/>
      <c r="BS107" s="37" t="n"/>
      <c r="BT107" s="288" t="n"/>
      <c r="BU107" s="37" t="n"/>
      <c r="BV107" s="288" t="n"/>
      <c r="BW107" s="37" t="n"/>
      <c r="BX107" s="288" t="n"/>
      <c r="BY107" s="37" t="n"/>
      <c r="BZ107" s="288" t="n"/>
      <c r="CA107" s="37" t="n"/>
      <c r="CB107" s="288" t="n"/>
      <c r="CC107" s="37" t="n"/>
      <c r="CD107" s="288" t="n"/>
      <c r="CE107" s="37" t="n"/>
      <c r="CF107" s="288" t="n"/>
      <c r="CG107" s="291" t="n"/>
      <c r="CH107" s="288" t="n"/>
      <c r="CI107" s="291" t="n"/>
      <c r="CJ107" s="288" t="n"/>
      <c r="CK107" s="291" t="n"/>
      <c r="CL107" s="288" t="n"/>
      <c r="CM107" s="291" t="n"/>
      <c r="CN107" s="288" t="n"/>
      <c r="CO107" s="80" t="n"/>
      <c r="CP107" s="288" t="n"/>
      <c r="CQ107" s="80" t="n"/>
      <c r="CR107" s="288" t="n"/>
      <c r="CS107" s="80" t="n"/>
      <c r="CT107" s="288" t="n"/>
      <c r="CU107" s="80" t="n"/>
      <c r="CW107" s="288" t="n"/>
      <c r="CX107" s="37" t="n"/>
      <c r="CY107" s="288" t="n"/>
      <c r="CZ107" s="37" t="n"/>
      <c r="DA107" s="288" t="n"/>
      <c r="DB107" s="37" t="n"/>
      <c r="DC107" s="288" t="n"/>
      <c r="DD107" s="37" t="n"/>
      <c r="DE107" s="270" t="n"/>
      <c r="DF107" s="270" t="n"/>
    </row>
    <row r="108" customFormat="1" s="40">
      <c r="A108" s="428" t="n"/>
      <c r="B108" s="288" t="n"/>
      <c r="C108" s="15" t="n"/>
      <c r="D108" s="15" t="n"/>
      <c r="E108" s="285" t="n"/>
      <c r="F108" s="15" t="n"/>
      <c r="G108" s="15" t="n"/>
      <c r="H108" s="285" t="n"/>
      <c r="I108" s="15" t="n"/>
      <c r="J108" s="15" t="n"/>
      <c r="K108" s="285" t="n"/>
      <c r="L108" s="15" t="n"/>
      <c r="M108" s="15" t="n"/>
      <c r="N108" s="285" t="n"/>
      <c r="O108" s="15" t="n"/>
      <c r="P108" s="15" t="n"/>
      <c r="Q108" s="285" t="n"/>
      <c r="R108" s="15" t="n"/>
      <c r="S108" s="15" t="n"/>
      <c r="T108" s="285" t="n"/>
      <c r="U108" s="15" t="n"/>
      <c r="V108" s="15" t="n"/>
      <c r="W108" s="285" t="n"/>
      <c r="X108" s="15" t="n"/>
      <c r="Y108" s="15" t="n"/>
      <c r="Z108" s="285" t="n"/>
      <c r="AA108" s="15" t="n"/>
      <c r="AB108" s="15" t="n"/>
      <c r="AC108" s="285" t="n"/>
      <c r="AD108" s="15" t="n"/>
      <c r="AE108" s="15" t="n"/>
      <c r="AF108" s="285" t="n"/>
      <c r="AG108" s="15" t="n"/>
      <c r="AH108" s="15" t="n"/>
      <c r="AI108" s="285" t="n"/>
      <c r="AJ108" s="15" t="n"/>
      <c r="AK108" s="15" t="n"/>
      <c r="AL108" s="285" t="n"/>
      <c r="AM108" s="31" t="n"/>
      <c r="AN108" s="15" t="n"/>
      <c r="AO108" s="285" t="n"/>
      <c r="AP108" s="31" t="n"/>
      <c r="AQ108" s="15" t="n"/>
      <c r="AR108" s="285" t="n"/>
      <c r="AS108" s="31" t="n"/>
      <c r="AT108" s="15" t="n"/>
      <c r="AU108" s="285" t="n"/>
      <c r="AV108" s="31" t="n"/>
      <c r="AW108" s="15" t="n"/>
      <c r="AX108" s="285" t="n"/>
      <c r="AY108" s="15" t="n"/>
      <c r="AZ108" s="15" t="n"/>
      <c r="BA108" s="287" t="n"/>
      <c r="BB108" s="37" t="n"/>
      <c r="BC108" s="287" t="n"/>
      <c r="BD108" s="37" t="n"/>
      <c r="BE108" s="287" t="n"/>
      <c r="BF108" s="37" t="n"/>
      <c r="BG108" s="287" t="n"/>
      <c r="BH108" s="37" t="n"/>
      <c r="BI108" s="288" t="n"/>
      <c r="BJ108" s="37" t="n"/>
      <c r="BK108" s="288" t="n"/>
      <c r="BL108" s="37" t="n"/>
      <c r="BM108" s="288" t="n"/>
      <c r="BN108" s="37" t="n"/>
      <c r="BO108" s="1" t="n"/>
      <c r="BP108" s="288" t="n"/>
      <c r="BQ108" s="37" t="n"/>
      <c r="BR108" s="288" t="n"/>
      <c r="BS108" s="37" t="n"/>
      <c r="BT108" s="288" t="n"/>
      <c r="BU108" s="37" t="n"/>
      <c r="BV108" s="288" t="n"/>
      <c r="BW108" s="37" t="n"/>
      <c r="BX108" s="288" t="n"/>
      <c r="BY108" s="37" t="n"/>
      <c r="BZ108" s="288" t="n"/>
      <c r="CA108" s="37" t="n"/>
      <c r="CB108" s="288" t="n"/>
      <c r="CC108" s="37" t="n"/>
      <c r="CD108" s="288" t="n"/>
      <c r="CE108" s="37" t="n"/>
      <c r="CF108" s="288" t="n"/>
      <c r="CG108" s="291" t="n"/>
      <c r="CH108" s="288" t="n"/>
      <c r="CI108" s="291" t="n"/>
      <c r="CJ108" s="288" t="n"/>
      <c r="CK108" s="291" t="n"/>
      <c r="CL108" s="288" t="n"/>
      <c r="CM108" s="291" t="n"/>
      <c r="CN108" s="288" t="n"/>
      <c r="CO108" s="80" t="n"/>
      <c r="CP108" s="288" t="n"/>
      <c r="CQ108" s="80" t="n"/>
      <c r="CR108" s="288" t="n"/>
      <c r="CS108" s="80" t="n"/>
      <c r="CT108" s="288" t="n"/>
      <c r="CU108" s="80" t="n"/>
      <c r="CW108" s="288" t="n"/>
      <c r="CX108" s="37" t="n"/>
      <c r="CY108" s="288" t="n"/>
      <c r="CZ108" s="37" t="n"/>
      <c r="DA108" s="288" t="n"/>
      <c r="DB108" s="37" t="n"/>
      <c r="DC108" s="288" t="n"/>
      <c r="DD108" s="37" t="n"/>
      <c r="DE108" s="270" t="n"/>
      <c r="DF108" s="270" t="n"/>
    </row>
    <row r="109" customFormat="1" s="40">
      <c r="A109" s="428" t="n"/>
      <c r="B109" s="288" t="n"/>
      <c r="C109" s="15" t="n"/>
      <c r="D109" s="15" t="n"/>
      <c r="E109" s="285" t="n"/>
      <c r="F109" s="15" t="n"/>
      <c r="G109" s="15" t="n"/>
      <c r="H109" s="285" t="n"/>
      <c r="I109" s="15" t="n"/>
      <c r="J109" s="15" t="n"/>
      <c r="K109" s="285" t="n"/>
      <c r="L109" s="15" t="n"/>
      <c r="M109" s="15" t="n"/>
      <c r="N109" s="285" t="n"/>
      <c r="O109" s="15" t="n"/>
      <c r="P109" s="15" t="n"/>
      <c r="Q109" s="285" t="n"/>
      <c r="R109" s="15" t="n"/>
      <c r="S109" s="15" t="n"/>
      <c r="T109" s="285" t="n"/>
      <c r="U109" s="15" t="n"/>
      <c r="V109" s="15" t="n"/>
      <c r="W109" s="285" t="n"/>
      <c r="X109" s="15" t="n"/>
      <c r="Y109" s="15" t="n"/>
      <c r="Z109" s="285" t="n"/>
      <c r="AA109" s="15" t="n"/>
      <c r="AB109" s="15" t="n"/>
      <c r="AC109" s="285" t="n"/>
      <c r="AD109" s="15" t="n"/>
      <c r="AE109" s="15" t="n"/>
      <c r="AF109" s="285" t="n"/>
      <c r="AG109" s="15" t="n"/>
      <c r="AH109" s="15" t="n"/>
      <c r="AI109" s="285" t="n"/>
      <c r="AJ109" s="15" t="n"/>
      <c r="AK109" s="15" t="n"/>
      <c r="AL109" s="285" t="n"/>
      <c r="AM109" s="31" t="n"/>
      <c r="AN109" s="15" t="n"/>
      <c r="AO109" s="285" t="n"/>
      <c r="AP109" s="31" t="n"/>
      <c r="AQ109" s="15" t="n"/>
      <c r="AR109" s="285" t="n"/>
      <c r="AS109" s="31" t="n"/>
      <c r="AT109" s="15" t="n"/>
      <c r="AU109" s="285" t="n"/>
      <c r="AV109" s="31" t="n"/>
      <c r="AW109" s="15" t="n"/>
      <c r="AX109" s="285" t="n"/>
      <c r="AY109" s="15" t="n"/>
      <c r="AZ109" s="15" t="n"/>
      <c r="BA109" s="287" t="n"/>
      <c r="BB109" s="37" t="n"/>
      <c r="BC109" s="287" t="n"/>
      <c r="BD109" s="37" t="n"/>
      <c r="BE109" s="287" t="n"/>
      <c r="BF109" s="37" t="n"/>
      <c r="BG109" s="287" t="n"/>
      <c r="BH109" s="37" t="n"/>
      <c r="BI109" s="288" t="n"/>
      <c r="BJ109" s="37" t="n"/>
      <c r="BK109" s="288" t="n"/>
      <c r="BL109" s="37" t="n"/>
      <c r="BM109" s="288" t="n"/>
      <c r="BN109" s="37" t="n"/>
      <c r="BP109" s="288" t="n"/>
      <c r="BQ109" s="37" t="n"/>
      <c r="BR109" s="288" t="n"/>
      <c r="BS109" s="37" t="n"/>
      <c r="BT109" s="288" t="n"/>
      <c r="BU109" s="37" t="n"/>
      <c r="BV109" s="288" t="n"/>
      <c r="BW109" s="37" t="n"/>
      <c r="BX109" s="288" t="n"/>
      <c r="BY109" s="37" t="n"/>
      <c r="BZ109" s="288" t="n"/>
      <c r="CA109" s="37" t="n"/>
      <c r="CB109" s="288" t="n"/>
      <c r="CC109" s="37" t="n"/>
      <c r="CD109" s="288" t="n"/>
      <c r="CE109" s="37" t="n"/>
      <c r="CF109" s="288" t="n"/>
      <c r="CG109" s="291" t="n"/>
      <c r="CH109" s="288" t="n"/>
      <c r="CI109" s="291" t="n"/>
      <c r="CJ109" s="288" t="n"/>
      <c r="CK109" s="291" t="n"/>
      <c r="CL109" s="288" t="n"/>
      <c r="CM109" s="291" t="n"/>
      <c r="CN109" s="288" t="n"/>
      <c r="CO109" s="80" t="n"/>
      <c r="CP109" s="288" t="n"/>
      <c r="CQ109" s="80" t="n"/>
      <c r="CR109" s="288" t="n"/>
      <c r="CS109" s="80" t="n"/>
      <c r="CT109" s="288" t="n"/>
      <c r="CU109" s="80" t="n"/>
      <c r="CW109" s="288" t="n"/>
      <c r="CX109" s="37" t="n"/>
      <c r="CY109" s="288" t="n"/>
      <c r="CZ109" s="37" t="n"/>
      <c r="DA109" s="288" t="n"/>
      <c r="DB109" s="37" t="n"/>
      <c r="DC109" s="288" t="n"/>
      <c r="DD109" s="37" t="n"/>
      <c r="DE109" s="304" t="n"/>
      <c r="DF109" s="304" t="n"/>
    </row>
    <row r="110" customFormat="1" s="40">
      <c r="A110" s="428" t="n"/>
      <c r="B110" s="288" t="n"/>
      <c r="C110" s="15" t="n"/>
      <c r="D110" s="15" t="n"/>
      <c r="E110" s="285" t="n"/>
      <c r="F110" s="15" t="n"/>
      <c r="G110" s="15" t="n"/>
      <c r="H110" s="285" t="n"/>
      <c r="I110" s="15" t="n"/>
      <c r="J110" s="15" t="n"/>
      <c r="K110" s="285" t="n"/>
      <c r="L110" s="15" t="n"/>
      <c r="M110" s="15" t="n"/>
      <c r="N110" s="285" t="n"/>
      <c r="O110" s="15" t="n"/>
      <c r="P110" s="15" t="n"/>
      <c r="Q110" s="285" t="n"/>
      <c r="R110" s="15" t="n"/>
      <c r="S110" s="15" t="n"/>
      <c r="T110" s="285" t="n"/>
      <c r="U110" s="15" t="n"/>
      <c r="V110" s="15" t="n"/>
      <c r="W110" s="285" t="n"/>
      <c r="X110" s="15" t="n"/>
      <c r="Y110" s="15" t="n"/>
      <c r="Z110" s="285" t="n"/>
      <c r="AA110" s="15" t="n"/>
      <c r="AB110" s="15" t="n"/>
      <c r="AC110" s="285" t="n"/>
      <c r="AD110" s="15" t="n"/>
      <c r="AE110" s="15" t="n"/>
      <c r="AF110" s="285" t="n"/>
      <c r="AG110" s="15" t="n"/>
      <c r="AH110" s="15" t="n"/>
      <c r="AI110" s="285" t="n"/>
      <c r="AJ110" s="15" t="n"/>
      <c r="AK110" s="15" t="n"/>
      <c r="AL110" s="285" t="n"/>
      <c r="AM110" s="31" t="n"/>
      <c r="AN110" s="15" t="n"/>
      <c r="AO110" s="285" t="n"/>
      <c r="AP110" s="31" t="n"/>
      <c r="AQ110" s="15" t="n"/>
      <c r="AR110" s="285" t="n"/>
      <c r="AS110" s="31" t="n"/>
      <c r="AT110" s="15" t="n"/>
      <c r="AU110" s="285" t="n"/>
      <c r="AV110" s="31" t="n"/>
      <c r="AW110" s="15" t="n"/>
      <c r="AX110" s="285" t="n"/>
      <c r="AY110" s="15" t="n"/>
      <c r="AZ110" s="15" t="n"/>
      <c r="BA110" s="287" t="n"/>
      <c r="BB110" s="37" t="n"/>
      <c r="BC110" s="287" t="n"/>
      <c r="BD110" s="37" t="n"/>
      <c r="BE110" s="287" t="n"/>
      <c r="BF110" s="37" t="n"/>
      <c r="BG110" s="287" t="n"/>
      <c r="BH110" s="37" t="n"/>
      <c r="BI110" s="288" t="n"/>
      <c r="BJ110" s="37" t="n"/>
      <c r="BK110" s="288" t="n"/>
      <c r="BL110" s="37" t="n"/>
      <c r="BM110" s="288" t="n"/>
      <c r="BN110" s="37" t="n"/>
      <c r="BP110" s="288" t="n"/>
      <c r="BQ110" s="37" t="n"/>
      <c r="BR110" s="288" t="n"/>
      <c r="BS110" s="37" t="n"/>
      <c r="BT110" s="288" t="n"/>
      <c r="BU110" s="37" t="n"/>
      <c r="BV110" s="288" t="n"/>
      <c r="BW110" s="37" t="n"/>
      <c r="BX110" s="288" t="n"/>
      <c r="BY110" s="37" t="n"/>
      <c r="BZ110" s="288" t="n"/>
      <c r="CA110" s="37" t="n"/>
      <c r="CB110" s="288" t="n"/>
      <c r="CC110" s="37" t="n"/>
      <c r="CD110" s="288" t="n"/>
      <c r="CE110" s="37" t="n"/>
      <c r="CF110" s="288" t="n"/>
      <c r="CG110" s="291" t="n"/>
      <c r="CH110" s="288" t="n"/>
      <c r="CI110" s="291" t="n"/>
      <c r="CJ110" s="288" t="n"/>
      <c r="CK110" s="291" t="n"/>
      <c r="CL110" s="288" t="n"/>
      <c r="CM110" s="291" t="n"/>
      <c r="CN110" s="288" t="n"/>
      <c r="CO110" s="80" t="n"/>
      <c r="CP110" s="288" t="n"/>
      <c r="CQ110" s="80" t="n"/>
      <c r="CR110" s="288" t="n"/>
      <c r="CS110" s="80" t="n"/>
      <c r="CT110" s="288" t="n"/>
      <c r="CU110" s="80" t="n"/>
      <c r="CW110" s="288" t="n"/>
      <c r="CX110" s="37" t="n"/>
      <c r="CY110" s="288" t="n"/>
      <c r="CZ110" s="37" t="n"/>
      <c r="DA110" s="288" t="n"/>
      <c r="DB110" s="37" t="n"/>
      <c r="DC110" s="288" t="n"/>
      <c r="DD110" s="37" t="n"/>
      <c r="DE110" s="304" t="n"/>
      <c r="DF110" s="304" t="n"/>
    </row>
    <row r="111" customFormat="1" s="40">
      <c r="A111" s="428" t="n"/>
      <c r="B111" s="288" t="n"/>
      <c r="C111" s="15" t="n"/>
      <c r="D111" s="15" t="n"/>
      <c r="E111" s="285" t="n"/>
      <c r="F111" s="15" t="n"/>
      <c r="G111" s="15" t="n"/>
      <c r="H111" s="285" t="n"/>
      <c r="I111" s="15" t="n"/>
      <c r="J111" s="15" t="n"/>
      <c r="K111" s="285" t="n"/>
      <c r="L111" s="15" t="n"/>
      <c r="M111" s="15" t="n"/>
      <c r="N111" s="285" t="n"/>
      <c r="O111" s="15" t="n"/>
      <c r="P111" s="15" t="n"/>
      <c r="Q111" s="285" t="n"/>
      <c r="R111" s="15" t="n"/>
      <c r="S111" s="15" t="n"/>
      <c r="T111" s="285" t="n"/>
      <c r="U111" s="15" t="n"/>
      <c r="V111" s="15" t="n"/>
      <c r="W111" s="285" t="n"/>
      <c r="X111" s="15" t="n"/>
      <c r="Y111" s="15" t="n"/>
      <c r="Z111" s="285" t="n"/>
      <c r="AA111" s="15" t="n"/>
      <c r="AB111" s="15" t="n"/>
      <c r="AC111" s="285" t="n"/>
      <c r="AD111" s="15" t="n"/>
      <c r="AE111" s="15" t="n"/>
      <c r="AF111" s="285" t="n"/>
      <c r="AG111" s="15" t="n"/>
      <c r="AH111" s="15" t="n"/>
      <c r="AI111" s="285" t="n"/>
      <c r="AJ111" s="15" t="n"/>
      <c r="AK111" s="15" t="n"/>
      <c r="AL111" s="285" t="n"/>
      <c r="AM111" s="31" t="n"/>
      <c r="AN111" s="15" t="n"/>
      <c r="AO111" s="285" t="n"/>
      <c r="AP111" s="31" t="n"/>
      <c r="AQ111" s="15" t="n"/>
      <c r="AR111" s="285" t="n"/>
      <c r="AS111" s="31" t="n"/>
      <c r="AT111" s="15" t="n"/>
      <c r="AU111" s="285" t="n"/>
      <c r="AV111" s="31" t="n"/>
      <c r="AW111" s="15" t="n"/>
      <c r="AX111" s="285" t="n"/>
      <c r="AY111" s="15" t="n"/>
      <c r="AZ111" s="15" t="n"/>
      <c r="BA111" s="287" t="n"/>
      <c r="BB111" s="37" t="n"/>
      <c r="BC111" s="287" t="n"/>
      <c r="BD111" s="37" t="n"/>
      <c r="BE111" s="287" t="n"/>
      <c r="BF111" s="37" t="n"/>
      <c r="BG111" s="287" t="n"/>
      <c r="BH111" s="37" t="n"/>
      <c r="BI111" s="288" t="n"/>
      <c r="BJ111" s="37" t="n"/>
      <c r="BK111" s="288" t="n"/>
      <c r="BL111" s="37" t="n"/>
      <c r="BM111" s="288" t="n"/>
      <c r="BN111" s="37" t="n"/>
      <c r="BP111" s="288" t="n"/>
      <c r="BQ111" s="37" t="n"/>
      <c r="BR111" s="288" t="n"/>
      <c r="BS111" s="37" t="n"/>
      <c r="BT111" s="288" t="n"/>
      <c r="BU111" s="37" t="n"/>
      <c r="BV111" s="288" t="n"/>
      <c r="BW111" s="37" t="n"/>
      <c r="BX111" s="288" t="n"/>
      <c r="BY111" s="37" t="n"/>
      <c r="BZ111" s="288" t="n"/>
      <c r="CA111" s="37" t="n"/>
      <c r="CB111" s="288" t="n"/>
      <c r="CC111" s="37" t="n"/>
      <c r="CD111" s="288" t="n"/>
      <c r="CE111" s="37" t="n"/>
      <c r="CF111" s="288" t="n"/>
      <c r="CG111" s="291" t="n"/>
      <c r="CH111" s="288" t="n"/>
      <c r="CI111" s="291" t="n"/>
      <c r="CJ111" s="288" t="n"/>
      <c r="CK111" s="291" t="n"/>
      <c r="CL111" s="288" t="n"/>
      <c r="CM111" s="291" t="n"/>
      <c r="CN111" s="288" t="n"/>
      <c r="CO111" s="80" t="n"/>
      <c r="CP111" s="288" t="n"/>
      <c r="CQ111" s="80" t="n"/>
      <c r="CR111" s="288" t="n"/>
      <c r="CS111" s="80" t="n"/>
      <c r="CT111" s="288" t="n"/>
      <c r="CU111" s="80" t="n"/>
      <c r="CW111" s="288" t="n"/>
      <c r="CX111" s="37" t="n"/>
      <c r="CY111" s="288" t="n"/>
      <c r="CZ111" s="37" t="n"/>
      <c r="DA111" s="288" t="n"/>
      <c r="DB111" s="37" t="n"/>
      <c r="DC111" s="288" t="n"/>
      <c r="DD111" s="37" t="n"/>
      <c r="DE111" s="1" t="n"/>
      <c r="DF111" s="304" t="n"/>
    </row>
    <row r="112" customFormat="1" s="40">
      <c r="A112" s="429" t="n"/>
      <c r="B112" s="288" t="n"/>
      <c r="C112" s="15" t="n"/>
      <c r="D112" s="15" t="n"/>
      <c r="E112" s="306" t="n"/>
      <c r="F112" s="15" t="n"/>
      <c r="G112" s="15" t="n"/>
      <c r="H112" s="306" t="n"/>
      <c r="I112" s="15" t="n"/>
      <c r="J112" s="15" t="n"/>
      <c r="K112" s="306" t="n"/>
      <c r="L112" s="15" t="n"/>
      <c r="M112" s="15" t="n"/>
      <c r="N112" s="306" t="n"/>
      <c r="O112" s="15" t="n"/>
      <c r="P112" s="15" t="n"/>
      <c r="Q112" s="306" t="n"/>
      <c r="R112" s="15" t="n"/>
      <c r="S112" s="15" t="n"/>
      <c r="T112" s="306" t="n"/>
      <c r="U112" s="15" t="n"/>
      <c r="V112" s="15" t="n"/>
      <c r="W112" s="306" t="n"/>
      <c r="X112" s="15" t="n"/>
      <c r="Y112" s="15" t="n"/>
      <c r="Z112" s="306" t="n"/>
      <c r="AA112" s="15" t="n"/>
      <c r="AB112" s="15" t="n"/>
      <c r="AC112" s="306" t="n"/>
      <c r="AD112" s="15" t="n"/>
      <c r="AE112" s="15" t="n"/>
      <c r="AF112" s="306" t="n"/>
      <c r="AG112" s="15" t="n"/>
      <c r="AH112" s="15" t="n"/>
      <c r="AI112" s="306" t="n"/>
      <c r="AJ112" s="15" t="n"/>
      <c r="AK112" s="15" t="n"/>
      <c r="AL112" s="306" t="n"/>
      <c r="AM112" s="31" t="n"/>
      <c r="AN112" s="430" t="n"/>
      <c r="AO112" s="306" t="n"/>
      <c r="AP112" s="31" t="n"/>
      <c r="AQ112" s="430" t="n"/>
      <c r="AR112" s="306" t="n"/>
      <c r="AS112" s="31" t="n"/>
      <c r="AT112" s="430" t="n"/>
      <c r="AU112" s="306" t="n"/>
      <c r="AV112" s="31" t="n"/>
      <c r="AW112" s="430" t="n"/>
      <c r="AX112" s="306" t="n"/>
      <c r="AY112" s="15" t="n"/>
      <c r="AZ112" s="15" t="n"/>
      <c r="BA112" s="287" t="n"/>
      <c r="BB112" s="37" t="n"/>
      <c r="BC112" s="287" t="n"/>
      <c r="BD112" s="37" t="n"/>
      <c r="BE112" s="287" t="n"/>
      <c r="BF112" s="37" t="n"/>
      <c r="BG112" s="287" t="n"/>
      <c r="BH112" s="37" t="n"/>
      <c r="BI112" s="288" t="n"/>
      <c r="BJ112" s="37" t="n"/>
      <c r="BK112" s="288" t="n"/>
      <c r="BL112" s="37" t="n"/>
      <c r="BM112" s="288" t="n"/>
      <c r="BN112" s="37" t="n"/>
      <c r="BP112" s="288" t="n"/>
      <c r="BQ112" s="37" t="n"/>
      <c r="BR112" s="288" t="n"/>
      <c r="BS112" s="37" t="n"/>
      <c r="BT112" s="288" t="n"/>
      <c r="BU112" s="37" t="n"/>
      <c r="BV112" s="288" t="n"/>
      <c r="BW112" s="37" t="n"/>
      <c r="BX112" s="288" t="n"/>
      <c r="BY112" s="37" t="n"/>
      <c r="BZ112" s="288" t="n"/>
      <c r="CA112" s="37" t="n"/>
      <c r="CB112" s="288" t="n"/>
      <c r="CC112" s="37" t="n"/>
      <c r="CD112" s="288" t="n"/>
      <c r="CE112" s="37" t="n"/>
      <c r="CF112" s="288" t="n"/>
      <c r="CG112" s="291" t="n"/>
      <c r="CH112" s="288" t="n"/>
      <c r="CI112" s="291" t="n"/>
      <c r="CJ112" s="288" t="n"/>
      <c r="CK112" s="291" t="n"/>
      <c r="CL112" s="288" t="n"/>
      <c r="CM112" s="291" t="n"/>
      <c r="CN112" s="288" t="n"/>
      <c r="CO112" s="80" t="n"/>
      <c r="CP112" s="288" t="n"/>
      <c r="CQ112" s="80" t="n"/>
      <c r="CR112" s="288" t="n"/>
      <c r="CS112" s="80" t="n"/>
      <c r="CT112" s="288" t="n"/>
      <c r="CU112" s="80" t="n"/>
      <c r="CW112" s="288" t="n"/>
      <c r="CX112" s="37" t="n"/>
      <c r="CY112" s="288" t="n"/>
      <c r="CZ112" s="37" t="n"/>
      <c r="DA112" s="288" t="n"/>
      <c r="DB112" s="37" t="n"/>
      <c r="DC112" s="288" t="n"/>
      <c r="DD112" s="37" t="n"/>
      <c r="DE112" s="1" t="n"/>
      <c r="DF112" s="304" t="n"/>
    </row>
    <row r="113" customFormat="1" s="40">
      <c r="A113" s="428" t="n"/>
      <c r="B113" s="288" t="n"/>
      <c r="C113" s="15" t="n"/>
      <c r="D113" s="15" t="n"/>
      <c r="E113" s="285" t="n"/>
      <c r="F113" s="15" t="n"/>
      <c r="G113" s="15" t="n"/>
      <c r="H113" s="285" t="n"/>
      <c r="I113" s="15" t="n"/>
      <c r="J113" s="15" t="n"/>
      <c r="K113" s="285" t="n"/>
      <c r="L113" s="15" t="n"/>
      <c r="M113" s="15" t="n"/>
      <c r="N113" s="285" t="n"/>
      <c r="O113" s="15" t="n"/>
      <c r="P113" s="15" t="n"/>
      <c r="Q113" s="285" t="n"/>
      <c r="R113" s="15" t="n"/>
      <c r="S113" s="15" t="n"/>
      <c r="T113" s="285" t="n"/>
      <c r="U113" s="15" t="n"/>
      <c r="V113" s="15" t="n"/>
      <c r="W113" s="285" t="n"/>
      <c r="X113" s="15" t="n"/>
      <c r="Y113" s="15" t="n"/>
      <c r="Z113" s="285" t="n"/>
      <c r="AA113" s="15" t="n"/>
      <c r="AB113" s="15" t="n"/>
      <c r="AC113" s="285" t="n"/>
      <c r="AD113" s="15" t="n"/>
      <c r="AE113" s="15" t="n"/>
      <c r="AF113" s="285" t="n"/>
      <c r="AG113" s="15" t="n"/>
      <c r="AH113" s="15" t="n"/>
      <c r="AI113" s="285" t="n"/>
      <c r="AJ113" s="15" t="n"/>
      <c r="AK113" s="15" t="n"/>
      <c r="AL113" s="285" t="n"/>
      <c r="AM113" s="31" t="n"/>
      <c r="AN113" s="430" t="n"/>
      <c r="AO113" s="285" t="n"/>
      <c r="AP113" s="31" t="n"/>
      <c r="AQ113" s="430" t="n"/>
      <c r="AR113" s="285" t="n"/>
      <c r="AS113" s="31" t="n"/>
      <c r="AT113" s="430" t="n"/>
      <c r="AU113" s="285" t="n"/>
      <c r="AV113" s="31" t="n"/>
      <c r="AW113" s="430" t="n"/>
      <c r="AX113" s="285" t="n"/>
      <c r="AY113" s="15" t="n"/>
      <c r="AZ113" s="15" t="n"/>
      <c r="BA113" s="291" t="n"/>
      <c r="BB113" s="291" t="n"/>
      <c r="BC113" s="291" t="n"/>
      <c r="BD113" s="291" t="n"/>
      <c r="BE113" s="291" t="n"/>
      <c r="BF113" s="291" t="n"/>
      <c r="BG113" s="291" t="n"/>
      <c r="BH113" s="291" t="n"/>
      <c r="BI113" s="291" t="n"/>
      <c r="BJ113" s="291" t="n"/>
      <c r="BK113" s="288" t="n"/>
      <c r="BL113" s="291" t="n"/>
      <c r="BM113" s="291" t="n"/>
      <c r="BN113" s="291" t="n"/>
      <c r="BO113" s="291" t="n"/>
      <c r="BP113" s="291" t="n"/>
      <c r="BQ113" s="291" t="n"/>
      <c r="BR113" s="291" t="n"/>
      <c r="BS113" s="291" t="n"/>
      <c r="BT113" s="291" t="n"/>
      <c r="BU113" s="291" t="n"/>
      <c r="BV113" s="291" t="n"/>
      <c r="BW113" s="291" t="n"/>
      <c r="BX113" s="291" t="n"/>
      <c r="BY113" s="291" t="n"/>
      <c r="BZ113" s="291" t="n"/>
      <c r="CA113" s="291" t="n"/>
      <c r="CB113" s="291" t="n"/>
      <c r="CC113" s="291" t="n"/>
      <c r="CD113" s="291" t="n"/>
      <c r="CE113" s="291" t="n"/>
      <c r="CF113" s="291" t="n"/>
      <c r="CG113" s="291" t="n"/>
      <c r="CH113" s="291" t="n"/>
      <c r="CI113" s="291" t="n"/>
      <c r="CJ113" s="291" t="n"/>
      <c r="CK113" s="291" t="n"/>
      <c r="CL113" s="291" t="n"/>
      <c r="CM113" s="291" t="n"/>
      <c r="CN113" s="291" t="n"/>
      <c r="CW113" s="291" t="n"/>
      <c r="CX113" s="291" t="n"/>
      <c r="CY113" s="291" t="n"/>
      <c r="CZ113" s="291" t="n"/>
      <c r="DA113" s="291" t="n"/>
      <c r="DB113" s="291" t="n"/>
      <c r="DC113" s="291" t="n"/>
      <c r="DD113" s="291" t="n"/>
      <c r="DE113" s="311" t="n"/>
      <c r="DF113" s="311" t="n"/>
    </row>
    <row r="114" customFormat="1" s="40">
      <c r="A114" s="431" t="n"/>
      <c r="B114" s="288" t="n"/>
      <c r="C114" s="15" t="n"/>
      <c r="D114" s="15" t="n"/>
      <c r="E114" s="285" t="n"/>
      <c r="F114" s="15" t="n"/>
      <c r="G114" s="15" t="n"/>
      <c r="H114" s="285" t="n"/>
      <c r="I114" s="15" t="n"/>
      <c r="J114" s="15" t="n"/>
      <c r="K114" s="285" t="n"/>
      <c r="L114" s="15" t="n"/>
      <c r="M114" s="15" t="n"/>
      <c r="N114" s="285" t="n"/>
      <c r="O114" s="15" t="n"/>
      <c r="P114" s="15" t="n"/>
      <c r="Q114" s="285" t="n"/>
      <c r="R114" s="15" t="n"/>
      <c r="S114" s="15" t="n"/>
      <c r="T114" s="285" t="n"/>
      <c r="U114" s="15" t="n"/>
      <c r="V114" s="15" t="n"/>
      <c r="W114" s="285" t="n"/>
      <c r="X114" s="15" t="n"/>
      <c r="Y114" s="15" t="n"/>
      <c r="Z114" s="285" t="n"/>
      <c r="AA114" s="15" t="n"/>
      <c r="AB114" s="15" t="n"/>
      <c r="AC114" s="285" t="n"/>
      <c r="AD114" s="15" t="n"/>
      <c r="AE114" s="15" t="n"/>
      <c r="AF114" s="285" t="n"/>
      <c r="AG114" s="15" t="n"/>
      <c r="AH114" s="15" t="n"/>
      <c r="AI114" s="285" t="n"/>
      <c r="AJ114" s="15" t="n"/>
      <c r="AK114" s="15" t="n"/>
      <c r="AL114" s="285" t="n"/>
      <c r="AM114" s="31" t="n"/>
      <c r="AN114" s="430" t="n"/>
      <c r="AO114" s="285" t="n"/>
      <c r="AP114" s="31" t="n"/>
      <c r="AQ114" s="430" t="n"/>
      <c r="AR114" s="285" t="n"/>
      <c r="AS114" s="31" t="n"/>
      <c r="AT114" s="430" t="n"/>
      <c r="AU114" s="285" t="n"/>
      <c r="AV114" s="31" t="n"/>
      <c r="AW114" s="430" t="n"/>
      <c r="AX114" s="285" t="n"/>
      <c r="AY114" s="15" t="n"/>
      <c r="AZ114" s="15" t="n"/>
      <c r="BA114" s="291" t="n"/>
      <c r="BB114" s="291" t="n"/>
      <c r="BC114" s="291" t="n"/>
      <c r="BD114" s="291" t="n"/>
      <c r="BE114" s="291" t="n"/>
      <c r="BF114" s="291" t="n"/>
      <c r="BG114" s="291" t="n"/>
      <c r="BH114" s="291" t="n"/>
      <c r="BI114" s="291" t="n"/>
      <c r="BJ114" s="291" t="n"/>
      <c r="BK114" s="288" t="n"/>
      <c r="BL114" s="291" t="n"/>
      <c r="BM114" s="291" t="n"/>
      <c r="BN114" s="291" t="n"/>
      <c r="BO114" s="291" t="n"/>
      <c r="BP114" s="291" t="n"/>
      <c r="BQ114" s="291" t="n"/>
      <c r="BR114" s="291" t="n"/>
      <c r="BS114" s="291" t="n"/>
      <c r="BT114" s="291" t="n"/>
      <c r="BU114" s="291" t="n"/>
      <c r="BV114" s="291" t="n"/>
      <c r="BW114" s="291" t="n"/>
      <c r="BX114" s="291" t="n"/>
      <c r="BY114" s="291" t="n"/>
      <c r="BZ114" s="291" t="n"/>
      <c r="CA114" s="291" t="n"/>
      <c r="CB114" s="291" t="n"/>
      <c r="CC114" s="291" t="n"/>
      <c r="CD114" s="291" t="n"/>
      <c r="CE114" s="291" t="n"/>
      <c r="CF114" s="291" t="n"/>
      <c r="CG114" s="291" t="n"/>
      <c r="CH114" s="291" t="n"/>
      <c r="CI114" s="291" t="n"/>
      <c r="CJ114" s="291" t="n"/>
      <c r="CK114" s="291" t="n"/>
      <c r="CL114" s="291" t="n"/>
      <c r="CM114" s="291" t="n"/>
      <c r="CN114" s="291" t="n"/>
      <c r="CW114" s="291" t="n"/>
      <c r="CX114" s="291" t="n"/>
      <c r="CY114" s="291" t="n"/>
      <c r="CZ114" s="291" t="n"/>
      <c r="DA114" s="291" t="n"/>
      <c r="DB114" s="291" t="n"/>
      <c r="DC114" s="291" t="n"/>
      <c r="DD114" s="291" t="n"/>
      <c r="DE114" s="311" t="n"/>
      <c r="DF114" s="311" t="n"/>
    </row>
    <row r="115" customFormat="1" s="40">
      <c r="A115" s="428" t="n"/>
      <c r="B115" s="288" t="n"/>
      <c r="C115" s="15" t="n"/>
      <c r="D115" s="15" t="n"/>
      <c r="E115" s="285" t="n"/>
      <c r="F115" s="15" t="n"/>
      <c r="G115" s="15" t="n"/>
      <c r="H115" s="285" t="n"/>
      <c r="I115" s="15" t="n"/>
      <c r="J115" s="15" t="n"/>
      <c r="K115" s="285" t="n"/>
      <c r="L115" s="15" t="n"/>
      <c r="M115" s="15" t="n"/>
      <c r="N115" s="285" t="n"/>
      <c r="O115" s="15" t="n"/>
      <c r="P115" s="15" t="n"/>
      <c r="Q115" s="285" t="n"/>
      <c r="R115" s="15" t="n"/>
      <c r="S115" s="15" t="n"/>
      <c r="T115" s="285" t="n"/>
      <c r="U115" s="15" t="n"/>
      <c r="V115" s="15" t="n"/>
      <c r="W115" s="285" t="n"/>
      <c r="X115" s="15" t="n"/>
      <c r="Y115" s="15" t="n"/>
      <c r="Z115" s="285" t="n"/>
      <c r="AA115" s="15" t="n"/>
      <c r="AB115" s="15" t="n"/>
      <c r="AC115" s="285" t="n"/>
      <c r="AD115" s="15" t="n"/>
      <c r="AE115" s="15" t="n"/>
      <c r="AF115" s="285" t="n"/>
      <c r="AG115" s="15" t="n"/>
      <c r="AH115" s="15" t="n"/>
      <c r="AI115" s="285" t="n"/>
      <c r="AJ115" s="15" t="n"/>
      <c r="AK115" s="15" t="n"/>
      <c r="AL115" s="285" t="n"/>
      <c r="AM115" s="31" t="n"/>
      <c r="AN115" s="430" t="n"/>
      <c r="AO115" s="285" t="n"/>
      <c r="AP115" s="31" t="n"/>
      <c r="AQ115" s="430" t="n"/>
      <c r="AR115" s="285" t="n"/>
      <c r="AS115" s="31" t="n"/>
      <c r="AT115" s="430" t="n"/>
      <c r="AU115" s="285" t="n"/>
      <c r="AV115" s="31" t="n"/>
      <c r="AW115" s="430" t="n"/>
      <c r="AX115" s="285" t="n"/>
      <c r="AY115" s="15" t="n"/>
      <c r="AZ115" s="15" t="n"/>
      <c r="BA115" s="291" t="n"/>
      <c r="BB115" s="291" t="n"/>
      <c r="BC115" s="291" t="n"/>
      <c r="BD115" s="291" t="n"/>
      <c r="BE115" s="291" t="n"/>
      <c r="BF115" s="291" t="n"/>
      <c r="BG115" s="291" t="n"/>
      <c r="BH115" s="291" t="n"/>
      <c r="BI115" s="291" t="n"/>
      <c r="BJ115" s="291" t="n"/>
      <c r="BK115" s="288" t="n"/>
      <c r="BL115" s="291" t="n"/>
      <c r="BM115" s="291" t="n"/>
      <c r="BN115" s="291" t="n"/>
      <c r="BO115" s="291" t="n"/>
      <c r="BP115" s="291" t="n"/>
      <c r="BQ115" s="291" t="n"/>
      <c r="BR115" s="291" t="n"/>
      <c r="BS115" s="291" t="n"/>
      <c r="BT115" s="291" t="n"/>
      <c r="BU115" s="291" t="n"/>
      <c r="BV115" s="291" t="n"/>
      <c r="BW115" s="291" t="n"/>
      <c r="BX115" s="291" t="n"/>
      <c r="BY115" s="291" t="n"/>
      <c r="BZ115" s="291" t="n"/>
      <c r="CA115" s="291" t="n"/>
      <c r="CB115" s="291" t="n"/>
      <c r="CC115" s="291" t="n"/>
      <c r="CD115" s="291" t="n"/>
      <c r="CE115" s="291" t="n"/>
      <c r="CF115" s="291" t="n"/>
      <c r="CG115" s="291" t="n"/>
      <c r="CH115" s="291" t="n"/>
      <c r="CI115" s="291" t="n"/>
      <c r="CJ115" s="291" t="n"/>
      <c r="CK115" s="291" t="n"/>
      <c r="CL115" s="291" t="n"/>
      <c r="CM115" s="291" t="n"/>
      <c r="CN115" s="291" t="n"/>
      <c r="CW115" s="291" t="n"/>
      <c r="CX115" s="291" t="n"/>
      <c r="CY115" s="291" t="n"/>
      <c r="CZ115" s="291" t="n"/>
      <c r="DA115" s="291" t="n"/>
      <c r="DB115" s="291" t="n"/>
      <c r="DC115" s="291" t="n"/>
      <c r="DD115" s="291" t="n"/>
      <c r="DE115" s="311" t="n"/>
      <c r="DF115" s="311" t="n"/>
    </row>
    <row r="116" customFormat="1" s="40">
      <c r="A116" s="428" t="n"/>
      <c r="B116" s="288" t="n"/>
      <c r="C116" s="15" t="n"/>
      <c r="D116" s="15" t="n"/>
      <c r="E116" s="285" t="n"/>
      <c r="F116" s="15" t="n"/>
      <c r="G116" s="15" t="n"/>
      <c r="H116" s="285" t="n"/>
      <c r="I116" s="15" t="n"/>
      <c r="J116" s="15" t="n"/>
      <c r="K116" s="285" t="n"/>
      <c r="L116" s="15" t="n"/>
      <c r="M116" s="15" t="n"/>
      <c r="N116" s="285" t="n"/>
      <c r="O116" s="15" t="n"/>
      <c r="P116" s="15" t="n"/>
      <c r="Q116" s="285" t="n"/>
      <c r="R116" s="15" t="n"/>
      <c r="S116" s="15" t="n"/>
      <c r="T116" s="285" t="n"/>
      <c r="U116" s="15" t="n"/>
      <c r="V116" s="15" t="n"/>
      <c r="W116" s="285" t="n"/>
      <c r="X116" s="15" t="n"/>
      <c r="Y116" s="15" t="n"/>
      <c r="Z116" s="285" t="n"/>
      <c r="AA116" s="15" t="n"/>
      <c r="AB116" s="15" t="n"/>
      <c r="AC116" s="285" t="n"/>
      <c r="AD116" s="15" t="n"/>
      <c r="AE116" s="15" t="n"/>
      <c r="AF116" s="285" t="n"/>
      <c r="AG116" s="15" t="n"/>
      <c r="AH116" s="15" t="n"/>
      <c r="AI116" s="285" t="n"/>
      <c r="AJ116" s="15" t="n"/>
      <c r="AK116" s="15" t="n"/>
      <c r="AL116" s="285" t="n"/>
      <c r="AM116" s="31" t="n"/>
      <c r="AN116" s="430" t="n"/>
      <c r="AO116" s="285" t="n"/>
      <c r="AP116" s="31" t="n"/>
      <c r="AQ116" s="430" t="n"/>
      <c r="AR116" s="285" t="n"/>
      <c r="AS116" s="31" t="n"/>
      <c r="AT116" s="430" t="n"/>
      <c r="AU116" s="285" t="n"/>
      <c r="AV116" s="31" t="n"/>
      <c r="AW116" s="430" t="n"/>
      <c r="AX116" s="285" t="n"/>
      <c r="AY116" s="15" t="n"/>
      <c r="AZ116" s="15" t="n"/>
      <c r="BA116" s="291" t="n"/>
      <c r="BB116" s="291" t="n"/>
      <c r="BC116" s="291" t="n"/>
      <c r="BD116" s="291" t="n"/>
      <c r="BE116" s="291" t="n"/>
      <c r="BF116" s="291" t="n"/>
      <c r="BG116" s="291" t="n"/>
      <c r="BH116" s="291" t="n"/>
      <c r="BI116" s="291" t="n"/>
      <c r="BJ116" s="291" t="n"/>
      <c r="BK116" s="288" t="n"/>
      <c r="BL116" s="291" t="n"/>
      <c r="BM116" s="291" t="n"/>
      <c r="BN116" s="291" t="n"/>
      <c r="BO116" s="291" t="n"/>
      <c r="BP116" s="291" t="n"/>
      <c r="BQ116" s="291" t="n"/>
      <c r="BR116" s="291" t="n"/>
      <c r="BS116" s="291" t="n"/>
      <c r="BT116" s="291" t="n"/>
      <c r="BU116" s="291" t="n"/>
      <c r="BV116" s="291" t="n"/>
      <c r="BW116" s="291" t="n"/>
      <c r="BX116" s="291" t="n"/>
      <c r="BY116" s="291" t="n"/>
      <c r="BZ116" s="291" t="n"/>
      <c r="CA116" s="291" t="n"/>
      <c r="CB116" s="291" t="n"/>
      <c r="CC116" s="291" t="n"/>
      <c r="CD116" s="291" t="n"/>
      <c r="CE116" s="291" t="n"/>
      <c r="CF116" s="291" t="n"/>
      <c r="CG116" s="291" t="n"/>
      <c r="CH116" s="291" t="n"/>
      <c r="CI116" s="291" t="n"/>
      <c r="CJ116" s="291" t="n"/>
      <c r="CK116" s="291" t="n"/>
      <c r="CL116" s="291" t="n"/>
      <c r="CM116" s="291" t="n"/>
      <c r="CN116" s="291" t="n"/>
      <c r="CW116" s="291" t="n"/>
      <c r="CX116" s="291" t="n"/>
      <c r="CY116" s="291" t="n"/>
      <c r="CZ116" s="291" t="n"/>
      <c r="DA116" s="291" t="n"/>
      <c r="DB116" s="291" t="n"/>
      <c r="DC116" s="291" t="n"/>
      <c r="DD116" s="291" t="n"/>
      <c r="DE116" s="311" t="n"/>
      <c r="DF116" s="311" t="n"/>
    </row>
    <row r="117" customFormat="1" s="40">
      <c r="A117" s="326" t="n"/>
      <c r="B117" s="288" t="n"/>
      <c r="C117" s="15" t="n"/>
      <c r="D117" s="15" t="n"/>
      <c r="E117" s="285" t="n"/>
      <c r="F117" s="15" t="n"/>
      <c r="G117" s="15" t="n"/>
      <c r="H117" s="285" t="n"/>
      <c r="I117" s="15" t="n"/>
      <c r="J117" s="15" t="n"/>
      <c r="K117" s="285" t="n"/>
      <c r="L117" s="15" t="n"/>
      <c r="M117" s="15" t="n"/>
      <c r="N117" s="285" t="n"/>
      <c r="O117" s="15" t="n"/>
      <c r="P117" s="15" t="n"/>
      <c r="Q117" s="285" t="n"/>
      <c r="R117" s="15" t="n"/>
      <c r="S117" s="15" t="n"/>
      <c r="T117" s="285" t="n"/>
      <c r="U117" s="15" t="n"/>
      <c r="V117" s="15" t="n"/>
      <c r="W117" s="285" t="n"/>
      <c r="X117" s="15" t="n"/>
      <c r="Y117" s="15" t="n"/>
      <c r="Z117" s="285" t="n"/>
      <c r="AA117" s="15" t="n"/>
      <c r="AB117" s="15" t="n"/>
      <c r="AC117" s="285" t="n"/>
      <c r="AD117" s="15" t="n"/>
      <c r="AE117" s="15" t="n"/>
      <c r="AF117" s="285" t="n"/>
      <c r="AG117" s="15" t="n"/>
      <c r="AH117" s="15" t="n"/>
      <c r="AI117" s="285" t="n"/>
      <c r="AJ117" s="15" t="n"/>
      <c r="AK117" s="15" t="n"/>
      <c r="AL117" s="285" t="n"/>
      <c r="AM117" s="31" t="n"/>
      <c r="AN117" s="430" t="n"/>
      <c r="AO117" s="285" t="n"/>
      <c r="AP117" s="31" t="n"/>
      <c r="AQ117" s="430" t="n"/>
      <c r="AR117" s="285" t="n"/>
      <c r="AS117" s="31" t="n"/>
      <c r="AT117" s="430" t="n"/>
      <c r="AU117" s="285" t="n"/>
      <c r="AV117" s="31" t="n"/>
      <c r="AW117" s="430" t="n"/>
      <c r="AX117" s="285" t="n"/>
      <c r="AY117" s="15" t="n"/>
      <c r="AZ117" s="15" t="n"/>
      <c r="BA117" s="291" t="n"/>
      <c r="BB117" s="291" t="n"/>
      <c r="BC117" s="291" t="n"/>
      <c r="BD117" s="291" t="n"/>
      <c r="BE117" s="291" t="n"/>
      <c r="BF117" s="291" t="n"/>
      <c r="BG117" s="291" t="n"/>
      <c r="BH117" s="291" t="n"/>
      <c r="BI117" s="291" t="n"/>
      <c r="BJ117" s="291" t="n"/>
      <c r="BK117" s="288" t="n"/>
      <c r="BL117" s="291" t="n"/>
      <c r="BM117" s="291" t="n"/>
      <c r="BN117" s="291" t="n"/>
      <c r="BO117" s="291" t="n"/>
      <c r="BP117" s="291" t="n"/>
      <c r="BQ117" s="291" t="n"/>
      <c r="BR117" s="291" t="n"/>
      <c r="BS117" s="291" t="n"/>
      <c r="BT117" s="291" t="n"/>
      <c r="BU117" s="291" t="n"/>
      <c r="BV117" s="291" t="n"/>
      <c r="BW117" s="291" t="n"/>
      <c r="BX117" s="291" t="n"/>
      <c r="BY117" s="291" t="n"/>
      <c r="BZ117" s="291" t="n"/>
      <c r="CA117" s="291" t="n"/>
      <c r="CB117" s="291" t="n"/>
      <c r="CC117" s="291" t="n"/>
      <c r="CD117" s="291" t="n"/>
      <c r="CE117" s="291" t="n"/>
      <c r="CF117" s="291" t="n"/>
      <c r="CG117" s="291" t="n"/>
      <c r="CH117" s="291" t="n"/>
      <c r="CI117" s="291" t="n"/>
      <c r="CJ117" s="291" t="n"/>
      <c r="CK117" s="291" t="n"/>
      <c r="CL117" s="291" t="n"/>
      <c r="CM117" s="291" t="n"/>
      <c r="CN117" s="291" t="n"/>
      <c r="CW117" s="291" t="n"/>
      <c r="CX117" s="291" t="n"/>
      <c r="CY117" s="291" t="n"/>
      <c r="CZ117" s="291" t="n"/>
      <c r="DA117" s="291" t="n"/>
      <c r="DB117" s="291" t="n"/>
      <c r="DC117" s="291" t="n"/>
      <c r="DD117" s="291" t="n"/>
      <c r="DE117" s="311" t="n"/>
      <c r="DF117" s="311" t="n"/>
    </row>
    <row r="118" customFormat="1" s="40">
      <c r="A118" s="326" t="n"/>
      <c r="B118" s="288" t="n"/>
      <c r="C118" s="15" t="n"/>
      <c r="D118" s="15" t="n"/>
      <c r="E118" s="285" t="n"/>
      <c r="F118" s="15" t="n"/>
      <c r="G118" s="15" t="n"/>
      <c r="H118" s="285" t="n"/>
      <c r="I118" s="15" t="n"/>
      <c r="J118" s="15" t="n"/>
      <c r="K118" s="285" t="n"/>
      <c r="L118" s="15" t="n"/>
      <c r="M118" s="15" t="n"/>
      <c r="N118" s="285" t="n"/>
      <c r="O118" s="15" t="n"/>
      <c r="P118" s="15" t="n"/>
      <c r="Q118" s="285" t="n"/>
      <c r="R118" s="15" t="n"/>
      <c r="S118" s="15" t="n"/>
      <c r="T118" s="285" t="n"/>
      <c r="U118" s="15" t="n"/>
      <c r="V118" s="15" t="n"/>
      <c r="W118" s="285" t="n"/>
      <c r="X118" s="15" t="n"/>
      <c r="Y118" s="15" t="n"/>
      <c r="Z118" s="285" t="n"/>
      <c r="AA118" s="15" t="n"/>
      <c r="AB118" s="15" t="n"/>
      <c r="AC118" s="285" t="n"/>
      <c r="AD118" s="15" t="n"/>
      <c r="AE118" s="15" t="n"/>
      <c r="AF118" s="285" t="n"/>
      <c r="AG118" s="15" t="n"/>
      <c r="AH118" s="15" t="n"/>
      <c r="AI118" s="285" t="n"/>
      <c r="AJ118" s="15" t="n"/>
      <c r="AK118" s="15" t="n"/>
      <c r="AL118" s="285" t="n"/>
      <c r="AM118" s="31" t="n"/>
      <c r="AN118" s="430" t="n"/>
      <c r="AO118" s="285" t="n"/>
      <c r="AP118" s="31" t="n"/>
      <c r="AQ118" s="430" t="n"/>
      <c r="AR118" s="285" t="n"/>
      <c r="AS118" s="31" t="n"/>
      <c r="AT118" s="430" t="n"/>
      <c r="AU118" s="285" t="n"/>
      <c r="AV118" s="31" t="n"/>
      <c r="AW118" s="430" t="n"/>
      <c r="AX118" s="285" t="n"/>
      <c r="AY118" s="15" t="n"/>
      <c r="AZ118" s="15" t="n"/>
      <c r="BA118" s="291" t="n"/>
      <c r="BB118" s="291" t="n"/>
      <c r="BC118" s="291" t="n"/>
      <c r="BD118" s="291" t="n"/>
      <c r="BE118" s="291" t="n"/>
      <c r="BF118" s="291" t="n"/>
      <c r="BG118" s="291" t="n"/>
      <c r="BH118" s="291" t="n"/>
      <c r="BI118" s="291" t="n"/>
      <c r="BJ118" s="291" t="n"/>
      <c r="BK118" s="288" t="n"/>
      <c r="BL118" s="291" t="n"/>
      <c r="BM118" s="291" t="n"/>
      <c r="BN118" s="291" t="n"/>
      <c r="BO118" s="291" t="n"/>
      <c r="BP118" s="291" t="n"/>
      <c r="BQ118" s="291" t="n"/>
      <c r="BR118" s="291" t="n"/>
      <c r="BS118" s="291" t="n"/>
      <c r="BT118" s="291" t="n"/>
      <c r="BU118" s="291" t="n"/>
      <c r="BV118" s="291" t="n"/>
      <c r="BW118" s="291" t="n"/>
      <c r="BX118" s="291" t="n"/>
      <c r="BY118" s="291" t="n"/>
      <c r="BZ118" s="291" t="n"/>
      <c r="CA118" s="291" t="n"/>
      <c r="CB118" s="291" t="n"/>
      <c r="CC118" s="291" t="n"/>
      <c r="CD118" s="291" t="n"/>
      <c r="CE118" s="291" t="n"/>
      <c r="CF118" s="291" t="n"/>
      <c r="CG118" s="291" t="n"/>
      <c r="CH118" s="291" t="n"/>
      <c r="CI118" s="291" t="n"/>
      <c r="CJ118" s="291" t="n"/>
      <c r="CK118" s="291" t="n"/>
      <c r="CL118" s="291" t="n"/>
      <c r="CM118" s="291" t="n"/>
      <c r="CN118" s="291" t="n"/>
      <c r="CW118" s="291" t="n"/>
      <c r="CX118" s="291" t="n"/>
      <c r="CY118" s="291" t="n"/>
      <c r="CZ118" s="291" t="n"/>
      <c r="DA118" s="291" t="n"/>
      <c r="DB118" s="291" t="n"/>
      <c r="DC118" s="291" t="n"/>
      <c r="DD118" s="291" t="n"/>
      <c r="DE118" s="311" t="n"/>
      <c r="DF118" s="311" t="n"/>
    </row>
    <row r="119" customFormat="1" s="40">
      <c r="A119" s="326" t="n"/>
      <c r="B119" s="288" t="n"/>
      <c r="C119" s="15" t="n"/>
      <c r="D119" s="15" t="n"/>
      <c r="E119" s="285" t="n"/>
      <c r="F119" s="15" t="n"/>
      <c r="G119" s="15" t="n"/>
      <c r="H119" s="285" t="n"/>
      <c r="I119" s="15" t="n"/>
      <c r="J119" s="15" t="n"/>
      <c r="K119" s="285" t="n"/>
      <c r="L119" s="15" t="n"/>
      <c r="M119" s="15" t="n"/>
      <c r="N119" s="285" t="n"/>
      <c r="O119" s="15" t="n"/>
      <c r="P119" s="15" t="n"/>
      <c r="Q119" s="285" t="n"/>
      <c r="R119" s="15" t="n"/>
      <c r="S119" s="15" t="n"/>
      <c r="T119" s="285" t="n"/>
      <c r="U119" s="15" t="n"/>
      <c r="V119" s="15" t="n"/>
      <c r="W119" s="285" t="n"/>
      <c r="X119" s="15" t="n"/>
      <c r="Y119" s="15" t="n"/>
      <c r="Z119" s="285" t="n"/>
      <c r="AA119" s="15" t="n"/>
      <c r="AB119" s="15" t="n"/>
      <c r="AC119" s="285" t="n"/>
      <c r="AD119" s="15" t="n"/>
      <c r="AE119" s="15" t="n"/>
      <c r="AF119" s="285" t="n"/>
      <c r="AG119" s="15" t="n"/>
      <c r="AH119" s="15" t="n"/>
      <c r="AI119" s="285" t="n"/>
      <c r="AJ119" s="15" t="n"/>
      <c r="AK119" s="15" t="n"/>
      <c r="AL119" s="285" t="n"/>
      <c r="AM119" s="31" t="n"/>
      <c r="AN119" s="430" t="n"/>
      <c r="AO119" s="285" t="n"/>
      <c r="AP119" s="31" t="n"/>
      <c r="AQ119" s="430" t="n"/>
      <c r="AR119" s="285" t="n"/>
      <c r="AS119" s="31" t="n"/>
      <c r="AT119" s="430" t="n"/>
      <c r="AU119" s="285" t="n"/>
      <c r="AV119" s="31" t="n"/>
      <c r="AW119" s="430" t="n"/>
      <c r="AX119" s="285" t="n"/>
      <c r="AY119" s="15" t="n"/>
      <c r="AZ119" s="15" t="n"/>
      <c r="BA119" s="291" t="n"/>
      <c r="BB119" s="291" t="n"/>
      <c r="BC119" s="291" t="n"/>
      <c r="BD119" s="291" t="n"/>
      <c r="BE119" s="291" t="n"/>
      <c r="BF119" s="291" t="n"/>
      <c r="BG119" s="291" t="n"/>
      <c r="BH119" s="291" t="n"/>
      <c r="BI119" s="291" t="n"/>
      <c r="BJ119" s="291" t="n"/>
      <c r="BK119" s="288" t="n"/>
      <c r="BL119" s="291" t="n"/>
      <c r="BM119" s="291" t="n"/>
      <c r="BN119" s="291" t="n"/>
      <c r="BO119" s="291" t="n"/>
      <c r="BP119" s="291" t="n"/>
      <c r="BQ119" s="291" t="n"/>
      <c r="BR119" s="291" t="n"/>
      <c r="BS119" s="291" t="n"/>
      <c r="BT119" s="291" t="n"/>
      <c r="BU119" s="291" t="n"/>
      <c r="BV119" s="291" t="n"/>
      <c r="BW119" s="291" t="n"/>
      <c r="BX119" s="291" t="n"/>
      <c r="BY119" s="291" t="n"/>
      <c r="BZ119" s="291" t="n"/>
      <c r="CA119" s="291" t="n"/>
      <c r="CB119" s="291" t="n"/>
      <c r="CC119" s="291" t="n"/>
      <c r="CD119" s="291" t="n"/>
      <c r="CE119" s="291" t="n"/>
      <c r="CF119" s="291" t="n"/>
      <c r="CG119" s="291" t="n"/>
      <c r="CH119" s="291" t="n"/>
      <c r="CI119" s="291" t="n"/>
      <c r="CJ119" s="291" t="n"/>
      <c r="CK119" s="291" t="n"/>
      <c r="CL119" s="291" t="n"/>
      <c r="CM119" s="291" t="n"/>
      <c r="CN119" s="291" t="n"/>
      <c r="CW119" s="291" t="n"/>
      <c r="CX119" s="291" t="n"/>
      <c r="CY119" s="291" t="n"/>
      <c r="CZ119" s="291" t="n"/>
      <c r="DA119" s="291" t="n"/>
      <c r="DB119" s="291" t="n"/>
      <c r="DC119" s="291" t="n"/>
      <c r="DD119" s="291" t="n"/>
      <c r="DE119" s="311" t="n"/>
      <c r="DF119" s="311" t="n"/>
    </row>
    <row r="120" customFormat="1" s="40">
      <c r="A120" s="326" t="n"/>
      <c r="B120" s="288" t="n"/>
      <c r="C120" s="15" t="n"/>
      <c r="D120" s="15" t="n"/>
      <c r="E120" s="285" t="n"/>
      <c r="F120" s="15" t="n"/>
      <c r="G120" s="15" t="n"/>
      <c r="H120" s="285" t="n"/>
      <c r="I120" s="15" t="n"/>
      <c r="J120" s="15" t="n"/>
      <c r="K120" s="285" t="n"/>
      <c r="L120" s="15" t="n"/>
      <c r="M120" s="15" t="n"/>
      <c r="N120" s="285" t="n"/>
      <c r="O120" s="15" t="n"/>
      <c r="P120" s="15" t="n"/>
      <c r="Q120" s="285" t="n"/>
      <c r="R120" s="15" t="n"/>
      <c r="S120" s="15" t="n"/>
      <c r="T120" s="285" t="n"/>
      <c r="U120" s="15" t="n"/>
      <c r="V120" s="15" t="n"/>
      <c r="W120" s="285" t="n"/>
      <c r="X120" s="15" t="n"/>
      <c r="Y120" s="15" t="n"/>
      <c r="Z120" s="285" t="n"/>
      <c r="AA120" s="15" t="n"/>
      <c r="AB120" s="15" t="n"/>
      <c r="AC120" s="285" t="n"/>
      <c r="AD120" s="15" t="n"/>
      <c r="AE120" s="15" t="n"/>
      <c r="AF120" s="285" t="n"/>
      <c r="AG120" s="15" t="n"/>
      <c r="AH120" s="15" t="n"/>
      <c r="AI120" s="285" t="n"/>
      <c r="AJ120" s="15" t="n"/>
      <c r="AK120" s="15" t="n"/>
      <c r="AL120" s="285" t="n"/>
      <c r="AM120" s="31" t="n"/>
      <c r="AN120" s="430" t="n"/>
      <c r="AO120" s="285" t="n"/>
      <c r="AP120" s="31" t="n"/>
      <c r="AQ120" s="430" t="n"/>
      <c r="AR120" s="285" t="n"/>
      <c r="AS120" s="31" t="n"/>
      <c r="AT120" s="430" t="n"/>
      <c r="AU120" s="285" t="n"/>
      <c r="AV120" s="31" t="n"/>
      <c r="AW120" s="430" t="n"/>
      <c r="AX120" s="285" t="n"/>
      <c r="AY120" s="15" t="n"/>
      <c r="AZ120" s="15" t="n"/>
      <c r="BA120" s="291" t="n"/>
      <c r="BB120" s="291" t="n"/>
      <c r="BC120" s="291" t="n"/>
      <c r="BD120" s="291" t="n"/>
      <c r="BE120" s="291" t="n"/>
      <c r="BF120" s="291" t="n"/>
      <c r="BG120" s="291" t="n"/>
      <c r="BH120" s="291" t="n"/>
      <c r="BI120" s="291" t="n"/>
      <c r="BJ120" s="291" t="n"/>
      <c r="BK120" s="288" t="n"/>
      <c r="BL120" s="291" t="n"/>
      <c r="BM120" s="291" t="n"/>
      <c r="BN120" s="291" t="n"/>
      <c r="BO120" s="291" t="n"/>
      <c r="BP120" s="291" t="n"/>
      <c r="BQ120" s="291" t="n"/>
      <c r="BR120" s="291" t="n"/>
      <c r="BS120" s="291" t="n"/>
      <c r="BT120" s="291" t="n"/>
      <c r="BU120" s="291" t="n"/>
      <c r="BV120" s="291" t="n"/>
      <c r="BW120" s="291" t="n"/>
      <c r="BX120" s="291" t="n"/>
      <c r="BY120" s="291" t="n"/>
      <c r="BZ120" s="291" t="n"/>
      <c r="CA120" s="291" t="n"/>
      <c r="CB120" s="291" t="n"/>
      <c r="CC120" s="291" t="n"/>
      <c r="CD120" s="291" t="n"/>
      <c r="CE120" s="291" t="n"/>
      <c r="CF120" s="291" t="n"/>
      <c r="CG120" s="291" t="n"/>
      <c r="CH120" s="291" t="n"/>
      <c r="CI120" s="291" t="n"/>
      <c r="CJ120" s="291" t="n"/>
      <c r="CK120" s="291" t="n"/>
      <c r="CL120" s="291" t="n"/>
      <c r="CM120" s="291" t="n"/>
      <c r="CN120" s="291" t="n"/>
      <c r="CW120" s="291" t="n"/>
      <c r="CX120" s="291" t="n"/>
      <c r="CY120" s="291" t="n"/>
      <c r="CZ120" s="291" t="n"/>
      <c r="DA120" s="291" t="n"/>
      <c r="DB120" s="291" t="n"/>
      <c r="DC120" s="291" t="n"/>
      <c r="DD120" s="291" t="n"/>
      <c r="DE120" s="311" t="n"/>
      <c r="DF120" s="311" t="n"/>
    </row>
    <row r="121" customFormat="1" s="40">
      <c r="A121" s="326" t="n"/>
      <c r="B121" s="288" t="n"/>
      <c r="C121" s="15" t="n"/>
      <c r="D121" s="15" t="n"/>
      <c r="E121" s="28" t="n"/>
      <c r="F121" s="15" t="n"/>
      <c r="G121" s="15" t="n"/>
      <c r="H121" s="28" t="n"/>
      <c r="I121" s="15" t="n"/>
      <c r="J121" s="15" t="n"/>
      <c r="K121" s="28" t="n"/>
      <c r="L121" s="15" t="n"/>
      <c r="M121" s="15" t="n"/>
      <c r="N121" s="28" t="n"/>
      <c r="O121" s="15" t="n"/>
      <c r="P121" s="15" t="n"/>
      <c r="Q121" s="28" t="n"/>
      <c r="R121" s="15" t="n"/>
      <c r="S121" s="15" t="n"/>
      <c r="T121" s="28" t="n"/>
      <c r="U121" s="15" t="n"/>
      <c r="V121" s="15" t="n"/>
      <c r="W121" s="28" t="n"/>
      <c r="X121" s="15" t="n"/>
      <c r="Y121" s="15" t="n"/>
      <c r="Z121" s="28" t="n"/>
      <c r="AA121" s="15" t="n"/>
      <c r="AB121" s="15" t="n"/>
      <c r="AC121" s="28" t="n"/>
      <c r="AD121" s="15" t="n"/>
      <c r="AE121" s="15" t="n"/>
      <c r="AF121" s="28" t="n"/>
      <c r="AG121" s="15" t="n"/>
      <c r="AH121" s="15" t="n"/>
      <c r="AI121" s="28" t="n"/>
      <c r="AJ121" s="15" t="n"/>
      <c r="AK121" s="15" t="n"/>
      <c r="AL121" s="28" t="n"/>
      <c r="AM121" s="31" t="n"/>
      <c r="AN121" s="430" t="n"/>
      <c r="AO121" s="28" t="n"/>
      <c r="AP121" s="31" t="n"/>
      <c r="AQ121" s="430" t="n"/>
      <c r="AR121" s="28" t="n"/>
      <c r="AS121" s="31" t="n"/>
      <c r="AT121" s="430" t="n"/>
      <c r="AU121" s="28" t="n"/>
      <c r="AV121" s="31" t="n"/>
      <c r="AW121" s="430" t="n"/>
      <c r="AX121" s="28" t="n"/>
      <c r="AY121" s="15" t="n"/>
      <c r="AZ121" s="15" t="n"/>
      <c r="BA121" s="291" t="n"/>
      <c r="BB121" s="291" t="n"/>
      <c r="BC121" s="291" t="n"/>
      <c r="BD121" s="291" t="n"/>
      <c r="BE121" s="291" t="n"/>
      <c r="BF121" s="291" t="n"/>
      <c r="BG121" s="291" t="n"/>
      <c r="BH121" s="291" t="n"/>
      <c r="BI121" s="291" t="n"/>
      <c r="BJ121" s="291" t="n"/>
      <c r="BK121" s="288" t="n"/>
      <c r="BL121" s="291" t="n"/>
      <c r="BM121" s="291" t="n"/>
      <c r="BN121" s="291" t="n"/>
      <c r="BO121" s="291" t="n"/>
      <c r="BP121" s="291" t="n"/>
      <c r="BQ121" s="291" t="n"/>
      <c r="BR121" s="291" t="n"/>
      <c r="BS121" s="291" t="n"/>
      <c r="BT121" s="291" t="n"/>
      <c r="BU121" s="291" t="n"/>
      <c r="BV121" s="291" t="n"/>
      <c r="BW121" s="291" t="n"/>
      <c r="BX121" s="291" t="n"/>
      <c r="BY121" s="291" t="n"/>
      <c r="BZ121" s="291" t="n"/>
      <c r="CA121" s="291" t="n"/>
      <c r="CB121" s="291" t="n"/>
      <c r="CC121" s="291" t="n"/>
      <c r="CD121" s="291" t="n"/>
      <c r="CE121" s="291" t="n"/>
      <c r="CF121" s="291" t="n"/>
      <c r="CG121" s="291" t="n"/>
      <c r="CH121" s="291" t="n"/>
      <c r="CI121" s="291" t="n"/>
      <c r="CJ121" s="291" t="n"/>
      <c r="CK121" s="291" t="n"/>
      <c r="CL121" s="291" t="n"/>
      <c r="CM121" s="291" t="n"/>
      <c r="CN121" s="291" t="n"/>
      <c r="CW121" s="291" t="n"/>
      <c r="CX121" s="291" t="n"/>
      <c r="CY121" s="291" t="n"/>
      <c r="CZ121" s="291" t="n"/>
      <c r="DA121" s="291" t="n"/>
      <c r="DB121" s="291" t="n"/>
      <c r="DC121" s="291" t="n"/>
      <c r="DD121" s="291" t="n"/>
      <c r="DE121" s="311" t="n"/>
      <c r="DF121" s="311" t="n"/>
    </row>
    <row r="122" customFormat="1" s="40">
      <c r="A122" s="326" t="n"/>
      <c r="B122" s="288" t="n"/>
      <c r="C122" s="15" t="n"/>
      <c r="D122" s="15" t="n"/>
      <c r="E122" s="285" t="n"/>
      <c r="F122" s="15" t="n"/>
      <c r="G122" s="15" t="n"/>
      <c r="H122" s="285" t="n"/>
      <c r="I122" s="15" t="n"/>
      <c r="J122" s="15" t="n"/>
      <c r="K122" s="285" t="n"/>
      <c r="L122" s="15" t="n"/>
      <c r="M122" s="15" t="n"/>
      <c r="N122" s="285" t="n"/>
      <c r="O122" s="15" t="n"/>
      <c r="P122" s="15" t="n"/>
      <c r="Q122" s="285" t="n"/>
      <c r="R122" s="15" t="n"/>
      <c r="S122" s="15" t="n"/>
      <c r="T122" s="285" t="n"/>
      <c r="U122" s="15" t="n"/>
      <c r="V122" s="15" t="n"/>
      <c r="W122" s="285" t="n"/>
      <c r="X122" s="15" t="n"/>
      <c r="Y122" s="15" t="n"/>
      <c r="Z122" s="285" t="n"/>
      <c r="AA122" s="15" t="n"/>
      <c r="AB122" s="15" t="n"/>
      <c r="AC122" s="285" t="n"/>
      <c r="AD122" s="15" t="n"/>
      <c r="AE122" s="15" t="n"/>
      <c r="AF122" s="285" t="n"/>
      <c r="AG122" s="15" t="n"/>
      <c r="AH122" s="15" t="n"/>
      <c r="AI122" s="285" t="n"/>
      <c r="AJ122" s="15" t="n"/>
      <c r="AK122" s="15" t="n"/>
      <c r="AL122" s="285" t="n"/>
      <c r="AM122" s="31" t="n"/>
      <c r="AN122" s="430" t="n"/>
      <c r="AO122" s="285" t="n"/>
      <c r="AP122" s="31" t="n"/>
      <c r="AQ122" s="430" t="n"/>
      <c r="AR122" s="285" t="n"/>
      <c r="AS122" s="31" t="n"/>
      <c r="AT122" s="430" t="n"/>
      <c r="AU122" s="285" t="n"/>
      <c r="AV122" s="31" t="n"/>
      <c r="AW122" s="430" t="n"/>
      <c r="AX122" s="285" t="n"/>
      <c r="AY122" s="15" t="n"/>
      <c r="AZ122" s="15" t="n"/>
      <c r="BA122" s="291" t="n"/>
      <c r="BB122" s="291" t="n"/>
      <c r="BC122" s="291" t="n"/>
      <c r="BD122" s="291" t="n"/>
      <c r="BE122" s="291" t="n"/>
      <c r="BF122" s="291" t="n"/>
      <c r="BG122" s="291" t="n"/>
      <c r="BH122" s="291" t="n"/>
      <c r="BI122" s="291" t="n"/>
      <c r="BJ122" s="291" t="n"/>
      <c r="BK122" s="288" t="n"/>
      <c r="BL122" s="291" t="n"/>
      <c r="BM122" s="291" t="n"/>
      <c r="BN122" s="291" t="n"/>
      <c r="BO122" s="291" t="n"/>
      <c r="BP122" s="291" t="n"/>
      <c r="BQ122" s="291" t="n"/>
      <c r="BR122" s="291" t="n"/>
      <c r="BS122" s="291" t="n"/>
      <c r="BT122" s="291" t="n"/>
      <c r="BU122" s="291" t="n"/>
      <c r="BV122" s="291" t="n"/>
      <c r="BW122" s="291" t="n"/>
      <c r="BX122" s="291" t="n"/>
      <c r="BY122" s="291" t="n"/>
      <c r="BZ122" s="291" t="n"/>
      <c r="CA122" s="291" t="n"/>
      <c r="CB122" s="291" t="n"/>
      <c r="CC122" s="291" t="n"/>
      <c r="CD122" s="291" t="n"/>
      <c r="CE122" s="291" t="n"/>
      <c r="CF122" s="291" t="n"/>
      <c r="CG122" s="291" t="n"/>
      <c r="CH122" s="291" t="n"/>
      <c r="CI122" s="291" t="n"/>
      <c r="CJ122" s="291" t="n"/>
      <c r="CK122" s="291" t="n"/>
      <c r="CL122" s="291" t="n"/>
      <c r="CM122" s="291" t="n"/>
      <c r="CN122" s="291" t="n"/>
      <c r="CW122" s="291" t="n"/>
      <c r="CX122" s="291" t="n"/>
      <c r="CY122" s="291" t="n"/>
      <c r="CZ122" s="291" t="n"/>
      <c r="DA122" s="291" t="n"/>
      <c r="DB122" s="291" t="n"/>
      <c r="DC122" s="291" t="n"/>
      <c r="DD122" s="291" t="n"/>
      <c r="DE122" s="311" t="n"/>
      <c r="DF122" s="311" t="n"/>
    </row>
    <row r="123" customFormat="1" s="116">
      <c r="A123" s="326" t="n"/>
      <c r="B123" s="288" t="n"/>
      <c r="C123" s="111" t="n"/>
      <c r="D123" s="15" t="n"/>
      <c r="E123" s="315" t="n"/>
      <c r="F123" s="111" t="n"/>
      <c r="G123" s="15" t="n"/>
      <c r="H123" s="315" t="n"/>
      <c r="I123" s="111" t="n"/>
      <c r="J123" s="15" t="n"/>
      <c r="K123" s="315" t="n"/>
      <c r="L123" s="111" t="n"/>
      <c r="M123" s="15" t="n"/>
      <c r="N123" s="315" t="n"/>
      <c r="O123" s="111" t="n"/>
      <c r="P123" s="15" t="n"/>
      <c r="Q123" s="315" t="n"/>
      <c r="R123" s="111" t="n"/>
      <c r="S123" s="15" t="n"/>
      <c r="T123" s="315" t="n"/>
      <c r="U123" s="111" t="n"/>
      <c r="V123" s="15" t="n"/>
      <c r="W123" s="315" t="n"/>
      <c r="X123" s="111" t="n"/>
      <c r="Y123" s="15" t="n"/>
      <c r="Z123" s="315" t="n"/>
      <c r="AA123" s="111" t="n"/>
      <c r="AB123" s="15" t="n"/>
      <c r="AC123" s="315" t="n"/>
      <c r="AD123" s="111" t="n"/>
      <c r="AE123" s="15" t="n"/>
      <c r="AF123" s="315" t="n"/>
      <c r="AG123" s="111" t="n"/>
      <c r="AH123" s="15" t="n"/>
      <c r="AI123" s="315" t="n"/>
      <c r="AJ123" s="111" t="n"/>
      <c r="AK123" s="15" t="n"/>
      <c r="AL123" s="315" t="n"/>
      <c r="AM123" s="31" t="n"/>
      <c r="AN123" s="430" t="n"/>
      <c r="AO123" s="315" t="n"/>
      <c r="AP123" s="31" t="n"/>
      <c r="AQ123" s="430" t="n"/>
      <c r="AR123" s="315" t="n"/>
      <c r="AS123" s="31" t="n"/>
      <c r="AT123" s="430" t="n"/>
      <c r="AU123" s="315" t="n"/>
      <c r="AV123" s="31" t="n"/>
      <c r="AW123" s="430" t="n"/>
      <c r="AX123" s="315" t="n"/>
      <c r="AY123" s="15" t="n"/>
      <c r="AZ123" s="15" t="n"/>
      <c r="BA123" s="317" t="n"/>
      <c r="BB123" s="317" t="n"/>
      <c r="BC123" s="317" t="n"/>
      <c r="BD123" s="317" t="n"/>
      <c r="BE123" s="317" t="n"/>
      <c r="BF123" s="317" t="n"/>
      <c r="BG123" s="317" t="n"/>
      <c r="BH123" s="317" t="n"/>
      <c r="BI123" s="317" t="n"/>
      <c r="BJ123" s="317" t="n"/>
      <c r="BK123" s="318" t="n"/>
      <c r="BL123" s="317" t="n"/>
      <c r="BM123" s="317" t="n"/>
      <c r="BN123" s="317" t="n"/>
      <c r="BO123" s="317" t="n"/>
      <c r="BP123" s="317" t="n"/>
      <c r="BQ123" s="317" t="n"/>
      <c r="BR123" s="317" t="n"/>
      <c r="BS123" s="317" t="n"/>
      <c r="BT123" s="317" t="n"/>
      <c r="BU123" s="317" t="n"/>
      <c r="BV123" s="317" t="n"/>
      <c r="BW123" s="317" t="n"/>
      <c r="BX123" s="317" t="n"/>
      <c r="BY123" s="317" t="n"/>
      <c r="BZ123" s="317" t="n"/>
      <c r="CA123" s="317" t="n"/>
      <c r="CB123" s="317" t="n"/>
      <c r="CC123" s="317" t="n"/>
      <c r="CD123" s="317" t="n"/>
      <c r="CE123" s="317" t="n"/>
      <c r="CF123" s="317" t="n"/>
      <c r="CG123" s="317" t="n"/>
      <c r="CH123" s="317" t="n"/>
      <c r="CI123" s="317" t="n"/>
      <c r="CJ123" s="317" t="n"/>
      <c r="CK123" s="317" t="n"/>
      <c r="CL123" s="317" t="n"/>
      <c r="CM123" s="317" t="n"/>
      <c r="CN123" s="317" t="n"/>
      <c r="CW123" s="317" t="n"/>
      <c r="CX123" s="317" t="n"/>
      <c r="CY123" s="317" t="n"/>
      <c r="CZ123" s="317" t="n"/>
      <c r="DA123" s="317" t="n"/>
      <c r="DB123" s="317" t="n"/>
      <c r="DC123" s="317" t="n"/>
      <c r="DD123" s="317" t="n"/>
      <c r="DE123" s="319" t="n"/>
      <c r="DF123" s="319" t="n"/>
    </row>
    <row r="124" customFormat="1" s="40">
      <c r="A124" s="330" t="n"/>
      <c r="B124" s="288" t="n"/>
      <c r="C124" s="15" t="n"/>
      <c r="D124" s="15" t="n"/>
      <c r="E124" s="320" t="n"/>
      <c r="F124" s="15" t="n"/>
      <c r="G124" s="15" t="n"/>
      <c r="H124" s="320" t="n"/>
      <c r="I124" s="15" t="n"/>
      <c r="J124" s="15" t="n"/>
      <c r="K124" s="320" t="n"/>
      <c r="L124" s="15" t="n"/>
      <c r="M124" s="15" t="n"/>
      <c r="N124" s="320" t="n"/>
      <c r="O124" s="15" t="n"/>
      <c r="P124" s="15" t="n"/>
      <c r="Q124" s="320" t="n"/>
      <c r="R124" s="15" t="n"/>
      <c r="S124" s="15" t="n"/>
      <c r="T124" s="320" t="n"/>
      <c r="U124" s="15" t="n"/>
      <c r="V124" s="15" t="n"/>
      <c r="W124" s="320" t="n"/>
      <c r="X124" s="15" t="n"/>
      <c r="Y124" s="15" t="n"/>
      <c r="Z124" s="320" t="n"/>
      <c r="AA124" s="15" t="n"/>
      <c r="AB124" s="15" t="n"/>
      <c r="AC124" s="320" t="n"/>
      <c r="AD124" s="15" t="n"/>
      <c r="AE124" s="15" t="n"/>
      <c r="AF124" s="320" t="n"/>
      <c r="AG124" s="15" t="n"/>
      <c r="AH124" s="15" t="n"/>
      <c r="AI124" s="320" t="n"/>
      <c r="AJ124" s="15" t="n"/>
      <c r="AK124" s="15" t="n"/>
      <c r="AL124" s="320" t="n"/>
      <c r="AM124" s="31" t="n"/>
      <c r="AN124" s="31" t="n"/>
      <c r="AO124" s="320" t="n"/>
      <c r="AP124" s="31" t="n"/>
      <c r="AQ124" s="31" t="n"/>
      <c r="AR124" s="320" t="n"/>
      <c r="AS124" s="31" t="n"/>
      <c r="AT124" s="31" t="n"/>
      <c r="AU124" s="320" t="n"/>
      <c r="AV124" s="31" t="n"/>
      <c r="AW124" s="31" t="n"/>
      <c r="AX124" s="320" t="n"/>
      <c r="AY124" s="15" t="n"/>
      <c r="AZ124" s="15" t="n"/>
      <c r="BA124" s="291" t="n"/>
      <c r="BB124" s="291" t="n"/>
      <c r="BC124" s="291" t="n"/>
      <c r="BD124" s="291" t="n"/>
      <c r="BE124" s="291" t="n"/>
      <c r="BF124" s="291" t="n"/>
      <c r="BG124" s="291" t="n"/>
      <c r="BH124" s="291" t="n"/>
      <c r="BI124" s="291" t="n"/>
      <c r="BJ124" s="291" t="n"/>
      <c r="BK124" s="288" t="n"/>
      <c r="BL124" s="291" t="n"/>
      <c r="BM124" s="291" t="n"/>
      <c r="BN124" s="291" t="n"/>
      <c r="BO124" s="291" t="n"/>
      <c r="BP124" s="291" t="n"/>
      <c r="BQ124" s="291" t="n"/>
      <c r="BR124" s="291" t="n"/>
      <c r="BS124" s="291" t="n"/>
      <c r="BT124" s="291" t="n"/>
      <c r="BU124" s="291" t="n"/>
      <c r="BV124" s="291" t="n"/>
      <c r="BW124" s="291" t="n"/>
      <c r="BX124" s="291" t="n"/>
      <c r="BY124" s="291" t="n"/>
      <c r="BZ124" s="291" t="n"/>
      <c r="CA124" s="291" t="n"/>
      <c r="CB124" s="291" t="n"/>
      <c r="CC124" s="291" t="n"/>
      <c r="CD124" s="291" t="n"/>
      <c r="CE124" s="291" t="n"/>
      <c r="CF124" s="291" t="n"/>
      <c r="CG124" s="291" t="n"/>
      <c r="CH124" s="291" t="n"/>
      <c r="CI124" s="291" t="n"/>
      <c r="CJ124" s="291" t="n"/>
      <c r="CK124" s="291" t="n"/>
      <c r="CL124" s="291" t="n"/>
      <c r="CM124" s="291" t="n"/>
      <c r="CN124" s="291" t="n"/>
      <c r="CW124" s="291" t="n"/>
      <c r="CX124" s="291" t="n"/>
      <c r="CY124" s="291" t="n"/>
      <c r="CZ124" s="291" t="n"/>
      <c r="DA124" s="291" t="n"/>
      <c r="DB124" s="291" t="n"/>
      <c r="DC124" s="291" t="n"/>
      <c r="DD124" s="291" t="n"/>
      <c r="DE124" s="311" t="n"/>
      <c r="DF124" s="311" t="n"/>
    </row>
    <row r="125" customFormat="1" s="40">
      <c r="A125" s="326" t="n"/>
      <c r="B125" s="288" t="n"/>
      <c r="C125" s="15" t="n"/>
      <c r="D125" s="15" t="n"/>
      <c r="E125" s="28" t="n"/>
      <c r="F125" s="15" t="n"/>
      <c r="G125" s="15" t="n"/>
      <c r="H125" s="28" t="n"/>
      <c r="I125" s="15" t="n"/>
      <c r="J125" s="15" t="n"/>
      <c r="K125" s="28" t="n"/>
      <c r="L125" s="15" t="n"/>
      <c r="M125" s="15" t="n"/>
      <c r="N125" s="28" t="n"/>
      <c r="O125" s="15" t="n"/>
      <c r="P125" s="15" t="n"/>
      <c r="Q125" s="28" t="n"/>
      <c r="R125" s="15" t="n"/>
      <c r="S125" s="15" t="n"/>
      <c r="T125" s="28" t="n"/>
      <c r="U125" s="15" t="n"/>
      <c r="V125" s="15" t="n"/>
      <c r="W125" s="28" t="n"/>
      <c r="X125" s="15" t="n"/>
      <c r="Y125" s="15" t="n"/>
      <c r="Z125" s="28" t="n"/>
      <c r="AA125" s="15" t="n"/>
      <c r="AB125" s="15" t="n"/>
      <c r="AC125" s="28" t="n"/>
      <c r="AD125" s="15" t="n"/>
      <c r="AE125" s="15" t="n"/>
      <c r="AF125" s="28" t="n"/>
      <c r="AG125" s="15" t="n"/>
      <c r="AH125" s="15" t="n"/>
      <c r="AI125" s="28" t="n"/>
      <c r="AJ125" s="15" t="n"/>
      <c r="AK125" s="15" t="n"/>
      <c r="AL125" s="28" t="n"/>
      <c r="AM125" s="31" t="n"/>
      <c r="AN125" s="31" t="n"/>
      <c r="AO125" s="28" t="n"/>
      <c r="AP125" s="31" t="n"/>
      <c r="AQ125" s="31" t="n"/>
      <c r="AR125" s="28" t="n"/>
      <c r="AS125" s="31" t="n"/>
      <c r="AT125" s="31" t="n"/>
      <c r="AU125" s="28" t="n"/>
      <c r="AV125" s="31" t="n"/>
      <c r="AW125" s="31" t="n"/>
      <c r="AX125" s="28" t="n"/>
      <c r="AY125" s="15" t="n"/>
      <c r="AZ125" s="15" t="n"/>
      <c r="BA125" s="291" t="n"/>
      <c r="BB125" s="291" t="n"/>
      <c r="BC125" s="291" t="n"/>
      <c r="BD125" s="291" t="n"/>
      <c r="BE125" s="291" t="n"/>
      <c r="BF125" s="291" t="n"/>
      <c r="BG125" s="291" t="n"/>
      <c r="BH125" s="291" t="n"/>
      <c r="BI125" s="291" t="n"/>
      <c r="BJ125" s="291" t="n"/>
      <c r="BK125" s="288" t="n"/>
      <c r="BL125" s="291" t="n"/>
      <c r="BM125" s="291" t="n"/>
      <c r="BN125" s="291" t="n"/>
      <c r="BO125" s="291" t="n"/>
      <c r="BP125" s="291" t="n"/>
      <c r="BQ125" s="291" t="n"/>
      <c r="BR125" s="291" t="n"/>
      <c r="BS125" s="291" t="n"/>
      <c r="BT125" s="291" t="n"/>
      <c r="BU125" s="291" t="n"/>
      <c r="BV125" s="291" t="n"/>
      <c r="BW125" s="291" t="n"/>
      <c r="BX125" s="291" t="n"/>
      <c r="BY125" s="291" t="n"/>
      <c r="BZ125" s="291" t="n"/>
      <c r="CA125" s="291" t="n"/>
      <c r="CB125" s="291" t="n"/>
      <c r="CC125" s="291" t="n"/>
      <c r="CD125" s="291" t="n"/>
      <c r="CE125" s="291" t="n"/>
      <c r="CF125" s="291" t="n"/>
      <c r="CG125" s="291" t="n"/>
      <c r="CH125" s="291" t="n"/>
      <c r="CI125" s="291" t="n"/>
      <c r="CJ125" s="291" t="n"/>
      <c r="CK125" s="291" t="n"/>
      <c r="CL125" s="291" t="n"/>
      <c r="CM125" s="291" t="n"/>
      <c r="CN125" s="291" t="n"/>
      <c r="CW125" s="291" t="n"/>
      <c r="CX125" s="291" t="n"/>
      <c r="CY125" s="291" t="n"/>
      <c r="CZ125" s="291" t="n"/>
      <c r="DA125" s="291" t="n"/>
      <c r="DB125" s="291" t="n"/>
      <c r="DC125" s="291" t="n"/>
      <c r="DD125" s="291" t="n"/>
      <c r="DE125" s="311" t="n"/>
      <c r="DF125" s="311" t="n"/>
    </row>
    <row r="126" customFormat="1" s="40">
      <c r="A126" s="326" t="n"/>
      <c r="B126" s="288" t="n"/>
      <c r="C126" s="15" t="n"/>
      <c r="D126" s="15" t="n"/>
      <c r="E126" s="28" t="n"/>
      <c r="F126" s="15" t="n"/>
      <c r="G126" s="15" t="n"/>
      <c r="H126" s="28" t="n"/>
      <c r="I126" s="15" t="n"/>
      <c r="J126" s="15" t="n"/>
      <c r="K126" s="28" t="n"/>
      <c r="L126" s="15" t="n"/>
      <c r="M126" s="15" t="n"/>
      <c r="N126" s="28" t="n"/>
      <c r="O126" s="15" t="n"/>
      <c r="P126" s="15" t="n"/>
      <c r="Q126" s="28" t="n"/>
      <c r="R126" s="15" t="n"/>
      <c r="S126" s="15" t="n"/>
      <c r="T126" s="28" t="n"/>
      <c r="U126" s="15" t="n"/>
      <c r="V126" s="15" t="n"/>
      <c r="W126" s="28" t="n"/>
      <c r="X126" s="15" t="n"/>
      <c r="Y126" s="15" t="n"/>
      <c r="Z126" s="28" t="n"/>
      <c r="AA126" s="15" t="n"/>
      <c r="AB126" s="15" t="n"/>
      <c r="AC126" s="28" t="n"/>
      <c r="AD126" s="15" t="n"/>
      <c r="AE126" s="15" t="n"/>
      <c r="AF126" s="28" t="n"/>
      <c r="AG126" s="15" t="n"/>
      <c r="AH126" s="15" t="n"/>
      <c r="AI126" s="28" t="n"/>
      <c r="AJ126" s="15" t="n"/>
      <c r="AK126" s="15" t="n"/>
      <c r="AL126" s="28" t="n"/>
      <c r="AM126" s="31" t="n"/>
      <c r="AN126" s="31" t="n"/>
      <c r="AO126" s="28" t="n"/>
      <c r="AP126" s="31" t="n"/>
      <c r="AQ126" s="31" t="n"/>
      <c r="AR126" s="28" t="n"/>
      <c r="AS126" s="31" t="n"/>
      <c r="AT126" s="31" t="n"/>
      <c r="AU126" s="28" t="n"/>
      <c r="AV126" s="31" t="n"/>
      <c r="AW126" s="31" t="n"/>
      <c r="AX126" s="28" t="n"/>
      <c r="AY126" s="15" t="n"/>
      <c r="AZ126" s="15" t="n"/>
      <c r="BA126" s="291" t="n"/>
      <c r="BB126" s="291" t="n"/>
      <c r="BC126" s="291" t="n"/>
      <c r="BD126" s="291" t="n"/>
      <c r="BE126" s="291" t="n"/>
      <c r="BF126" s="291" t="n"/>
      <c r="BG126" s="291" t="n"/>
      <c r="BH126" s="291" t="n"/>
      <c r="BI126" s="291" t="n"/>
      <c r="BJ126" s="291" t="n"/>
      <c r="BK126" s="288" t="n"/>
      <c r="BL126" s="291" t="n"/>
      <c r="BM126" s="291" t="n"/>
      <c r="BN126" s="291" t="n"/>
      <c r="BO126" s="291" t="n"/>
      <c r="BP126" s="291" t="n"/>
      <c r="BQ126" s="291" t="n"/>
      <c r="BR126" s="291" t="n"/>
      <c r="BS126" s="291" t="n"/>
      <c r="BT126" s="291" t="n"/>
      <c r="BU126" s="291" t="n"/>
      <c r="BV126" s="291" t="n"/>
      <c r="BW126" s="291" t="n"/>
      <c r="BX126" s="291" t="n"/>
      <c r="BY126" s="291" t="n"/>
      <c r="BZ126" s="291" t="n"/>
      <c r="CA126" s="291" t="n"/>
      <c r="CB126" s="291" t="n"/>
      <c r="CC126" s="291" t="n"/>
      <c r="CD126" s="291" t="n"/>
      <c r="CE126" s="291" t="n"/>
      <c r="CF126" s="291" t="n"/>
      <c r="CG126" s="291" t="n"/>
      <c r="CH126" s="291" t="n"/>
      <c r="CI126" s="291" t="n"/>
      <c r="CJ126" s="291" t="n"/>
      <c r="CK126" s="291" t="n"/>
      <c r="CL126" s="291" t="n"/>
      <c r="CM126" s="291" t="n"/>
      <c r="CN126" s="291" t="n"/>
      <c r="CW126" s="291" t="n"/>
      <c r="CX126" s="291" t="n"/>
      <c r="CY126" s="291" t="n"/>
      <c r="CZ126" s="291" t="n"/>
      <c r="DA126" s="291" t="n"/>
      <c r="DB126" s="291" t="n"/>
      <c r="DC126" s="291" t="n"/>
      <c r="DD126" s="291" t="n"/>
      <c r="DE126" s="311" t="n"/>
      <c r="DF126" s="311" t="n"/>
    </row>
    <row r="127" customFormat="1" s="40">
      <c r="A127" s="326" t="n"/>
      <c r="B127" s="288" t="n"/>
      <c r="C127" s="15" t="n"/>
      <c r="D127" s="15" t="n"/>
      <c r="E127" s="28" t="n"/>
      <c r="F127" s="15" t="n"/>
      <c r="G127" s="15" t="n"/>
      <c r="H127" s="28" t="n"/>
      <c r="I127" s="15" t="n"/>
      <c r="J127" s="15" t="n"/>
      <c r="K127" s="28" t="n"/>
      <c r="L127" s="15" t="n"/>
      <c r="M127" s="15" t="n"/>
      <c r="N127" s="28" t="n"/>
      <c r="O127" s="15" t="n"/>
      <c r="P127" s="15" t="n"/>
      <c r="Q127" s="28" t="n"/>
      <c r="R127" s="15" t="n"/>
      <c r="S127" s="15" t="n"/>
      <c r="T127" s="28" t="n"/>
      <c r="U127" s="15" t="n"/>
      <c r="V127" s="15" t="n"/>
      <c r="W127" s="28" t="n"/>
      <c r="X127" s="15" t="n"/>
      <c r="Y127" s="15" t="n"/>
      <c r="Z127" s="28" t="n"/>
      <c r="AA127" s="15" t="n"/>
      <c r="AB127" s="15" t="n"/>
      <c r="AC127" s="28" t="n"/>
      <c r="AD127" s="15" t="n"/>
      <c r="AE127" s="15" t="n"/>
      <c r="AF127" s="28" t="n"/>
      <c r="AG127" s="15" t="n"/>
      <c r="AH127" s="15" t="n"/>
      <c r="AI127" s="28" t="n"/>
      <c r="AJ127" s="15" t="n"/>
      <c r="AK127" s="15" t="n"/>
      <c r="AL127" s="28" t="n"/>
      <c r="AM127" s="31" t="n"/>
      <c r="AN127" s="31" t="n"/>
      <c r="AO127" s="28" t="n"/>
      <c r="AP127" s="31" t="n"/>
      <c r="AQ127" s="31" t="n"/>
      <c r="AR127" s="28" t="n"/>
      <c r="AS127" s="31" t="n"/>
      <c r="AT127" s="31" t="n"/>
      <c r="AU127" s="28" t="n"/>
      <c r="AV127" s="31" t="n"/>
      <c r="AW127" s="31" t="n"/>
      <c r="AX127" s="28" t="n"/>
      <c r="AY127" s="15" t="n"/>
      <c r="AZ127" s="15" t="n"/>
      <c r="BA127" s="291" t="n"/>
      <c r="BB127" s="291" t="n"/>
      <c r="BC127" s="291" t="n"/>
      <c r="BD127" s="291" t="n"/>
      <c r="BE127" s="291" t="n"/>
      <c r="BF127" s="291" t="n"/>
      <c r="BG127" s="291" t="n"/>
      <c r="BH127" s="291" t="n"/>
      <c r="BI127" s="291" t="n"/>
      <c r="BJ127" s="291" t="n"/>
      <c r="BK127" s="288" t="n"/>
      <c r="BL127" s="291" t="n"/>
      <c r="BM127" s="291" t="n"/>
      <c r="BN127" s="291" t="n"/>
      <c r="BO127" s="291" t="n"/>
      <c r="BP127" s="291" t="n"/>
      <c r="BQ127" s="291" t="n"/>
      <c r="BR127" s="291" t="n"/>
      <c r="BS127" s="291" t="n"/>
      <c r="BT127" s="291" t="n"/>
      <c r="BU127" s="291" t="n"/>
      <c r="BV127" s="291" t="n"/>
      <c r="BW127" s="291" t="n"/>
      <c r="BX127" s="291" t="n"/>
      <c r="BY127" s="291" t="n"/>
      <c r="BZ127" s="291" t="n"/>
      <c r="CA127" s="291" t="n"/>
      <c r="CB127" s="291" t="n"/>
      <c r="CC127" s="291" t="n"/>
      <c r="CD127" s="291" t="n"/>
      <c r="CE127" s="291" t="n"/>
      <c r="CF127" s="291" t="n"/>
      <c r="CG127" s="291" t="n"/>
      <c r="CH127" s="291" t="n"/>
      <c r="CI127" s="291" t="n"/>
      <c r="CJ127" s="291" t="n"/>
      <c r="CK127" s="291" t="n"/>
      <c r="CL127" s="291" t="n"/>
      <c r="CM127" s="291" t="n"/>
      <c r="CN127" s="291" t="n"/>
      <c r="CW127" s="291" t="n"/>
      <c r="CX127" s="291" t="n"/>
      <c r="CY127" s="291" t="n"/>
      <c r="CZ127" s="291" t="n"/>
      <c r="DA127" s="291" t="n"/>
      <c r="DB127" s="291" t="n"/>
      <c r="DC127" s="291" t="n"/>
      <c r="DD127" s="291" t="n"/>
      <c r="DE127" s="311" t="n"/>
      <c r="DF127" s="311" t="n"/>
    </row>
    <row r="128" customFormat="1" s="40">
      <c r="A128" s="326" t="n"/>
      <c r="B128" s="288" t="n"/>
      <c r="C128" s="15" t="n"/>
      <c r="D128" s="15" t="n"/>
      <c r="E128" s="28" t="n"/>
      <c r="F128" s="15" t="n"/>
      <c r="G128" s="15" t="n"/>
      <c r="H128" s="28" t="n"/>
      <c r="I128" s="15" t="n"/>
      <c r="J128" s="15" t="n"/>
      <c r="K128" s="28" t="n"/>
      <c r="L128" s="15" t="n"/>
      <c r="M128" s="15" t="n"/>
      <c r="N128" s="28" t="n"/>
      <c r="O128" s="15" t="n"/>
      <c r="P128" s="15" t="n"/>
      <c r="Q128" s="28" t="n"/>
      <c r="R128" s="15" t="n"/>
      <c r="S128" s="15" t="n"/>
      <c r="T128" s="28" t="n"/>
      <c r="U128" s="15" t="n"/>
      <c r="V128" s="15" t="n"/>
      <c r="W128" s="28" t="n"/>
      <c r="X128" s="15" t="n"/>
      <c r="Y128" s="15" t="n"/>
      <c r="Z128" s="28" t="n"/>
      <c r="AA128" s="15" t="n"/>
      <c r="AB128" s="15" t="n"/>
      <c r="AC128" s="28" t="n"/>
      <c r="AD128" s="15" t="n"/>
      <c r="AE128" s="15" t="n"/>
      <c r="AF128" s="28" t="n"/>
      <c r="AG128" s="15" t="n"/>
      <c r="AH128" s="15" t="n"/>
      <c r="AI128" s="28" t="n"/>
      <c r="AJ128" s="15" t="n"/>
      <c r="AK128" s="15" t="n"/>
      <c r="AL128" s="28" t="n"/>
      <c r="AM128" s="31" t="n"/>
      <c r="AN128" s="31" t="n"/>
      <c r="AO128" s="28" t="n"/>
      <c r="AP128" s="31" t="n"/>
      <c r="AQ128" s="31" t="n"/>
      <c r="AR128" s="28" t="n"/>
      <c r="AS128" s="31" t="n"/>
      <c r="AT128" s="31" t="n"/>
      <c r="AU128" s="28" t="n"/>
      <c r="AV128" s="31" t="n"/>
      <c r="AW128" s="31" t="n"/>
      <c r="AX128" s="28" t="n"/>
      <c r="AY128" s="15" t="n"/>
      <c r="AZ128" s="15" t="n"/>
      <c r="BA128" s="291" t="n"/>
      <c r="BB128" s="291" t="n"/>
      <c r="BC128" s="291" t="n"/>
      <c r="BD128" s="291" t="n"/>
      <c r="BE128" s="291" t="n"/>
      <c r="BF128" s="291" t="n"/>
      <c r="BG128" s="291" t="n"/>
      <c r="BH128" s="291" t="n"/>
      <c r="BI128" s="291" t="n"/>
      <c r="BJ128" s="291" t="n"/>
      <c r="BK128" s="288" t="n"/>
      <c r="BL128" s="291" t="n"/>
      <c r="BM128" s="291" t="n"/>
      <c r="BN128" s="291" t="n"/>
      <c r="BO128" s="291" t="n"/>
      <c r="BP128" s="291" t="n"/>
      <c r="BQ128" s="291" t="n"/>
      <c r="BR128" s="291" t="n"/>
      <c r="BS128" s="291" t="n"/>
      <c r="BT128" s="291" t="n"/>
      <c r="BU128" s="291" t="n"/>
      <c r="BV128" s="291" t="n"/>
      <c r="BW128" s="291" t="n"/>
      <c r="BX128" s="291" t="n"/>
      <c r="BY128" s="291" t="n"/>
      <c r="BZ128" s="291" t="n"/>
      <c r="CA128" s="291" t="n"/>
      <c r="CB128" s="291" t="n"/>
      <c r="CC128" s="291" t="n"/>
      <c r="CD128" s="291" t="n"/>
      <c r="CE128" s="291" t="n"/>
      <c r="CF128" s="291" t="n"/>
      <c r="CG128" s="291" t="n"/>
      <c r="CH128" s="291" t="n"/>
      <c r="CI128" s="291" t="n"/>
      <c r="CJ128" s="291" t="n"/>
      <c r="CK128" s="291" t="n"/>
      <c r="CL128" s="291" t="n"/>
      <c r="CM128" s="291" t="n"/>
      <c r="CN128" s="291" t="n"/>
      <c r="CW128" s="291" t="n"/>
      <c r="CX128" s="291" t="n"/>
      <c r="CY128" s="291" t="n"/>
      <c r="CZ128" s="291" t="n"/>
      <c r="DA128" s="291" t="n"/>
      <c r="DB128" s="291" t="n"/>
      <c r="DC128" s="291" t="n"/>
      <c r="DD128" s="291" t="n"/>
      <c r="DE128" s="311" t="n"/>
      <c r="DF128" s="311" t="n"/>
    </row>
    <row r="129" customFormat="1" s="40">
      <c r="A129" s="326" t="n"/>
      <c r="B129" s="288" t="n"/>
      <c r="C129" s="15" t="n"/>
      <c r="D129" s="15" t="n"/>
      <c r="E129" s="28" t="n"/>
      <c r="F129" s="15" t="n"/>
      <c r="G129" s="15" t="n"/>
      <c r="H129" s="28" t="n"/>
      <c r="I129" s="15" t="n"/>
      <c r="J129" s="15" t="n"/>
      <c r="K129" s="28" t="n"/>
      <c r="L129" s="15" t="n"/>
      <c r="M129" s="15" t="n"/>
      <c r="N129" s="28" t="n"/>
      <c r="O129" s="15" t="n"/>
      <c r="P129" s="15" t="n"/>
      <c r="Q129" s="28" t="n"/>
      <c r="R129" s="15" t="n"/>
      <c r="S129" s="15" t="n"/>
      <c r="T129" s="28" t="n"/>
      <c r="U129" s="15" t="n"/>
      <c r="V129" s="15" t="n"/>
      <c r="W129" s="28" t="n"/>
      <c r="X129" s="15" t="n"/>
      <c r="Y129" s="15" t="n"/>
      <c r="Z129" s="28" t="n"/>
      <c r="AA129" s="15" t="n"/>
      <c r="AB129" s="15" t="n"/>
      <c r="AC129" s="28" t="n"/>
      <c r="AD129" s="15" t="n"/>
      <c r="AE129" s="15" t="n"/>
      <c r="AF129" s="28" t="n"/>
      <c r="AG129" s="15" t="n"/>
      <c r="AH129" s="15" t="n"/>
      <c r="AI129" s="28" t="n"/>
      <c r="AJ129" s="15" t="n"/>
      <c r="AK129" s="15" t="n"/>
      <c r="AL129" s="28" t="n"/>
      <c r="AM129" s="31" t="n"/>
      <c r="AN129" s="31" t="n"/>
      <c r="AO129" s="28" t="n"/>
      <c r="AP129" s="31" t="n"/>
      <c r="AQ129" s="31" t="n"/>
      <c r="AR129" s="28" t="n"/>
      <c r="AS129" s="31" t="n"/>
      <c r="AT129" s="31" t="n"/>
      <c r="AU129" s="28" t="n"/>
      <c r="AV129" s="31" t="n"/>
      <c r="AW129" s="31" t="n"/>
      <c r="AX129" s="28" t="n"/>
      <c r="AY129" s="15" t="n"/>
      <c r="AZ129" s="15" t="n"/>
      <c r="BA129" s="291" t="n"/>
      <c r="BB129" s="291" t="n"/>
      <c r="BC129" s="291" t="n"/>
      <c r="BD129" s="291" t="n"/>
      <c r="BE129" s="291" t="n"/>
      <c r="BF129" s="291" t="n"/>
      <c r="BG129" s="291" t="n"/>
      <c r="BH129" s="291" t="n"/>
      <c r="BI129" s="291" t="n"/>
      <c r="BJ129" s="291" t="n"/>
      <c r="BK129" s="288" t="n"/>
      <c r="BL129" s="291" t="n"/>
      <c r="BM129" s="291" t="n"/>
      <c r="BN129" s="291" t="n"/>
      <c r="BO129" s="291" t="n"/>
      <c r="BP129" s="291" t="n"/>
      <c r="BQ129" s="291" t="n"/>
      <c r="BR129" s="291" t="n"/>
      <c r="BS129" s="291" t="n"/>
      <c r="BT129" s="291" t="n"/>
      <c r="BU129" s="291" t="n"/>
      <c r="BV129" s="291" t="n"/>
      <c r="BW129" s="291" t="n"/>
      <c r="BX129" s="291" t="n"/>
      <c r="BY129" s="291" t="n"/>
      <c r="BZ129" s="291" t="n"/>
      <c r="CA129" s="291" t="n"/>
      <c r="CB129" s="291" t="n"/>
      <c r="CC129" s="291" t="n"/>
      <c r="CD129" s="291" t="n"/>
      <c r="CE129" s="291" t="n"/>
      <c r="CF129" s="291" t="n"/>
      <c r="CG129" s="291" t="n"/>
      <c r="CH129" s="291" t="n"/>
      <c r="CI129" s="291" t="n"/>
      <c r="CJ129" s="291" t="n"/>
      <c r="CK129" s="291" t="n"/>
      <c r="CL129" s="291" t="n"/>
      <c r="CM129" s="291" t="n"/>
      <c r="CN129" s="291" t="n"/>
      <c r="CW129" s="291" t="n"/>
      <c r="CX129" s="291" t="n"/>
      <c r="CY129" s="291" t="n"/>
      <c r="CZ129" s="291" t="n"/>
      <c r="DA129" s="291" t="n"/>
      <c r="DB129" s="291" t="n"/>
      <c r="DC129" s="291" t="n"/>
      <c r="DD129" s="291" t="n"/>
      <c r="DE129" s="311" t="n"/>
      <c r="DF129" s="311" t="n"/>
    </row>
    <row r="130" customFormat="1" s="62">
      <c r="A130" s="331" t="n"/>
      <c r="B130" s="288" t="n"/>
      <c r="C130" s="112" t="n"/>
      <c r="D130" s="15" t="n"/>
      <c r="E130" s="28" t="n"/>
      <c r="F130" s="112" t="n"/>
      <c r="G130" s="15" t="n"/>
      <c r="H130" s="28" t="n"/>
      <c r="I130" s="112" t="n"/>
      <c r="J130" s="15" t="n"/>
      <c r="K130" s="28" t="n"/>
      <c r="L130" s="112" t="n"/>
      <c r="M130" s="15" t="n"/>
      <c r="N130" s="28" t="n"/>
      <c r="O130" s="112" t="n"/>
      <c r="P130" s="15" t="n"/>
      <c r="Q130" s="28" t="n"/>
      <c r="R130" s="112" t="n"/>
      <c r="S130" s="15" t="n"/>
      <c r="T130" s="28" t="n"/>
      <c r="U130" s="112" t="n"/>
      <c r="V130" s="15" t="n"/>
      <c r="W130" s="28" t="n"/>
      <c r="X130" s="112" t="n"/>
      <c r="Y130" s="15" t="n"/>
      <c r="Z130" s="28" t="n"/>
      <c r="AA130" s="112" t="n"/>
      <c r="AB130" s="15" t="n"/>
      <c r="AC130" s="28" t="n"/>
      <c r="AD130" s="112" t="n"/>
      <c r="AE130" s="15" t="n"/>
      <c r="AF130" s="28" t="n"/>
      <c r="AG130" s="112" t="n"/>
      <c r="AH130" s="15" t="n"/>
      <c r="AI130" s="28" t="n"/>
      <c r="AJ130" s="112" t="n"/>
      <c r="AK130" s="15" t="n"/>
      <c r="AL130" s="28" t="n"/>
      <c r="AM130" s="31" t="n"/>
      <c r="AN130" s="327" t="n"/>
      <c r="AO130" s="28" t="n"/>
      <c r="AP130" s="31" t="n"/>
      <c r="AQ130" s="327" t="n"/>
      <c r="AR130" s="28" t="n"/>
      <c r="AS130" s="31" t="n"/>
      <c r="AT130" s="327" t="n"/>
      <c r="AU130" s="28" t="n"/>
      <c r="AV130" s="31" t="n"/>
      <c r="AW130" s="327" t="n"/>
      <c r="AX130" s="28" t="n"/>
      <c r="AY130" s="15" t="n"/>
      <c r="AZ130" s="15" t="n"/>
      <c r="BA130" s="324" t="n"/>
      <c r="BB130" s="324" t="n"/>
      <c r="BC130" s="324" t="n"/>
      <c r="BD130" s="324" t="n"/>
      <c r="BE130" s="324" t="n"/>
      <c r="BF130" s="324" t="n"/>
      <c r="BG130" s="324" t="n"/>
      <c r="BH130" s="324" t="n"/>
      <c r="BI130" s="324" t="n"/>
      <c r="BJ130" s="324" t="n"/>
      <c r="BK130" s="288" t="n"/>
      <c r="BL130" s="324" t="n"/>
      <c r="BM130" s="324" t="n"/>
      <c r="BN130" s="324" t="n"/>
      <c r="BO130" s="324" t="n"/>
      <c r="BP130" s="324" t="n"/>
      <c r="BQ130" s="324" t="n"/>
      <c r="BR130" s="324" t="n"/>
      <c r="BS130" s="324" t="n"/>
      <c r="BT130" s="324" t="n"/>
      <c r="BU130" s="324" t="n"/>
      <c r="BV130" s="324" t="n"/>
      <c r="BW130" s="324" t="n"/>
      <c r="BX130" s="324" t="n"/>
      <c r="BY130" s="324" t="n"/>
      <c r="BZ130" s="324" t="n"/>
      <c r="CA130" s="324" t="n"/>
      <c r="CB130" s="324" t="n"/>
      <c r="CC130" s="324" t="n"/>
      <c r="CD130" s="324" t="n"/>
      <c r="CE130" s="324" t="n"/>
      <c r="CF130" s="324" t="n"/>
      <c r="CG130" s="324" t="n"/>
      <c r="CH130" s="324" t="n"/>
      <c r="CI130" s="324" t="n"/>
      <c r="CJ130" s="324" t="n"/>
      <c r="CK130" s="324" t="n"/>
      <c r="CL130" s="324" t="n"/>
      <c r="CM130" s="324" t="n"/>
      <c r="CN130" s="324" t="n"/>
      <c r="CW130" s="324" t="n"/>
      <c r="CX130" s="324" t="n"/>
      <c r="CY130" s="324" t="n"/>
      <c r="CZ130" s="324" t="n"/>
      <c r="DA130" s="324" t="n"/>
      <c r="DB130" s="324" t="n"/>
      <c r="DC130" s="324" t="n"/>
      <c r="DD130" s="324" t="n"/>
      <c r="DE130" s="325" t="n"/>
      <c r="DF130" s="325" t="n"/>
    </row>
    <row r="131" customFormat="1" s="62">
      <c r="A131" s="326" t="n"/>
      <c r="B131" s="288" t="n"/>
      <c r="C131" s="112" t="n"/>
      <c r="D131" s="15" t="n"/>
      <c r="E131" s="28" t="n"/>
      <c r="F131" s="112" t="n"/>
      <c r="G131" s="15" t="n"/>
      <c r="H131" s="28" t="n"/>
      <c r="I131" s="112" t="n"/>
      <c r="J131" s="15" t="n"/>
      <c r="K131" s="28" t="n"/>
      <c r="L131" s="112" t="n"/>
      <c r="M131" s="15" t="n"/>
      <c r="N131" s="28" t="n"/>
      <c r="O131" s="112" t="n"/>
      <c r="P131" s="15" t="n"/>
      <c r="Q131" s="28" t="n"/>
      <c r="R131" s="112" t="n"/>
      <c r="S131" s="15" t="n"/>
      <c r="T131" s="28" t="n"/>
      <c r="U131" s="112" t="n"/>
      <c r="V131" s="15" t="n"/>
      <c r="W131" s="28" t="n"/>
      <c r="X131" s="112" t="n"/>
      <c r="Y131" s="15" t="n"/>
      <c r="Z131" s="28" t="n"/>
      <c r="AA131" s="112" t="n"/>
      <c r="AB131" s="15" t="n"/>
      <c r="AC131" s="28" t="n"/>
      <c r="AD131" s="112" t="n"/>
      <c r="AE131" s="15" t="n"/>
      <c r="AF131" s="28" t="n"/>
      <c r="AG131" s="112" t="n"/>
      <c r="AH131" s="15" t="n"/>
      <c r="AI131" s="28" t="n"/>
      <c r="AJ131" s="112" t="n"/>
      <c r="AK131" s="15" t="n"/>
      <c r="AL131" s="28" t="n"/>
      <c r="AM131" s="31" t="n"/>
      <c r="AN131" s="327" t="n"/>
      <c r="AO131" s="28" t="n"/>
      <c r="AP131" s="31" t="n"/>
      <c r="AQ131" s="327" t="n"/>
      <c r="AR131" s="28" t="n"/>
      <c r="AS131" s="31" t="n"/>
      <c r="AT131" s="327" t="n"/>
      <c r="AU131" s="28" t="n"/>
      <c r="AV131" s="31" t="n"/>
      <c r="AW131" s="327" t="n"/>
      <c r="AX131" s="28" t="n"/>
      <c r="AY131" s="15" t="n"/>
      <c r="AZ131" s="15" t="n"/>
      <c r="BA131" s="324" t="n"/>
      <c r="BB131" s="324" t="n"/>
      <c r="BC131" s="324" t="n"/>
      <c r="BD131" s="324" t="n"/>
      <c r="BE131" s="324" t="n"/>
      <c r="BF131" s="324" t="n"/>
      <c r="BG131" s="324" t="n"/>
      <c r="BH131" s="324" t="n"/>
      <c r="BI131" s="324" t="n"/>
      <c r="BJ131" s="324" t="n"/>
      <c r="BK131" s="288" t="n"/>
      <c r="BL131" s="324" t="n"/>
      <c r="BM131" s="324" t="n"/>
      <c r="BN131" s="324" t="n"/>
      <c r="BO131" s="324" t="n"/>
      <c r="BP131" s="324" t="n"/>
      <c r="BQ131" s="324" t="n"/>
      <c r="BR131" s="324" t="n"/>
      <c r="BS131" s="324" t="n"/>
      <c r="BT131" s="324" t="n"/>
      <c r="BU131" s="324" t="n"/>
      <c r="BV131" s="324" t="n"/>
      <c r="BW131" s="324" t="n"/>
      <c r="BX131" s="324" t="n"/>
      <c r="BY131" s="324" t="n"/>
      <c r="BZ131" s="324" t="n"/>
      <c r="CA131" s="324" t="n"/>
      <c r="CB131" s="324" t="n"/>
      <c r="CC131" s="324" t="n"/>
      <c r="CD131" s="324" t="n"/>
      <c r="CE131" s="324" t="n"/>
      <c r="CF131" s="324" t="n"/>
      <c r="CG131" s="324" t="n"/>
      <c r="CH131" s="324" t="n"/>
      <c r="CI131" s="324" t="n"/>
      <c r="CJ131" s="324" t="n"/>
      <c r="CK131" s="324" t="n"/>
      <c r="CL131" s="324" t="n"/>
      <c r="CM131" s="324" t="n"/>
      <c r="CN131" s="324" t="n"/>
      <c r="CW131" s="324" t="n"/>
      <c r="CX131" s="324" t="n"/>
      <c r="CY131" s="324" t="n"/>
      <c r="CZ131" s="324" t="n"/>
      <c r="DA131" s="324" t="n"/>
      <c r="DB131" s="324" t="n"/>
      <c r="DC131" s="324" t="n"/>
      <c r="DD131" s="324" t="n"/>
      <c r="DE131" s="325" t="n"/>
      <c r="DF131" s="325" t="n"/>
    </row>
    <row r="132" customFormat="1" s="62">
      <c r="A132" s="326" t="n"/>
      <c r="B132" s="288" t="n"/>
      <c r="C132" s="112" t="n"/>
      <c r="D132" s="15" t="n"/>
      <c r="E132" s="28" t="n"/>
      <c r="F132" s="112" t="n"/>
      <c r="G132" s="15" t="n"/>
      <c r="H132" s="28" t="n"/>
      <c r="I132" s="112" t="n"/>
      <c r="J132" s="15" t="n"/>
      <c r="K132" s="28" t="n"/>
      <c r="L132" s="112" t="n"/>
      <c r="M132" s="15" t="n"/>
      <c r="N132" s="28" t="n"/>
      <c r="O132" s="112" t="n"/>
      <c r="P132" s="15" t="n"/>
      <c r="Q132" s="28" t="n"/>
      <c r="R132" s="112" t="n"/>
      <c r="S132" s="15" t="n"/>
      <c r="T132" s="28" t="n"/>
      <c r="U132" s="112" t="n"/>
      <c r="V132" s="15" t="n"/>
      <c r="W132" s="28" t="n"/>
      <c r="X132" s="112" t="n"/>
      <c r="Y132" s="15" t="n"/>
      <c r="Z132" s="28" t="n"/>
      <c r="AA132" s="112" t="n"/>
      <c r="AB132" s="15" t="n"/>
      <c r="AC132" s="28" t="n"/>
      <c r="AD132" s="112" t="n"/>
      <c r="AE132" s="15" t="n"/>
      <c r="AF132" s="28" t="n"/>
      <c r="AG132" s="112" t="n"/>
      <c r="AH132" s="15" t="n"/>
      <c r="AI132" s="28" t="n"/>
      <c r="AJ132" s="112" t="n"/>
      <c r="AK132" s="15" t="n"/>
      <c r="AL132" s="28" t="n"/>
      <c r="AM132" s="31" t="n"/>
      <c r="AN132" s="327" t="n"/>
      <c r="AO132" s="28" t="n"/>
      <c r="AP132" s="31" t="n"/>
      <c r="AQ132" s="327" t="n"/>
      <c r="AR132" s="28" t="n"/>
      <c r="AS132" s="31" t="n"/>
      <c r="AT132" s="327" t="n"/>
      <c r="AU132" s="28" t="n"/>
      <c r="AV132" s="31" t="n"/>
      <c r="AW132" s="327" t="n"/>
      <c r="AX132" s="28" t="n"/>
      <c r="AY132" s="15" t="n"/>
      <c r="AZ132" s="15" t="n"/>
      <c r="BA132" s="324" t="n"/>
      <c r="BB132" s="324" t="n"/>
      <c r="BC132" s="324" t="n"/>
      <c r="BD132" s="324" t="n"/>
      <c r="BE132" s="324" t="n"/>
      <c r="BF132" s="324" t="n"/>
      <c r="BG132" s="324" t="n"/>
      <c r="BH132" s="324" t="n"/>
      <c r="BI132" s="324" t="n"/>
      <c r="BJ132" s="324" t="n"/>
      <c r="BK132" s="288" t="n"/>
      <c r="BL132" s="324" t="n"/>
      <c r="BM132" s="324" t="n"/>
      <c r="BN132" s="324" t="n"/>
      <c r="BO132" s="324" t="n"/>
      <c r="BP132" s="324" t="n"/>
      <c r="BQ132" s="324" t="n"/>
      <c r="BR132" s="324" t="n"/>
      <c r="BS132" s="324" t="n"/>
      <c r="BT132" s="324" t="n"/>
      <c r="BU132" s="324" t="n"/>
      <c r="BV132" s="324" t="n"/>
      <c r="BW132" s="324" t="n"/>
      <c r="BX132" s="324" t="n"/>
      <c r="BY132" s="324" t="n"/>
      <c r="BZ132" s="324" t="n"/>
      <c r="CA132" s="324" t="n"/>
      <c r="CB132" s="324" t="n"/>
      <c r="CC132" s="324" t="n"/>
      <c r="CD132" s="324" t="n"/>
      <c r="CE132" s="324" t="n"/>
      <c r="CF132" s="324" t="n"/>
      <c r="CG132" s="324" t="n"/>
      <c r="CH132" s="324" t="n"/>
      <c r="CI132" s="324" t="n"/>
      <c r="CJ132" s="324" t="n"/>
      <c r="CK132" s="324" t="n"/>
      <c r="CL132" s="324" t="n"/>
      <c r="CM132" s="324" t="n"/>
      <c r="CN132" s="324" t="n"/>
      <c r="CW132" s="324" t="n"/>
      <c r="CX132" s="324" t="n"/>
      <c r="CY132" s="324" t="n"/>
      <c r="CZ132" s="324" t="n"/>
      <c r="DA132" s="324" t="n"/>
      <c r="DB132" s="324" t="n"/>
      <c r="DC132" s="324" t="n"/>
      <c r="DD132" s="324" t="n"/>
      <c r="DE132" s="325" t="n"/>
      <c r="DF132" s="325" t="n"/>
    </row>
    <row r="133" customFormat="1" s="62">
      <c r="A133" s="326" t="n"/>
      <c r="B133" s="288" t="n"/>
      <c r="C133" s="112" t="n"/>
      <c r="D133" s="15" t="n"/>
      <c r="E133" s="28" t="n"/>
      <c r="F133" s="112" t="n"/>
      <c r="G133" s="15" t="n"/>
      <c r="H133" s="28" t="n"/>
      <c r="I133" s="112" t="n"/>
      <c r="J133" s="15" t="n"/>
      <c r="K133" s="28" t="n"/>
      <c r="L133" s="112" t="n"/>
      <c r="M133" s="15" t="n"/>
      <c r="N133" s="28" t="n"/>
      <c r="O133" s="112" t="n"/>
      <c r="P133" s="15" t="n"/>
      <c r="Q133" s="28" t="n"/>
      <c r="R133" s="112" t="n"/>
      <c r="S133" s="15" t="n"/>
      <c r="T133" s="28" t="n"/>
      <c r="U133" s="112" t="n"/>
      <c r="V133" s="15" t="n"/>
      <c r="W133" s="28" t="n"/>
      <c r="X133" s="112" t="n"/>
      <c r="Y133" s="15" t="n"/>
      <c r="Z133" s="28" t="n"/>
      <c r="AA133" s="112" t="n"/>
      <c r="AB133" s="15" t="n"/>
      <c r="AC133" s="28" t="n"/>
      <c r="AD133" s="112" t="n"/>
      <c r="AE133" s="15" t="n"/>
      <c r="AF133" s="28" t="n"/>
      <c r="AG133" s="112" t="n"/>
      <c r="AH133" s="15" t="n"/>
      <c r="AI133" s="28" t="n"/>
      <c r="AJ133" s="112" t="n"/>
      <c r="AK133" s="15" t="n"/>
      <c r="AL133" s="28" t="n"/>
      <c r="AM133" s="31" t="n"/>
      <c r="AN133" s="327" t="n"/>
      <c r="AO133" s="28" t="n"/>
      <c r="AP133" s="31" t="n"/>
      <c r="AQ133" s="327" t="n"/>
      <c r="AR133" s="28" t="n"/>
      <c r="AS133" s="31" t="n"/>
      <c r="AT133" s="327" t="n"/>
      <c r="AU133" s="28" t="n"/>
      <c r="AV133" s="31" t="n"/>
      <c r="AW133" s="327" t="n"/>
      <c r="AX133" s="28" t="n"/>
      <c r="AY133" s="15" t="n"/>
      <c r="AZ133" s="15" t="n"/>
      <c r="BA133" s="324" t="n"/>
      <c r="BB133" s="324" t="n"/>
      <c r="BC133" s="324" t="n"/>
      <c r="BD133" s="324" t="n"/>
      <c r="BE133" s="324" t="n"/>
      <c r="BF133" s="324" t="n"/>
      <c r="BG133" s="324" t="n"/>
      <c r="BH133" s="324" t="n"/>
      <c r="BI133" s="324" t="n"/>
      <c r="BJ133" s="324" t="n"/>
      <c r="BK133" s="288" t="n"/>
      <c r="BL133" s="324" t="n"/>
      <c r="BM133" s="324" t="n"/>
      <c r="BN133" s="324" t="n"/>
      <c r="BO133" s="324" t="n"/>
      <c r="BP133" s="324" t="n"/>
      <c r="BQ133" s="324" t="n"/>
      <c r="BR133" s="324" t="n"/>
      <c r="BS133" s="324" t="n"/>
      <c r="BT133" s="324" t="n"/>
      <c r="BU133" s="324" t="n"/>
      <c r="BV133" s="324" t="n"/>
      <c r="BW133" s="324" t="n"/>
      <c r="BX133" s="324" t="n"/>
      <c r="BY133" s="324" t="n"/>
      <c r="BZ133" s="324" t="n"/>
      <c r="CA133" s="324" t="n"/>
      <c r="CB133" s="324" t="n"/>
      <c r="CC133" s="324" t="n"/>
      <c r="CD133" s="324" t="n"/>
      <c r="CE133" s="324" t="n"/>
      <c r="CF133" s="324" t="n"/>
      <c r="CG133" s="324" t="n"/>
      <c r="CH133" s="324" t="n"/>
      <c r="CI133" s="324" t="n"/>
      <c r="CJ133" s="324" t="n"/>
      <c r="CK133" s="324" t="n"/>
      <c r="CL133" s="324" t="n"/>
      <c r="CM133" s="324" t="n"/>
      <c r="CN133" s="324" t="n"/>
      <c r="CW133" s="324" t="n"/>
      <c r="CX133" s="324" t="n"/>
      <c r="CY133" s="324" t="n"/>
      <c r="CZ133" s="324" t="n"/>
      <c r="DA133" s="324" t="n"/>
      <c r="DB133" s="324" t="n"/>
      <c r="DC133" s="324" t="n"/>
      <c r="DD133" s="324" t="n"/>
      <c r="DE133" s="325" t="n"/>
      <c r="DF133" s="325" t="n"/>
    </row>
    <row r="134" customFormat="1" s="62">
      <c r="A134" s="326" t="n"/>
      <c r="B134" s="288" t="n"/>
      <c r="C134" s="112" t="n"/>
      <c r="D134" s="15" t="n"/>
      <c r="E134" s="28" t="n"/>
      <c r="F134" s="112" t="n"/>
      <c r="G134" s="15" t="n"/>
      <c r="H134" s="28" t="n"/>
      <c r="I134" s="112" t="n"/>
      <c r="J134" s="15" t="n"/>
      <c r="K134" s="28" t="n"/>
      <c r="L134" s="112" t="n"/>
      <c r="M134" s="15" t="n"/>
      <c r="N134" s="28" t="n"/>
      <c r="O134" s="112" t="n"/>
      <c r="P134" s="15" t="n"/>
      <c r="Q134" s="28" t="n"/>
      <c r="R134" s="112" t="n"/>
      <c r="S134" s="15" t="n"/>
      <c r="T134" s="28" t="n"/>
      <c r="U134" s="112" t="n"/>
      <c r="V134" s="15" t="n"/>
      <c r="W134" s="28" t="n"/>
      <c r="X134" s="112" t="n"/>
      <c r="Y134" s="15" t="n"/>
      <c r="Z134" s="28" t="n"/>
      <c r="AA134" s="112" t="n"/>
      <c r="AB134" s="15" t="n"/>
      <c r="AC134" s="28" t="n"/>
      <c r="AD134" s="112" t="n"/>
      <c r="AE134" s="15" t="n"/>
      <c r="AF134" s="28" t="n"/>
      <c r="AG134" s="112" t="n"/>
      <c r="AH134" s="15" t="n"/>
      <c r="AI134" s="28" t="n"/>
      <c r="AJ134" s="112" t="n"/>
      <c r="AK134" s="15" t="n"/>
      <c r="AL134" s="28" t="n"/>
      <c r="AM134" s="31" t="n"/>
      <c r="AN134" s="327" t="n"/>
      <c r="AO134" s="28" t="n"/>
      <c r="AP134" s="31" t="n"/>
      <c r="AQ134" s="327" t="n"/>
      <c r="AR134" s="28" t="n"/>
      <c r="AS134" s="31" t="n"/>
      <c r="AT134" s="327" t="n"/>
      <c r="AU134" s="28" t="n"/>
      <c r="AV134" s="31" t="n"/>
      <c r="AW134" s="327" t="n"/>
      <c r="AX134" s="28" t="n"/>
      <c r="AY134" s="15" t="n"/>
      <c r="AZ134" s="15" t="n"/>
      <c r="BA134" s="324" t="n"/>
      <c r="BB134" s="324" t="n"/>
      <c r="BC134" s="324" t="n"/>
      <c r="BD134" s="324" t="n"/>
      <c r="BE134" s="324" t="n"/>
      <c r="BF134" s="324" t="n"/>
      <c r="BG134" s="324" t="n"/>
      <c r="BH134" s="324" t="n"/>
      <c r="BI134" s="324" t="n"/>
      <c r="BJ134" s="324" t="n"/>
      <c r="BK134" s="288" t="n"/>
      <c r="BL134" s="324" t="n"/>
      <c r="BM134" s="324" t="n"/>
      <c r="BN134" s="324" t="n"/>
      <c r="BO134" s="324" t="n"/>
      <c r="BP134" s="324" t="n"/>
      <c r="BQ134" s="324" t="n"/>
      <c r="BR134" s="324" t="n"/>
      <c r="BS134" s="324" t="n"/>
      <c r="BT134" s="324" t="n"/>
      <c r="BU134" s="324" t="n"/>
      <c r="BV134" s="324" t="n"/>
      <c r="BW134" s="324" t="n"/>
      <c r="BX134" s="324" t="n"/>
      <c r="BY134" s="324" t="n"/>
      <c r="BZ134" s="324" t="n"/>
      <c r="CA134" s="324" t="n"/>
      <c r="CB134" s="324" t="n"/>
      <c r="CC134" s="324" t="n"/>
      <c r="CD134" s="324" t="n"/>
      <c r="CE134" s="324" t="n"/>
      <c r="CF134" s="324" t="n"/>
      <c r="CG134" s="324" t="n"/>
      <c r="CH134" s="324" t="n"/>
      <c r="CI134" s="324" t="n"/>
      <c r="CJ134" s="324" t="n"/>
      <c r="CK134" s="324" t="n"/>
      <c r="CL134" s="324" t="n"/>
      <c r="CM134" s="324" t="n"/>
      <c r="CN134" s="324" t="n"/>
      <c r="CW134" s="324" t="n"/>
      <c r="CX134" s="324" t="n"/>
      <c r="CY134" s="324" t="n"/>
      <c r="CZ134" s="324" t="n"/>
      <c r="DA134" s="324" t="n"/>
      <c r="DB134" s="324" t="n"/>
      <c r="DC134" s="324" t="n"/>
      <c r="DD134" s="324" t="n"/>
      <c r="DE134" s="325" t="n"/>
      <c r="DF134" s="325" t="n"/>
    </row>
    <row r="135" customFormat="1" s="62">
      <c r="A135" s="326" t="n"/>
      <c r="B135" s="288" t="n"/>
      <c r="C135" s="112" t="n"/>
      <c r="D135" s="15" t="n"/>
      <c r="E135" s="28" t="n"/>
      <c r="F135" s="112" t="n"/>
      <c r="G135" s="15" t="n"/>
      <c r="H135" s="28" t="n"/>
      <c r="I135" s="112" t="n"/>
      <c r="J135" s="15" t="n"/>
      <c r="K135" s="28" t="n"/>
      <c r="L135" s="112" t="n"/>
      <c r="M135" s="15" t="n"/>
      <c r="N135" s="28" t="n"/>
      <c r="O135" s="112" t="n"/>
      <c r="P135" s="15" t="n"/>
      <c r="Q135" s="28" t="n"/>
      <c r="R135" s="112" t="n"/>
      <c r="S135" s="15" t="n"/>
      <c r="T135" s="28" t="n"/>
      <c r="U135" s="112" t="n"/>
      <c r="V135" s="15" t="n"/>
      <c r="W135" s="28" t="n"/>
      <c r="X135" s="112" t="n"/>
      <c r="Y135" s="15" t="n"/>
      <c r="Z135" s="28" t="n"/>
      <c r="AA135" s="112" t="n"/>
      <c r="AB135" s="15" t="n"/>
      <c r="AC135" s="28" t="n"/>
      <c r="AD135" s="112" t="n"/>
      <c r="AE135" s="15" t="n"/>
      <c r="AF135" s="28" t="n"/>
      <c r="AG135" s="112" t="n"/>
      <c r="AH135" s="15" t="n"/>
      <c r="AI135" s="28" t="n"/>
      <c r="AJ135" s="112" t="n"/>
      <c r="AK135" s="15" t="n"/>
      <c r="AL135" s="28" t="n"/>
      <c r="AM135" s="31" t="n"/>
      <c r="AN135" s="327" t="n"/>
      <c r="AO135" s="28" t="n"/>
      <c r="AP135" s="31" t="n"/>
      <c r="AQ135" s="327" t="n"/>
      <c r="AR135" s="28" t="n"/>
      <c r="AS135" s="31" t="n"/>
      <c r="AT135" s="327" t="n"/>
      <c r="AU135" s="28" t="n"/>
      <c r="AV135" s="31" t="n"/>
      <c r="AW135" s="327" t="n"/>
      <c r="AX135" s="28" t="n"/>
      <c r="AY135" s="15" t="n"/>
      <c r="AZ135" s="15" t="n"/>
      <c r="BA135" s="324" t="n"/>
      <c r="BB135" s="324" t="n"/>
      <c r="BC135" s="324" t="n"/>
      <c r="BD135" s="324" t="n"/>
      <c r="BE135" s="324" t="n"/>
      <c r="BF135" s="324" t="n"/>
      <c r="BG135" s="324" t="n"/>
      <c r="BH135" s="324" t="n"/>
      <c r="BI135" s="324" t="n"/>
      <c r="BJ135" s="324" t="n"/>
      <c r="BK135" s="288" t="n"/>
      <c r="BL135" s="324" t="n"/>
      <c r="BM135" s="324" t="n"/>
      <c r="BN135" s="324" t="n"/>
      <c r="BO135" s="324" t="n"/>
      <c r="BP135" s="324" t="n"/>
      <c r="BQ135" s="324" t="n"/>
      <c r="BR135" s="324" t="n"/>
      <c r="BS135" s="324" t="n"/>
      <c r="BT135" s="324" t="n"/>
      <c r="BU135" s="324" t="n"/>
      <c r="BV135" s="324" t="n"/>
      <c r="BW135" s="324" t="n"/>
      <c r="BX135" s="324" t="n"/>
      <c r="BY135" s="324" t="n"/>
      <c r="BZ135" s="324" t="n"/>
      <c r="CA135" s="324" t="n"/>
      <c r="CB135" s="324" t="n"/>
      <c r="CC135" s="324" t="n"/>
      <c r="CD135" s="324" t="n"/>
      <c r="CE135" s="324" t="n"/>
      <c r="CF135" s="324" t="n"/>
      <c r="CG135" s="324" t="n"/>
      <c r="CH135" s="324" t="n"/>
      <c r="CI135" s="324" t="n"/>
      <c r="CJ135" s="324" t="n"/>
      <c r="CK135" s="324" t="n"/>
      <c r="CL135" s="324" t="n"/>
      <c r="CM135" s="324" t="n"/>
      <c r="CN135" s="324" t="n"/>
      <c r="CW135" s="324" t="n"/>
      <c r="CX135" s="324" t="n"/>
      <c r="CY135" s="324" t="n"/>
      <c r="CZ135" s="324" t="n"/>
      <c r="DA135" s="324" t="n"/>
      <c r="DB135" s="324" t="n"/>
      <c r="DC135" s="324" t="n"/>
      <c r="DD135" s="324" t="n"/>
      <c r="DE135" s="325" t="n"/>
      <c r="DF135" s="325" t="n"/>
    </row>
    <row r="136" customFormat="1" s="62">
      <c r="A136" s="330" t="n"/>
      <c r="B136" s="288" t="n"/>
      <c r="C136" s="112" t="n"/>
      <c r="D136" s="15" t="n"/>
      <c r="E136" s="28" t="n"/>
      <c r="F136" s="112" t="n"/>
      <c r="G136" s="15" t="n"/>
      <c r="H136" s="28" t="n"/>
      <c r="I136" s="112" t="n"/>
      <c r="J136" s="15" t="n"/>
      <c r="K136" s="28" t="n"/>
      <c r="L136" s="112" t="n"/>
      <c r="M136" s="15" t="n"/>
      <c r="N136" s="28" t="n"/>
      <c r="O136" s="112" t="n"/>
      <c r="P136" s="15" t="n"/>
      <c r="Q136" s="28" t="n"/>
      <c r="R136" s="112" t="n"/>
      <c r="S136" s="15" t="n"/>
      <c r="T136" s="28" t="n"/>
      <c r="U136" s="112" t="n"/>
      <c r="V136" s="15" t="n"/>
      <c r="W136" s="28" t="n"/>
      <c r="X136" s="112" t="n"/>
      <c r="Y136" s="15" t="n"/>
      <c r="Z136" s="28" t="n"/>
      <c r="AA136" s="112" t="n"/>
      <c r="AB136" s="15" t="n"/>
      <c r="AC136" s="28" t="n"/>
      <c r="AD136" s="112" t="n"/>
      <c r="AE136" s="15" t="n"/>
      <c r="AF136" s="28" t="n"/>
      <c r="AG136" s="112" t="n"/>
      <c r="AH136" s="15" t="n"/>
      <c r="AI136" s="28" t="n"/>
      <c r="AJ136" s="112" t="n"/>
      <c r="AK136" s="15" t="n"/>
      <c r="AL136" s="28" t="n"/>
      <c r="AM136" s="31" t="n"/>
      <c r="AN136" s="327" t="n"/>
      <c r="AO136" s="28" t="n"/>
      <c r="AP136" s="31" t="n"/>
      <c r="AQ136" s="327" t="n"/>
      <c r="AR136" s="28" t="n"/>
      <c r="AS136" s="31" t="n"/>
      <c r="AT136" s="327" t="n"/>
      <c r="AU136" s="28" t="n"/>
      <c r="AV136" s="31" t="n"/>
      <c r="AW136" s="327" t="n"/>
      <c r="AX136" s="28" t="n"/>
      <c r="AY136" s="15" t="n"/>
      <c r="AZ136" s="15" t="n"/>
      <c r="BA136" s="324" t="n"/>
      <c r="BB136" s="324" t="n"/>
      <c r="BC136" s="324" t="n"/>
      <c r="BD136" s="324" t="n"/>
      <c r="BE136" s="324" t="n"/>
      <c r="BF136" s="324" t="n"/>
      <c r="BG136" s="324" t="n"/>
      <c r="BH136" s="324" t="n"/>
      <c r="BI136" s="324" t="n"/>
      <c r="BJ136" s="324" t="n"/>
      <c r="BK136" s="288" t="n"/>
      <c r="BL136" s="324" t="n"/>
      <c r="BM136" s="324" t="n"/>
      <c r="BN136" s="324" t="n"/>
      <c r="BO136" s="324" t="n"/>
      <c r="BP136" s="324" t="n"/>
      <c r="BQ136" s="324" t="n"/>
      <c r="BR136" s="324" t="n"/>
      <c r="BS136" s="324" t="n"/>
      <c r="BT136" s="324" t="n"/>
      <c r="BU136" s="324" t="n"/>
      <c r="BV136" s="324" t="n"/>
      <c r="BW136" s="324" t="n"/>
      <c r="BX136" s="324" t="n"/>
      <c r="BY136" s="324" t="n"/>
      <c r="BZ136" s="324" t="n"/>
      <c r="CA136" s="324" t="n"/>
      <c r="CB136" s="324" t="n"/>
      <c r="CC136" s="324" t="n"/>
      <c r="CD136" s="324" t="n"/>
      <c r="CE136" s="324" t="n"/>
      <c r="CF136" s="324" t="n"/>
      <c r="CG136" s="324" t="n"/>
      <c r="CH136" s="324" t="n"/>
      <c r="CI136" s="324" t="n"/>
      <c r="CJ136" s="324" t="n"/>
      <c r="CK136" s="324" t="n"/>
      <c r="CL136" s="324" t="n"/>
      <c r="CM136" s="324" t="n"/>
      <c r="CN136" s="324" t="n"/>
      <c r="CW136" s="324" t="n"/>
      <c r="CX136" s="324" t="n"/>
      <c r="CY136" s="324" t="n"/>
      <c r="CZ136" s="324" t="n"/>
      <c r="DA136" s="324" t="n"/>
      <c r="DB136" s="324" t="n"/>
      <c r="DC136" s="324" t="n"/>
      <c r="DD136" s="324" t="n"/>
      <c r="DE136" s="325" t="n"/>
      <c r="DF136" s="325" t="n"/>
    </row>
    <row r="137" customFormat="1" s="62">
      <c r="A137" s="326" t="n"/>
      <c r="B137" s="288" t="n"/>
      <c r="C137" s="112" t="n"/>
      <c r="D137" s="15" t="n"/>
      <c r="E137" s="28" t="n"/>
      <c r="F137" s="112" t="n"/>
      <c r="G137" s="15" t="n"/>
      <c r="H137" s="28" t="n"/>
      <c r="I137" s="112" t="n"/>
      <c r="J137" s="15" t="n"/>
      <c r="K137" s="28" t="n"/>
      <c r="L137" s="112" t="n"/>
      <c r="M137" s="15" t="n"/>
      <c r="N137" s="28" t="n"/>
      <c r="O137" s="112" t="n"/>
      <c r="P137" s="15" t="n"/>
      <c r="Q137" s="28" t="n"/>
      <c r="R137" s="112" t="n"/>
      <c r="S137" s="15" t="n"/>
      <c r="T137" s="28" t="n"/>
      <c r="U137" s="112" t="n"/>
      <c r="V137" s="15" t="n"/>
      <c r="W137" s="28" t="n"/>
      <c r="X137" s="112" t="n"/>
      <c r="Y137" s="15" t="n"/>
      <c r="Z137" s="28" t="n"/>
      <c r="AA137" s="112" t="n"/>
      <c r="AB137" s="15" t="n"/>
      <c r="AC137" s="28" t="n"/>
      <c r="AD137" s="112" t="n"/>
      <c r="AE137" s="15" t="n"/>
      <c r="AF137" s="28" t="n"/>
      <c r="AG137" s="112" t="n"/>
      <c r="AH137" s="15" t="n"/>
      <c r="AI137" s="28" t="n"/>
      <c r="AJ137" s="112" t="n"/>
      <c r="AK137" s="15" t="n"/>
      <c r="AL137" s="28" t="n"/>
      <c r="AM137" s="31" t="n"/>
      <c r="AN137" s="327" t="n"/>
      <c r="AO137" s="28" t="n"/>
      <c r="AP137" s="31" t="n"/>
      <c r="AQ137" s="327" t="n"/>
      <c r="AR137" s="28" t="n"/>
      <c r="AS137" s="31" t="n"/>
      <c r="AT137" s="327" t="n"/>
      <c r="AU137" s="28" t="n"/>
      <c r="AV137" s="31" t="n"/>
      <c r="AW137" s="327" t="n"/>
      <c r="AX137" s="28" t="n"/>
      <c r="AY137" s="15" t="n"/>
      <c r="AZ137" s="15" t="n"/>
      <c r="BA137" s="324" t="n"/>
      <c r="BB137" s="324" t="n"/>
      <c r="BC137" s="324" t="n"/>
      <c r="BD137" s="324" t="n"/>
      <c r="BE137" s="324" t="n"/>
      <c r="BF137" s="324" t="n"/>
      <c r="BG137" s="324" t="n"/>
      <c r="BH137" s="324" t="n"/>
      <c r="BI137" s="324" t="n"/>
      <c r="BJ137" s="324" t="n"/>
      <c r="BK137" s="288" t="n"/>
      <c r="BL137" s="324" t="n"/>
      <c r="BM137" s="324" t="n"/>
      <c r="BN137" s="324" t="n"/>
      <c r="BO137" s="324" t="n"/>
      <c r="BP137" s="324" t="n"/>
      <c r="BQ137" s="324" t="n"/>
      <c r="BR137" s="324" t="n"/>
      <c r="BS137" s="324" t="n"/>
      <c r="BT137" s="324" t="n"/>
      <c r="BU137" s="324" t="n"/>
      <c r="BV137" s="324" t="n"/>
      <c r="BW137" s="324" t="n"/>
      <c r="BX137" s="324" t="n"/>
      <c r="BY137" s="324" t="n"/>
      <c r="BZ137" s="324" t="n"/>
      <c r="CA137" s="324" t="n"/>
      <c r="CB137" s="324" t="n"/>
      <c r="CC137" s="324" t="n"/>
      <c r="CD137" s="324" t="n"/>
      <c r="CE137" s="324" t="n"/>
      <c r="CF137" s="324" t="n"/>
      <c r="CG137" s="324" t="n"/>
      <c r="CH137" s="324" t="n"/>
      <c r="CI137" s="324" t="n"/>
      <c r="CJ137" s="324" t="n"/>
      <c r="CK137" s="324" t="n"/>
      <c r="CL137" s="324" t="n"/>
      <c r="CM137" s="324" t="n"/>
      <c r="CN137" s="324" t="n"/>
      <c r="CW137" s="324" t="n"/>
      <c r="CX137" s="324" t="n"/>
      <c r="CY137" s="324" t="n"/>
      <c r="CZ137" s="324" t="n"/>
      <c r="DA137" s="324" t="n"/>
      <c r="DB137" s="324" t="n"/>
      <c r="DC137" s="324" t="n"/>
      <c r="DD137" s="324" t="n"/>
      <c r="DE137" s="325" t="n"/>
      <c r="DF137" s="325" t="n"/>
    </row>
    <row r="138" customFormat="1" s="62">
      <c r="A138" s="326" t="n"/>
      <c r="B138" s="288" t="n"/>
      <c r="C138" s="112" t="n"/>
      <c r="D138" s="15" t="n"/>
      <c r="E138" s="28" t="n"/>
      <c r="F138" s="112" t="n"/>
      <c r="G138" s="15" t="n"/>
      <c r="H138" s="28" t="n"/>
      <c r="I138" s="112" t="n"/>
      <c r="J138" s="15" t="n"/>
      <c r="K138" s="28" t="n"/>
      <c r="L138" s="112" t="n"/>
      <c r="M138" s="15" t="n"/>
      <c r="N138" s="28" t="n"/>
      <c r="O138" s="112" t="n"/>
      <c r="P138" s="15" t="n"/>
      <c r="Q138" s="28" t="n"/>
      <c r="R138" s="112" t="n"/>
      <c r="S138" s="15" t="n"/>
      <c r="T138" s="28" t="n"/>
      <c r="U138" s="112" t="n"/>
      <c r="V138" s="15" t="n"/>
      <c r="W138" s="28" t="n"/>
      <c r="X138" s="112" t="n"/>
      <c r="Y138" s="15" t="n"/>
      <c r="Z138" s="28" t="n"/>
      <c r="AA138" s="112" t="n"/>
      <c r="AB138" s="15" t="n"/>
      <c r="AC138" s="28" t="n"/>
      <c r="AD138" s="112" t="n"/>
      <c r="AE138" s="15" t="n"/>
      <c r="AF138" s="28" t="n"/>
      <c r="AG138" s="112" t="n"/>
      <c r="AH138" s="15" t="n"/>
      <c r="AI138" s="28" t="n"/>
      <c r="AJ138" s="112" t="n"/>
      <c r="AK138" s="15" t="n"/>
      <c r="AL138" s="28" t="n"/>
      <c r="AM138" s="31" t="n"/>
      <c r="AN138" s="327" t="n"/>
      <c r="AO138" s="28" t="n"/>
      <c r="AP138" s="31" t="n"/>
      <c r="AQ138" s="327" t="n"/>
      <c r="AR138" s="28" t="n"/>
      <c r="AS138" s="31" t="n"/>
      <c r="AT138" s="327" t="n"/>
      <c r="AU138" s="28" t="n"/>
      <c r="AV138" s="31" t="n"/>
      <c r="AW138" s="327" t="n"/>
      <c r="AX138" s="28" t="n"/>
      <c r="AY138" s="15" t="n"/>
      <c r="AZ138" s="15" t="n"/>
      <c r="BA138" s="324" t="n"/>
      <c r="BB138" s="324" t="n"/>
      <c r="BC138" s="324" t="n"/>
      <c r="BD138" s="324" t="n"/>
      <c r="BE138" s="324" t="n"/>
      <c r="BF138" s="324" t="n"/>
      <c r="BG138" s="324" t="n"/>
      <c r="BH138" s="324" t="n"/>
      <c r="BI138" s="324" t="n"/>
      <c r="BJ138" s="324" t="n"/>
      <c r="BK138" s="288" t="n"/>
      <c r="BL138" s="324" t="n"/>
      <c r="BM138" s="324" t="n"/>
      <c r="BN138" s="324" t="n"/>
      <c r="BO138" s="324" t="n"/>
      <c r="BP138" s="324" t="n"/>
      <c r="BQ138" s="324" t="n"/>
      <c r="BR138" s="324" t="n"/>
      <c r="BS138" s="324" t="n"/>
      <c r="BT138" s="324" t="n"/>
      <c r="BU138" s="324" t="n"/>
      <c r="BV138" s="324" t="n"/>
      <c r="BW138" s="324" t="n"/>
      <c r="BX138" s="324" t="n"/>
      <c r="BY138" s="324" t="n"/>
      <c r="BZ138" s="324" t="n"/>
      <c r="CA138" s="324" t="n"/>
      <c r="CB138" s="324" t="n"/>
      <c r="CC138" s="324" t="n"/>
      <c r="CD138" s="324" t="n"/>
      <c r="CE138" s="324" t="n"/>
      <c r="CF138" s="324" t="n"/>
      <c r="CG138" s="324" t="n"/>
      <c r="CH138" s="324" t="n"/>
      <c r="CI138" s="324" t="n"/>
      <c r="CJ138" s="324" t="n"/>
      <c r="CK138" s="324" t="n"/>
      <c r="CL138" s="324" t="n"/>
      <c r="CM138" s="324" t="n"/>
      <c r="CN138" s="324" t="n"/>
      <c r="CW138" s="324" t="n"/>
      <c r="CX138" s="324" t="n"/>
      <c r="CY138" s="324" t="n"/>
      <c r="CZ138" s="324" t="n"/>
      <c r="DA138" s="324" t="n"/>
      <c r="DB138" s="324" t="n"/>
      <c r="DC138" s="324" t="n"/>
      <c r="DD138" s="324" t="n"/>
      <c r="DE138" s="325" t="n"/>
      <c r="DF138" s="325" t="n"/>
    </row>
    <row r="139" customFormat="1" s="62">
      <c r="A139" s="326" t="n"/>
      <c r="B139" s="288" t="n"/>
      <c r="C139" s="112" t="n"/>
      <c r="D139" s="15" t="n"/>
      <c r="E139" s="28" t="n"/>
      <c r="F139" s="112" t="n"/>
      <c r="G139" s="15" t="n"/>
      <c r="H139" s="28" t="n"/>
      <c r="I139" s="112" t="n"/>
      <c r="J139" s="15" t="n"/>
      <c r="K139" s="28" t="n"/>
      <c r="L139" s="112" t="n"/>
      <c r="M139" s="15" t="n"/>
      <c r="N139" s="28" t="n"/>
      <c r="O139" s="112" t="n"/>
      <c r="P139" s="15" t="n"/>
      <c r="Q139" s="28" t="n"/>
      <c r="R139" s="112" t="n"/>
      <c r="S139" s="15" t="n"/>
      <c r="T139" s="28" t="n"/>
      <c r="U139" s="112" t="n"/>
      <c r="V139" s="15" t="n"/>
      <c r="W139" s="28" t="n"/>
      <c r="X139" s="112" t="n"/>
      <c r="Y139" s="15" t="n"/>
      <c r="Z139" s="28" t="n"/>
      <c r="AA139" s="112" t="n"/>
      <c r="AB139" s="15" t="n"/>
      <c r="AC139" s="28" t="n"/>
      <c r="AD139" s="112" t="n"/>
      <c r="AE139" s="15" t="n"/>
      <c r="AF139" s="28" t="n"/>
      <c r="AG139" s="112" t="n"/>
      <c r="AH139" s="15" t="n"/>
      <c r="AI139" s="28" t="n"/>
      <c r="AJ139" s="112" t="n"/>
      <c r="AK139" s="15" t="n"/>
      <c r="AL139" s="28" t="n"/>
      <c r="AM139" s="31" t="n"/>
      <c r="AN139" s="327" t="n"/>
      <c r="AO139" s="28" t="n"/>
      <c r="AP139" s="31" t="n"/>
      <c r="AQ139" s="327" t="n"/>
      <c r="AR139" s="28" t="n"/>
      <c r="AS139" s="31" t="n"/>
      <c r="AT139" s="327" t="n"/>
      <c r="AU139" s="28" t="n"/>
      <c r="AV139" s="31" t="n"/>
      <c r="AW139" s="327" t="n"/>
      <c r="AX139" s="28" t="n"/>
      <c r="AY139" s="15" t="n"/>
      <c r="AZ139" s="15" t="n"/>
      <c r="BA139" s="324" t="n"/>
      <c r="BB139" s="324" t="n"/>
      <c r="BC139" s="324" t="n"/>
      <c r="BD139" s="324" t="n"/>
      <c r="BE139" s="324" t="n"/>
      <c r="BF139" s="324" t="n"/>
      <c r="BG139" s="324" t="n"/>
      <c r="BH139" s="324" t="n"/>
      <c r="BI139" s="324" t="n"/>
      <c r="BJ139" s="324" t="n"/>
      <c r="BK139" s="288" t="n"/>
      <c r="BL139" s="324" t="n"/>
      <c r="BM139" s="324" t="n"/>
      <c r="BN139" s="324" t="n"/>
      <c r="BO139" s="324" t="n"/>
      <c r="BP139" s="324" t="n"/>
      <c r="BQ139" s="324" t="n"/>
      <c r="BR139" s="324" t="n"/>
      <c r="BS139" s="324" t="n"/>
      <c r="BT139" s="324" t="n"/>
      <c r="BU139" s="324" t="n"/>
      <c r="BV139" s="324" t="n"/>
      <c r="BW139" s="324" t="n"/>
      <c r="BX139" s="324" t="n"/>
      <c r="BY139" s="324" t="n"/>
      <c r="BZ139" s="324" t="n"/>
      <c r="CA139" s="324" t="n"/>
      <c r="CB139" s="324" t="n"/>
      <c r="CC139" s="324" t="n"/>
      <c r="CD139" s="324" t="n"/>
      <c r="CE139" s="324" t="n"/>
      <c r="CF139" s="324" t="n"/>
      <c r="CG139" s="324" t="n"/>
      <c r="CH139" s="324" t="n"/>
      <c r="CI139" s="324" t="n"/>
      <c r="CJ139" s="324" t="n"/>
      <c r="CK139" s="324" t="n"/>
      <c r="CL139" s="324" t="n"/>
      <c r="CM139" s="324" t="n"/>
      <c r="CN139" s="324" t="n"/>
      <c r="CW139" s="324" t="n"/>
      <c r="CX139" s="324" t="n"/>
      <c r="CY139" s="324" t="n"/>
      <c r="CZ139" s="324" t="n"/>
      <c r="DA139" s="324" t="n"/>
      <c r="DB139" s="324" t="n"/>
      <c r="DC139" s="324" t="n"/>
      <c r="DD139" s="324" t="n"/>
      <c r="DE139" s="325" t="n"/>
      <c r="DF139" s="325" t="n"/>
    </row>
    <row r="140" customFormat="1" s="62">
      <c r="A140" s="326" t="n"/>
      <c r="B140" s="288" t="n"/>
      <c r="C140" s="112" t="n"/>
      <c r="D140" s="15" t="n"/>
      <c r="E140" s="28" t="n"/>
      <c r="F140" s="112" t="n"/>
      <c r="G140" s="15" t="n"/>
      <c r="H140" s="28" t="n"/>
      <c r="I140" s="112" t="n"/>
      <c r="J140" s="15" t="n"/>
      <c r="K140" s="28" t="n"/>
      <c r="L140" s="112" t="n"/>
      <c r="M140" s="15" t="n"/>
      <c r="N140" s="28" t="n"/>
      <c r="O140" s="112" t="n"/>
      <c r="P140" s="15" t="n"/>
      <c r="Q140" s="28" t="n"/>
      <c r="R140" s="112" t="n"/>
      <c r="S140" s="15" t="n"/>
      <c r="T140" s="28" t="n"/>
      <c r="U140" s="112" t="n"/>
      <c r="V140" s="15" t="n"/>
      <c r="W140" s="28" t="n"/>
      <c r="X140" s="112" t="n"/>
      <c r="Y140" s="15" t="n"/>
      <c r="Z140" s="28" t="n"/>
      <c r="AA140" s="112" t="n"/>
      <c r="AB140" s="15" t="n"/>
      <c r="AC140" s="28" t="n"/>
      <c r="AD140" s="112" t="n"/>
      <c r="AE140" s="15" t="n"/>
      <c r="AF140" s="28" t="n"/>
      <c r="AG140" s="112" t="n"/>
      <c r="AH140" s="15" t="n"/>
      <c r="AI140" s="28" t="n"/>
      <c r="AJ140" s="112" t="n"/>
      <c r="AK140" s="15" t="n"/>
      <c r="AL140" s="28" t="n"/>
      <c r="AM140" s="31" t="n"/>
      <c r="AN140" s="327" t="n"/>
      <c r="AO140" s="28" t="n"/>
      <c r="AP140" s="31" t="n"/>
      <c r="AQ140" s="327" t="n"/>
      <c r="AR140" s="28" t="n"/>
      <c r="AS140" s="31" t="n"/>
      <c r="AT140" s="327" t="n"/>
      <c r="AU140" s="28" t="n"/>
      <c r="AV140" s="31" t="n"/>
      <c r="AW140" s="327" t="n"/>
      <c r="AX140" s="28" t="n"/>
      <c r="AY140" s="15" t="n"/>
      <c r="AZ140" s="15" t="n"/>
      <c r="BA140" s="324" t="n"/>
      <c r="BB140" s="324" t="n"/>
      <c r="BC140" s="324" t="n"/>
      <c r="BD140" s="324" t="n"/>
      <c r="BE140" s="324" t="n"/>
      <c r="BF140" s="324" t="n"/>
      <c r="BG140" s="324" t="n"/>
      <c r="BH140" s="324" t="n"/>
      <c r="BI140" s="324" t="n"/>
      <c r="BJ140" s="324" t="n"/>
      <c r="BK140" s="288" t="n"/>
      <c r="BL140" s="324" t="n"/>
      <c r="BM140" s="324" t="n"/>
      <c r="BN140" s="324" t="n"/>
      <c r="BO140" s="324" t="n"/>
      <c r="BP140" s="324" t="n"/>
      <c r="BQ140" s="324" t="n"/>
      <c r="BR140" s="324" t="n"/>
      <c r="BS140" s="324" t="n"/>
      <c r="BT140" s="324" t="n"/>
      <c r="BU140" s="324" t="n"/>
      <c r="BV140" s="324" t="n"/>
      <c r="BW140" s="324" t="n"/>
      <c r="BX140" s="324" t="n"/>
      <c r="BY140" s="324" t="n"/>
      <c r="BZ140" s="324" t="n"/>
      <c r="CA140" s="324" t="n"/>
      <c r="CB140" s="324" t="n"/>
      <c r="CC140" s="324" t="n"/>
      <c r="CD140" s="324" t="n"/>
      <c r="CE140" s="324" t="n"/>
      <c r="CF140" s="324" t="n"/>
      <c r="CG140" s="324" t="n"/>
      <c r="CH140" s="324" t="n"/>
      <c r="CI140" s="324" t="n"/>
      <c r="CJ140" s="324" t="n"/>
      <c r="CK140" s="324" t="n"/>
      <c r="CL140" s="324" t="n"/>
      <c r="CM140" s="324" t="n"/>
      <c r="CN140" s="324" t="n"/>
      <c r="CW140" s="324" t="n"/>
      <c r="CX140" s="324" t="n"/>
      <c r="CY140" s="324" t="n"/>
      <c r="CZ140" s="324" t="n"/>
      <c r="DA140" s="324" t="n"/>
      <c r="DB140" s="324" t="n"/>
      <c r="DC140" s="324" t="n"/>
      <c r="DD140" s="324" t="n"/>
      <c r="DE140" s="325" t="n"/>
      <c r="DF140" s="325" t="n"/>
    </row>
    <row r="141" customFormat="1" s="62">
      <c r="A141" s="326" t="n"/>
      <c r="B141" s="288" t="n"/>
      <c r="C141" s="112" t="n"/>
      <c r="D141" s="15" t="n"/>
      <c r="E141" s="28" t="n"/>
      <c r="F141" s="112" t="n"/>
      <c r="G141" s="15" t="n"/>
      <c r="H141" s="28" t="n"/>
      <c r="I141" s="112" t="n"/>
      <c r="J141" s="15" t="n"/>
      <c r="K141" s="28" t="n"/>
      <c r="L141" s="112" t="n"/>
      <c r="M141" s="15" t="n"/>
      <c r="N141" s="28" t="n"/>
      <c r="O141" s="112" t="n"/>
      <c r="P141" s="15" t="n"/>
      <c r="Q141" s="28" t="n"/>
      <c r="R141" s="112" t="n"/>
      <c r="S141" s="15" t="n"/>
      <c r="T141" s="28" t="n"/>
      <c r="U141" s="112" t="n"/>
      <c r="V141" s="15" t="n"/>
      <c r="W141" s="28" t="n"/>
      <c r="X141" s="112" t="n"/>
      <c r="Y141" s="15" t="n"/>
      <c r="Z141" s="28" t="n"/>
      <c r="AA141" s="112" t="n"/>
      <c r="AB141" s="15" t="n"/>
      <c r="AC141" s="28" t="n"/>
      <c r="AD141" s="112" t="n"/>
      <c r="AE141" s="15" t="n"/>
      <c r="AF141" s="28" t="n"/>
      <c r="AG141" s="112" t="n"/>
      <c r="AH141" s="15" t="n"/>
      <c r="AI141" s="28" t="n"/>
      <c r="AJ141" s="112" t="n"/>
      <c r="AK141" s="15" t="n"/>
      <c r="AL141" s="28" t="n"/>
      <c r="AM141" s="31" t="n"/>
      <c r="AN141" s="327" t="n"/>
      <c r="AO141" s="28" t="n"/>
      <c r="AP141" s="31" t="n"/>
      <c r="AQ141" s="327" t="n"/>
      <c r="AR141" s="28" t="n"/>
      <c r="AS141" s="31" t="n"/>
      <c r="AT141" s="327" t="n"/>
      <c r="AU141" s="28" t="n"/>
      <c r="AV141" s="31" t="n"/>
      <c r="AW141" s="327" t="n"/>
      <c r="AX141" s="28" t="n"/>
      <c r="AY141" s="15" t="n"/>
      <c r="AZ141" s="15" t="n"/>
      <c r="BA141" s="324" t="n"/>
      <c r="BB141" s="324" t="n"/>
      <c r="BC141" s="324" t="n"/>
      <c r="BD141" s="324" t="n"/>
      <c r="BE141" s="324" t="n"/>
      <c r="BF141" s="324" t="n"/>
      <c r="BG141" s="324" t="n"/>
      <c r="BH141" s="324" t="n"/>
      <c r="BI141" s="324" t="n"/>
      <c r="BJ141" s="324" t="n"/>
      <c r="BK141" s="288" t="n"/>
      <c r="BL141" s="324" t="n"/>
      <c r="BM141" s="324" t="n"/>
      <c r="BN141" s="324" t="n"/>
      <c r="BO141" s="324" t="n"/>
      <c r="BP141" s="324" t="n"/>
      <c r="BQ141" s="324" t="n"/>
      <c r="BR141" s="324" t="n"/>
      <c r="BS141" s="324" t="n"/>
      <c r="BT141" s="324" t="n"/>
      <c r="BU141" s="324" t="n"/>
      <c r="BV141" s="324" t="n"/>
      <c r="BW141" s="324" t="n"/>
      <c r="BX141" s="324" t="n"/>
      <c r="BY141" s="324" t="n"/>
      <c r="BZ141" s="324" t="n"/>
      <c r="CA141" s="324" t="n"/>
      <c r="CB141" s="324" t="n"/>
      <c r="CC141" s="324" t="n"/>
      <c r="CD141" s="324" t="n"/>
      <c r="CE141" s="324" t="n"/>
      <c r="CF141" s="324" t="n"/>
      <c r="CG141" s="324" t="n"/>
      <c r="CH141" s="324" t="n"/>
      <c r="CI141" s="324" t="n"/>
      <c r="CJ141" s="324" t="n"/>
      <c r="CK141" s="324" t="n"/>
      <c r="CL141" s="324" t="n"/>
      <c r="CM141" s="324" t="n"/>
      <c r="CN141" s="324" t="n"/>
      <c r="CW141" s="324" t="n"/>
      <c r="CX141" s="324" t="n"/>
      <c r="CY141" s="324" t="n"/>
      <c r="CZ141" s="324" t="n"/>
      <c r="DA141" s="324" t="n"/>
      <c r="DB141" s="324" t="n"/>
      <c r="DC141" s="324" t="n"/>
      <c r="DD141" s="324" t="n"/>
      <c r="DE141" s="325" t="n"/>
      <c r="DF141" s="325" t="n"/>
    </row>
    <row r="142" customFormat="1" s="62">
      <c r="A142" s="326" t="n"/>
      <c r="B142" s="288" t="n"/>
      <c r="C142" s="112" t="n"/>
      <c r="D142" s="15" t="n"/>
      <c r="E142" s="28" t="n"/>
      <c r="F142" s="112" t="n"/>
      <c r="G142" s="15" t="n"/>
      <c r="H142" s="28" t="n"/>
      <c r="I142" s="112" t="n"/>
      <c r="J142" s="15" t="n"/>
      <c r="K142" s="28" t="n"/>
      <c r="L142" s="112" t="n"/>
      <c r="M142" s="15" t="n"/>
      <c r="N142" s="28" t="n"/>
      <c r="O142" s="112" t="n"/>
      <c r="P142" s="15" t="n"/>
      <c r="Q142" s="28" t="n"/>
      <c r="R142" s="112" t="n"/>
      <c r="S142" s="15" t="n"/>
      <c r="T142" s="28" t="n"/>
      <c r="U142" s="112" t="n"/>
      <c r="V142" s="15" t="n"/>
      <c r="W142" s="28" t="n"/>
      <c r="X142" s="112" t="n"/>
      <c r="Y142" s="15" t="n"/>
      <c r="Z142" s="28" t="n"/>
      <c r="AA142" s="112" t="n"/>
      <c r="AB142" s="15" t="n"/>
      <c r="AC142" s="28" t="n"/>
      <c r="AD142" s="112" t="n"/>
      <c r="AE142" s="15" t="n"/>
      <c r="AF142" s="28" t="n"/>
      <c r="AG142" s="112" t="n"/>
      <c r="AH142" s="15" t="n"/>
      <c r="AI142" s="28" t="n"/>
      <c r="AJ142" s="112" t="n"/>
      <c r="AK142" s="15" t="n"/>
      <c r="AL142" s="28" t="n"/>
      <c r="AM142" s="31" t="n"/>
      <c r="AN142" s="327" t="n"/>
      <c r="AO142" s="28" t="n"/>
      <c r="AP142" s="31" t="n"/>
      <c r="AQ142" s="327" t="n"/>
      <c r="AR142" s="28" t="n"/>
      <c r="AS142" s="31" t="n"/>
      <c r="AT142" s="327" t="n"/>
      <c r="AU142" s="28" t="n"/>
      <c r="AV142" s="31" t="n"/>
      <c r="AW142" s="327" t="n"/>
      <c r="AX142" s="28" t="n"/>
      <c r="AY142" s="15" t="n"/>
      <c r="AZ142" s="15" t="n"/>
      <c r="BA142" s="324" t="n"/>
      <c r="BB142" s="324" t="n"/>
      <c r="BC142" s="324" t="n"/>
      <c r="BD142" s="324" t="n"/>
      <c r="BE142" s="324" t="n"/>
      <c r="BF142" s="324" t="n"/>
      <c r="BG142" s="324" t="n"/>
      <c r="BH142" s="324" t="n"/>
      <c r="BI142" s="324" t="n"/>
      <c r="BJ142" s="324" t="n"/>
      <c r="BK142" s="288" t="n"/>
      <c r="BL142" s="324" t="n"/>
      <c r="BM142" s="324" t="n"/>
      <c r="BN142" s="324" t="n"/>
      <c r="BO142" s="324" t="n"/>
      <c r="BP142" s="324" t="n"/>
      <c r="BQ142" s="324" t="n"/>
      <c r="BR142" s="324" t="n"/>
      <c r="BS142" s="324" t="n"/>
      <c r="BT142" s="324" t="n"/>
      <c r="BU142" s="324" t="n"/>
      <c r="BV142" s="324" t="n"/>
      <c r="BW142" s="324" t="n"/>
      <c r="BX142" s="324" t="n"/>
      <c r="BY142" s="324" t="n"/>
      <c r="BZ142" s="324" t="n"/>
      <c r="CA142" s="324" t="n"/>
      <c r="CB142" s="324" t="n"/>
      <c r="CC142" s="324" t="n"/>
      <c r="CD142" s="324" t="n"/>
      <c r="CE142" s="324" t="n"/>
      <c r="CF142" s="324" t="n"/>
      <c r="CG142" s="324" t="n"/>
      <c r="CH142" s="324" t="n"/>
      <c r="CI142" s="324" t="n"/>
      <c r="CJ142" s="324" t="n"/>
      <c r="CK142" s="324" t="n"/>
      <c r="CL142" s="324" t="n"/>
      <c r="CM142" s="324" t="n"/>
      <c r="CN142" s="324" t="n"/>
      <c r="CW142" s="324" t="n"/>
      <c r="CX142" s="324" t="n"/>
      <c r="CY142" s="324" t="n"/>
      <c r="CZ142" s="324" t="n"/>
      <c r="DA142" s="324" t="n"/>
      <c r="DB142" s="324" t="n"/>
      <c r="DC142" s="324" t="n"/>
      <c r="DD142" s="324" t="n"/>
      <c r="DE142" s="325" t="n"/>
      <c r="DF142" s="325" t="n"/>
    </row>
    <row r="143" customFormat="1" s="62">
      <c r="A143" s="326" t="n"/>
      <c r="B143" s="288" t="n"/>
      <c r="C143" s="112" t="n"/>
      <c r="D143" s="15" t="n"/>
      <c r="E143" s="28" t="n"/>
      <c r="F143" s="112" t="n"/>
      <c r="G143" s="15" t="n"/>
      <c r="H143" s="28" t="n"/>
      <c r="I143" s="112" t="n"/>
      <c r="J143" s="15" t="n"/>
      <c r="K143" s="28" t="n"/>
      <c r="L143" s="112" t="n"/>
      <c r="M143" s="15" t="n"/>
      <c r="N143" s="28" t="n"/>
      <c r="O143" s="112" t="n"/>
      <c r="P143" s="15" t="n"/>
      <c r="Q143" s="28" t="n"/>
      <c r="R143" s="112" t="n"/>
      <c r="S143" s="15" t="n"/>
      <c r="T143" s="28" t="n"/>
      <c r="U143" s="112" t="n"/>
      <c r="V143" s="15" t="n"/>
      <c r="W143" s="28" t="n"/>
      <c r="X143" s="112" t="n"/>
      <c r="Y143" s="15" t="n"/>
      <c r="Z143" s="28" t="n"/>
      <c r="AA143" s="112" t="n"/>
      <c r="AB143" s="15" t="n"/>
      <c r="AC143" s="28" t="n"/>
      <c r="AD143" s="112" t="n"/>
      <c r="AE143" s="15" t="n"/>
      <c r="AF143" s="28" t="n"/>
      <c r="AG143" s="112" t="n"/>
      <c r="AH143" s="15" t="n"/>
      <c r="AI143" s="28" t="n"/>
      <c r="AJ143" s="112" t="n"/>
      <c r="AK143" s="15" t="n"/>
      <c r="AL143" s="28" t="n"/>
      <c r="AM143" s="31" t="n"/>
      <c r="AN143" s="327" t="n"/>
      <c r="AO143" s="28" t="n"/>
      <c r="AP143" s="31" t="n"/>
      <c r="AQ143" s="327" t="n"/>
      <c r="AR143" s="28" t="n"/>
      <c r="AS143" s="31" t="n"/>
      <c r="AT143" s="327" t="n"/>
      <c r="AU143" s="28" t="n"/>
      <c r="AV143" s="31" t="n"/>
      <c r="AW143" s="327" t="n"/>
      <c r="AX143" s="28" t="n"/>
      <c r="AY143" s="15" t="n"/>
      <c r="AZ143" s="15" t="n"/>
      <c r="BA143" s="324" t="n"/>
      <c r="BB143" s="324" t="n"/>
      <c r="BC143" s="324" t="n"/>
      <c r="BD143" s="324" t="n"/>
      <c r="BE143" s="324" t="n"/>
      <c r="BF143" s="324" t="n"/>
      <c r="BG143" s="324" t="n"/>
      <c r="BH143" s="324" t="n"/>
      <c r="BI143" s="324" t="n"/>
      <c r="BJ143" s="324" t="n"/>
      <c r="BK143" s="288" t="n"/>
      <c r="BL143" s="324" t="n"/>
      <c r="BM143" s="324" t="n"/>
      <c r="BN143" s="324" t="n"/>
      <c r="BO143" s="324" t="n"/>
      <c r="BP143" s="324" t="n"/>
      <c r="BQ143" s="324" t="n"/>
      <c r="BR143" s="324" t="n"/>
      <c r="BS143" s="324" t="n"/>
      <c r="BT143" s="324" t="n"/>
      <c r="BU143" s="324" t="n"/>
      <c r="BV143" s="324" t="n"/>
      <c r="BW143" s="324" t="n"/>
      <c r="BX143" s="324" t="n"/>
      <c r="BY143" s="324" t="n"/>
      <c r="BZ143" s="324" t="n"/>
      <c r="CA143" s="324" t="n"/>
      <c r="CB143" s="324" t="n"/>
      <c r="CC143" s="324" t="n"/>
      <c r="CD143" s="324" t="n"/>
      <c r="CE143" s="324" t="n"/>
      <c r="CF143" s="324" t="n"/>
      <c r="CG143" s="324" t="n"/>
      <c r="CH143" s="324" t="n"/>
      <c r="CI143" s="324" t="n"/>
      <c r="CJ143" s="324" t="n"/>
      <c r="CK143" s="324" t="n"/>
      <c r="CL143" s="324" t="n"/>
      <c r="CM143" s="324" t="n"/>
      <c r="CN143" s="324" t="n"/>
      <c r="CW143" s="324" t="n"/>
      <c r="CX143" s="324" t="n"/>
      <c r="CY143" s="324" t="n"/>
      <c r="CZ143" s="324" t="n"/>
      <c r="DA143" s="324" t="n"/>
      <c r="DB143" s="324" t="n"/>
      <c r="DC143" s="324" t="n"/>
      <c r="DD143" s="324" t="n"/>
      <c r="DE143" s="325" t="n"/>
      <c r="DF143" s="325" t="n"/>
    </row>
    <row r="144" customFormat="1" s="62">
      <c r="A144" s="326" t="n"/>
      <c r="B144" s="288" t="n"/>
      <c r="C144" s="112" t="n"/>
      <c r="D144" s="15" t="n"/>
      <c r="E144" s="28" t="n"/>
      <c r="F144" s="112" t="n"/>
      <c r="G144" s="15" t="n"/>
      <c r="H144" s="28" t="n"/>
      <c r="I144" s="112" t="n"/>
      <c r="J144" s="15" t="n"/>
      <c r="K144" s="28" t="n"/>
      <c r="L144" s="112" t="n"/>
      <c r="M144" s="15" t="n"/>
      <c r="N144" s="28" t="n"/>
      <c r="O144" s="112" t="n"/>
      <c r="P144" s="15" t="n"/>
      <c r="Q144" s="28" t="n"/>
      <c r="R144" s="112" t="n"/>
      <c r="S144" s="15" t="n"/>
      <c r="T144" s="28" t="n"/>
      <c r="U144" s="112" t="n"/>
      <c r="V144" s="15" t="n"/>
      <c r="W144" s="28" t="n"/>
      <c r="X144" s="112" t="n"/>
      <c r="Y144" s="15" t="n"/>
      <c r="Z144" s="28" t="n"/>
      <c r="AA144" s="112" t="n"/>
      <c r="AB144" s="15" t="n"/>
      <c r="AC144" s="28" t="n"/>
      <c r="AD144" s="112" t="n"/>
      <c r="AE144" s="15" t="n"/>
      <c r="AF144" s="28" t="n"/>
      <c r="AG144" s="112" t="n"/>
      <c r="AH144" s="15" t="n"/>
      <c r="AI144" s="28" t="n"/>
      <c r="AJ144" s="112" t="n"/>
      <c r="AK144" s="15" t="n"/>
      <c r="AL144" s="28" t="n"/>
      <c r="AM144" s="31" t="n"/>
      <c r="AN144" s="327" t="n"/>
      <c r="AO144" s="28" t="n"/>
      <c r="AP144" s="31" t="n"/>
      <c r="AQ144" s="327" t="n"/>
      <c r="AR144" s="28" t="n"/>
      <c r="AS144" s="31" t="n"/>
      <c r="AT144" s="327" t="n"/>
      <c r="AU144" s="28" t="n"/>
      <c r="AV144" s="31" t="n"/>
      <c r="AW144" s="327" t="n"/>
      <c r="AX144" s="28" t="n"/>
      <c r="AY144" s="15" t="n"/>
      <c r="AZ144" s="15" t="n"/>
      <c r="BA144" s="324" t="n"/>
      <c r="BB144" s="324" t="n"/>
      <c r="BC144" s="324" t="n"/>
      <c r="BD144" s="324" t="n"/>
      <c r="BE144" s="324" t="n"/>
      <c r="BF144" s="324" t="n"/>
      <c r="BG144" s="324" t="n"/>
      <c r="BH144" s="324" t="n"/>
      <c r="BI144" s="324" t="n"/>
      <c r="BJ144" s="324" t="n"/>
      <c r="BK144" s="288" t="n"/>
      <c r="BL144" s="324" t="n"/>
      <c r="BM144" s="324" t="n"/>
      <c r="BN144" s="324" t="n"/>
      <c r="BO144" s="324" t="n"/>
      <c r="BP144" s="324" t="n"/>
      <c r="BQ144" s="324" t="n"/>
      <c r="BR144" s="324" t="n"/>
      <c r="BS144" s="324" t="n"/>
      <c r="BT144" s="324" t="n"/>
      <c r="BU144" s="324" t="n"/>
      <c r="BV144" s="324" t="n"/>
      <c r="BW144" s="324" t="n"/>
      <c r="BX144" s="324" t="n"/>
      <c r="BY144" s="324" t="n"/>
      <c r="BZ144" s="324" t="n"/>
      <c r="CA144" s="324" t="n"/>
      <c r="CB144" s="324" t="n"/>
      <c r="CC144" s="324" t="n"/>
      <c r="CD144" s="324" t="n"/>
      <c r="CE144" s="324" t="n"/>
      <c r="CF144" s="324" t="n"/>
      <c r="CG144" s="324" t="n"/>
      <c r="CH144" s="324" t="n"/>
      <c r="CI144" s="324" t="n"/>
      <c r="CJ144" s="324" t="n"/>
      <c r="CK144" s="324" t="n"/>
      <c r="CL144" s="324" t="n"/>
      <c r="CM144" s="324" t="n"/>
      <c r="CN144" s="324" t="n"/>
      <c r="CW144" s="324" t="n"/>
      <c r="CX144" s="324" t="n"/>
      <c r="CY144" s="324" t="n"/>
      <c r="CZ144" s="324" t="n"/>
      <c r="DA144" s="324" t="n"/>
      <c r="DB144" s="324" t="n"/>
      <c r="DC144" s="324" t="n"/>
      <c r="DD144" s="324" t="n"/>
      <c r="DE144" s="325" t="n"/>
      <c r="DF144" s="325" t="n"/>
    </row>
    <row r="145" customFormat="1" s="62">
      <c r="A145" s="326" t="n"/>
      <c r="B145" s="288" t="n"/>
      <c r="C145" s="112" t="n"/>
      <c r="D145" s="15" t="n"/>
      <c r="E145" s="28" t="n"/>
      <c r="F145" s="112" t="n"/>
      <c r="G145" s="15" t="n"/>
      <c r="H145" s="28" t="n"/>
      <c r="I145" s="112" t="n"/>
      <c r="J145" s="15" t="n"/>
      <c r="K145" s="28" t="n"/>
      <c r="L145" s="112" t="n"/>
      <c r="M145" s="15" t="n"/>
      <c r="N145" s="28" t="n"/>
      <c r="O145" s="112" t="n"/>
      <c r="P145" s="15" t="n"/>
      <c r="Q145" s="28" t="n"/>
      <c r="R145" s="112" t="n"/>
      <c r="S145" s="15" t="n"/>
      <c r="T145" s="28" t="n"/>
      <c r="U145" s="112" t="n"/>
      <c r="V145" s="15" t="n"/>
      <c r="W145" s="28" t="n"/>
      <c r="X145" s="112" t="n"/>
      <c r="Y145" s="15" t="n"/>
      <c r="Z145" s="28" t="n"/>
      <c r="AA145" s="112" t="n"/>
      <c r="AB145" s="15" t="n"/>
      <c r="AC145" s="28" t="n"/>
      <c r="AD145" s="112" t="n"/>
      <c r="AE145" s="15" t="n"/>
      <c r="AF145" s="28" t="n"/>
      <c r="AG145" s="112" t="n"/>
      <c r="AH145" s="15" t="n"/>
      <c r="AI145" s="28" t="n"/>
      <c r="AJ145" s="112" t="n"/>
      <c r="AK145" s="15" t="n"/>
      <c r="AL145" s="28" t="n"/>
      <c r="AM145" s="31" t="n"/>
      <c r="AN145" s="327" t="n"/>
      <c r="AO145" s="28" t="n"/>
      <c r="AP145" s="31" t="n"/>
      <c r="AQ145" s="327" t="n"/>
      <c r="AR145" s="28" t="n"/>
      <c r="AS145" s="31" t="n"/>
      <c r="AT145" s="327" t="n"/>
      <c r="AU145" s="28" t="n"/>
      <c r="AV145" s="31" t="n"/>
      <c r="AW145" s="327" t="n"/>
      <c r="AX145" s="28" t="n"/>
      <c r="AY145" s="15" t="n"/>
      <c r="AZ145" s="15" t="n"/>
      <c r="BA145" s="324" t="n"/>
      <c r="BB145" s="324" t="n"/>
      <c r="BC145" s="324" t="n"/>
      <c r="BD145" s="324" t="n"/>
      <c r="BE145" s="324" t="n"/>
      <c r="BF145" s="324" t="n"/>
      <c r="BG145" s="324" t="n"/>
      <c r="BH145" s="324" t="n"/>
      <c r="BI145" s="324" t="n"/>
      <c r="BJ145" s="324" t="n"/>
      <c r="BK145" s="288" t="n"/>
      <c r="BL145" s="324" t="n"/>
      <c r="BM145" s="324" t="n"/>
      <c r="BN145" s="324" t="n"/>
      <c r="BO145" s="324" t="n"/>
      <c r="BP145" s="324" t="n"/>
      <c r="BQ145" s="324" t="n"/>
      <c r="BR145" s="324" t="n"/>
      <c r="BS145" s="324" t="n"/>
      <c r="BT145" s="324" t="n"/>
      <c r="BU145" s="324" t="n"/>
      <c r="BV145" s="324" t="n"/>
      <c r="BW145" s="324" t="n"/>
      <c r="BX145" s="324" t="n"/>
      <c r="BY145" s="324" t="n"/>
      <c r="BZ145" s="324" t="n"/>
      <c r="CA145" s="324" t="n"/>
      <c r="CB145" s="324" t="n"/>
      <c r="CC145" s="324" t="n"/>
      <c r="CD145" s="324" t="n"/>
      <c r="CE145" s="324" t="n"/>
      <c r="CF145" s="324" t="n"/>
      <c r="CG145" s="324" t="n"/>
      <c r="CH145" s="324" t="n"/>
      <c r="CI145" s="324" t="n"/>
      <c r="CJ145" s="324" t="n"/>
      <c r="CK145" s="324" t="n"/>
      <c r="CL145" s="324" t="n"/>
      <c r="CM145" s="324" t="n"/>
      <c r="CN145" s="324" t="n"/>
      <c r="CW145" s="324" t="n"/>
      <c r="CX145" s="324" t="n"/>
      <c r="CY145" s="324" t="n"/>
      <c r="CZ145" s="324" t="n"/>
      <c r="DA145" s="324" t="n"/>
      <c r="DB145" s="324" t="n"/>
      <c r="DC145" s="324" t="n"/>
      <c r="DD145" s="324" t="n"/>
      <c r="DE145" s="325" t="n"/>
      <c r="DF145" s="325" t="n"/>
    </row>
    <row r="146" customFormat="1" s="62">
      <c r="A146" s="326" t="n"/>
      <c r="B146" s="288" t="n"/>
      <c r="C146" s="112" t="n"/>
      <c r="D146" s="15" t="n"/>
      <c r="E146" s="28" t="n"/>
      <c r="F146" s="112" t="n"/>
      <c r="G146" s="15" t="n"/>
      <c r="H146" s="28" t="n"/>
      <c r="I146" s="112" t="n"/>
      <c r="J146" s="15" t="n"/>
      <c r="K146" s="28" t="n"/>
      <c r="L146" s="112" t="n"/>
      <c r="M146" s="15" t="n"/>
      <c r="N146" s="28" t="n"/>
      <c r="O146" s="112" t="n"/>
      <c r="P146" s="15" t="n"/>
      <c r="Q146" s="28" t="n"/>
      <c r="R146" s="112" t="n"/>
      <c r="S146" s="15" t="n"/>
      <c r="T146" s="28" t="n"/>
      <c r="U146" s="112" t="n"/>
      <c r="V146" s="15" t="n"/>
      <c r="W146" s="28" t="n"/>
      <c r="X146" s="112" t="n"/>
      <c r="Y146" s="15" t="n"/>
      <c r="Z146" s="28" t="n"/>
      <c r="AA146" s="112" t="n"/>
      <c r="AB146" s="15" t="n"/>
      <c r="AC146" s="28" t="n"/>
      <c r="AD146" s="112" t="n"/>
      <c r="AE146" s="15" t="n"/>
      <c r="AF146" s="28" t="n"/>
      <c r="AG146" s="112" t="n"/>
      <c r="AH146" s="15" t="n"/>
      <c r="AI146" s="28" t="n"/>
      <c r="AJ146" s="112" t="n"/>
      <c r="AK146" s="15" t="n"/>
      <c r="AL146" s="28" t="n"/>
      <c r="AM146" s="31" t="n"/>
      <c r="AN146" s="327" t="n"/>
      <c r="AO146" s="28" t="n"/>
      <c r="AP146" s="31" t="n"/>
      <c r="AQ146" s="327" t="n"/>
      <c r="AR146" s="28" t="n"/>
      <c r="AS146" s="31" t="n"/>
      <c r="AT146" s="327" t="n"/>
      <c r="AU146" s="28" t="n"/>
      <c r="AV146" s="31" t="n"/>
      <c r="AW146" s="327" t="n"/>
      <c r="AX146" s="28" t="n"/>
      <c r="AY146" s="15" t="n"/>
      <c r="AZ146" s="15" t="n"/>
      <c r="BA146" s="324" t="n"/>
      <c r="BB146" s="324" t="n"/>
      <c r="BC146" s="324" t="n"/>
      <c r="BD146" s="324" t="n"/>
      <c r="BE146" s="324" t="n"/>
      <c r="BF146" s="324" t="n"/>
      <c r="BG146" s="324" t="n"/>
      <c r="BH146" s="324" t="n"/>
      <c r="BI146" s="324" t="n"/>
      <c r="BJ146" s="324" t="n"/>
      <c r="BK146" s="288" t="n"/>
      <c r="BL146" s="324" t="n"/>
      <c r="BM146" s="324" t="n"/>
      <c r="BN146" s="324" t="n"/>
      <c r="BO146" s="324" t="n"/>
      <c r="BP146" s="324" t="n"/>
      <c r="BQ146" s="324" t="n"/>
      <c r="BR146" s="324" t="n"/>
      <c r="BS146" s="324" t="n"/>
      <c r="BT146" s="324" t="n"/>
      <c r="BU146" s="324" t="n"/>
      <c r="BV146" s="324" t="n"/>
      <c r="BW146" s="324" t="n"/>
      <c r="BX146" s="324" t="n"/>
      <c r="BY146" s="324" t="n"/>
      <c r="BZ146" s="324" t="n"/>
      <c r="CA146" s="324" t="n"/>
      <c r="CB146" s="324" t="n"/>
      <c r="CC146" s="324" t="n"/>
      <c r="CD146" s="324" t="n"/>
      <c r="CE146" s="324" t="n"/>
      <c r="CF146" s="324" t="n"/>
      <c r="CG146" s="324" t="n"/>
      <c r="CH146" s="324" t="n"/>
      <c r="CI146" s="324" t="n"/>
      <c r="CJ146" s="324" t="n"/>
      <c r="CK146" s="324" t="n"/>
      <c r="CL146" s="324" t="n"/>
      <c r="CM146" s="324" t="n"/>
      <c r="CN146" s="324" t="n"/>
      <c r="CW146" s="324" t="n"/>
      <c r="CX146" s="324" t="n"/>
      <c r="CY146" s="324" t="n"/>
      <c r="CZ146" s="324" t="n"/>
      <c r="DA146" s="324" t="n"/>
      <c r="DB146" s="324" t="n"/>
      <c r="DC146" s="324" t="n"/>
      <c r="DD146" s="324" t="n"/>
      <c r="DE146" s="325" t="n"/>
      <c r="DF146" s="325" t="n"/>
    </row>
    <row r="147" customFormat="1" s="62">
      <c r="A147" s="326" t="n"/>
      <c r="B147" s="288" t="n"/>
      <c r="C147" s="112" t="n"/>
      <c r="D147" s="15" t="n"/>
      <c r="E147" s="28" t="n"/>
      <c r="F147" s="112" t="n"/>
      <c r="G147" s="15" t="n"/>
      <c r="H147" s="28" t="n"/>
      <c r="I147" s="112" t="n"/>
      <c r="J147" s="15" t="n"/>
      <c r="K147" s="28" t="n"/>
      <c r="L147" s="112" t="n"/>
      <c r="M147" s="15" t="n"/>
      <c r="N147" s="28" t="n"/>
      <c r="O147" s="112" t="n"/>
      <c r="P147" s="15" t="n"/>
      <c r="Q147" s="28" t="n"/>
      <c r="R147" s="112" t="n"/>
      <c r="S147" s="15" t="n"/>
      <c r="T147" s="28" t="n"/>
      <c r="U147" s="112" t="n"/>
      <c r="V147" s="15" t="n"/>
      <c r="W147" s="28" t="n"/>
      <c r="X147" s="112" t="n"/>
      <c r="Y147" s="15" t="n"/>
      <c r="Z147" s="28" t="n"/>
      <c r="AA147" s="112" t="n"/>
      <c r="AB147" s="15" t="n"/>
      <c r="AC147" s="28" t="n"/>
      <c r="AD147" s="112" t="n"/>
      <c r="AE147" s="15" t="n"/>
      <c r="AF147" s="28" t="n"/>
      <c r="AG147" s="112" t="n"/>
      <c r="AH147" s="15" t="n"/>
      <c r="AI147" s="28" t="n"/>
      <c r="AJ147" s="112" t="n"/>
      <c r="AK147" s="15" t="n"/>
      <c r="AL147" s="28" t="n"/>
      <c r="AM147" s="31" t="n"/>
      <c r="AN147" s="327" t="n"/>
      <c r="AO147" s="28" t="n"/>
      <c r="AP147" s="31" t="n"/>
      <c r="AQ147" s="327" t="n"/>
      <c r="AR147" s="28" t="n"/>
      <c r="AS147" s="31" t="n"/>
      <c r="AT147" s="327" t="n"/>
      <c r="AU147" s="28" t="n"/>
      <c r="AV147" s="31" t="n"/>
      <c r="AW147" s="327" t="n"/>
      <c r="AX147" s="28" t="n"/>
      <c r="AY147" s="15" t="n"/>
      <c r="AZ147" s="15" t="n"/>
      <c r="BA147" s="324" t="n"/>
      <c r="BB147" s="324" t="n"/>
      <c r="BC147" s="324" t="n"/>
      <c r="BD147" s="324" t="n"/>
      <c r="BE147" s="324" t="n"/>
      <c r="BF147" s="324" t="n"/>
      <c r="BG147" s="324" t="n"/>
      <c r="BH147" s="324" t="n"/>
      <c r="BI147" s="324" t="n"/>
      <c r="BJ147" s="324" t="n"/>
      <c r="BK147" s="288" t="n"/>
      <c r="BL147" s="324" t="n"/>
      <c r="BM147" s="324" t="n"/>
      <c r="BN147" s="324" t="n"/>
      <c r="BO147" s="324" t="n"/>
      <c r="BP147" s="324" t="n"/>
      <c r="BQ147" s="324" t="n"/>
      <c r="BR147" s="324" t="n"/>
      <c r="BS147" s="324" t="n"/>
      <c r="BT147" s="324" t="n"/>
      <c r="BU147" s="324" t="n"/>
      <c r="BV147" s="324" t="n"/>
      <c r="BW147" s="324" t="n"/>
      <c r="BX147" s="324" t="n"/>
      <c r="BY147" s="324" t="n"/>
      <c r="BZ147" s="324" t="n"/>
      <c r="CA147" s="324" t="n"/>
      <c r="CB147" s="324" t="n"/>
      <c r="CC147" s="324" t="n"/>
      <c r="CD147" s="324" t="n"/>
      <c r="CE147" s="324" t="n"/>
      <c r="CF147" s="324" t="n"/>
      <c r="CG147" s="324" t="n"/>
      <c r="CH147" s="324" t="n"/>
      <c r="CI147" s="324" t="n"/>
      <c r="CJ147" s="324" t="n"/>
      <c r="CK147" s="324" t="n"/>
      <c r="CL147" s="324" t="n"/>
      <c r="CM147" s="324" t="n"/>
      <c r="CN147" s="324" t="n"/>
      <c r="CW147" s="324" t="n"/>
      <c r="CX147" s="324" t="n"/>
      <c r="CY147" s="324" t="n"/>
      <c r="CZ147" s="324" t="n"/>
      <c r="DA147" s="324" t="n"/>
      <c r="DB147" s="324" t="n"/>
      <c r="DC147" s="324" t="n"/>
      <c r="DD147" s="324" t="n"/>
      <c r="DE147" s="325" t="n"/>
      <c r="DF147" s="325" t="n"/>
    </row>
    <row r="148" customFormat="1" s="62">
      <c r="A148" s="330" t="n"/>
      <c r="B148" s="288" t="n"/>
      <c r="C148" s="112" t="n"/>
      <c r="D148" s="15" t="n"/>
      <c r="E148" s="28" t="n"/>
      <c r="F148" s="112" t="n"/>
      <c r="G148" s="15" t="n"/>
      <c r="H148" s="28" t="n"/>
      <c r="I148" s="112" t="n"/>
      <c r="J148" s="15" t="n"/>
      <c r="K148" s="28" t="n"/>
      <c r="L148" s="112" t="n"/>
      <c r="M148" s="15" t="n"/>
      <c r="N148" s="28" t="n"/>
      <c r="O148" s="112" t="n"/>
      <c r="P148" s="15" t="n"/>
      <c r="Q148" s="28" t="n"/>
      <c r="R148" s="112" t="n"/>
      <c r="S148" s="15" t="n"/>
      <c r="T148" s="28" t="n"/>
      <c r="U148" s="112" t="n"/>
      <c r="V148" s="15" t="n"/>
      <c r="W148" s="28" t="n"/>
      <c r="X148" s="112" t="n"/>
      <c r="Y148" s="15" t="n"/>
      <c r="Z148" s="28" t="n"/>
      <c r="AA148" s="112" t="n"/>
      <c r="AB148" s="15" t="n"/>
      <c r="AC148" s="28" t="n"/>
      <c r="AD148" s="112" t="n"/>
      <c r="AE148" s="15" t="n"/>
      <c r="AF148" s="28" t="n"/>
      <c r="AG148" s="112" t="n"/>
      <c r="AH148" s="15" t="n"/>
      <c r="AI148" s="28" t="n"/>
      <c r="AJ148" s="112" t="n"/>
      <c r="AK148" s="15" t="n"/>
      <c r="AL148" s="28" t="n"/>
      <c r="AM148" s="31" t="n"/>
      <c r="AN148" s="327" t="n"/>
      <c r="AO148" s="28" t="n"/>
      <c r="AP148" s="31" t="n"/>
      <c r="AQ148" s="327" t="n"/>
      <c r="AR148" s="28" t="n"/>
      <c r="AS148" s="31" t="n"/>
      <c r="AT148" s="327" t="n"/>
      <c r="AU148" s="28" t="n"/>
      <c r="AV148" s="31" t="n"/>
      <c r="AW148" s="327" t="n"/>
      <c r="AX148" s="28" t="n"/>
      <c r="AY148" s="15" t="n"/>
      <c r="AZ148" s="15" t="n"/>
      <c r="BA148" s="324" t="n"/>
      <c r="BB148" s="324" t="n"/>
      <c r="BC148" s="324" t="n"/>
      <c r="BD148" s="324" t="n"/>
      <c r="BE148" s="324" t="n"/>
      <c r="BF148" s="324" t="n"/>
      <c r="BG148" s="324" t="n"/>
      <c r="BH148" s="324" t="n"/>
      <c r="BI148" s="324" t="n"/>
      <c r="BJ148" s="324" t="n"/>
      <c r="BK148" s="288" t="n"/>
      <c r="BL148" s="324" t="n"/>
      <c r="BM148" s="324" t="n"/>
      <c r="BN148" s="324" t="n"/>
      <c r="BO148" s="324" t="n"/>
      <c r="BP148" s="324" t="n"/>
      <c r="BQ148" s="324" t="n"/>
      <c r="BR148" s="324" t="n"/>
      <c r="BS148" s="324" t="n"/>
      <c r="BT148" s="324" t="n"/>
      <c r="BU148" s="324" t="n"/>
      <c r="BV148" s="324" t="n"/>
      <c r="BW148" s="324" t="n"/>
      <c r="BX148" s="324" t="n"/>
      <c r="BY148" s="324" t="n"/>
      <c r="BZ148" s="324" t="n"/>
      <c r="CA148" s="324" t="n"/>
      <c r="CB148" s="324" t="n"/>
      <c r="CC148" s="324" t="n"/>
      <c r="CD148" s="324" t="n"/>
      <c r="CE148" s="324" t="n"/>
      <c r="CF148" s="324" t="n"/>
      <c r="CG148" s="324" t="n"/>
      <c r="CH148" s="324" t="n"/>
      <c r="CI148" s="324" t="n"/>
      <c r="CJ148" s="324" t="n"/>
      <c r="CK148" s="324" t="n"/>
      <c r="CL148" s="324" t="n"/>
      <c r="CM148" s="324" t="n"/>
      <c r="CN148" s="324" t="n"/>
      <c r="CW148" s="324" t="n"/>
      <c r="CX148" s="324" t="n"/>
      <c r="CY148" s="324" t="n"/>
      <c r="CZ148" s="324" t="n"/>
      <c r="DA148" s="324" t="n"/>
      <c r="DB148" s="324" t="n"/>
      <c r="DC148" s="324" t="n"/>
      <c r="DD148" s="324" t="n"/>
      <c r="DE148" s="325" t="n"/>
      <c r="DF148" s="325" t="n"/>
    </row>
    <row r="149" customFormat="1" s="62">
      <c r="A149" s="326" t="n"/>
      <c r="B149" s="288" t="n"/>
      <c r="C149" s="112" t="n"/>
      <c r="D149" s="15" t="n"/>
      <c r="E149" s="28" t="n"/>
      <c r="F149" s="112" t="n"/>
      <c r="G149" s="15" t="n"/>
      <c r="H149" s="28" t="n"/>
      <c r="I149" s="112" t="n"/>
      <c r="J149" s="15" t="n"/>
      <c r="K149" s="28" t="n"/>
      <c r="L149" s="112" t="n"/>
      <c r="M149" s="15" t="n"/>
      <c r="N149" s="28" t="n"/>
      <c r="O149" s="112" t="n"/>
      <c r="P149" s="15" t="n"/>
      <c r="Q149" s="28" t="n"/>
      <c r="R149" s="112" t="n"/>
      <c r="S149" s="15" t="n"/>
      <c r="T149" s="28" t="n"/>
      <c r="U149" s="112" t="n"/>
      <c r="V149" s="15" t="n"/>
      <c r="W149" s="28" t="n"/>
      <c r="X149" s="112" t="n"/>
      <c r="Y149" s="15" t="n"/>
      <c r="Z149" s="28" t="n"/>
      <c r="AA149" s="112" t="n"/>
      <c r="AB149" s="15" t="n"/>
      <c r="AC149" s="28" t="n"/>
      <c r="AD149" s="112" t="n"/>
      <c r="AE149" s="15" t="n"/>
      <c r="AF149" s="28" t="n"/>
      <c r="AG149" s="112" t="n"/>
      <c r="AH149" s="15" t="n"/>
      <c r="AI149" s="28" t="n"/>
      <c r="AJ149" s="112" t="n"/>
      <c r="AK149" s="15" t="n"/>
      <c r="AL149" s="28" t="n"/>
      <c r="AM149" s="31" t="n"/>
      <c r="AN149" s="327" t="n"/>
      <c r="AO149" s="28" t="n"/>
      <c r="AP149" s="31" t="n"/>
      <c r="AQ149" s="327" t="n"/>
      <c r="AR149" s="28" t="n"/>
      <c r="AS149" s="31" t="n"/>
      <c r="AT149" s="327" t="n"/>
      <c r="AU149" s="28" t="n"/>
      <c r="AV149" s="31" t="n"/>
      <c r="AW149" s="327" t="n"/>
      <c r="AX149" s="28" t="n"/>
      <c r="AY149" s="15" t="n"/>
      <c r="AZ149" s="15" t="n"/>
      <c r="BA149" s="324" t="n"/>
      <c r="BB149" s="324" t="n"/>
      <c r="BC149" s="324" t="n"/>
      <c r="BD149" s="324" t="n"/>
      <c r="BE149" s="324" t="n"/>
      <c r="BF149" s="324" t="n"/>
      <c r="BG149" s="324" t="n"/>
      <c r="BH149" s="324" t="n"/>
      <c r="BI149" s="324" t="n"/>
      <c r="BJ149" s="324" t="n"/>
      <c r="BK149" s="288" t="n"/>
      <c r="BL149" s="324" t="n"/>
      <c r="BM149" s="324" t="n"/>
      <c r="BN149" s="324" t="n"/>
      <c r="BO149" s="324" t="n"/>
      <c r="BP149" s="324" t="n"/>
      <c r="BQ149" s="324" t="n"/>
      <c r="BR149" s="324" t="n"/>
      <c r="BS149" s="324" t="n"/>
      <c r="BT149" s="324" t="n"/>
      <c r="BU149" s="324" t="n"/>
      <c r="BV149" s="324" t="n"/>
      <c r="BW149" s="324" t="n"/>
      <c r="BX149" s="324" t="n"/>
      <c r="BY149" s="324" t="n"/>
      <c r="BZ149" s="324" t="n"/>
      <c r="CA149" s="324" t="n"/>
      <c r="CB149" s="324" t="n"/>
      <c r="CC149" s="324" t="n"/>
      <c r="CD149" s="324" t="n"/>
      <c r="CE149" s="324" t="n"/>
      <c r="CF149" s="324" t="n"/>
      <c r="CG149" s="324" t="n"/>
      <c r="CH149" s="324" t="n"/>
      <c r="CI149" s="324" t="n"/>
      <c r="CJ149" s="324" t="n"/>
      <c r="CK149" s="324" t="n"/>
      <c r="CL149" s="324" t="n"/>
      <c r="CM149" s="324" t="n"/>
      <c r="CN149" s="324" t="n"/>
      <c r="CW149" s="324" t="n"/>
      <c r="CX149" s="324" t="n"/>
      <c r="CY149" s="324" t="n"/>
      <c r="CZ149" s="324" t="n"/>
      <c r="DA149" s="324" t="n"/>
      <c r="DB149" s="324" t="n"/>
      <c r="DC149" s="324" t="n"/>
      <c r="DD149" s="324" t="n"/>
      <c r="DE149" s="325" t="n"/>
      <c r="DF149" s="325" t="n"/>
    </row>
    <row r="150" customFormat="1" s="62">
      <c r="A150" s="326" t="n"/>
      <c r="B150" s="288" t="n"/>
      <c r="C150" s="112" t="n"/>
      <c r="D150" s="15" t="n"/>
      <c r="E150" s="28" t="n"/>
      <c r="F150" s="112" t="n"/>
      <c r="G150" s="15" t="n"/>
      <c r="H150" s="28" t="n"/>
      <c r="I150" s="112" t="n"/>
      <c r="J150" s="15" t="n"/>
      <c r="K150" s="28" t="n"/>
      <c r="L150" s="112" t="n"/>
      <c r="M150" s="15" t="n"/>
      <c r="N150" s="28" t="n"/>
      <c r="O150" s="112" t="n"/>
      <c r="P150" s="15" t="n"/>
      <c r="Q150" s="28" t="n"/>
      <c r="R150" s="112" t="n"/>
      <c r="S150" s="15" t="n"/>
      <c r="T150" s="28" t="n"/>
      <c r="U150" s="112" t="n"/>
      <c r="V150" s="15" t="n"/>
      <c r="W150" s="28" t="n"/>
      <c r="X150" s="112" t="n"/>
      <c r="Y150" s="15" t="n"/>
      <c r="Z150" s="28" t="n"/>
      <c r="AA150" s="112" t="n"/>
      <c r="AB150" s="15" t="n"/>
      <c r="AC150" s="28" t="n"/>
      <c r="AD150" s="112" t="n"/>
      <c r="AE150" s="15" t="n"/>
      <c r="AF150" s="28" t="n"/>
      <c r="AG150" s="112" t="n"/>
      <c r="AH150" s="15" t="n"/>
      <c r="AI150" s="28" t="n"/>
      <c r="AJ150" s="112" t="n"/>
      <c r="AK150" s="15" t="n"/>
      <c r="AL150" s="28" t="n"/>
      <c r="AM150" s="31" t="n"/>
      <c r="AN150" s="327" t="n"/>
      <c r="AO150" s="28" t="n"/>
      <c r="AP150" s="31" t="n"/>
      <c r="AQ150" s="327" t="n"/>
      <c r="AR150" s="28" t="n"/>
      <c r="AS150" s="31" t="n"/>
      <c r="AT150" s="327" t="n"/>
      <c r="AU150" s="28" t="n"/>
      <c r="AV150" s="31" t="n"/>
      <c r="AW150" s="327" t="n"/>
      <c r="AX150" s="28" t="n"/>
      <c r="AY150" s="15" t="n"/>
      <c r="AZ150" s="15" t="n"/>
      <c r="BA150" s="324" t="n"/>
      <c r="BB150" s="324" t="n"/>
      <c r="BC150" s="324" t="n"/>
      <c r="BD150" s="324" t="n"/>
      <c r="BE150" s="324" t="n"/>
      <c r="BF150" s="324" t="n"/>
      <c r="BG150" s="324" t="n"/>
      <c r="BH150" s="324" t="n"/>
      <c r="BI150" s="324" t="n"/>
      <c r="BJ150" s="324" t="n"/>
      <c r="BK150" s="288" t="n"/>
      <c r="BL150" s="324" t="n"/>
      <c r="BM150" s="324" t="n"/>
      <c r="BN150" s="324" t="n"/>
      <c r="BO150" s="324" t="n"/>
      <c r="BP150" s="324" t="n"/>
      <c r="BQ150" s="324" t="n"/>
      <c r="BR150" s="324" t="n"/>
      <c r="BS150" s="324" t="n"/>
      <c r="BT150" s="324" t="n"/>
      <c r="BU150" s="324" t="n"/>
      <c r="BV150" s="324" t="n"/>
      <c r="BW150" s="324" t="n"/>
      <c r="BX150" s="324" t="n"/>
      <c r="BY150" s="324" t="n"/>
      <c r="BZ150" s="324" t="n"/>
      <c r="CA150" s="324" t="n"/>
      <c r="CB150" s="324" t="n"/>
      <c r="CC150" s="324" t="n"/>
      <c r="CD150" s="324" t="n"/>
      <c r="CE150" s="324" t="n"/>
      <c r="CF150" s="324" t="n"/>
      <c r="CG150" s="324" t="n"/>
      <c r="CH150" s="324" t="n"/>
      <c r="CI150" s="324" t="n"/>
      <c r="CJ150" s="324" t="n"/>
      <c r="CK150" s="324" t="n"/>
      <c r="CL150" s="324" t="n"/>
      <c r="CM150" s="324" t="n"/>
      <c r="CN150" s="324" t="n"/>
      <c r="CW150" s="324" t="n"/>
      <c r="CX150" s="324" t="n"/>
      <c r="CY150" s="324" t="n"/>
      <c r="CZ150" s="324" t="n"/>
      <c r="DA150" s="324" t="n"/>
      <c r="DB150" s="324" t="n"/>
      <c r="DC150" s="324" t="n"/>
      <c r="DD150" s="324" t="n"/>
      <c r="DE150" s="325" t="n"/>
      <c r="DF150" s="325" t="n"/>
    </row>
    <row r="151" customFormat="1" s="62">
      <c r="A151" s="331" t="n"/>
      <c r="B151" s="28" t="n"/>
      <c r="C151" s="33" t="n"/>
      <c r="D151" s="33" t="n"/>
      <c r="E151" s="28" t="n"/>
      <c r="F151" s="33" t="n"/>
      <c r="G151" s="33" t="n"/>
      <c r="H151" s="28" t="n"/>
      <c r="I151" s="33" t="n"/>
      <c r="J151" s="33" t="n"/>
      <c r="K151" s="28" t="n"/>
      <c r="L151" s="33" t="n"/>
      <c r="M151" s="33" t="n"/>
      <c r="N151" s="28" t="n"/>
      <c r="O151" s="33" t="n"/>
      <c r="P151" s="33" t="n"/>
      <c r="Q151" s="28" t="n"/>
      <c r="R151" s="33" t="n"/>
      <c r="S151" s="33" t="n"/>
      <c r="T151" s="28" t="n"/>
      <c r="U151" s="33" t="n"/>
      <c r="V151" s="33" t="n"/>
      <c r="W151" s="28" t="n"/>
      <c r="X151" s="33" t="n"/>
      <c r="Y151" s="33" t="n"/>
      <c r="Z151" s="28" t="n"/>
      <c r="AA151" s="33" t="n"/>
      <c r="AB151" s="33" t="n"/>
      <c r="AC151" s="28" t="n"/>
      <c r="AD151" s="33" t="n"/>
      <c r="AE151" s="33" t="n"/>
      <c r="AF151" s="28" t="n"/>
      <c r="AG151" s="33" t="n"/>
      <c r="AH151" s="33" t="n"/>
      <c r="AI151" s="28" t="n"/>
      <c r="AJ151" s="33" t="n"/>
      <c r="AK151" s="33" t="n"/>
      <c r="AL151" s="28" t="n"/>
      <c r="AM151" s="34" t="n"/>
      <c r="AN151" s="34" t="n"/>
      <c r="AO151" s="28" t="n"/>
      <c r="AP151" s="34" t="n"/>
      <c r="AQ151" s="34" t="n"/>
      <c r="AR151" s="28" t="n"/>
      <c r="AS151" s="333" t="n"/>
      <c r="AT151" s="333" t="n"/>
      <c r="AU151" s="28" t="n"/>
      <c r="AV151" s="34" t="n"/>
      <c r="AW151" s="34" t="n"/>
      <c r="AX151" s="28" t="n"/>
      <c r="AY151" s="324" t="n"/>
      <c r="AZ151" s="324" t="n"/>
      <c r="BA151" s="324" t="n"/>
      <c r="BB151" s="324" t="n"/>
      <c r="BC151" s="324" t="n"/>
      <c r="BD151" s="324" t="n"/>
      <c r="BE151" s="324" t="n"/>
      <c r="BF151" s="324" t="n"/>
      <c r="BG151" s="324" t="n"/>
      <c r="BH151" s="324" t="n"/>
      <c r="BI151" s="324" t="n"/>
      <c r="BJ151" s="324" t="n"/>
      <c r="BK151" s="288" t="n"/>
      <c r="BL151" s="324" t="n"/>
      <c r="BM151" s="324" t="n"/>
      <c r="BN151" s="324" t="n"/>
      <c r="BO151" s="324" t="n"/>
      <c r="BP151" s="324" t="n"/>
      <c r="BQ151" s="324" t="n"/>
      <c r="BR151" s="324" t="n"/>
      <c r="BS151" s="324" t="n"/>
      <c r="BT151" s="324" t="n"/>
      <c r="BU151" s="324" t="n"/>
      <c r="BV151" s="324" t="n"/>
      <c r="BW151" s="324" t="n"/>
      <c r="BX151" s="324" t="n"/>
      <c r="BY151" s="324" t="n"/>
      <c r="BZ151" s="324" t="n"/>
      <c r="CA151" s="324" t="n"/>
      <c r="CB151" s="324" t="n"/>
      <c r="CC151" s="324" t="n"/>
      <c r="CD151" s="324" t="n"/>
      <c r="CE151" s="324" t="n"/>
      <c r="CF151" s="324" t="n"/>
      <c r="CG151" s="324" t="n"/>
      <c r="CH151" s="324" t="n"/>
      <c r="CI151" s="324" t="n"/>
      <c r="CJ151" s="324" t="n"/>
      <c r="CK151" s="324" t="n"/>
      <c r="CL151" s="324" t="n"/>
      <c r="CM151" s="324" t="n"/>
      <c r="CN151" s="324" t="n"/>
      <c r="CW151" s="324" t="n"/>
      <c r="CX151" s="324" t="n"/>
      <c r="CY151" s="324" t="n"/>
      <c r="CZ151" s="324" t="n"/>
      <c r="DA151" s="324" t="n"/>
      <c r="DB151" s="324" t="n"/>
      <c r="DC151" s="324" t="n"/>
      <c r="DD151" s="324" t="n"/>
      <c r="DE151" s="325" t="n"/>
      <c r="DF151" s="325" t="n"/>
    </row>
    <row r="152" customFormat="1" s="40">
      <c r="A152" s="335" t="n"/>
      <c r="B152" s="291" t="n"/>
      <c r="C152" s="37" t="n"/>
      <c r="D152" s="37" t="n"/>
      <c r="E152" s="291" t="n"/>
      <c r="F152" s="37" t="n"/>
      <c r="G152" s="37" t="n"/>
      <c r="H152" s="291" t="n"/>
      <c r="I152" s="37" t="n"/>
      <c r="J152" s="37" t="n"/>
      <c r="K152" s="291" t="n"/>
      <c r="L152" s="37" t="n"/>
      <c r="M152" s="37" t="n"/>
      <c r="N152" s="291" t="n"/>
      <c r="O152" s="37" t="n"/>
      <c r="P152" s="37" t="n"/>
      <c r="Q152" s="291" t="n"/>
      <c r="R152" s="37" t="n"/>
      <c r="S152" s="37" t="n"/>
      <c r="T152" s="291" t="n"/>
      <c r="U152" s="37" t="n"/>
      <c r="V152" s="37" t="n"/>
      <c r="W152" s="291" t="n"/>
      <c r="X152" s="37" t="n"/>
      <c r="Y152" s="37" t="n"/>
      <c r="Z152" s="291" t="n"/>
      <c r="AA152" s="39" t="n"/>
      <c r="AB152" s="39" t="n"/>
      <c r="AC152" s="291" t="n"/>
      <c r="AD152" s="39" t="n"/>
      <c r="AE152" s="39" t="n"/>
      <c r="AF152" s="291" t="n"/>
      <c r="AG152" s="39" t="n"/>
      <c r="AH152" s="39" t="n"/>
      <c r="AI152" s="291" t="n"/>
      <c r="AJ152" s="39" t="n"/>
      <c r="AK152" s="39" t="n"/>
      <c r="AL152" s="291" t="n"/>
      <c r="AM152" s="291" t="n"/>
      <c r="AN152" s="291" t="n"/>
      <c r="AO152" s="291" t="n"/>
      <c r="AP152" s="291" t="n"/>
      <c r="AQ152" s="291" t="n"/>
      <c r="AR152" s="291" t="n"/>
      <c r="AS152" s="291" t="n"/>
      <c r="AT152" s="291" t="n"/>
      <c r="AU152" s="291" t="n"/>
      <c r="AV152" s="291" t="n"/>
      <c r="AW152" s="291" t="n"/>
      <c r="AX152" s="291" t="n"/>
      <c r="AY152" s="291" t="n"/>
      <c r="AZ152" s="291" t="n"/>
      <c r="BA152" s="291" t="n"/>
      <c r="BB152" s="291" t="n"/>
      <c r="BC152" s="291" t="n"/>
      <c r="BD152" s="291" t="n"/>
      <c r="BE152" s="291" t="n"/>
      <c r="BF152" s="291" t="n"/>
      <c r="BG152" s="291" t="n"/>
      <c r="BH152" s="291" t="n"/>
      <c r="BI152" s="291" t="n"/>
      <c r="BJ152" s="291" t="n"/>
      <c r="BK152" s="288" t="n"/>
      <c r="BL152" s="291" t="n"/>
      <c r="BM152" s="291" t="n"/>
      <c r="BN152" s="291" t="n"/>
      <c r="BO152" s="291" t="n"/>
      <c r="BP152" s="291" t="n"/>
      <c r="BQ152" s="291" t="n"/>
      <c r="BR152" s="291" t="n"/>
      <c r="BS152" s="291" t="n"/>
      <c r="BT152" s="291" t="n"/>
      <c r="BU152" s="291" t="n"/>
      <c r="BV152" s="291" t="n"/>
      <c r="BW152" s="291" t="n"/>
      <c r="BX152" s="291" t="n"/>
      <c r="BY152" s="291" t="n"/>
      <c r="BZ152" s="291" t="n"/>
      <c r="CA152" s="291" t="n"/>
      <c r="CB152" s="291" t="n"/>
      <c r="CC152" s="291" t="n"/>
      <c r="CD152" s="291" t="n"/>
      <c r="CE152" s="291" t="n"/>
      <c r="CF152" s="291" t="n"/>
      <c r="CG152" s="291" t="n"/>
      <c r="CH152" s="291" t="n"/>
      <c r="CI152" s="291" t="n"/>
      <c r="CJ152" s="291" t="n"/>
      <c r="CK152" s="291" t="n"/>
      <c r="CL152" s="291" t="n"/>
      <c r="CM152" s="291" t="n"/>
      <c r="CN152" s="291" t="n"/>
      <c r="CW152" s="291" t="n"/>
      <c r="CX152" s="291" t="n"/>
      <c r="CY152" s="291" t="n"/>
      <c r="CZ152" s="291" t="n"/>
      <c r="DA152" s="291" t="n"/>
      <c r="DB152" s="291" t="n"/>
      <c r="DC152" s="291" t="n"/>
      <c r="DD152" s="291" t="n"/>
      <c r="DE152" s="311" t="n"/>
      <c r="DF152" s="311" t="n"/>
    </row>
    <row r="153" ht="13" customFormat="1" customHeight="1" s="40">
      <c r="A153" s="326" t="n"/>
      <c r="B153" s="291" t="n"/>
      <c r="C153" s="39" t="n"/>
      <c r="D153" s="39" t="n"/>
      <c r="E153" s="291" t="n"/>
      <c r="F153" s="39" t="n"/>
      <c r="G153" s="39" t="n"/>
      <c r="H153" s="291" t="n"/>
      <c r="I153" s="39" t="n"/>
      <c r="J153" s="39" t="n"/>
      <c r="K153" s="291" t="n"/>
      <c r="L153" s="39" t="n"/>
      <c r="M153" s="39" t="n"/>
      <c r="N153" s="291" t="n"/>
      <c r="O153" s="39" t="n"/>
      <c r="P153" s="39" t="n"/>
      <c r="Q153" s="291" t="n"/>
      <c r="R153" s="39" t="n"/>
      <c r="S153" s="39" t="n"/>
      <c r="T153" s="291" t="n"/>
      <c r="U153" s="39" t="n"/>
      <c r="V153" s="39" t="n"/>
      <c r="W153" s="291" t="n"/>
      <c r="X153" s="39" t="n"/>
      <c r="Y153" s="39" t="n"/>
      <c r="Z153" s="291" t="n"/>
      <c r="AA153" s="39" t="n"/>
      <c r="AB153" s="39" t="n"/>
      <c r="AC153" s="291" t="n"/>
      <c r="AD153" s="39" t="n"/>
      <c r="AE153" s="39" t="n"/>
      <c r="AF153" s="291" t="n"/>
      <c r="AG153" s="39" t="n"/>
      <c r="AH153" s="39" t="n"/>
      <c r="AI153" s="291" t="n"/>
      <c r="AJ153" s="39" t="n"/>
      <c r="AK153" s="39" t="n"/>
      <c r="AL153" s="291" t="n"/>
      <c r="AM153" s="291" t="n"/>
      <c r="AN153" s="291" t="n"/>
      <c r="AO153" s="291" t="n"/>
      <c r="AP153" s="291" t="n"/>
      <c r="AQ153" s="291" t="n"/>
      <c r="AR153" s="291" t="n"/>
      <c r="AS153" s="291" t="n"/>
      <c r="AT153" s="291" t="n"/>
      <c r="AU153" s="291" t="n"/>
      <c r="AV153" s="291" t="n"/>
      <c r="AW153" s="291" t="n"/>
      <c r="AX153" s="291" t="n"/>
      <c r="AY153" s="291" t="n"/>
      <c r="AZ153" s="39" t="n"/>
      <c r="BA153" s="291" t="n"/>
      <c r="BB153" s="39" t="n"/>
      <c r="BC153" s="291" t="n"/>
      <c r="BD153" s="39" t="n"/>
      <c r="BE153" s="291" t="n"/>
      <c r="BF153" s="39" t="n"/>
      <c r="BG153" s="291" t="n"/>
      <c r="BH153" s="39" t="n"/>
      <c r="BI153" s="291" t="n"/>
      <c r="BJ153" s="39" t="n"/>
      <c r="BK153" s="291" t="n"/>
      <c r="BL153" s="39" t="n"/>
      <c r="BM153" s="291" t="n"/>
      <c r="BN153" s="39" t="n"/>
      <c r="BO153" s="291" t="n"/>
      <c r="BP153" s="291" t="n"/>
      <c r="BQ153" s="39" t="n"/>
      <c r="BR153" s="291" t="n"/>
      <c r="BS153" s="39" t="n"/>
      <c r="BT153" s="291" t="n"/>
      <c r="BU153" s="39" t="n"/>
      <c r="BV153" s="291" t="n"/>
      <c r="BW153" s="39" t="n"/>
      <c r="BX153" s="291" t="n"/>
      <c r="BY153" s="39" t="n"/>
      <c r="BZ153" s="291" t="n"/>
      <c r="CA153" s="39" t="n"/>
      <c r="CB153" s="291" t="n"/>
      <c r="CC153" s="39" t="n"/>
      <c r="CD153" s="291" t="n"/>
      <c r="CE153" s="39" t="n"/>
      <c r="CF153" s="291" t="n"/>
      <c r="CG153" s="53" t="n"/>
      <c r="CH153" s="291" t="n"/>
      <c r="CI153" s="53" t="n"/>
      <c r="CJ153" s="291" t="n"/>
      <c r="CK153" s="53" t="n"/>
      <c r="CL153" s="291" t="n"/>
      <c r="CM153" s="53" t="n"/>
      <c r="CN153" s="291" t="n"/>
      <c r="CW153" s="291" t="n"/>
      <c r="CX153" s="39" t="n"/>
      <c r="CY153" s="291" t="n"/>
      <c r="CZ153" s="39" t="n"/>
      <c r="DA153" s="291" t="n"/>
      <c r="DB153" s="39" t="n"/>
      <c r="DC153" s="291" t="n"/>
      <c r="DD153" s="39" t="n"/>
      <c r="DE153" s="311" t="n"/>
      <c r="DF153" s="311" t="n"/>
    </row>
    <row r="154" ht="13" customFormat="1" customHeight="1" s="40">
      <c r="A154" s="326" t="n"/>
      <c r="B154" s="291" t="n"/>
      <c r="C154" s="39" t="n"/>
      <c r="D154" s="39" t="n"/>
      <c r="E154" s="291" t="n"/>
      <c r="F154" s="39" t="n"/>
      <c r="G154" s="39" t="n"/>
      <c r="H154" s="291" t="n"/>
      <c r="I154" s="39" t="n"/>
      <c r="J154" s="39" t="n"/>
      <c r="K154" s="291" t="n"/>
      <c r="L154" s="39" t="n"/>
      <c r="M154" s="39" t="n"/>
      <c r="N154" s="291" t="n"/>
      <c r="O154" s="39" t="n"/>
      <c r="P154" s="39" t="n"/>
      <c r="Q154" s="291" t="n"/>
      <c r="R154" s="39" t="n"/>
      <c r="S154" s="39" t="n"/>
      <c r="T154" s="291" t="n"/>
      <c r="U154" s="39" t="n"/>
      <c r="V154" s="39" t="n"/>
      <c r="W154" s="291" t="n"/>
      <c r="X154" s="39" t="n"/>
      <c r="Y154" s="39" t="n"/>
      <c r="Z154" s="291" t="n"/>
      <c r="AA154" s="39" t="n"/>
      <c r="AB154" s="39" t="n"/>
      <c r="AC154" s="291" t="n"/>
      <c r="AD154" s="39" t="n"/>
      <c r="AE154" s="39" t="n"/>
      <c r="AF154" s="291" t="n"/>
      <c r="AG154" s="39" t="n"/>
      <c r="AH154" s="39" t="n"/>
      <c r="AI154" s="291" t="n"/>
      <c r="AJ154" s="39" t="n"/>
      <c r="AK154" s="39" t="n"/>
      <c r="AL154" s="291" t="n"/>
      <c r="AM154" s="291" t="n"/>
      <c r="AN154" s="291" t="n"/>
      <c r="AO154" s="291" t="n"/>
      <c r="AP154" s="291" t="n"/>
      <c r="AQ154" s="291" t="n"/>
      <c r="AR154" s="291" t="n"/>
      <c r="AS154" s="291" t="n"/>
      <c r="AT154" s="291" t="n"/>
      <c r="AU154" s="291" t="n"/>
      <c r="AV154" s="291" t="n"/>
      <c r="AW154" s="291" t="n"/>
      <c r="AX154" s="291" t="n"/>
      <c r="AY154" s="291" t="n"/>
      <c r="AZ154" s="39" t="n"/>
      <c r="BA154" s="291" t="n"/>
      <c r="BB154" s="39" t="n"/>
      <c r="BC154" s="291" t="n"/>
      <c r="BD154" s="39" t="n"/>
      <c r="BE154" s="291" t="n"/>
      <c r="BF154" s="39" t="n"/>
      <c r="BG154" s="291" t="n"/>
      <c r="BH154" s="39" t="n"/>
      <c r="BI154" s="291" t="n"/>
      <c r="BJ154" s="39" t="n"/>
      <c r="BK154" s="291" t="n"/>
      <c r="BL154" s="39" t="n"/>
      <c r="BM154" s="291" t="n"/>
      <c r="BN154" s="39" t="n"/>
      <c r="BO154" s="291" t="n"/>
      <c r="BP154" s="291" t="n"/>
      <c r="BQ154" s="39" t="n"/>
      <c r="BR154" s="291" t="n"/>
      <c r="BS154" s="39" t="n"/>
      <c r="BT154" s="291" t="n"/>
      <c r="BU154" s="39" t="n"/>
      <c r="BV154" s="291" t="n"/>
      <c r="BW154" s="39" t="n"/>
      <c r="BX154" s="291" t="n"/>
      <c r="BY154" s="39" t="n"/>
      <c r="BZ154" s="291" t="n"/>
      <c r="CA154" s="39" t="n"/>
      <c r="CB154" s="291" t="n"/>
      <c r="CC154" s="39" t="n"/>
      <c r="CD154" s="291" t="n"/>
      <c r="CE154" s="39" t="n"/>
      <c r="CF154" s="291" t="n"/>
      <c r="CG154" s="291" t="n"/>
      <c r="CH154" s="291" t="n"/>
      <c r="CI154" s="291" t="n"/>
      <c r="CJ154" s="291" t="n"/>
      <c r="CK154" s="291" t="n"/>
      <c r="CL154" s="291" t="n"/>
      <c r="CM154" s="291" t="n"/>
      <c r="CN154" s="291" t="n"/>
      <c r="CW154" s="291" t="n"/>
      <c r="CX154" s="39" t="n"/>
      <c r="CY154" s="291" t="n"/>
      <c r="CZ154" s="39" t="n"/>
      <c r="DA154" s="291" t="n"/>
      <c r="DB154" s="39" t="n"/>
      <c r="DC154" s="291" t="n"/>
      <c r="DD154" s="39" t="n"/>
      <c r="DE154" s="311" t="n"/>
      <c r="DF154" s="311" t="n"/>
    </row>
    <row r="155" ht="13" customFormat="1" customHeight="1" s="40">
      <c r="A155" s="326" t="n"/>
      <c r="B155" s="291" t="n"/>
      <c r="C155" s="39" t="n"/>
      <c r="D155" s="39" t="n"/>
      <c r="E155" s="291" t="n"/>
      <c r="F155" s="39" t="n"/>
      <c r="G155" s="39" t="n"/>
      <c r="H155" s="291" t="n"/>
      <c r="I155" s="39" t="n"/>
      <c r="J155" s="39" t="n"/>
      <c r="K155" s="291" t="n"/>
      <c r="L155" s="39" t="n"/>
      <c r="M155" s="39" t="n"/>
      <c r="N155" s="291" t="n"/>
      <c r="O155" s="39" t="n"/>
      <c r="P155" s="39" t="n"/>
      <c r="Q155" s="291" t="n"/>
      <c r="R155" s="39" t="n"/>
      <c r="S155" s="39" t="n"/>
      <c r="T155" s="291" t="n"/>
      <c r="U155" s="39" t="n"/>
      <c r="V155" s="39" t="n"/>
      <c r="W155" s="291" t="n"/>
      <c r="X155" s="39" t="n"/>
      <c r="Y155" s="39" t="n"/>
      <c r="Z155" s="291" t="n"/>
      <c r="AA155" s="39" t="n"/>
      <c r="AB155" s="39" t="n"/>
      <c r="AC155" s="291" t="n"/>
      <c r="AD155" s="39" t="n"/>
      <c r="AE155" s="39" t="n"/>
      <c r="AF155" s="291" t="n"/>
      <c r="AG155" s="39" t="n"/>
      <c r="AH155" s="39" t="n"/>
      <c r="AI155" s="291" t="n"/>
      <c r="AJ155" s="39" t="n"/>
      <c r="AK155" s="39" t="n"/>
      <c r="AL155" s="291" t="n"/>
      <c r="AM155" s="291" t="n"/>
      <c r="AN155" s="291" t="n"/>
      <c r="AO155" s="291" t="n"/>
      <c r="AP155" s="291" t="n"/>
      <c r="AQ155" s="291" t="n"/>
      <c r="AR155" s="291" t="n"/>
      <c r="AS155" s="291" t="n"/>
      <c r="AT155" s="291" t="n"/>
      <c r="AU155" s="291" t="n"/>
      <c r="AV155" s="291" t="n"/>
      <c r="AW155" s="291" t="n"/>
      <c r="AX155" s="291" t="n"/>
      <c r="AY155" s="291" t="n"/>
      <c r="AZ155" s="39" t="n"/>
      <c r="BA155" s="291" t="n"/>
      <c r="BB155" s="39" t="n"/>
      <c r="BC155" s="291" t="n"/>
      <c r="BD155" s="39" t="n"/>
      <c r="BE155" s="291" t="n"/>
      <c r="BF155" s="39" t="n"/>
      <c r="BG155" s="291" t="n"/>
      <c r="BH155" s="39" t="n"/>
      <c r="BI155" s="291" t="n"/>
      <c r="BJ155" s="39" t="n"/>
      <c r="BK155" s="291" t="n"/>
      <c r="BL155" s="39" t="n"/>
      <c r="BM155" s="291" t="n"/>
      <c r="BN155" s="39" t="n"/>
      <c r="BO155" s="291" t="n"/>
      <c r="BP155" s="291" t="n"/>
      <c r="BQ155" s="39" t="n"/>
      <c r="BR155" s="291" t="n"/>
      <c r="BS155" s="39" t="n"/>
      <c r="BT155" s="291" t="n"/>
      <c r="BU155" s="39" t="n"/>
      <c r="BV155" s="291" t="n"/>
      <c r="BW155" s="39" t="n"/>
      <c r="BX155" s="291" t="n"/>
      <c r="BY155" s="39" t="n"/>
      <c r="BZ155" s="291" t="n"/>
      <c r="CA155" s="39" t="n"/>
      <c r="CB155" s="291" t="n"/>
      <c r="CC155" s="39" t="n"/>
      <c r="CD155" s="291" t="n"/>
      <c r="CE155" s="39" t="n"/>
      <c r="CF155" s="291" t="n"/>
      <c r="CG155" s="291" t="n"/>
      <c r="CH155" s="291" t="n"/>
      <c r="CI155" s="291" t="n"/>
      <c r="CJ155" s="291" t="n"/>
      <c r="CK155" s="291" t="n"/>
      <c r="CL155" s="291" t="n"/>
      <c r="CM155" s="291" t="n"/>
      <c r="CN155" s="291" t="n"/>
      <c r="CW155" s="291" t="n"/>
      <c r="CX155" s="39" t="n"/>
      <c r="CY155" s="291" t="n"/>
      <c r="CZ155" s="39" t="n"/>
      <c r="DA155" s="291" t="n"/>
      <c r="DB155" s="39" t="n"/>
      <c r="DC155" s="291" t="n"/>
      <c r="DD155" s="39" t="n"/>
      <c r="DE155" s="311" t="n"/>
      <c r="DF155" s="311" t="n"/>
    </row>
    <row r="156" ht="13" customFormat="1" customHeight="1" s="40">
      <c r="A156" s="326" t="n"/>
      <c r="B156" s="291" t="n"/>
      <c r="C156" s="39" t="n"/>
      <c r="D156" s="39" t="n"/>
      <c r="E156" s="291" t="n"/>
      <c r="F156" s="39" t="n"/>
      <c r="G156" s="39" t="n"/>
      <c r="H156" s="291" t="n"/>
      <c r="I156" s="39" t="n"/>
      <c r="J156" s="39" t="n"/>
      <c r="K156" s="291" t="n"/>
      <c r="L156" s="39" t="n"/>
      <c r="M156" s="39" t="n"/>
      <c r="N156" s="291" t="n"/>
      <c r="O156" s="39" t="n"/>
      <c r="P156" s="39" t="n"/>
      <c r="Q156" s="291" t="n"/>
      <c r="R156" s="39" t="n"/>
      <c r="S156" s="39" t="n"/>
      <c r="T156" s="291" t="n"/>
      <c r="U156" s="39" t="n"/>
      <c r="V156" s="39" t="n"/>
      <c r="W156" s="291" t="n"/>
      <c r="X156" s="39" t="n"/>
      <c r="Y156" s="39" t="n"/>
      <c r="Z156" s="291" t="n"/>
      <c r="AA156" s="39" t="n"/>
      <c r="AB156" s="39" t="n"/>
      <c r="AC156" s="291" t="n"/>
      <c r="AD156" s="39" t="n"/>
      <c r="AE156" s="39" t="n"/>
      <c r="AF156" s="291" t="n"/>
      <c r="AG156" s="39" t="n"/>
      <c r="AH156" s="39" t="n"/>
      <c r="AI156" s="291" t="n"/>
      <c r="AJ156" s="39" t="n"/>
      <c r="AK156" s="39" t="n"/>
      <c r="AL156" s="291" t="n"/>
      <c r="AM156" s="291" t="n"/>
      <c r="AN156" s="291" t="n"/>
      <c r="AO156" s="291" t="n"/>
      <c r="AP156" s="291" t="n"/>
      <c r="AQ156" s="291" t="n"/>
      <c r="AR156" s="291" t="n"/>
      <c r="AS156" s="291" t="n"/>
      <c r="AT156" s="291" t="n"/>
      <c r="AU156" s="291" t="n"/>
      <c r="AV156" s="291" t="n"/>
      <c r="AW156" s="291" t="n"/>
      <c r="AX156" s="291" t="n"/>
      <c r="AY156" s="291" t="n"/>
      <c r="AZ156" s="39" t="n"/>
      <c r="BA156" s="291" t="n"/>
      <c r="BB156" s="39" t="n"/>
      <c r="BC156" s="291" t="n"/>
      <c r="BD156" s="39" t="n"/>
      <c r="BE156" s="291" t="n"/>
      <c r="BF156" s="39" t="n"/>
      <c r="BG156" s="291" t="n"/>
      <c r="BH156" s="39" t="n"/>
      <c r="BI156" s="291" t="n"/>
      <c r="BJ156" s="39" t="n"/>
      <c r="BK156" s="291" t="n"/>
      <c r="BL156" s="39" t="n"/>
      <c r="BM156" s="291" t="n"/>
      <c r="BN156" s="39" t="n"/>
      <c r="BO156" s="291" t="n"/>
      <c r="BP156" s="291" t="n"/>
      <c r="BQ156" s="39" t="n"/>
      <c r="BR156" s="291" t="n"/>
      <c r="BS156" s="39" t="n"/>
      <c r="BT156" s="291" t="n"/>
      <c r="BU156" s="39" t="n"/>
      <c r="BV156" s="291" t="n"/>
      <c r="BW156" s="39" t="n"/>
      <c r="BX156" s="291" t="n"/>
      <c r="BY156" s="39" t="n"/>
      <c r="BZ156" s="291" t="n"/>
      <c r="CA156" s="39" t="n"/>
      <c r="CB156" s="291" t="n"/>
      <c r="CC156" s="39" t="n"/>
      <c r="CD156" s="291" t="n"/>
      <c r="CE156" s="39" t="n"/>
      <c r="CF156" s="291" t="n"/>
      <c r="CG156" s="291" t="n"/>
      <c r="CH156" s="291" t="n"/>
      <c r="CI156" s="291" t="n"/>
      <c r="CJ156" s="291" t="n"/>
      <c r="CK156" s="291" t="n"/>
      <c r="CL156" s="291" t="n"/>
      <c r="CM156" s="291" t="n"/>
      <c r="CN156" s="291" t="n"/>
      <c r="CW156" s="291" t="n"/>
      <c r="CX156" s="39" t="n"/>
      <c r="CY156" s="291" t="n"/>
      <c r="CZ156" s="39" t="n"/>
      <c r="DA156" s="291" t="n"/>
      <c r="DB156" s="39" t="n"/>
      <c r="DC156" s="291" t="n"/>
      <c r="DD156" s="39" t="n"/>
      <c r="DE156" s="311" t="n"/>
      <c r="DF156" s="311" t="n"/>
    </row>
    <row r="157" ht="13" customFormat="1" customHeight="1" s="40">
      <c r="A157" s="326" t="n"/>
      <c r="B157" s="291" t="n"/>
      <c r="C157" s="37" t="n"/>
      <c r="D157" s="37" t="n"/>
      <c r="E157" s="291" t="n"/>
      <c r="F157" s="37" t="n"/>
      <c r="G157" s="37" t="n"/>
      <c r="H157" s="291" t="n"/>
      <c r="I157" s="37" t="n"/>
      <c r="J157" s="37" t="n"/>
      <c r="K157" s="291" t="n"/>
      <c r="L157" s="37" t="n"/>
      <c r="M157" s="37" t="n"/>
      <c r="N157" s="291" t="n"/>
      <c r="O157" s="37" t="n"/>
      <c r="P157" s="37" t="n"/>
      <c r="Q157" s="291" t="n"/>
      <c r="R157" s="37" t="n"/>
      <c r="S157" s="37" t="n"/>
      <c r="T157" s="291" t="n"/>
      <c r="U157" s="37" t="n"/>
      <c r="V157" s="37" t="n"/>
      <c r="W157" s="291" t="n"/>
      <c r="X157" s="37" t="n"/>
      <c r="Y157" s="37" t="n"/>
      <c r="Z157" s="291" t="n"/>
      <c r="AA157" s="39" t="n"/>
      <c r="AB157" s="39" t="n"/>
      <c r="AC157" s="291" t="n"/>
      <c r="AD157" s="39" t="n"/>
      <c r="AE157" s="39" t="n"/>
      <c r="AF157" s="291" t="n"/>
      <c r="AG157" s="39" t="n"/>
      <c r="AH157" s="39" t="n"/>
      <c r="AI157" s="291" t="n"/>
      <c r="AJ157" s="39" t="n"/>
      <c r="AK157" s="39" t="n"/>
      <c r="AL157" s="291" t="n"/>
      <c r="AM157" s="291" t="n"/>
      <c r="AN157" s="291" t="n"/>
      <c r="AO157" s="291" t="n"/>
      <c r="AP157" s="291" t="n"/>
      <c r="AQ157" s="291" t="n"/>
      <c r="AR157" s="291" t="n"/>
      <c r="AS157" s="291" t="n"/>
      <c r="AT157" s="291" t="n"/>
      <c r="AU157" s="291" t="n"/>
      <c r="AV157" s="291" t="n"/>
      <c r="AW157" s="291" t="n"/>
      <c r="AX157" s="291" t="n"/>
      <c r="AY157" s="291" t="n"/>
      <c r="AZ157" s="291" t="n"/>
      <c r="BA157" s="291" t="n"/>
      <c r="BB157" s="291" t="n"/>
      <c r="BC157" s="291" t="n"/>
      <c r="BD157" s="291" t="n"/>
      <c r="BE157" s="291" t="n"/>
      <c r="BF157" s="291" t="n"/>
      <c r="BG157" s="291" t="n"/>
      <c r="BH157" s="291" t="n"/>
      <c r="BI157" s="291" t="n"/>
      <c r="BJ157" s="291" t="n"/>
      <c r="BK157" s="291" t="n"/>
      <c r="BL157" s="291" t="n"/>
      <c r="BM157" s="291" t="n"/>
      <c r="BN157" s="291" t="n"/>
      <c r="BO157" s="291" t="n"/>
      <c r="BP157" s="291" t="n"/>
      <c r="BQ157" s="291" t="n"/>
      <c r="BR157" s="291" t="n"/>
      <c r="BS157" s="291" t="n"/>
      <c r="BT157" s="291" t="n"/>
      <c r="BU157" s="291" t="n"/>
      <c r="BV157" s="291" t="n"/>
      <c r="BW157" s="291" t="n"/>
      <c r="BX157" s="291" t="n"/>
      <c r="BY157" s="291" t="n"/>
      <c r="BZ157" s="291" t="n"/>
      <c r="CA157" s="291" t="n"/>
      <c r="CB157" s="291" t="n"/>
      <c r="CC157" s="291" t="n"/>
      <c r="CD157" s="291" t="n"/>
      <c r="CE157" s="291" t="n"/>
      <c r="CF157" s="291" t="n"/>
      <c r="CG157" s="291" t="n"/>
      <c r="CH157" s="291" t="n"/>
      <c r="CI157" s="291" t="n"/>
      <c r="CJ157" s="291" t="n"/>
      <c r="CK157" s="291" t="n"/>
      <c r="CL157" s="291" t="n"/>
      <c r="CM157" s="291" t="n"/>
      <c r="CN157" s="291" t="n"/>
      <c r="CW157" s="291" t="n"/>
      <c r="CX157" s="291" t="n"/>
      <c r="CY157" s="291" t="n"/>
      <c r="CZ157" s="291" t="n"/>
      <c r="DA157" s="291" t="n"/>
      <c r="DB157" s="291" t="n"/>
      <c r="DC157" s="291" t="n"/>
      <c r="DD157" s="291" t="n"/>
      <c r="DE157" s="311" t="n"/>
      <c r="DF157" s="311" t="n"/>
    </row>
    <row r="158" ht="13" customFormat="1" customHeight="1" s="40">
      <c r="A158" s="326" t="n"/>
      <c r="B158" s="291" t="n"/>
      <c r="C158" s="39" t="n"/>
      <c r="D158" s="39" t="n"/>
      <c r="E158" s="291" t="n"/>
      <c r="F158" s="39" t="n"/>
      <c r="G158" s="39" t="n"/>
      <c r="H158" s="291" t="n"/>
      <c r="I158" s="39" t="n"/>
      <c r="J158" s="39" t="n"/>
      <c r="K158" s="291" t="n"/>
      <c r="L158" s="39" t="n"/>
      <c r="M158" s="39" t="n"/>
      <c r="N158" s="291" t="n"/>
      <c r="O158" s="39" t="n"/>
      <c r="P158" s="39" t="n"/>
      <c r="Q158" s="291" t="n"/>
      <c r="R158" s="39" t="n"/>
      <c r="S158" s="39" t="n"/>
      <c r="T158" s="291" t="n"/>
      <c r="U158" s="39" t="n"/>
      <c r="V158" s="39" t="n"/>
      <c r="W158" s="291" t="n"/>
      <c r="X158" s="39" t="n"/>
      <c r="Y158" s="39" t="n"/>
      <c r="Z158" s="291" t="n"/>
      <c r="AA158" s="39" t="n"/>
      <c r="AB158" s="39" t="n"/>
      <c r="AC158" s="291" t="n"/>
      <c r="AD158" s="39" t="n"/>
      <c r="AE158" s="39" t="n"/>
      <c r="AF158" s="291" t="n"/>
      <c r="AG158" s="39" t="n"/>
      <c r="AH158" s="39" t="n"/>
      <c r="AI158" s="291" t="n"/>
      <c r="AJ158" s="39" t="n"/>
      <c r="AK158" s="39" t="n"/>
      <c r="AL158" s="291" t="n"/>
      <c r="AM158" s="291" t="n"/>
      <c r="AN158" s="291" t="n"/>
      <c r="AO158" s="291" t="n"/>
      <c r="AP158" s="291" t="n"/>
      <c r="AQ158" s="291" t="n"/>
      <c r="AR158" s="291" t="n"/>
      <c r="AS158" s="291" t="n"/>
      <c r="AT158" s="291" t="n"/>
      <c r="AU158" s="291" t="n"/>
      <c r="AV158" s="291" t="n"/>
      <c r="AW158" s="291" t="n"/>
      <c r="AX158" s="291" t="n"/>
      <c r="AY158" s="291" t="n"/>
      <c r="AZ158" s="39" t="n"/>
      <c r="BA158" s="291" t="n"/>
      <c r="BB158" s="39" t="n"/>
      <c r="BC158" s="291" t="n"/>
      <c r="BD158" s="39" t="n"/>
      <c r="BE158" s="291" t="n"/>
      <c r="BF158" s="39" t="n"/>
      <c r="BG158" s="291" t="n"/>
      <c r="BH158" s="39" t="n"/>
      <c r="BI158" s="291" t="n"/>
      <c r="BJ158" s="39" t="n"/>
      <c r="BK158" s="291" t="n"/>
      <c r="BL158" s="39" t="n"/>
      <c r="BM158" s="291" t="n"/>
      <c r="BN158" s="39" t="n"/>
      <c r="BO158" s="291" t="n"/>
      <c r="BP158" s="291" t="n"/>
      <c r="BQ158" s="39" t="n"/>
      <c r="BR158" s="291" t="n"/>
      <c r="BS158" s="39" t="n"/>
      <c r="BT158" s="291" t="n"/>
      <c r="BU158" s="39" t="n"/>
      <c r="BV158" s="291" t="n"/>
      <c r="BW158" s="39" t="n"/>
      <c r="BX158" s="291" t="n"/>
      <c r="BY158" s="39" t="n"/>
      <c r="BZ158" s="291" t="n"/>
      <c r="CA158" s="39" t="n"/>
      <c r="CB158" s="291" t="n"/>
      <c r="CC158" s="39" t="n"/>
      <c r="CD158" s="291" t="n"/>
      <c r="CE158" s="39" t="n"/>
      <c r="CF158" s="291" t="n"/>
      <c r="CG158" s="291" t="n"/>
      <c r="CH158" s="291" t="n"/>
      <c r="CI158" s="291" t="n"/>
      <c r="CJ158" s="291" t="n"/>
      <c r="CK158" s="291" t="n"/>
      <c r="CL158" s="291" t="n"/>
      <c r="CM158" s="291" t="n"/>
      <c r="CN158" s="291" t="n"/>
      <c r="CW158" s="291" t="n"/>
      <c r="CX158" s="39" t="n"/>
      <c r="CY158" s="291" t="n"/>
      <c r="CZ158" s="39" t="n"/>
      <c r="DA158" s="291" t="n"/>
      <c r="DB158" s="39" t="n"/>
      <c r="DC158" s="291" t="n"/>
      <c r="DD158" s="39" t="n"/>
      <c r="DE158" s="311" t="n"/>
      <c r="DF158" s="311" t="n"/>
    </row>
    <row r="159" ht="13" customFormat="1" customHeight="1" s="40">
      <c r="A159" s="326" t="n"/>
      <c r="B159" s="291" t="n"/>
      <c r="C159" s="39" t="n"/>
      <c r="D159" s="39" t="n"/>
      <c r="E159" s="291" t="n"/>
      <c r="F159" s="39" t="n"/>
      <c r="G159" s="39" t="n"/>
      <c r="H159" s="291" t="n"/>
      <c r="I159" s="39" t="n"/>
      <c r="J159" s="39" t="n"/>
      <c r="K159" s="291" t="n"/>
      <c r="L159" s="39" t="n"/>
      <c r="M159" s="39" t="n"/>
      <c r="N159" s="291" t="n"/>
      <c r="O159" s="39" t="n"/>
      <c r="P159" s="39" t="n"/>
      <c r="Q159" s="291" t="n"/>
      <c r="R159" s="39" t="n"/>
      <c r="S159" s="39" t="n"/>
      <c r="T159" s="291" t="n"/>
      <c r="U159" s="39" t="n"/>
      <c r="V159" s="39" t="n"/>
      <c r="W159" s="291" t="n"/>
      <c r="X159" s="39" t="n"/>
      <c r="Y159" s="39" t="n"/>
      <c r="Z159" s="291" t="n"/>
      <c r="AA159" s="39" t="n"/>
      <c r="AB159" s="39" t="n"/>
      <c r="AC159" s="291" t="n"/>
      <c r="AD159" s="39" t="n"/>
      <c r="AE159" s="39" t="n"/>
      <c r="AF159" s="291" t="n"/>
      <c r="AG159" s="39" t="n"/>
      <c r="AH159" s="39" t="n"/>
      <c r="AI159" s="291" t="n"/>
      <c r="AJ159" s="39" t="n"/>
      <c r="AK159" s="39" t="n"/>
      <c r="AL159" s="291" t="n"/>
      <c r="AM159" s="291" t="n"/>
      <c r="AN159" s="291" t="n"/>
      <c r="AO159" s="291" t="n"/>
      <c r="AP159" s="291" t="n"/>
      <c r="AQ159" s="291" t="n"/>
      <c r="AR159" s="291" t="n"/>
      <c r="AS159" s="291" t="n"/>
      <c r="AT159" s="291" t="n"/>
      <c r="AU159" s="291" t="n"/>
      <c r="AV159" s="291" t="n"/>
      <c r="AW159" s="291" t="n"/>
      <c r="AX159" s="291" t="n"/>
      <c r="AY159" s="291" t="n"/>
      <c r="AZ159" s="39" t="n"/>
      <c r="BA159" s="291" t="n"/>
      <c r="BB159" s="39" t="n"/>
      <c r="BC159" s="291" t="n"/>
      <c r="BD159" s="39" t="n"/>
      <c r="BE159" s="291" t="n"/>
      <c r="BF159" s="39" t="n"/>
      <c r="BG159" s="291" t="n"/>
      <c r="BH159" s="39" t="n"/>
      <c r="BI159" s="291" t="n"/>
      <c r="BJ159" s="39" t="n"/>
      <c r="BK159" s="291" t="n"/>
      <c r="BL159" s="39" t="n"/>
      <c r="BM159" s="291" t="n"/>
      <c r="BN159" s="39" t="n"/>
      <c r="BO159" s="291" t="n"/>
      <c r="BP159" s="291" t="n"/>
      <c r="BQ159" s="39" t="n"/>
      <c r="BR159" s="291" t="n"/>
      <c r="BS159" s="39" t="n"/>
      <c r="BT159" s="291" t="n"/>
      <c r="BU159" s="39" t="n"/>
      <c r="BV159" s="291" t="n"/>
      <c r="BW159" s="39" t="n"/>
      <c r="BX159" s="291" t="n"/>
      <c r="BY159" s="39" t="n"/>
      <c r="BZ159" s="291" t="n"/>
      <c r="CA159" s="39" t="n"/>
      <c r="CB159" s="291" t="n"/>
      <c r="CC159" s="39" t="n"/>
      <c r="CD159" s="291" t="n"/>
      <c r="CE159" s="39" t="n"/>
      <c r="CF159" s="291" t="n"/>
      <c r="CG159" s="291" t="n"/>
      <c r="CH159" s="291" t="n"/>
      <c r="CI159" s="291" t="n"/>
      <c r="CJ159" s="291" t="n"/>
      <c r="CK159" s="291" t="n"/>
      <c r="CL159" s="291" t="n"/>
      <c r="CM159" s="291" t="n"/>
      <c r="CN159" s="291" t="n"/>
      <c r="CW159" s="291" t="n"/>
      <c r="CX159" s="39" t="n"/>
      <c r="CY159" s="291" t="n"/>
      <c r="CZ159" s="39" t="n"/>
      <c r="DA159" s="291" t="n"/>
      <c r="DB159" s="39" t="n"/>
      <c r="DC159" s="291" t="n"/>
      <c r="DD159" s="39" t="n"/>
      <c r="DE159" s="311" t="n"/>
      <c r="DF159" s="311" t="n"/>
    </row>
    <row r="160" ht="13" customFormat="1" customHeight="1" s="40">
      <c r="A160" s="326" t="n"/>
      <c r="B160" s="291" t="n"/>
      <c r="C160" s="39" t="n"/>
      <c r="D160" s="39" t="n"/>
      <c r="E160" s="291" t="n"/>
      <c r="F160" s="39" t="n"/>
      <c r="G160" s="39" t="n"/>
      <c r="H160" s="291" t="n"/>
      <c r="I160" s="39" t="n"/>
      <c r="J160" s="39" t="n"/>
      <c r="K160" s="291" t="n"/>
      <c r="L160" s="39" t="n"/>
      <c r="M160" s="39" t="n"/>
      <c r="N160" s="291" t="n"/>
      <c r="O160" s="39" t="n"/>
      <c r="P160" s="39" t="n"/>
      <c r="Q160" s="291" t="n"/>
      <c r="R160" s="39" t="n"/>
      <c r="S160" s="39" t="n"/>
      <c r="T160" s="291" t="n"/>
      <c r="U160" s="39" t="n"/>
      <c r="V160" s="39" t="n"/>
      <c r="W160" s="291" t="n"/>
      <c r="X160" s="39" t="n"/>
      <c r="Y160" s="39" t="n"/>
      <c r="Z160" s="291" t="n"/>
      <c r="AA160" s="39" t="n"/>
      <c r="AB160" s="39" t="n"/>
      <c r="AC160" s="291" t="n"/>
      <c r="AD160" s="39" t="n"/>
      <c r="AE160" s="39" t="n"/>
      <c r="AF160" s="291" t="n"/>
      <c r="AG160" s="39" t="n"/>
      <c r="AH160" s="39" t="n"/>
      <c r="AI160" s="291" t="n"/>
      <c r="AJ160" s="39" t="n"/>
      <c r="AK160" s="39" t="n"/>
      <c r="AL160" s="291" t="n"/>
      <c r="AM160" s="291" t="n"/>
      <c r="AN160" s="291" t="n"/>
      <c r="AO160" s="291" t="n"/>
      <c r="AP160" s="291" t="n"/>
      <c r="AQ160" s="291" t="n"/>
      <c r="AR160" s="291" t="n"/>
      <c r="AS160" s="291" t="n"/>
      <c r="AT160" s="291" t="n"/>
      <c r="AU160" s="291" t="n"/>
      <c r="AV160" s="291" t="n"/>
      <c r="AW160" s="291" t="n"/>
      <c r="AX160" s="291" t="n"/>
      <c r="AY160" s="291" t="n"/>
      <c r="AZ160" s="39" t="n"/>
      <c r="BA160" s="291" t="n"/>
      <c r="BB160" s="39" t="n"/>
      <c r="BC160" s="291" t="n"/>
      <c r="BD160" s="39" t="n"/>
      <c r="BE160" s="291" t="n"/>
      <c r="BF160" s="39" t="n"/>
      <c r="BG160" s="291" t="n"/>
      <c r="BH160" s="39" t="n"/>
      <c r="BI160" s="291" t="n"/>
      <c r="BJ160" s="39" t="n"/>
      <c r="BK160" s="291" t="n"/>
      <c r="BL160" s="39" t="n"/>
      <c r="BM160" s="291" t="n"/>
      <c r="BN160" s="39" t="n"/>
      <c r="BO160" s="291" t="n"/>
      <c r="BP160" s="291" t="n"/>
      <c r="BQ160" s="39" t="n"/>
      <c r="BR160" s="291" t="n"/>
      <c r="BS160" s="39" t="n"/>
      <c r="BT160" s="291" t="n"/>
      <c r="BU160" s="39" t="n"/>
      <c r="BV160" s="291" t="n"/>
      <c r="BW160" s="39" t="n"/>
      <c r="BX160" s="291" t="n"/>
      <c r="BY160" s="39" t="n"/>
      <c r="BZ160" s="291" t="n"/>
      <c r="CA160" s="39" t="n"/>
      <c r="CB160" s="291" t="n"/>
      <c r="CC160" s="39" t="n"/>
      <c r="CD160" s="291" t="n"/>
      <c r="CE160" s="39" t="n"/>
      <c r="CF160" s="291" t="n"/>
      <c r="CG160" s="291" t="n"/>
      <c r="CH160" s="291" t="n"/>
      <c r="CI160" s="291" t="n"/>
      <c r="CJ160" s="291" t="n"/>
      <c r="CK160" s="291" t="n"/>
      <c r="CL160" s="291" t="n"/>
      <c r="CM160" s="291" t="n"/>
      <c r="CN160" s="291" t="n"/>
      <c r="CW160" s="291" t="n"/>
      <c r="CX160" s="39" t="n"/>
      <c r="CY160" s="291" t="n"/>
      <c r="CZ160" s="39" t="n"/>
      <c r="DA160" s="291" t="n"/>
      <c r="DB160" s="39" t="n"/>
      <c r="DC160" s="291" t="n"/>
      <c r="DD160" s="39" t="n"/>
      <c r="DE160" s="311" t="n"/>
      <c r="DF160" s="311" t="n"/>
    </row>
    <row r="161" ht="13" customFormat="1" customHeight="1" s="40">
      <c r="A161" s="326" t="n"/>
      <c r="B161" s="291" t="n"/>
      <c r="C161" s="39" t="n"/>
      <c r="D161" s="39" t="n"/>
      <c r="E161" s="291" t="n"/>
      <c r="F161" s="39" t="n"/>
      <c r="G161" s="39" t="n"/>
      <c r="H161" s="291" t="n"/>
      <c r="I161" s="39" t="n"/>
      <c r="J161" s="39" t="n"/>
      <c r="K161" s="291" t="n"/>
      <c r="L161" s="39" t="n"/>
      <c r="M161" s="39" t="n"/>
      <c r="N161" s="291" t="n"/>
      <c r="O161" s="39" t="n"/>
      <c r="P161" s="39" t="n"/>
      <c r="Q161" s="291" t="n"/>
      <c r="R161" s="39" t="n"/>
      <c r="S161" s="39" t="n"/>
      <c r="T161" s="291" t="n"/>
      <c r="U161" s="39" t="n"/>
      <c r="V161" s="39" t="n"/>
      <c r="W161" s="291" t="n"/>
      <c r="X161" s="39" t="n"/>
      <c r="Y161" s="39" t="n"/>
      <c r="Z161" s="291" t="n"/>
      <c r="AA161" s="39" t="n"/>
      <c r="AB161" s="39" t="n"/>
      <c r="AC161" s="291" t="n"/>
      <c r="AD161" s="39" t="n"/>
      <c r="AE161" s="39" t="n"/>
      <c r="AF161" s="291" t="n"/>
      <c r="AG161" s="39" t="n"/>
      <c r="AH161" s="39" t="n"/>
      <c r="AI161" s="291" t="n"/>
      <c r="AJ161" s="39" t="n"/>
      <c r="AK161" s="39" t="n"/>
      <c r="AL161" s="291" t="n"/>
      <c r="AM161" s="291" t="n"/>
      <c r="AN161" s="291" t="n"/>
      <c r="AO161" s="291" t="n"/>
      <c r="AP161" s="291" t="n"/>
      <c r="AQ161" s="291" t="n"/>
      <c r="AR161" s="291" t="n"/>
      <c r="AS161" s="291" t="n"/>
      <c r="AT161" s="291" t="n"/>
      <c r="AU161" s="291" t="n"/>
      <c r="AV161" s="291" t="n"/>
      <c r="AW161" s="291" t="n"/>
      <c r="AX161" s="291" t="n"/>
      <c r="AY161" s="291" t="n"/>
      <c r="AZ161" s="39" t="n"/>
      <c r="BA161" s="291" t="n"/>
      <c r="BB161" s="39" t="n"/>
      <c r="BC161" s="291" t="n"/>
      <c r="BD161" s="39" t="n"/>
      <c r="BE161" s="291" t="n"/>
      <c r="BF161" s="39" t="n"/>
      <c r="BG161" s="291" t="n"/>
      <c r="BH161" s="39" t="n"/>
      <c r="BI161" s="291" t="n"/>
      <c r="BJ161" s="39" t="n"/>
      <c r="BK161" s="291" t="n"/>
      <c r="BL161" s="39" t="n"/>
      <c r="BM161" s="291" t="n"/>
      <c r="BN161" s="39" t="n"/>
      <c r="BO161" s="291" t="n"/>
      <c r="BP161" s="291" t="n"/>
      <c r="BQ161" s="39" t="n"/>
      <c r="BR161" s="291" t="n"/>
      <c r="BS161" s="39" t="n"/>
      <c r="BT161" s="291" t="n"/>
      <c r="BU161" s="39" t="n"/>
      <c r="BV161" s="291" t="n"/>
      <c r="BW161" s="39" t="n"/>
      <c r="BX161" s="291" t="n"/>
      <c r="BY161" s="39" t="n"/>
      <c r="BZ161" s="291" t="n"/>
      <c r="CA161" s="39" t="n"/>
      <c r="CB161" s="291" t="n"/>
      <c r="CC161" s="39" t="n"/>
      <c r="CD161" s="291" t="n"/>
      <c r="CE161" s="39" t="n"/>
      <c r="CF161" s="291" t="n"/>
      <c r="CG161" s="291" t="n"/>
      <c r="CH161" s="291" t="n"/>
      <c r="CI161" s="291" t="n"/>
      <c r="CJ161" s="291" t="n"/>
      <c r="CK161" s="291" t="n"/>
      <c r="CL161" s="291" t="n"/>
      <c r="CM161" s="291" t="n"/>
      <c r="CN161" s="291" t="n"/>
      <c r="CW161" s="291" t="n"/>
      <c r="CX161" s="39" t="n"/>
      <c r="CY161" s="291" t="n"/>
      <c r="CZ161" s="39" t="n"/>
      <c r="DA161" s="291" t="n"/>
      <c r="DB161" s="39" t="n"/>
      <c r="DC161" s="291" t="n"/>
      <c r="DD161" s="39" t="n"/>
      <c r="DE161" s="311" t="n"/>
      <c r="DF161" s="311" t="n"/>
    </row>
    <row r="162" ht="13" customFormat="1" customHeight="1" s="40">
      <c r="A162" s="326" t="n"/>
      <c r="B162" s="291" t="n"/>
      <c r="C162" s="37" t="n"/>
      <c r="D162" s="37" t="n"/>
      <c r="E162" s="291" t="n"/>
      <c r="F162" s="37" t="n"/>
      <c r="G162" s="37" t="n"/>
      <c r="H162" s="291" t="n"/>
      <c r="I162" s="37" t="n"/>
      <c r="J162" s="37" t="n"/>
      <c r="K162" s="291" t="n"/>
      <c r="L162" s="37" t="n"/>
      <c r="M162" s="37" t="n"/>
      <c r="N162" s="291" t="n"/>
      <c r="O162" s="37" t="n"/>
      <c r="P162" s="37" t="n"/>
      <c r="Q162" s="291" t="n"/>
      <c r="R162" s="37" t="n"/>
      <c r="S162" s="37" t="n"/>
      <c r="T162" s="291" t="n"/>
      <c r="U162" s="37" t="n"/>
      <c r="V162" s="37" t="n"/>
      <c r="W162" s="291" t="n"/>
      <c r="X162" s="37" t="n"/>
      <c r="Y162" s="37" t="n"/>
      <c r="Z162" s="291" t="n"/>
      <c r="AA162" s="39" t="n"/>
      <c r="AB162" s="39" t="n"/>
      <c r="AC162" s="291" t="n"/>
      <c r="AD162" s="39" t="n"/>
      <c r="AE162" s="39" t="n"/>
      <c r="AF162" s="291" t="n"/>
      <c r="AG162" s="39" t="n"/>
      <c r="AH162" s="39" t="n"/>
      <c r="AI162" s="291" t="n"/>
      <c r="AJ162" s="39" t="n"/>
      <c r="AK162" s="39" t="n"/>
      <c r="AL162" s="291" t="n"/>
      <c r="AM162" s="291" t="n"/>
      <c r="AN162" s="291" t="n"/>
      <c r="AO162" s="291" t="n"/>
      <c r="AP162" s="291" t="n"/>
      <c r="AQ162" s="291" t="n"/>
      <c r="AR162" s="291" t="n"/>
      <c r="AS162" s="291" t="n"/>
      <c r="AT162" s="291" t="n"/>
      <c r="AU162" s="291" t="n"/>
      <c r="AV162" s="291" t="n"/>
      <c r="AW162" s="291" t="n"/>
      <c r="AX162" s="291" t="n"/>
      <c r="AY162" s="291" t="n"/>
      <c r="AZ162" s="291" t="n"/>
      <c r="BA162" s="291" t="n"/>
      <c r="BB162" s="291" t="n"/>
      <c r="BC162" s="291" t="n"/>
      <c r="BD162" s="291" t="n"/>
      <c r="BE162" s="291" t="n"/>
      <c r="BF162" s="291" t="n"/>
      <c r="BG162" s="291" t="n"/>
      <c r="BH162" s="291" t="n"/>
      <c r="BI162" s="291" t="n"/>
      <c r="BJ162" s="291" t="n"/>
      <c r="BK162" s="291" t="n"/>
      <c r="BL162" s="291" t="n"/>
      <c r="BM162" s="291" t="n"/>
      <c r="BN162" s="291" t="n"/>
      <c r="BO162" s="291" t="n"/>
      <c r="BP162" s="291" t="n"/>
      <c r="BQ162" s="291" t="n"/>
      <c r="BR162" s="291" t="n"/>
      <c r="BS162" s="291" t="n"/>
      <c r="BT162" s="291" t="n"/>
      <c r="BU162" s="291" t="n"/>
      <c r="BV162" s="291" t="n"/>
      <c r="BW162" s="291" t="n"/>
      <c r="BX162" s="291" t="n"/>
      <c r="BY162" s="291" t="n"/>
      <c r="BZ162" s="291" t="n"/>
      <c r="CA162" s="291" t="n"/>
      <c r="CB162" s="291" t="n"/>
      <c r="CC162" s="291" t="n"/>
      <c r="CD162" s="291" t="n"/>
      <c r="CE162" s="291" t="n"/>
      <c r="CF162" s="291" t="n"/>
      <c r="CG162" s="291" t="n"/>
      <c r="CH162" s="291" t="n"/>
      <c r="CI162" s="291" t="n"/>
      <c r="CJ162" s="291" t="n"/>
      <c r="CK162" s="291" t="n"/>
      <c r="CL162" s="291" t="n"/>
      <c r="CM162" s="291" t="n"/>
      <c r="CN162" s="291" t="n"/>
      <c r="CW162" s="291" t="n"/>
      <c r="CX162" s="291" t="n"/>
      <c r="CY162" s="291" t="n"/>
      <c r="CZ162" s="291" t="n"/>
      <c r="DA162" s="291" t="n"/>
      <c r="DB162" s="291" t="n"/>
      <c r="DC162" s="291" t="n"/>
      <c r="DD162" s="291" t="n"/>
      <c r="DE162" s="311" t="n"/>
      <c r="DF162" s="311" t="n"/>
    </row>
    <row r="163" ht="13" customFormat="1" customHeight="1" s="40">
      <c r="A163" s="326" t="n"/>
      <c r="B163" s="291" t="n"/>
      <c r="C163" s="39" t="n"/>
      <c r="D163" s="39" t="n"/>
      <c r="E163" s="291" t="n"/>
      <c r="F163" s="39" t="n"/>
      <c r="G163" s="39" t="n"/>
      <c r="H163" s="291" t="n"/>
      <c r="I163" s="39" t="n"/>
      <c r="J163" s="39" t="n"/>
      <c r="K163" s="291" t="n"/>
      <c r="L163" s="39" t="n"/>
      <c r="M163" s="39" t="n"/>
      <c r="N163" s="291" t="n"/>
      <c r="O163" s="39" t="n"/>
      <c r="P163" s="39" t="n"/>
      <c r="Q163" s="291" t="n"/>
      <c r="R163" s="39" t="n"/>
      <c r="S163" s="39" t="n"/>
      <c r="T163" s="291" t="n"/>
      <c r="U163" s="39" t="n"/>
      <c r="V163" s="39" t="n"/>
      <c r="W163" s="291" t="n"/>
      <c r="X163" s="39" t="n"/>
      <c r="Y163" s="39" t="n"/>
      <c r="Z163" s="291" t="n"/>
      <c r="AA163" s="39" t="n"/>
      <c r="AB163" s="39" t="n"/>
      <c r="AC163" s="291" t="n"/>
      <c r="AD163" s="39" t="n"/>
      <c r="AE163" s="39" t="n"/>
      <c r="AF163" s="291" t="n"/>
      <c r="AG163" s="39" t="n"/>
      <c r="AH163" s="39" t="n"/>
      <c r="AI163" s="291" t="n"/>
      <c r="AJ163" s="39" t="n"/>
      <c r="AK163" s="39" t="n"/>
      <c r="AL163" s="291" t="n"/>
      <c r="AM163" s="291" t="n"/>
      <c r="AN163" s="291" t="n"/>
      <c r="AO163" s="291" t="n"/>
      <c r="AP163" s="291" t="n"/>
      <c r="AQ163" s="291" t="n"/>
      <c r="AR163" s="291" t="n"/>
      <c r="AS163" s="291" t="n"/>
      <c r="AT163" s="291" t="n"/>
      <c r="AU163" s="291" t="n"/>
      <c r="AV163" s="291" t="n"/>
      <c r="AW163" s="291" t="n"/>
      <c r="AX163" s="291" t="n"/>
      <c r="AY163" s="291" t="n"/>
      <c r="AZ163" s="39" t="n"/>
      <c r="BA163" s="291" t="n"/>
      <c r="BB163" s="39" t="n"/>
      <c r="BC163" s="291" t="n"/>
      <c r="BD163" s="39" t="n"/>
      <c r="BE163" s="291" t="n"/>
      <c r="BF163" s="39" t="n"/>
      <c r="BG163" s="291" t="n"/>
      <c r="BH163" s="39" t="n"/>
      <c r="BI163" s="291" t="n"/>
      <c r="BJ163" s="39" t="n"/>
      <c r="BK163" s="291" t="n"/>
      <c r="BL163" s="39" t="n"/>
      <c r="BM163" s="291" t="n"/>
      <c r="BN163" s="39" t="n"/>
      <c r="BO163" s="291" t="n"/>
      <c r="BP163" s="291" t="n"/>
      <c r="BQ163" s="39" t="n"/>
      <c r="BR163" s="291" t="n"/>
      <c r="BS163" s="39" t="n"/>
      <c r="BT163" s="291" t="n"/>
      <c r="BU163" s="39" t="n"/>
      <c r="BV163" s="291" t="n"/>
      <c r="BW163" s="39" t="n"/>
      <c r="BX163" s="291" t="n"/>
      <c r="BY163" s="39" t="n"/>
      <c r="BZ163" s="291" t="n"/>
      <c r="CA163" s="39" t="n"/>
      <c r="CB163" s="291" t="n"/>
      <c r="CC163" s="39" t="n"/>
      <c r="CD163" s="291" t="n"/>
      <c r="CE163" s="39" t="n"/>
      <c r="CF163" s="291" t="n"/>
      <c r="CG163" s="291" t="n"/>
      <c r="CH163" s="291" t="n"/>
      <c r="CI163" s="291" t="n"/>
      <c r="CJ163" s="291" t="n"/>
      <c r="CK163" s="291" t="n"/>
      <c r="CL163" s="291" t="n"/>
      <c r="CM163" s="291" t="n"/>
      <c r="CN163" s="291" t="n"/>
      <c r="CW163" s="291" t="n"/>
      <c r="CX163" s="39" t="n"/>
      <c r="CY163" s="291" t="n"/>
      <c r="CZ163" s="39" t="n"/>
      <c r="DA163" s="291" t="n"/>
      <c r="DB163" s="39" t="n"/>
      <c r="DC163" s="291" t="n"/>
      <c r="DD163" s="39" t="n"/>
      <c r="DE163" s="311" t="n"/>
      <c r="DF163" s="311" t="n"/>
    </row>
    <row r="164" ht="13" customFormat="1" customHeight="1" s="40">
      <c r="A164" s="326" t="n"/>
      <c r="B164" s="291" t="n"/>
      <c r="C164" s="39" t="n"/>
      <c r="D164" s="39" t="n"/>
      <c r="E164" s="291" t="n"/>
      <c r="F164" s="39" t="n"/>
      <c r="G164" s="39" t="n"/>
      <c r="H164" s="291" t="n"/>
      <c r="I164" s="39" t="n"/>
      <c r="J164" s="39" t="n"/>
      <c r="K164" s="291" t="n"/>
      <c r="L164" s="39" t="n"/>
      <c r="M164" s="39" t="n"/>
      <c r="N164" s="291" t="n"/>
      <c r="O164" s="39" t="n"/>
      <c r="P164" s="39" t="n"/>
      <c r="Q164" s="291" t="n"/>
      <c r="R164" s="39" t="n"/>
      <c r="S164" s="39" t="n"/>
      <c r="T164" s="291" t="n"/>
      <c r="U164" s="39" t="n"/>
      <c r="V164" s="39" t="n"/>
      <c r="W164" s="291" t="n"/>
      <c r="X164" s="39" t="n"/>
      <c r="Y164" s="39" t="n"/>
      <c r="Z164" s="291" t="n"/>
      <c r="AA164" s="39" t="n"/>
      <c r="AB164" s="39" t="n"/>
      <c r="AC164" s="291" t="n"/>
      <c r="AD164" s="39" t="n"/>
      <c r="AE164" s="39" t="n"/>
      <c r="AF164" s="291" t="n"/>
      <c r="AG164" s="39" t="n"/>
      <c r="AH164" s="39" t="n"/>
      <c r="AI164" s="291" t="n"/>
      <c r="AJ164" s="39" t="n"/>
      <c r="AK164" s="39" t="n"/>
      <c r="AL164" s="291" t="n"/>
      <c r="AM164" s="291" t="n"/>
      <c r="AN164" s="291" t="n"/>
      <c r="AO164" s="291" t="n"/>
      <c r="AP164" s="291" t="n"/>
      <c r="AQ164" s="291" t="n"/>
      <c r="AR164" s="291" t="n"/>
      <c r="AS164" s="291" t="n"/>
      <c r="AT164" s="291" t="n"/>
      <c r="AU164" s="291" t="n"/>
      <c r="AV164" s="291" t="n"/>
      <c r="AW164" s="291" t="n"/>
      <c r="AX164" s="291" t="n"/>
      <c r="AY164" s="291" t="n"/>
      <c r="AZ164" s="39" t="n"/>
      <c r="BA164" s="291" t="n"/>
      <c r="BB164" s="39" t="n"/>
      <c r="BC164" s="291" t="n"/>
      <c r="BD164" s="39" t="n"/>
      <c r="BE164" s="291" t="n"/>
      <c r="BF164" s="39" t="n"/>
      <c r="BG164" s="291" t="n"/>
      <c r="BH164" s="39" t="n"/>
      <c r="BI164" s="291" t="n"/>
      <c r="BJ164" s="39" t="n"/>
      <c r="BK164" s="291" t="n"/>
      <c r="BL164" s="39" t="n"/>
      <c r="BM164" s="291" t="n"/>
      <c r="BN164" s="39" t="n"/>
      <c r="BO164" s="291" t="n"/>
      <c r="BP164" s="291" t="n"/>
      <c r="BQ164" s="39" t="n"/>
      <c r="BR164" s="291" t="n"/>
      <c r="BS164" s="39" t="n"/>
      <c r="BT164" s="291" t="n"/>
      <c r="BU164" s="39" t="n"/>
      <c r="BV164" s="291" t="n"/>
      <c r="BW164" s="39" t="n"/>
      <c r="BX164" s="291" t="n"/>
      <c r="BY164" s="39" t="n"/>
      <c r="BZ164" s="291" t="n"/>
      <c r="CA164" s="39" t="n"/>
      <c r="CB164" s="291" t="n"/>
      <c r="CC164" s="39" t="n"/>
      <c r="CD164" s="291" t="n"/>
      <c r="CE164" s="39" t="n"/>
      <c r="CF164" s="291" t="n"/>
      <c r="CG164" s="291" t="n"/>
      <c r="CH164" s="291" t="n"/>
      <c r="CI164" s="291" t="n"/>
      <c r="CJ164" s="291" t="n"/>
      <c r="CK164" s="291" t="n"/>
      <c r="CL164" s="291" t="n"/>
      <c r="CM164" s="291" t="n"/>
      <c r="CN164" s="291" t="n"/>
      <c r="CW164" s="291" t="n"/>
      <c r="CX164" s="39" t="n"/>
      <c r="CY164" s="291" t="n"/>
      <c r="CZ164" s="39" t="n"/>
      <c r="DA164" s="291" t="n"/>
      <c r="DB164" s="39" t="n"/>
      <c r="DC164" s="291" t="n"/>
      <c r="DD164" s="39" t="n"/>
      <c r="DE164" s="311" t="n"/>
      <c r="DF164" s="311" t="n"/>
    </row>
    <row r="165" ht="13" customFormat="1" customHeight="1" s="40">
      <c r="A165" s="326" t="n"/>
      <c r="B165" s="291" t="n"/>
      <c r="C165" s="39" t="n"/>
      <c r="D165" s="39" t="n"/>
      <c r="E165" s="291" t="n"/>
      <c r="F165" s="39" t="n"/>
      <c r="G165" s="39" t="n"/>
      <c r="H165" s="291" t="n"/>
      <c r="I165" s="39" t="n"/>
      <c r="J165" s="39" t="n"/>
      <c r="K165" s="291" t="n"/>
      <c r="L165" s="39" t="n"/>
      <c r="M165" s="39" t="n"/>
      <c r="N165" s="291" t="n"/>
      <c r="O165" s="39" t="n"/>
      <c r="P165" s="39" t="n"/>
      <c r="Q165" s="291" t="n"/>
      <c r="R165" s="39" t="n"/>
      <c r="S165" s="39" t="n"/>
      <c r="T165" s="291" t="n"/>
      <c r="U165" s="39" t="n"/>
      <c r="V165" s="39" t="n"/>
      <c r="W165" s="291" t="n"/>
      <c r="X165" s="39" t="n"/>
      <c r="Y165" s="39" t="n"/>
      <c r="Z165" s="291" t="n"/>
      <c r="AA165" s="39" t="n"/>
      <c r="AB165" s="39" t="n"/>
      <c r="AC165" s="291" t="n"/>
      <c r="AD165" s="39" t="n"/>
      <c r="AE165" s="39" t="n"/>
      <c r="AF165" s="291" t="n"/>
      <c r="AG165" s="39" t="n"/>
      <c r="AH165" s="39" t="n"/>
      <c r="AI165" s="291" t="n"/>
      <c r="AJ165" s="39" t="n"/>
      <c r="AK165" s="39" t="n"/>
      <c r="AL165" s="291" t="n"/>
      <c r="AM165" s="291" t="n"/>
      <c r="AN165" s="291" t="n"/>
      <c r="AO165" s="291" t="n"/>
      <c r="AP165" s="291" t="n"/>
      <c r="AQ165" s="291" t="n"/>
      <c r="AR165" s="291" t="n"/>
      <c r="AS165" s="291" t="n"/>
      <c r="AT165" s="291" t="n"/>
      <c r="AU165" s="291" t="n"/>
      <c r="AV165" s="291" t="n"/>
      <c r="AW165" s="291" t="n"/>
      <c r="AX165" s="291" t="n"/>
      <c r="AY165" s="291" t="n"/>
      <c r="AZ165" s="39" t="n"/>
      <c r="BA165" s="291" t="n"/>
      <c r="BB165" s="39" t="n"/>
      <c r="BC165" s="291" t="n"/>
      <c r="BD165" s="39" t="n"/>
      <c r="BE165" s="291" t="n"/>
      <c r="BF165" s="39" t="n"/>
      <c r="BG165" s="291" t="n"/>
      <c r="BH165" s="39" t="n"/>
      <c r="BI165" s="291" t="n"/>
      <c r="BJ165" s="39" t="n"/>
      <c r="BK165" s="291" t="n"/>
      <c r="BL165" s="39" t="n"/>
      <c r="BM165" s="291" t="n"/>
      <c r="BN165" s="39" t="n"/>
      <c r="BO165" s="291" t="n"/>
      <c r="BP165" s="291" t="n"/>
      <c r="BQ165" s="39" t="n"/>
      <c r="BR165" s="291" t="n"/>
      <c r="BS165" s="39" t="n"/>
      <c r="BT165" s="291" t="n"/>
      <c r="BU165" s="39" t="n"/>
      <c r="BV165" s="291" t="n"/>
      <c r="BW165" s="39" t="n"/>
      <c r="BX165" s="291" t="n"/>
      <c r="BY165" s="39" t="n"/>
      <c r="BZ165" s="291" t="n"/>
      <c r="CA165" s="39" t="n"/>
      <c r="CB165" s="291" t="n"/>
      <c r="CC165" s="39" t="n"/>
      <c r="CD165" s="291" t="n"/>
      <c r="CE165" s="39" t="n"/>
      <c r="CF165" s="291" t="n"/>
      <c r="CG165" s="291" t="n"/>
      <c r="CH165" s="291" t="n"/>
      <c r="CI165" s="291" t="n"/>
      <c r="CJ165" s="291" t="n"/>
      <c r="CK165" s="291" t="n"/>
      <c r="CL165" s="291" t="n"/>
      <c r="CM165" s="291" t="n"/>
      <c r="CN165" s="291" t="n"/>
      <c r="CW165" s="291" t="n"/>
      <c r="CX165" s="39" t="n"/>
      <c r="CY165" s="291" t="n"/>
      <c r="CZ165" s="39" t="n"/>
      <c r="DA165" s="291" t="n"/>
      <c r="DB165" s="39" t="n"/>
      <c r="DC165" s="291" t="n"/>
      <c r="DD165" s="39" t="n"/>
      <c r="DE165" s="311" t="n"/>
      <c r="DF165" s="311" t="n"/>
    </row>
    <row r="166" ht="13" customFormat="1" customHeight="1" s="40">
      <c r="A166" s="326" t="n"/>
      <c r="B166" s="291" t="n"/>
      <c r="C166" s="39" t="n"/>
      <c r="D166" s="39" t="n"/>
      <c r="E166" s="291" t="n"/>
      <c r="F166" s="39" t="n"/>
      <c r="G166" s="39" t="n"/>
      <c r="H166" s="291" t="n"/>
      <c r="I166" s="39" t="n"/>
      <c r="J166" s="39" t="n"/>
      <c r="K166" s="291" t="n"/>
      <c r="L166" s="39" t="n"/>
      <c r="M166" s="39" t="n"/>
      <c r="N166" s="291" t="n"/>
      <c r="O166" s="39" t="n"/>
      <c r="P166" s="39" t="n"/>
      <c r="Q166" s="291" t="n"/>
      <c r="R166" s="39" t="n"/>
      <c r="S166" s="39" t="n"/>
      <c r="T166" s="291" t="n"/>
      <c r="U166" s="39" t="n"/>
      <c r="V166" s="39" t="n"/>
      <c r="W166" s="291" t="n"/>
      <c r="X166" s="39" t="n"/>
      <c r="Y166" s="39" t="n"/>
      <c r="Z166" s="291" t="n"/>
      <c r="AA166" s="39" t="n"/>
      <c r="AB166" s="39" t="n"/>
      <c r="AC166" s="291" t="n"/>
      <c r="AD166" s="39" t="n"/>
      <c r="AE166" s="39" t="n"/>
      <c r="AF166" s="291" t="n"/>
      <c r="AG166" s="39" t="n"/>
      <c r="AH166" s="39" t="n"/>
      <c r="AI166" s="291" t="n"/>
      <c r="AJ166" s="39" t="n"/>
      <c r="AK166" s="39" t="n"/>
      <c r="AL166" s="291" t="n"/>
      <c r="AM166" s="291" t="n"/>
      <c r="AN166" s="291" t="n"/>
      <c r="AO166" s="291" t="n"/>
      <c r="AP166" s="291" t="n"/>
      <c r="AQ166" s="291" t="n"/>
      <c r="AR166" s="291" t="n"/>
      <c r="AS166" s="291" t="n"/>
      <c r="AT166" s="291" t="n"/>
      <c r="AU166" s="291" t="n"/>
      <c r="AV166" s="291" t="n"/>
      <c r="AW166" s="291" t="n"/>
      <c r="AX166" s="291" t="n"/>
      <c r="AY166" s="291" t="n"/>
      <c r="AZ166" s="39" t="n"/>
      <c r="BA166" s="291" t="n"/>
      <c r="BB166" s="39" t="n"/>
      <c r="BC166" s="291" t="n"/>
      <c r="BD166" s="39" t="n"/>
      <c r="BE166" s="291" t="n"/>
      <c r="BF166" s="39" t="n"/>
      <c r="BG166" s="291" t="n"/>
      <c r="BH166" s="39" t="n"/>
      <c r="BI166" s="291" t="n"/>
      <c r="BJ166" s="39" t="n"/>
      <c r="BK166" s="291" t="n"/>
      <c r="BL166" s="39" t="n"/>
      <c r="BM166" s="291" t="n"/>
      <c r="BN166" s="39" t="n"/>
      <c r="BO166" s="291" t="n"/>
      <c r="BP166" s="291" t="n"/>
      <c r="BQ166" s="39" t="n"/>
      <c r="BR166" s="291" t="n"/>
      <c r="BS166" s="39" t="n"/>
      <c r="BT166" s="291" t="n"/>
      <c r="BU166" s="39" t="n"/>
      <c r="BV166" s="291" t="n"/>
      <c r="BW166" s="39" t="n"/>
      <c r="BX166" s="291" t="n"/>
      <c r="BY166" s="39" t="n"/>
      <c r="BZ166" s="291" t="n"/>
      <c r="CA166" s="39" t="n"/>
      <c r="CB166" s="291" t="n"/>
      <c r="CC166" s="39" t="n"/>
      <c r="CD166" s="291" t="n"/>
      <c r="CE166" s="39" t="n"/>
      <c r="CF166" s="291" t="n"/>
      <c r="CG166" s="291" t="n"/>
      <c r="CH166" s="291" t="n"/>
      <c r="CI166" s="291" t="n"/>
      <c r="CJ166" s="291" t="n"/>
      <c r="CK166" s="291" t="n"/>
      <c r="CL166" s="291" t="n"/>
      <c r="CM166" s="291" t="n"/>
      <c r="CN166" s="291" t="n"/>
      <c r="CW166" s="291" t="n"/>
      <c r="CX166" s="39" t="n"/>
      <c r="CY166" s="291" t="n"/>
      <c r="CZ166" s="39" t="n"/>
      <c r="DA166" s="291" t="n"/>
      <c r="DB166" s="39" t="n"/>
      <c r="DC166" s="291" t="n"/>
      <c r="DD166" s="39" t="n"/>
      <c r="DE166" s="311" t="n"/>
      <c r="DF166" s="311" t="n"/>
    </row>
    <row r="167" ht="13" customFormat="1" customHeight="1" s="40">
      <c r="A167" s="326" t="n"/>
      <c r="B167" s="291" t="n"/>
      <c r="C167" s="37" t="n"/>
      <c r="D167" s="37" t="n"/>
      <c r="E167" s="291" t="n"/>
      <c r="F167" s="37" t="n"/>
      <c r="G167" s="37" t="n"/>
      <c r="H167" s="291" t="n"/>
      <c r="I167" s="37" t="n"/>
      <c r="J167" s="37" t="n"/>
      <c r="K167" s="291" t="n"/>
      <c r="L167" s="37" t="n"/>
      <c r="M167" s="37" t="n"/>
      <c r="N167" s="291" t="n"/>
      <c r="O167" s="37" t="n"/>
      <c r="P167" s="37" t="n"/>
      <c r="Q167" s="291" t="n"/>
      <c r="R167" s="37" t="n"/>
      <c r="S167" s="37" t="n"/>
      <c r="T167" s="291" t="n"/>
      <c r="U167" s="37" t="n"/>
      <c r="V167" s="37" t="n"/>
      <c r="W167" s="291" t="n"/>
      <c r="X167" s="37" t="n"/>
      <c r="Y167" s="37" t="n"/>
      <c r="Z167" s="291" t="n"/>
      <c r="AA167" s="39" t="n"/>
      <c r="AB167" s="39" t="n"/>
      <c r="AC167" s="291" t="n"/>
      <c r="AD167" s="39" t="n"/>
      <c r="AE167" s="39" t="n"/>
      <c r="AF167" s="291" t="n"/>
      <c r="AG167" s="39" t="n"/>
      <c r="AH167" s="39" t="n"/>
      <c r="AI167" s="291" t="n"/>
      <c r="AJ167" s="39" t="n"/>
      <c r="AK167" s="39" t="n"/>
      <c r="AL167" s="291" t="n"/>
      <c r="AM167" s="291" t="n"/>
      <c r="AN167" s="291" t="n"/>
      <c r="AO167" s="291" t="n"/>
      <c r="AP167" s="291" t="n"/>
      <c r="AQ167" s="291" t="n"/>
      <c r="AR167" s="291" t="n"/>
      <c r="AS167" s="291" t="n"/>
      <c r="AT167" s="291" t="n"/>
      <c r="AU167" s="291" t="n"/>
      <c r="AV167" s="291" t="n"/>
      <c r="AW167" s="291" t="n"/>
      <c r="AX167" s="291" t="n"/>
      <c r="AY167" s="291" t="n"/>
      <c r="AZ167" s="291" t="n"/>
      <c r="BA167" s="291" t="n"/>
      <c r="BB167" s="291" t="n"/>
      <c r="BC167" s="291" t="n"/>
      <c r="BD167" s="291" t="n"/>
      <c r="BE167" s="291" t="n"/>
      <c r="BF167" s="291" t="n"/>
      <c r="BG167" s="291" t="n"/>
      <c r="BH167" s="291" t="n"/>
      <c r="BI167" s="291" t="n"/>
      <c r="BJ167" s="291" t="n"/>
      <c r="BK167" s="291" t="n"/>
      <c r="BL167" s="291" t="n"/>
      <c r="BM167" s="291" t="n"/>
      <c r="BN167" s="291" t="n"/>
      <c r="BO167" s="291" t="n"/>
      <c r="BP167" s="291" t="n"/>
      <c r="BQ167" s="291" t="n"/>
      <c r="BR167" s="291" t="n"/>
      <c r="BS167" s="291" t="n"/>
      <c r="BT167" s="291" t="n"/>
      <c r="BU167" s="291" t="n"/>
      <c r="BV167" s="291" t="n"/>
      <c r="BW167" s="291" t="n"/>
      <c r="BX167" s="291" t="n"/>
      <c r="BY167" s="291" t="n"/>
      <c r="BZ167" s="291" t="n"/>
      <c r="CA167" s="291" t="n"/>
      <c r="CB167" s="291" t="n"/>
      <c r="CC167" s="291" t="n"/>
      <c r="CD167" s="291" t="n"/>
      <c r="CE167" s="291" t="n"/>
      <c r="CF167" s="291" t="n"/>
      <c r="CG167" s="291" t="n"/>
      <c r="CH167" s="291" t="n"/>
      <c r="CI167" s="291" t="n"/>
      <c r="CJ167" s="291" t="n"/>
      <c r="CK167" s="291" t="n"/>
      <c r="CL167" s="291" t="n"/>
      <c r="CM167" s="291" t="n"/>
      <c r="CN167" s="291" t="n"/>
      <c r="CW167" s="291" t="n"/>
      <c r="CX167" s="291" t="n"/>
      <c r="CY167" s="291" t="n"/>
      <c r="CZ167" s="291" t="n"/>
      <c r="DA167" s="291" t="n"/>
      <c r="DB167" s="291" t="n"/>
      <c r="DC167" s="291" t="n"/>
      <c r="DD167" s="291" t="n"/>
      <c r="DE167" s="311" t="n"/>
      <c r="DF167" s="311" t="n"/>
    </row>
    <row r="168" ht="13" customFormat="1" customHeight="1" s="40">
      <c r="A168" s="326" t="n"/>
      <c r="B168" s="291" t="n"/>
      <c r="C168" s="39" t="n"/>
      <c r="D168" s="39" t="n"/>
      <c r="E168" s="291" t="n"/>
      <c r="F168" s="39" t="n"/>
      <c r="G168" s="39" t="n"/>
      <c r="H168" s="291" t="n"/>
      <c r="I168" s="39" t="n"/>
      <c r="J168" s="39" t="n"/>
      <c r="K168" s="291" t="n"/>
      <c r="L168" s="39" t="n"/>
      <c r="M168" s="39" t="n"/>
      <c r="N168" s="291" t="n"/>
      <c r="O168" s="39" t="n"/>
      <c r="P168" s="39" t="n"/>
      <c r="Q168" s="291" t="n"/>
      <c r="R168" s="39" t="n"/>
      <c r="S168" s="39" t="n"/>
      <c r="T168" s="291" t="n"/>
      <c r="U168" s="39" t="n"/>
      <c r="V168" s="39" t="n"/>
      <c r="W168" s="291" t="n"/>
      <c r="X168" s="39" t="n"/>
      <c r="Y168" s="39" t="n"/>
      <c r="Z168" s="291" t="n"/>
      <c r="AA168" s="39" t="n"/>
      <c r="AB168" s="39" t="n"/>
      <c r="AC168" s="291" t="n"/>
      <c r="AD168" s="39" t="n"/>
      <c r="AE168" s="39" t="n"/>
      <c r="AF168" s="291" t="n"/>
      <c r="AG168" s="39" t="n"/>
      <c r="AH168" s="39" t="n"/>
      <c r="AI168" s="291" t="n"/>
      <c r="AJ168" s="39" t="n"/>
      <c r="AK168" s="39" t="n"/>
      <c r="AL168" s="291" t="n"/>
      <c r="AM168" s="291" t="n"/>
      <c r="AN168" s="291" t="n"/>
      <c r="AO168" s="291" t="n"/>
      <c r="AP168" s="291" t="n"/>
      <c r="AQ168" s="291" t="n"/>
      <c r="AR168" s="291" t="n"/>
      <c r="AS168" s="291" t="n"/>
      <c r="AT168" s="291" t="n"/>
      <c r="AU168" s="291" t="n"/>
      <c r="AV168" s="291" t="n"/>
      <c r="AW168" s="291" t="n"/>
      <c r="AX168" s="291" t="n"/>
      <c r="AY168" s="291" t="n"/>
      <c r="AZ168" s="39" t="n"/>
      <c r="BA168" s="291" t="n"/>
      <c r="BB168" s="39" t="n"/>
      <c r="BC168" s="291" t="n"/>
      <c r="BD168" s="39" t="n"/>
      <c r="BE168" s="291" t="n"/>
      <c r="BF168" s="39" t="n"/>
      <c r="BG168" s="291" t="n"/>
      <c r="BH168" s="39" t="n"/>
      <c r="BI168" s="291" t="n"/>
      <c r="BJ168" s="39" t="n"/>
      <c r="BK168" s="291" t="n"/>
      <c r="BL168" s="39" t="n"/>
      <c r="BM168" s="291" t="n"/>
      <c r="BN168" s="39" t="n"/>
      <c r="BO168" s="291" t="n"/>
      <c r="BP168" s="291" t="n"/>
      <c r="BQ168" s="39" t="n"/>
      <c r="BR168" s="291" t="n"/>
      <c r="BS168" s="39" t="n"/>
      <c r="BT168" s="291" t="n"/>
      <c r="BU168" s="39" t="n"/>
      <c r="BV168" s="291" t="n"/>
      <c r="BW168" s="39" t="n"/>
      <c r="BX168" s="291" t="n"/>
      <c r="BY168" s="39" t="n"/>
      <c r="BZ168" s="291" t="n"/>
      <c r="CA168" s="39" t="n"/>
      <c r="CB168" s="291" t="n"/>
      <c r="CC168" s="39" t="n"/>
      <c r="CD168" s="291" t="n"/>
      <c r="CE168" s="39" t="n"/>
      <c r="CF168" s="291" t="n"/>
      <c r="CG168" s="291" t="n"/>
      <c r="CH168" s="291" t="n"/>
      <c r="CI168" s="291" t="n"/>
      <c r="CJ168" s="291" t="n"/>
      <c r="CK168" s="291" t="n"/>
      <c r="CL168" s="291" t="n"/>
      <c r="CM168" s="291" t="n"/>
      <c r="CN168" s="291" t="n"/>
      <c r="CW168" s="291" t="n"/>
      <c r="CX168" s="39" t="n"/>
      <c r="CY168" s="291" t="n"/>
      <c r="CZ168" s="39" t="n"/>
      <c r="DA168" s="291" t="n"/>
      <c r="DB168" s="39" t="n"/>
      <c r="DC168" s="291" t="n"/>
      <c r="DD168" s="39" t="n"/>
      <c r="DE168" s="311" t="n"/>
      <c r="DF168" s="311" t="n"/>
    </row>
    <row r="169" ht="13" customFormat="1" customHeight="1" s="40">
      <c r="A169" s="326" t="n"/>
      <c r="B169" s="291" t="n"/>
      <c r="C169" s="39" t="n"/>
      <c r="D169" s="39" t="n"/>
      <c r="E169" s="291" t="n"/>
      <c r="F169" s="39" t="n"/>
      <c r="G169" s="39" t="n"/>
      <c r="H169" s="291" t="n"/>
      <c r="I169" s="39" t="n"/>
      <c r="J169" s="39" t="n"/>
      <c r="K169" s="291" t="n"/>
      <c r="L169" s="39" t="n"/>
      <c r="M169" s="39" t="n"/>
      <c r="N169" s="291" t="n"/>
      <c r="O169" s="39" t="n"/>
      <c r="P169" s="39" t="n"/>
      <c r="Q169" s="291" t="n"/>
      <c r="R169" s="39" t="n"/>
      <c r="S169" s="39" t="n"/>
      <c r="T169" s="291" t="n"/>
      <c r="U169" s="39" t="n"/>
      <c r="V169" s="39" t="n"/>
      <c r="W169" s="291" t="n"/>
      <c r="X169" s="39" t="n"/>
      <c r="Y169" s="39" t="n"/>
      <c r="Z169" s="291" t="n"/>
      <c r="AA169" s="39" t="n"/>
      <c r="AB169" s="39" t="n"/>
      <c r="AC169" s="291" t="n"/>
      <c r="AD169" s="39" t="n"/>
      <c r="AE169" s="39" t="n"/>
      <c r="AF169" s="291" t="n"/>
      <c r="AG169" s="39" t="n"/>
      <c r="AH169" s="39" t="n"/>
      <c r="AI169" s="291" t="n"/>
      <c r="AJ169" s="39" t="n"/>
      <c r="AK169" s="39" t="n"/>
      <c r="AL169" s="291" t="n"/>
      <c r="AM169" s="291" t="n"/>
      <c r="AN169" s="291" t="n"/>
      <c r="AO169" s="291" t="n"/>
      <c r="AP169" s="291" t="n"/>
      <c r="AQ169" s="291" t="n"/>
      <c r="AR169" s="291" t="n"/>
      <c r="AS169" s="291" t="n"/>
      <c r="AT169" s="291" t="n"/>
      <c r="AU169" s="291" t="n"/>
      <c r="AV169" s="291" t="n"/>
      <c r="AW169" s="291" t="n"/>
      <c r="AX169" s="291" t="n"/>
      <c r="AY169" s="291" t="n"/>
      <c r="AZ169" s="39" t="n"/>
      <c r="BA169" s="291" t="n"/>
      <c r="BB169" s="39" t="n"/>
      <c r="BC169" s="291" t="n"/>
      <c r="BD169" s="39" t="n"/>
      <c r="BE169" s="291" t="n"/>
      <c r="BF169" s="39" t="n"/>
      <c r="BG169" s="291" t="n"/>
      <c r="BH169" s="39" t="n"/>
      <c r="BI169" s="291" t="n"/>
      <c r="BJ169" s="39" t="n"/>
      <c r="BK169" s="291" t="n"/>
      <c r="BL169" s="39" t="n"/>
      <c r="BM169" s="291" t="n"/>
      <c r="BN169" s="39" t="n"/>
      <c r="BO169" s="291" t="n"/>
      <c r="BP169" s="291" t="n"/>
      <c r="BQ169" s="39" t="n"/>
      <c r="BR169" s="291" t="n"/>
      <c r="BS169" s="39" t="n"/>
      <c r="BT169" s="291" t="n"/>
      <c r="BU169" s="39" t="n"/>
      <c r="BV169" s="291" t="n"/>
      <c r="BW169" s="39" t="n"/>
      <c r="BX169" s="291" t="n"/>
      <c r="BY169" s="39" t="n"/>
      <c r="BZ169" s="291" t="n"/>
      <c r="CA169" s="39" t="n"/>
      <c r="CB169" s="291" t="n"/>
      <c r="CC169" s="39" t="n"/>
      <c r="CD169" s="291" t="n"/>
      <c r="CE169" s="39" t="n"/>
      <c r="CF169" s="291" t="n"/>
      <c r="CG169" s="291" t="n"/>
      <c r="CH169" s="291" t="n"/>
      <c r="CI169" s="291" t="n"/>
      <c r="CJ169" s="291" t="n"/>
      <c r="CK169" s="291" t="n"/>
      <c r="CL169" s="291" t="n"/>
      <c r="CM169" s="291" t="n"/>
      <c r="CN169" s="291" t="n"/>
      <c r="CW169" s="291" t="n"/>
      <c r="CX169" s="39" t="n"/>
      <c r="CY169" s="291" t="n"/>
      <c r="CZ169" s="39" t="n"/>
      <c r="DA169" s="291" t="n"/>
      <c r="DB169" s="39" t="n"/>
      <c r="DC169" s="291" t="n"/>
      <c r="DD169" s="39" t="n"/>
      <c r="DE169" s="311" t="n"/>
      <c r="DF169" s="311" t="n"/>
    </row>
    <row r="170" ht="13" customFormat="1" customHeight="1" s="40">
      <c r="A170" s="326" t="n"/>
      <c r="B170" s="291" t="n"/>
      <c r="C170" s="39" t="n"/>
      <c r="D170" s="39" t="n"/>
      <c r="E170" s="291" t="n"/>
      <c r="F170" s="39" t="n"/>
      <c r="G170" s="39" t="n"/>
      <c r="H170" s="291" t="n"/>
      <c r="I170" s="39" t="n"/>
      <c r="J170" s="39" t="n"/>
      <c r="K170" s="291" t="n"/>
      <c r="L170" s="39" t="n"/>
      <c r="M170" s="39" t="n"/>
      <c r="N170" s="291" t="n"/>
      <c r="O170" s="39" t="n"/>
      <c r="P170" s="39" t="n"/>
      <c r="Q170" s="291" t="n"/>
      <c r="R170" s="39" t="n"/>
      <c r="S170" s="39" t="n"/>
      <c r="T170" s="291" t="n"/>
      <c r="U170" s="39" t="n"/>
      <c r="V170" s="39" t="n"/>
      <c r="W170" s="291" t="n"/>
      <c r="X170" s="39" t="n"/>
      <c r="Y170" s="39" t="n"/>
      <c r="Z170" s="291" t="n"/>
      <c r="AA170" s="39" t="n"/>
      <c r="AB170" s="39" t="n"/>
      <c r="AC170" s="291" t="n"/>
      <c r="AD170" s="39" t="n"/>
      <c r="AE170" s="39" t="n"/>
      <c r="AF170" s="291" t="n"/>
      <c r="AG170" s="39" t="n"/>
      <c r="AH170" s="39" t="n"/>
      <c r="AI170" s="291" t="n"/>
      <c r="AJ170" s="39" t="n"/>
      <c r="AK170" s="39" t="n"/>
      <c r="AL170" s="291" t="n"/>
      <c r="AM170" s="291" t="n"/>
      <c r="AN170" s="291" t="n"/>
      <c r="AO170" s="291" t="n"/>
      <c r="AP170" s="291" t="n"/>
      <c r="AQ170" s="291" t="n"/>
      <c r="AR170" s="291" t="n"/>
      <c r="AS170" s="291" t="n"/>
      <c r="AT170" s="291" t="n"/>
      <c r="AU170" s="291" t="n"/>
      <c r="AV170" s="291" t="n"/>
      <c r="AW170" s="291" t="n"/>
      <c r="AX170" s="291" t="n"/>
      <c r="AY170" s="291" t="n"/>
      <c r="AZ170" s="39" t="n"/>
      <c r="BA170" s="291" t="n"/>
      <c r="BB170" s="39" t="n"/>
      <c r="BC170" s="291" t="n"/>
      <c r="BD170" s="39" t="n"/>
      <c r="BE170" s="291" t="n"/>
      <c r="BF170" s="39" t="n"/>
      <c r="BG170" s="291" t="n"/>
      <c r="BH170" s="39" t="n"/>
      <c r="BI170" s="291" t="n"/>
      <c r="BJ170" s="39" t="n"/>
      <c r="BK170" s="291" t="n"/>
      <c r="BL170" s="39" t="n"/>
      <c r="BM170" s="291" t="n"/>
      <c r="BN170" s="39" t="n"/>
      <c r="BO170" s="291" t="n"/>
      <c r="BP170" s="291" t="n"/>
      <c r="BQ170" s="39" t="n"/>
      <c r="BR170" s="291" t="n"/>
      <c r="BS170" s="39" t="n"/>
      <c r="BT170" s="291" t="n"/>
      <c r="BU170" s="39" t="n"/>
      <c r="BV170" s="291" t="n"/>
      <c r="BW170" s="39" t="n"/>
      <c r="BX170" s="291" t="n"/>
      <c r="BY170" s="39" t="n"/>
      <c r="BZ170" s="291" t="n"/>
      <c r="CA170" s="39" t="n"/>
      <c r="CB170" s="291" t="n"/>
      <c r="CC170" s="39" t="n"/>
      <c r="CD170" s="291" t="n"/>
      <c r="CE170" s="39" t="n"/>
      <c r="CF170" s="291" t="n"/>
      <c r="CG170" s="291" t="n"/>
      <c r="CH170" s="291" t="n"/>
      <c r="CI170" s="291" t="n"/>
      <c r="CJ170" s="291" t="n"/>
      <c r="CK170" s="291" t="n"/>
      <c r="CL170" s="291" t="n"/>
      <c r="CM170" s="291" t="n"/>
      <c r="CN170" s="291" t="n"/>
      <c r="CW170" s="291" t="n"/>
      <c r="CX170" s="39" t="n"/>
      <c r="CY170" s="291" t="n"/>
      <c r="CZ170" s="39" t="n"/>
      <c r="DA170" s="291" t="n"/>
      <c r="DB170" s="39" t="n"/>
      <c r="DC170" s="291" t="n"/>
      <c r="DD170" s="39" t="n"/>
      <c r="DE170" s="311" t="n"/>
      <c r="DF170" s="311" t="n"/>
    </row>
    <row r="171" ht="13" customFormat="1" customHeight="1" s="40">
      <c r="A171" s="326" t="n"/>
      <c r="B171" s="291" t="n"/>
      <c r="C171" s="39" t="n"/>
      <c r="D171" s="39" t="n"/>
      <c r="E171" s="291" t="n"/>
      <c r="F171" s="39" t="n"/>
      <c r="G171" s="39" t="n"/>
      <c r="H171" s="291" t="n"/>
      <c r="I171" s="39" t="n"/>
      <c r="J171" s="39" t="n"/>
      <c r="K171" s="291" t="n"/>
      <c r="L171" s="39" t="n"/>
      <c r="M171" s="39" t="n"/>
      <c r="N171" s="291" t="n"/>
      <c r="O171" s="39" t="n"/>
      <c r="P171" s="39" t="n"/>
      <c r="Q171" s="291" t="n"/>
      <c r="R171" s="39" t="n"/>
      <c r="S171" s="39" t="n"/>
      <c r="T171" s="291" t="n"/>
      <c r="U171" s="39" t="n"/>
      <c r="V171" s="39" t="n"/>
      <c r="W171" s="291" t="n"/>
      <c r="X171" s="39" t="n"/>
      <c r="Y171" s="39" t="n"/>
      <c r="Z171" s="291" t="n"/>
      <c r="AA171" s="39" t="n"/>
      <c r="AB171" s="39" t="n"/>
      <c r="AC171" s="291" t="n"/>
      <c r="AD171" s="39" t="n"/>
      <c r="AE171" s="39" t="n"/>
      <c r="AF171" s="291" t="n"/>
      <c r="AG171" s="39" t="n"/>
      <c r="AH171" s="39" t="n"/>
      <c r="AI171" s="291" t="n"/>
      <c r="AJ171" s="39" t="n"/>
      <c r="AK171" s="39" t="n"/>
      <c r="AL171" s="291" t="n"/>
      <c r="AM171" s="291" t="n"/>
      <c r="AN171" s="291" t="n"/>
      <c r="AO171" s="291" t="n"/>
      <c r="AP171" s="291" t="n"/>
      <c r="AQ171" s="291" t="n"/>
      <c r="AR171" s="291" t="n"/>
      <c r="AS171" s="291" t="n"/>
      <c r="AT171" s="291" t="n"/>
      <c r="AU171" s="291" t="n"/>
      <c r="AV171" s="291" t="n"/>
      <c r="AW171" s="291" t="n"/>
      <c r="AX171" s="291" t="n"/>
      <c r="AY171" s="291" t="n"/>
      <c r="AZ171" s="39" t="n"/>
      <c r="BA171" s="291" t="n"/>
      <c r="BB171" s="39" t="n"/>
      <c r="BC171" s="291" t="n"/>
      <c r="BD171" s="39" t="n"/>
      <c r="BE171" s="291" t="n"/>
      <c r="BF171" s="39" t="n"/>
      <c r="BG171" s="291" t="n"/>
      <c r="BH171" s="39" t="n"/>
      <c r="BI171" s="291" t="n"/>
      <c r="BJ171" s="39" t="n"/>
      <c r="BK171" s="291" t="n"/>
      <c r="BL171" s="39" t="n"/>
      <c r="BM171" s="291" t="n"/>
      <c r="BN171" s="39" t="n"/>
      <c r="BO171" s="291" t="n"/>
      <c r="BP171" s="291" t="n"/>
      <c r="BQ171" s="39" t="n"/>
      <c r="BR171" s="291" t="n"/>
      <c r="BS171" s="39" t="n"/>
      <c r="BT171" s="291" t="n"/>
      <c r="BU171" s="39" t="n"/>
      <c r="BV171" s="291" t="n"/>
      <c r="BW171" s="39" t="n"/>
      <c r="BX171" s="291" t="n"/>
      <c r="BY171" s="39" t="n"/>
      <c r="BZ171" s="291" t="n"/>
      <c r="CA171" s="39" t="n"/>
      <c r="CB171" s="291" t="n"/>
      <c r="CC171" s="39" t="n"/>
      <c r="CD171" s="291" t="n"/>
      <c r="CE171" s="39" t="n"/>
      <c r="CF171" s="291" t="n"/>
      <c r="CG171" s="291" t="n"/>
      <c r="CH171" s="291" t="n"/>
      <c r="CI171" s="291" t="n"/>
      <c r="CJ171" s="291" t="n"/>
      <c r="CK171" s="291" t="n"/>
      <c r="CL171" s="291" t="n"/>
      <c r="CM171" s="291" t="n"/>
      <c r="CN171" s="291" t="n"/>
      <c r="CW171" s="291" t="n"/>
      <c r="CX171" s="39" t="n"/>
      <c r="CY171" s="291" t="n"/>
      <c r="CZ171" s="39" t="n"/>
      <c r="DA171" s="291" t="n"/>
      <c r="DB171" s="39" t="n"/>
      <c r="DC171" s="291" t="n"/>
      <c r="DD171" s="39" t="n"/>
      <c r="DE171" s="311" t="n"/>
      <c r="DF171" s="311" t="n"/>
    </row>
    <row r="172" customFormat="1" s="40">
      <c r="C172" s="41" t="n"/>
      <c r="D172" s="41" t="n"/>
      <c r="F172" s="41" t="n"/>
      <c r="G172" s="41" t="n"/>
      <c r="I172" s="41" t="n"/>
      <c r="J172" s="41" t="n"/>
      <c r="L172" s="41" t="n"/>
      <c r="M172" s="41" t="n"/>
      <c r="O172" s="41" t="n"/>
      <c r="P172" s="41" t="n"/>
      <c r="R172" s="41" t="n"/>
      <c r="S172" s="41" t="n"/>
      <c r="U172" s="41" t="n"/>
      <c r="V172" s="41" t="n"/>
      <c r="X172" s="41" t="n"/>
      <c r="Y172" s="41" t="n"/>
      <c r="AA172" s="41" t="n"/>
      <c r="AB172" s="41" t="n"/>
      <c r="AD172" s="41" t="n"/>
      <c r="AE172" s="41" t="n"/>
      <c r="AG172" s="41" t="n"/>
      <c r="AH172" s="41" t="n"/>
      <c r="AJ172" s="41" t="n"/>
      <c r="AK172" s="41" t="n"/>
      <c r="AY172" s="291" t="n"/>
      <c r="AZ172" s="291" t="n"/>
      <c r="BA172" s="291" t="n"/>
      <c r="BB172" s="291" t="n"/>
      <c r="BC172" s="291" t="n"/>
      <c r="BD172" s="291" t="n"/>
      <c r="BE172" s="291" t="n"/>
      <c r="BF172" s="291" t="n"/>
      <c r="BG172" s="291" t="n"/>
      <c r="BH172" s="291" t="n"/>
      <c r="BI172" s="291" t="n"/>
      <c r="BJ172" s="291" t="n"/>
      <c r="BK172" s="291" t="n"/>
      <c r="BL172" s="291" t="n"/>
      <c r="BM172" s="291" t="n"/>
      <c r="BN172" s="291" t="n"/>
      <c r="BO172" s="291" t="n"/>
      <c r="BP172" s="291" t="n"/>
      <c r="BQ172" s="291" t="n"/>
      <c r="BR172" s="291" t="n"/>
      <c r="BS172" s="291" t="n"/>
      <c r="BT172" s="291" t="n"/>
      <c r="BU172" s="291" t="n"/>
      <c r="BV172" s="291" t="n"/>
      <c r="BW172" s="291" t="n"/>
      <c r="BX172" s="291" t="n"/>
      <c r="BY172" s="291" t="n"/>
      <c r="BZ172" s="291" t="n"/>
      <c r="CA172" s="291" t="n"/>
      <c r="CB172" s="291" t="n"/>
      <c r="CC172" s="291" t="n"/>
      <c r="CD172" s="291" t="n"/>
      <c r="CE172" s="291" t="n"/>
      <c r="CF172" s="291" t="n"/>
      <c r="CG172" s="291" t="n"/>
      <c r="CH172" s="291" t="n"/>
      <c r="CI172" s="291" t="n"/>
      <c r="CJ172" s="291" t="n"/>
      <c r="CK172" s="291" t="n"/>
      <c r="CL172" s="291" t="n"/>
      <c r="CM172" s="291" t="n"/>
      <c r="CN172" s="291" t="n"/>
      <c r="CW172" s="291" t="n"/>
      <c r="CX172" s="291" t="n"/>
      <c r="CY172" s="291" t="n"/>
      <c r="CZ172" s="291" t="n"/>
      <c r="DA172" s="291" t="n"/>
      <c r="DB172" s="291" t="n"/>
      <c r="DC172" s="291" t="n"/>
      <c r="DD172" s="291" t="n"/>
      <c r="DE172" s="311" t="n"/>
      <c r="DF172" s="311" t="n"/>
    </row>
    <row r="173" ht="13" customFormat="1" customHeight="1" s="40">
      <c r="A173" s="326" t="n"/>
      <c r="B173" s="291" t="n"/>
      <c r="C173" s="39" t="n"/>
      <c r="D173" s="39" t="n"/>
      <c r="E173" s="291" t="n"/>
      <c r="F173" s="39" t="n"/>
      <c r="G173" s="39" t="n"/>
      <c r="H173" s="291" t="n"/>
      <c r="I173" s="39" t="n"/>
      <c r="J173" s="39" t="n"/>
      <c r="K173" s="291" t="n"/>
      <c r="L173" s="39" t="n"/>
      <c r="M173" s="39" t="n"/>
      <c r="N173" s="291" t="n"/>
      <c r="O173" s="39" t="n"/>
      <c r="P173" s="39" t="n"/>
      <c r="Q173" s="291" t="n"/>
      <c r="R173" s="39" t="n"/>
      <c r="S173" s="39" t="n"/>
      <c r="T173" s="291" t="n"/>
      <c r="U173" s="39" t="n"/>
      <c r="V173" s="39" t="n"/>
      <c r="W173" s="291" t="n"/>
      <c r="X173" s="39" t="n"/>
      <c r="Y173" s="39" t="n"/>
      <c r="Z173" s="291" t="n"/>
      <c r="AA173" s="39" t="n"/>
      <c r="AB173" s="39" t="n"/>
      <c r="AC173" s="291" t="n"/>
      <c r="AD173" s="39" t="n"/>
      <c r="AE173" s="39" t="n"/>
      <c r="AF173" s="291" t="n"/>
      <c r="AG173" s="39" t="n"/>
      <c r="AH173" s="39" t="n"/>
      <c r="AI173" s="291" t="n"/>
      <c r="AJ173" s="39" t="n"/>
      <c r="AK173" s="39" t="n"/>
      <c r="AL173" s="291" t="n"/>
      <c r="AM173" s="291" t="n"/>
      <c r="AN173" s="291" t="n"/>
      <c r="AO173" s="291" t="n"/>
      <c r="AP173" s="291" t="n"/>
      <c r="AQ173" s="291" t="n"/>
      <c r="AR173" s="291" t="n"/>
      <c r="AS173" s="291" t="n"/>
      <c r="AT173" s="291" t="n"/>
      <c r="AU173" s="291" t="n"/>
      <c r="AV173" s="291" t="n"/>
      <c r="AW173" s="291" t="n"/>
      <c r="AX173" s="291" t="n"/>
      <c r="AY173" s="291" t="n"/>
      <c r="AZ173" s="39" t="n"/>
      <c r="BA173" s="291" t="n"/>
      <c r="BB173" s="39" t="n"/>
      <c r="BC173" s="291" t="n"/>
      <c r="BD173" s="39" t="n"/>
      <c r="BE173" s="291" t="n"/>
      <c r="BF173" s="39" t="n"/>
      <c r="BG173" s="291" t="n"/>
      <c r="BH173" s="39" t="n"/>
      <c r="BI173" s="291" t="n"/>
      <c r="BJ173" s="39" t="n"/>
      <c r="BK173" s="291" t="n"/>
      <c r="BL173" s="39" t="n"/>
      <c r="BM173" s="291" t="n"/>
      <c r="BN173" s="39" t="n"/>
      <c r="BO173" s="291" t="n"/>
      <c r="BP173" s="291" t="n"/>
      <c r="BQ173" s="39" t="n"/>
      <c r="BR173" s="291" t="n"/>
      <c r="BS173" s="39" t="n"/>
      <c r="BT173" s="291" t="n"/>
      <c r="BU173" s="39" t="n"/>
      <c r="BV173" s="291" t="n"/>
      <c r="BW173" s="39" t="n"/>
      <c r="BX173" s="291" t="n"/>
      <c r="BY173" s="39" t="n"/>
      <c r="BZ173" s="291" t="n"/>
      <c r="CA173" s="39" t="n"/>
      <c r="CB173" s="291" t="n"/>
      <c r="CC173" s="39" t="n"/>
      <c r="CD173" s="291" t="n"/>
      <c r="CE173" s="39" t="n"/>
      <c r="CF173" s="291" t="n"/>
      <c r="CG173" s="39" t="n"/>
      <c r="CH173" s="291" t="n"/>
      <c r="CI173" s="39" t="n"/>
      <c r="CJ173" s="291" t="n"/>
      <c r="CK173" s="39" t="n"/>
      <c r="CL173" s="291" t="n"/>
      <c r="CM173" s="39" t="n"/>
      <c r="CN173" s="291" t="n"/>
      <c r="CW173" s="291" t="n"/>
      <c r="CX173" s="39" t="n"/>
      <c r="CY173" s="291" t="n"/>
      <c r="CZ173" s="39" t="n"/>
      <c r="DA173" s="291" t="n"/>
      <c r="DB173" s="39" t="n"/>
      <c r="DC173" s="291" t="n"/>
      <c r="DD173" s="39" t="n"/>
      <c r="DE173" s="291" t="n"/>
      <c r="DF173" s="337" t="n"/>
    </row>
    <row r="174" ht="13" customFormat="1" customHeight="1" s="40">
      <c r="A174" s="326" t="n"/>
      <c r="B174" s="291" t="n"/>
      <c r="C174" s="39" t="n"/>
      <c r="D174" s="39" t="n"/>
      <c r="E174" s="291" t="n"/>
      <c r="F174" s="39" t="n"/>
      <c r="G174" s="39" t="n"/>
      <c r="H174" s="291" t="n"/>
      <c r="I174" s="39" t="n"/>
      <c r="J174" s="39" t="n"/>
      <c r="K174" s="291" t="n"/>
      <c r="L174" s="39" t="n"/>
      <c r="M174" s="39" t="n"/>
      <c r="N174" s="291" t="n"/>
      <c r="O174" s="39" t="n"/>
      <c r="P174" s="39" t="n"/>
      <c r="Q174" s="291" t="n"/>
      <c r="R174" s="39" t="n"/>
      <c r="S174" s="39" t="n"/>
      <c r="T174" s="291" t="n"/>
      <c r="U174" s="39" t="n"/>
      <c r="V174" s="39" t="n"/>
      <c r="W174" s="291" t="n"/>
      <c r="X174" s="39" t="n"/>
      <c r="Y174" s="39" t="n"/>
      <c r="Z174" s="291" t="n"/>
      <c r="AA174" s="39" t="n"/>
      <c r="AB174" s="39" t="n"/>
      <c r="AC174" s="291" t="n"/>
      <c r="AD174" s="39" t="n"/>
      <c r="AE174" s="39" t="n"/>
      <c r="AF174" s="291" t="n"/>
      <c r="AG174" s="39" t="n"/>
      <c r="AH174" s="39" t="n"/>
      <c r="AI174" s="291" t="n"/>
      <c r="AJ174" s="39" t="n"/>
      <c r="AK174" s="39" t="n"/>
      <c r="AL174" s="291" t="n"/>
      <c r="AM174" s="291" t="n"/>
      <c r="AN174" s="291" t="n"/>
      <c r="AO174" s="291" t="n"/>
      <c r="AP174" s="291" t="n"/>
      <c r="AQ174" s="291" t="n"/>
      <c r="AR174" s="291" t="n"/>
      <c r="AS174" s="291" t="n"/>
      <c r="AT174" s="291" t="n"/>
      <c r="AU174" s="291" t="n"/>
      <c r="AV174" s="291" t="n"/>
      <c r="AW174" s="291" t="n"/>
      <c r="AX174" s="291" t="n"/>
      <c r="AY174" s="291" t="n"/>
      <c r="AZ174" s="39" t="n"/>
      <c r="BA174" s="291" t="n"/>
      <c r="BB174" s="39" t="n"/>
      <c r="BC174" s="291" t="n"/>
      <c r="BD174" s="39" t="n"/>
      <c r="BE174" s="291" t="n"/>
      <c r="BF174" s="39" t="n"/>
      <c r="BG174" s="291" t="n"/>
      <c r="BH174" s="39" t="n"/>
      <c r="BI174" s="291" t="n"/>
      <c r="BJ174" s="39" t="n"/>
      <c r="BK174" s="291" t="n"/>
      <c r="BL174" s="39" t="n"/>
      <c r="BM174" s="291" t="n"/>
      <c r="BN174" s="39" t="n"/>
      <c r="BO174" s="291" t="n"/>
      <c r="BP174" s="291" t="n"/>
      <c r="BQ174" s="39" t="n"/>
      <c r="BR174" s="291" t="n"/>
      <c r="BS174" s="39" t="n"/>
      <c r="BT174" s="291" t="n"/>
      <c r="BU174" s="39" t="n"/>
      <c r="BV174" s="291" t="n"/>
      <c r="BW174" s="39" t="n"/>
      <c r="BX174" s="291" t="n"/>
      <c r="BY174" s="39" t="n"/>
      <c r="BZ174" s="291" t="n"/>
      <c r="CA174" s="39" t="n"/>
      <c r="CB174" s="291" t="n"/>
      <c r="CC174" s="39" t="n"/>
      <c r="CD174" s="291" t="n"/>
      <c r="CE174" s="39" t="n"/>
      <c r="CF174" s="291" t="n"/>
      <c r="CG174" s="39" t="n"/>
      <c r="CH174" s="291" t="n"/>
      <c r="CI174" s="39" t="n"/>
      <c r="CJ174" s="291" t="n"/>
      <c r="CK174" s="39" t="n"/>
      <c r="CL174" s="291" t="n"/>
      <c r="CM174" s="39" t="n"/>
      <c r="CN174" s="291" t="n"/>
      <c r="CW174" s="291" t="n"/>
      <c r="CX174" s="39" t="n"/>
      <c r="CY174" s="291" t="n"/>
      <c r="CZ174" s="39" t="n"/>
      <c r="DA174" s="291" t="n"/>
      <c r="DB174" s="39" t="n"/>
      <c r="DC174" s="291" t="n"/>
      <c r="DD174" s="39" t="n"/>
      <c r="DE174" s="291" t="n"/>
      <c r="DF174" s="337" t="n"/>
    </row>
    <row r="175" ht="13" customFormat="1" customHeight="1" s="40">
      <c r="A175" s="326" t="n"/>
      <c r="B175" s="291" t="n"/>
      <c r="C175" s="39" t="n"/>
      <c r="D175" s="39" t="n"/>
      <c r="E175" s="291" t="n"/>
      <c r="F175" s="39" t="n"/>
      <c r="G175" s="39" t="n"/>
      <c r="H175" s="291" t="n"/>
      <c r="I175" s="39" t="n"/>
      <c r="J175" s="39" t="n"/>
      <c r="K175" s="291" t="n"/>
      <c r="L175" s="39" t="n"/>
      <c r="M175" s="39" t="n"/>
      <c r="N175" s="291" t="n"/>
      <c r="O175" s="39" t="n"/>
      <c r="P175" s="39" t="n"/>
      <c r="Q175" s="291" t="n"/>
      <c r="R175" s="39" t="n"/>
      <c r="S175" s="39" t="n"/>
      <c r="T175" s="291" t="n"/>
      <c r="U175" s="39" t="n"/>
      <c r="V175" s="39" t="n"/>
      <c r="W175" s="291" t="n"/>
      <c r="X175" s="39" t="n"/>
      <c r="Y175" s="39" t="n"/>
      <c r="Z175" s="291" t="n"/>
      <c r="AA175" s="39" t="n"/>
      <c r="AB175" s="39" t="n"/>
      <c r="AC175" s="291" t="n"/>
      <c r="AD175" s="39" t="n"/>
      <c r="AE175" s="39" t="n"/>
      <c r="AF175" s="291" t="n"/>
      <c r="AG175" s="39" t="n"/>
      <c r="AH175" s="39" t="n"/>
      <c r="AI175" s="291" t="n"/>
      <c r="AJ175" s="39" t="n"/>
      <c r="AK175" s="39" t="n"/>
      <c r="AL175" s="291" t="n"/>
      <c r="AM175" s="291" t="n"/>
      <c r="AN175" s="291" t="n"/>
      <c r="AO175" s="291" t="n"/>
      <c r="AP175" s="291" t="n"/>
      <c r="AQ175" s="291" t="n"/>
      <c r="AR175" s="291" t="n"/>
      <c r="AS175" s="291" t="n"/>
      <c r="AT175" s="291" t="n"/>
      <c r="AU175" s="291" t="n"/>
      <c r="AV175" s="291" t="n"/>
      <c r="AW175" s="291" t="n"/>
      <c r="AX175" s="291" t="n"/>
      <c r="AY175" s="291" t="n"/>
      <c r="AZ175" s="39" t="n"/>
      <c r="BA175" s="291" t="n"/>
      <c r="BB175" s="39" t="n"/>
      <c r="BC175" s="291" t="n"/>
      <c r="BD175" s="39" t="n"/>
      <c r="BE175" s="291" t="n"/>
      <c r="BF175" s="39" t="n"/>
      <c r="BG175" s="291" t="n"/>
      <c r="BH175" s="39" t="n"/>
      <c r="BI175" s="291" t="n"/>
      <c r="BJ175" s="39" t="n"/>
      <c r="BK175" s="291" t="n"/>
      <c r="BL175" s="39" t="n"/>
      <c r="BM175" s="291" t="n"/>
      <c r="BN175" s="39" t="n"/>
      <c r="BO175" s="291" t="n"/>
      <c r="BP175" s="291" t="n"/>
      <c r="BQ175" s="39" t="n"/>
      <c r="BR175" s="291" t="n"/>
      <c r="BS175" s="39" t="n"/>
      <c r="BT175" s="291" t="n"/>
      <c r="BU175" s="39" t="n"/>
      <c r="BV175" s="291" t="n"/>
      <c r="BW175" s="39" t="n"/>
      <c r="BX175" s="291" t="n"/>
      <c r="BY175" s="39" t="n"/>
      <c r="BZ175" s="291" t="n"/>
      <c r="CA175" s="39" t="n"/>
      <c r="CB175" s="291" t="n"/>
      <c r="CC175" s="39" t="n"/>
      <c r="CD175" s="291" t="n"/>
      <c r="CE175" s="39" t="n"/>
      <c r="CF175" s="291" t="n"/>
      <c r="CG175" s="39" t="n"/>
      <c r="CH175" s="291" t="n"/>
      <c r="CI175" s="39" t="n"/>
      <c r="CJ175" s="291" t="n"/>
      <c r="CK175" s="39" t="n"/>
      <c r="CL175" s="291" t="n"/>
      <c r="CM175" s="39" t="n"/>
      <c r="CN175" s="291" t="n"/>
      <c r="CW175" s="291" t="n"/>
      <c r="CX175" s="39" t="n"/>
      <c r="CY175" s="291" t="n"/>
      <c r="CZ175" s="39" t="n"/>
      <c r="DA175" s="291" t="n"/>
      <c r="DB175" s="39" t="n"/>
      <c r="DC175" s="291" t="n"/>
      <c r="DD175" s="39" t="n"/>
      <c r="DE175" s="291" t="n"/>
      <c r="DF175" s="337" t="n"/>
    </row>
    <row r="176" ht="13" customFormat="1" customHeight="1" s="40">
      <c r="A176" s="326" t="n"/>
      <c r="B176" s="291" t="n"/>
      <c r="C176" s="39" t="n"/>
      <c r="D176" s="39" t="n"/>
      <c r="E176" s="291" t="n"/>
      <c r="F176" s="39" t="n"/>
      <c r="G176" s="39" t="n"/>
      <c r="H176" s="291" t="n"/>
      <c r="I176" s="39" t="n"/>
      <c r="J176" s="39" t="n"/>
      <c r="K176" s="291" t="n"/>
      <c r="L176" s="39" t="n"/>
      <c r="M176" s="39" t="n"/>
      <c r="N176" s="291" t="n"/>
      <c r="O176" s="39" t="n"/>
      <c r="P176" s="39" t="n"/>
      <c r="Q176" s="291" t="n"/>
      <c r="R176" s="39" t="n"/>
      <c r="S176" s="39" t="n"/>
      <c r="T176" s="291" t="n"/>
      <c r="U176" s="39" t="n"/>
      <c r="V176" s="39" t="n"/>
      <c r="W176" s="291" t="n"/>
      <c r="X176" s="39" t="n"/>
      <c r="Y176" s="39" t="n"/>
      <c r="Z176" s="291" t="n"/>
      <c r="AA176" s="39" t="n"/>
      <c r="AB176" s="39" t="n"/>
      <c r="AC176" s="291" t="n"/>
      <c r="AD176" s="39" t="n"/>
      <c r="AE176" s="39" t="n"/>
      <c r="AF176" s="291" t="n"/>
      <c r="AG176" s="39" t="n"/>
      <c r="AH176" s="39" t="n"/>
      <c r="AI176" s="291" t="n"/>
      <c r="AJ176" s="39" t="n"/>
      <c r="AK176" s="39" t="n"/>
      <c r="AL176" s="291" t="n"/>
      <c r="AM176" s="291" t="n"/>
      <c r="AN176" s="291" t="n"/>
      <c r="AO176" s="291" t="n"/>
      <c r="AP176" s="291" t="n"/>
      <c r="AQ176" s="291" t="n"/>
      <c r="AR176" s="291" t="n"/>
      <c r="AS176" s="291" t="n"/>
      <c r="AT176" s="291" t="n"/>
      <c r="AU176" s="291" t="n"/>
      <c r="AV176" s="291" t="n"/>
      <c r="AW176" s="291" t="n"/>
      <c r="AX176" s="291" t="n"/>
      <c r="AY176" s="291" t="n"/>
      <c r="AZ176" s="39" t="n"/>
      <c r="BA176" s="291" t="n"/>
      <c r="BB176" s="39" t="n"/>
      <c r="BC176" s="291" t="n"/>
      <c r="BD176" s="39" t="n"/>
      <c r="BE176" s="291" t="n"/>
      <c r="BF176" s="39" t="n"/>
      <c r="BG176" s="291" t="n"/>
      <c r="BH176" s="39" t="n"/>
      <c r="BI176" s="291" t="n"/>
      <c r="BJ176" s="39" t="n"/>
      <c r="BK176" s="291" t="n"/>
      <c r="BL176" s="39" t="n"/>
      <c r="BM176" s="291" t="n"/>
      <c r="BN176" s="39" t="n"/>
      <c r="BO176" s="291" t="n"/>
      <c r="BP176" s="291" t="n"/>
      <c r="BQ176" s="39" t="n"/>
      <c r="BR176" s="291" t="n"/>
      <c r="BS176" s="39" t="n"/>
      <c r="BT176" s="291" t="n"/>
      <c r="BU176" s="39" t="n"/>
      <c r="BV176" s="291" t="n"/>
      <c r="BW176" s="39" t="n"/>
      <c r="BX176" s="291" t="n"/>
      <c r="BY176" s="39" t="n"/>
      <c r="BZ176" s="291" t="n"/>
      <c r="CA176" s="39" t="n"/>
      <c r="CB176" s="291" t="n"/>
      <c r="CC176" s="39" t="n"/>
      <c r="CD176" s="291" t="n"/>
      <c r="CE176" s="39" t="n"/>
      <c r="CF176" s="291" t="n"/>
      <c r="CG176" s="39" t="n"/>
      <c r="CH176" s="291" t="n"/>
      <c r="CI176" s="39" t="n"/>
      <c r="CJ176" s="291" t="n"/>
      <c r="CK176" s="39" t="n"/>
      <c r="CL176" s="291" t="n"/>
      <c r="CM176" s="39" t="n"/>
      <c r="CN176" s="291" t="n"/>
      <c r="CW176" s="291" t="n"/>
      <c r="CX176" s="39" t="n"/>
      <c r="CY176" s="291" t="n"/>
      <c r="CZ176" s="39" t="n"/>
      <c r="DA176" s="291" t="n"/>
      <c r="DB176" s="39" t="n"/>
      <c r="DC176" s="291" t="n"/>
      <c r="DD176" s="39" t="n"/>
      <c r="DE176" s="291" t="n"/>
      <c r="DF176" s="337" t="n"/>
    </row>
    <row r="177" customFormat="1" s="40">
      <c r="C177" s="41" t="n"/>
      <c r="D177" s="41" t="n"/>
      <c r="F177" s="41" t="n"/>
      <c r="G177" s="41" t="n"/>
      <c r="I177" s="41" t="n"/>
      <c r="J177" s="41" t="n"/>
      <c r="L177" s="41" t="n"/>
      <c r="M177" s="41" t="n"/>
      <c r="O177" s="41" t="n"/>
      <c r="P177" s="41" t="n"/>
      <c r="R177" s="41" t="n"/>
      <c r="S177" s="41" t="n"/>
      <c r="U177" s="41" t="n"/>
      <c r="V177" s="41" t="n"/>
      <c r="X177" s="41" t="n"/>
      <c r="Y177" s="41" t="n"/>
      <c r="AA177" s="41" t="n"/>
      <c r="AB177" s="41" t="n"/>
      <c r="AD177" s="41" t="n"/>
      <c r="AE177" s="41" t="n"/>
      <c r="AG177" s="41" t="n"/>
      <c r="AH177" s="41" t="n"/>
      <c r="AJ177" s="41" t="n"/>
      <c r="AK177" s="41" t="n"/>
      <c r="AP177" s="291" t="n"/>
      <c r="AQ177" s="291" t="n"/>
      <c r="AS177" s="291" t="n"/>
      <c r="AT177" s="291" t="n"/>
      <c r="AV177" s="291" t="n"/>
      <c r="AW177" s="291" t="n"/>
      <c r="AY177" s="291" t="n"/>
      <c r="AZ177" s="39" t="n"/>
      <c r="BA177" s="291" t="n"/>
      <c r="BB177" s="39" t="n"/>
      <c r="BC177" s="291" t="n"/>
      <c r="BD177" s="39" t="n"/>
      <c r="BE177" s="291" t="n"/>
      <c r="BF177" s="39" t="n"/>
      <c r="BG177" s="291" t="n"/>
      <c r="BH177" s="39" t="n"/>
      <c r="BI177" s="291" t="n"/>
      <c r="BJ177" s="39" t="n"/>
      <c r="BK177" s="291" t="n"/>
      <c r="BL177" s="39" t="n"/>
      <c r="BM177" s="291" t="n"/>
      <c r="BN177" s="39" t="n"/>
      <c r="BO177" s="291" t="n"/>
      <c r="BP177" s="291" t="n"/>
      <c r="BQ177" s="39" t="n"/>
      <c r="BR177" s="291" t="n"/>
      <c r="BS177" s="39" t="n"/>
      <c r="BT177" s="291" t="n"/>
      <c r="BU177" s="39" t="n"/>
      <c r="BV177" s="291" t="n"/>
      <c r="BW177" s="39" t="n"/>
      <c r="BX177" s="291" t="n"/>
      <c r="BY177" s="39" t="n"/>
      <c r="BZ177" s="291" t="n"/>
      <c r="CA177" s="39" t="n"/>
      <c r="CB177" s="291" t="n"/>
      <c r="CC177" s="39" t="n"/>
      <c r="CD177" s="291" t="n"/>
      <c r="CE177" s="39" t="n"/>
      <c r="CF177" s="291" t="n"/>
      <c r="CG177" s="39" t="n"/>
      <c r="CH177" s="291" t="n"/>
      <c r="CI177" s="39" t="n"/>
      <c r="CJ177" s="291" t="n"/>
      <c r="CK177" s="39" t="n"/>
      <c r="CL177" s="291" t="n"/>
      <c r="CM177" s="39" t="n"/>
      <c r="CN177" s="291" t="n"/>
      <c r="CW177" s="291" t="n"/>
      <c r="CX177" s="39" t="n"/>
      <c r="CY177" s="291" t="n"/>
      <c r="CZ177" s="39" t="n"/>
      <c r="DA177" s="291" t="n"/>
      <c r="DB177" s="39" t="n"/>
      <c r="DC177" s="291" t="n"/>
      <c r="DD177" s="39" t="n"/>
      <c r="DE177" s="291" t="n"/>
      <c r="DF177" s="337" t="n"/>
    </row>
    <row r="178" ht="13" customFormat="1" customHeight="1" s="40">
      <c r="A178" s="326" t="n"/>
      <c r="B178" s="291" t="n"/>
      <c r="C178" s="39" t="n"/>
      <c r="D178" s="39" t="n"/>
      <c r="E178" s="291" t="n"/>
      <c r="F178" s="39" t="n"/>
      <c r="G178" s="39" t="n"/>
      <c r="H178" s="291" t="n"/>
      <c r="I178" s="39" t="n"/>
      <c r="J178" s="39" t="n"/>
      <c r="K178" s="291" t="n"/>
      <c r="L178" s="39" t="n"/>
      <c r="M178" s="39" t="n"/>
      <c r="N178" s="291" t="n"/>
      <c r="O178" s="39" t="n"/>
      <c r="P178" s="39" t="n"/>
      <c r="Q178" s="291" t="n"/>
      <c r="R178" s="39" t="n"/>
      <c r="S178" s="39" t="n"/>
      <c r="T178" s="291" t="n"/>
      <c r="U178" s="39" t="n"/>
      <c r="V178" s="39" t="n"/>
      <c r="W178" s="291" t="n"/>
      <c r="X178" s="39" t="n"/>
      <c r="Y178" s="39" t="n"/>
      <c r="Z178" s="291" t="n"/>
      <c r="AA178" s="39" t="n"/>
      <c r="AB178" s="39" t="n"/>
      <c r="AC178" s="291" t="n"/>
      <c r="AD178" s="39" t="n"/>
      <c r="AE178" s="39" t="n"/>
      <c r="AF178" s="291" t="n"/>
      <c r="AG178" s="39" t="n"/>
      <c r="AH178" s="39" t="n"/>
      <c r="AI178" s="291" t="n"/>
      <c r="AJ178" s="39" t="n"/>
      <c r="AK178" s="39" t="n"/>
      <c r="AL178" s="291" t="n"/>
      <c r="AM178" s="338" t="n"/>
      <c r="AN178" s="179" t="n"/>
      <c r="AO178" s="291" t="n"/>
      <c r="AP178" s="291" t="n"/>
      <c r="AQ178" s="179" t="n"/>
      <c r="AR178" s="291" t="n"/>
      <c r="AS178" s="291" t="n"/>
      <c r="AT178" s="179" t="n"/>
      <c r="AU178" s="291" t="n"/>
      <c r="AV178" s="291" t="n"/>
      <c r="AW178" s="179" t="n"/>
      <c r="AX178" s="291" t="n"/>
      <c r="AY178" s="291" t="n"/>
      <c r="AZ178" s="39" t="n"/>
      <c r="BA178" s="291" t="n"/>
      <c r="BB178" s="39" t="n"/>
      <c r="BC178" s="291" t="n"/>
      <c r="BD178" s="39" t="n"/>
      <c r="BE178" s="291" t="n"/>
      <c r="BF178" s="39" t="n"/>
      <c r="BG178" s="291" t="n"/>
      <c r="BH178" s="39" t="n"/>
      <c r="BI178" s="291" t="n"/>
      <c r="BJ178" s="39" t="n"/>
      <c r="BK178" s="291" t="n"/>
      <c r="BL178" s="39" t="n"/>
      <c r="BM178" s="291" t="n"/>
      <c r="BN178" s="39" t="n"/>
      <c r="BO178" s="291" t="n"/>
      <c r="BP178" s="291" t="n"/>
      <c r="BQ178" s="39" t="n"/>
      <c r="BR178" s="291" t="n"/>
      <c r="BS178" s="39" t="n"/>
      <c r="BT178" s="291" t="n"/>
      <c r="BU178" s="39" t="n"/>
      <c r="BV178" s="291" t="n"/>
      <c r="BW178" s="39" t="n"/>
      <c r="BX178" s="291" t="n"/>
      <c r="BY178" s="39" t="n"/>
      <c r="BZ178" s="291" t="n"/>
      <c r="CA178" s="39" t="n"/>
      <c r="CB178" s="291" t="n"/>
      <c r="CC178" s="39" t="n"/>
      <c r="CD178" s="291" t="n"/>
      <c r="CE178" s="39" t="n"/>
      <c r="CF178" s="291" t="n"/>
      <c r="CG178" s="39" t="n"/>
      <c r="CH178" s="291" t="n"/>
      <c r="CI178" s="39" t="n"/>
      <c r="CJ178" s="291" t="n"/>
      <c r="CK178" s="39" t="n"/>
      <c r="CL178" s="291" t="n"/>
      <c r="CM178" s="39" t="n"/>
      <c r="CN178" s="291" t="n"/>
      <c r="CW178" s="291" t="n"/>
      <c r="CX178" s="39" t="n"/>
      <c r="CY178" s="291" t="n"/>
      <c r="CZ178" s="39" t="n"/>
      <c r="DA178" s="291" t="n"/>
      <c r="DB178" s="39" t="n"/>
      <c r="DC178" s="291" t="n"/>
      <c r="DD178" s="39" t="n"/>
      <c r="DE178" s="291" t="n"/>
      <c r="DF178" s="337" t="n"/>
    </row>
    <row r="179" ht="13" customFormat="1" customHeight="1" s="40">
      <c r="A179" s="326" t="n"/>
      <c r="B179" s="291" t="n"/>
      <c r="C179" s="39" t="n"/>
      <c r="D179" s="39" t="n"/>
      <c r="E179" s="291" t="n"/>
      <c r="F179" s="39" t="n"/>
      <c r="G179" s="39" t="n"/>
      <c r="H179" s="291" t="n"/>
      <c r="I179" s="39" t="n"/>
      <c r="J179" s="39" t="n"/>
      <c r="K179" s="291" t="n"/>
      <c r="L179" s="39" t="n"/>
      <c r="M179" s="39" t="n"/>
      <c r="N179" s="291" t="n"/>
      <c r="O179" s="39" t="n"/>
      <c r="P179" s="39" t="n"/>
      <c r="Q179" s="291" t="n"/>
      <c r="R179" s="39" t="n"/>
      <c r="S179" s="39" t="n"/>
      <c r="T179" s="291" t="n"/>
      <c r="U179" s="39" t="n"/>
      <c r="V179" s="39" t="n"/>
      <c r="W179" s="291" t="n"/>
      <c r="X179" s="39" t="n"/>
      <c r="Y179" s="39" t="n"/>
      <c r="Z179" s="291" t="n"/>
      <c r="AA179" s="39" t="n"/>
      <c r="AB179" s="39" t="n"/>
      <c r="AC179" s="291" t="n"/>
      <c r="AD179" s="39" t="n"/>
      <c r="AE179" s="39" t="n"/>
      <c r="AF179" s="291" t="n"/>
      <c r="AG179" s="39" t="n"/>
      <c r="AH179" s="39" t="n"/>
      <c r="AI179" s="291" t="n"/>
      <c r="AJ179" s="39" t="n"/>
      <c r="AK179" s="39" t="n"/>
      <c r="AL179" s="291" t="n"/>
      <c r="AM179" s="338" t="n"/>
      <c r="AN179" s="179" t="n"/>
      <c r="AO179" s="291" t="n"/>
      <c r="AP179" s="291" t="n"/>
      <c r="AQ179" s="179" t="n"/>
      <c r="AR179" s="291" t="n"/>
      <c r="AS179" s="291" t="n"/>
      <c r="AT179" s="179" t="n"/>
      <c r="AU179" s="291" t="n"/>
      <c r="AV179" s="291" t="n"/>
      <c r="AW179" s="179" t="n"/>
      <c r="AX179" s="291" t="n"/>
      <c r="BN179" s="39" t="n"/>
      <c r="BO179" s="291" t="n"/>
      <c r="BP179" s="291" t="n"/>
      <c r="BQ179" s="39" t="n"/>
      <c r="BR179" s="291" t="n"/>
      <c r="BS179" s="39" t="n"/>
      <c r="BT179" s="291" t="n"/>
      <c r="BU179" s="39" t="n"/>
      <c r="BV179" s="291" t="n"/>
      <c r="BW179" s="39" t="n"/>
      <c r="BX179" s="291" t="n"/>
      <c r="BY179" s="39" t="n"/>
      <c r="BZ179" s="291" t="n"/>
      <c r="CA179" s="39" t="n"/>
      <c r="CB179" s="291" t="n"/>
      <c r="CC179" s="39" t="n"/>
      <c r="CD179" s="291" t="n"/>
      <c r="CE179" s="39" t="n"/>
      <c r="CF179" s="291" t="n"/>
      <c r="CG179" s="39" t="n"/>
      <c r="CH179" s="291" t="n"/>
      <c r="CI179" s="39" t="n"/>
      <c r="CJ179" s="291" t="n"/>
      <c r="CK179" s="39" t="n"/>
      <c r="CL179" s="291" t="n"/>
      <c r="CM179" s="39" t="n"/>
      <c r="CN179" s="291" t="n"/>
      <c r="CW179" s="291" t="n"/>
      <c r="CX179" s="39" t="n"/>
      <c r="CY179" s="291" t="n"/>
      <c r="CZ179" s="39" t="n"/>
      <c r="DA179" s="291" t="n"/>
      <c r="DB179" s="39" t="n"/>
      <c r="DC179" s="291" t="n"/>
      <c r="DD179" s="39" t="n"/>
      <c r="DE179" s="291" t="n"/>
      <c r="DF179" s="337" t="n"/>
    </row>
    <row r="180" ht="13" customFormat="1" customHeight="1" s="40">
      <c r="A180" s="326" t="n"/>
      <c r="B180" s="291" t="n"/>
      <c r="C180" s="39" t="n"/>
      <c r="D180" s="39" t="n"/>
      <c r="E180" s="291" t="n"/>
      <c r="F180" s="39" t="n"/>
      <c r="G180" s="39" t="n"/>
      <c r="H180" s="291" t="n"/>
      <c r="I180" s="39" t="n"/>
      <c r="J180" s="39" t="n"/>
      <c r="K180" s="291" t="n"/>
      <c r="L180" s="39" t="n"/>
      <c r="M180" s="39" t="n"/>
      <c r="N180" s="291" t="n"/>
      <c r="O180" s="39" t="n"/>
      <c r="P180" s="39" t="n"/>
      <c r="Q180" s="291" t="n"/>
      <c r="R180" s="39" t="n"/>
      <c r="S180" s="39" t="n"/>
      <c r="T180" s="291" t="n"/>
      <c r="U180" s="39" t="n"/>
      <c r="V180" s="39" t="n"/>
      <c r="W180" s="291" t="n"/>
      <c r="X180" s="39" t="n"/>
      <c r="Y180" s="39" t="n"/>
      <c r="Z180" s="291" t="n"/>
      <c r="AA180" s="39" t="n"/>
      <c r="AB180" s="39" t="n"/>
      <c r="AC180" s="291" t="n"/>
      <c r="AD180" s="39" t="n"/>
      <c r="AE180" s="39" t="n"/>
      <c r="AF180" s="291" t="n"/>
      <c r="AG180" s="39" t="n"/>
      <c r="AH180" s="39" t="n"/>
      <c r="AI180" s="291" t="n"/>
      <c r="AJ180" s="39" t="n"/>
      <c r="AK180" s="39" t="n"/>
      <c r="AL180" s="291" t="n"/>
      <c r="AM180" s="338" t="n"/>
      <c r="AN180" s="179" t="n"/>
      <c r="AO180" s="291" t="n"/>
      <c r="AP180" s="291" t="n"/>
      <c r="AQ180" s="179" t="n"/>
      <c r="AR180" s="291" t="n"/>
      <c r="AS180" s="291" t="n"/>
      <c r="AT180" s="179" t="n"/>
      <c r="AU180" s="291" t="n"/>
      <c r="AV180" s="291" t="n"/>
      <c r="AW180" s="179" t="n"/>
      <c r="AX180" s="291" t="n"/>
      <c r="AY180" s="291" t="n"/>
      <c r="AZ180" s="39" t="n"/>
      <c r="BA180" s="291" t="n"/>
      <c r="BB180" s="39" t="n"/>
      <c r="BC180" s="291" t="n"/>
      <c r="BD180" s="39" t="n"/>
      <c r="BE180" s="291" t="n"/>
      <c r="BF180" s="39" t="n"/>
      <c r="BG180" s="291" t="n"/>
      <c r="BH180" s="39" t="n"/>
      <c r="BI180" s="291" t="n"/>
      <c r="BJ180" s="39" t="n"/>
      <c r="BK180" s="291" t="n"/>
      <c r="BL180" s="39" t="n"/>
      <c r="BM180" s="291" t="n"/>
      <c r="BN180" s="39" t="n"/>
      <c r="BO180" s="291" t="n"/>
      <c r="BP180" s="291" t="n"/>
      <c r="BQ180" s="39" t="n"/>
      <c r="BR180" s="291" t="n"/>
      <c r="BS180" s="39" t="n"/>
      <c r="BT180" s="291" t="n"/>
      <c r="BU180" s="39" t="n"/>
      <c r="BV180" s="291" t="n"/>
      <c r="BW180" s="39" t="n"/>
      <c r="BX180" s="291" t="n"/>
      <c r="BY180" s="39" t="n"/>
      <c r="BZ180" s="291" t="n"/>
      <c r="CA180" s="39" t="n"/>
      <c r="CB180" s="291" t="n"/>
      <c r="CC180" s="39" t="n"/>
      <c r="CD180" s="291" t="n"/>
      <c r="CE180" s="39" t="n"/>
      <c r="CF180" s="291" t="n"/>
      <c r="CG180" s="39" t="n"/>
      <c r="CH180" s="291" t="n"/>
      <c r="CI180" s="39" t="n"/>
      <c r="CJ180" s="291" t="n"/>
      <c r="CK180" s="39" t="n"/>
      <c r="CL180" s="291" t="n"/>
      <c r="CM180" s="39" t="n"/>
      <c r="CN180" s="291" t="n"/>
      <c r="CW180" s="291" t="n"/>
      <c r="CX180" s="39" t="n"/>
      <c r="CY180" s="291" t="n"/>
      <c r="CZ180" s="39" t="n"/>
      <c r="DA180" s="291" t="n"/>
      <c r="DB180" s="39" t="n"/>
      <c r="DC180" s="291" t="n"/>
      <c r="DD180" s="39" t="n"/>
      <c r="DE180" s="291" t="n"/>
      <c r="DF180" s="337" t="n"/>
    </row>
    <row r="181" ht="13" customFormat="1" customHeight="1" s="119">
      <c r="A181" s="342" t="n"/>
      <c r="B181" s="317" t="n"/>
      <c r="C181" s="39" t="n"/>
      <c r="D181" s="39" t="n"/>
      <c r="E181" s="317" t="n"/>
      <c r="F181" s="39" t="n"/>
      <c r="G181" s="39" t="n"/>
      <c r="H181" s="317" t="n"/>
      <c r="I181" s="39" t="n"/>
      <c r="J181" s="39" t="n"/>
      <c r="K181" s="317" t="n"/>
      <c r="L181" s="39" t="n"/>
      <c r="M181" s="39" t="n"/>
      <c r="N181" s="317" t="n"/>
      <c r="O181" s="39" t="n"/>
      <c r="P181" s="39" t="n"/>
      <c r="Q181" s="317" t="n"/>
      <c r="R181" s="39" t="n"/>
      <c r="S181" s="39" t="n"/>
      <c r="T181" s="317" t="n"/>
      <c r="U181" s="39" t="n"/>
      <c r="V181" s="39" t="n"/>
      <c r="W181" s="317" t="n"/>
      <c r="X181" s="39" t="n"/>
      <c r="Y181" s="39" t="n"/>
      <c r="Z181" s="317" t="n"/>
      <c r="AA181" s="39" t="n"/>
      <c r="AB181" s="39" t="n"/>
      <c r="AC181" s="317" t="n"/>
      <c r="AD181" s="39" t="n"/>
      <c r="AE181" s="39" t="n"/>
      <c r="AF181" s="317" t="n"/>
      <c r="AG181" s="39" t="n"/>
      <c r="AH181" s="39" t="n"/>
      <c r="AI181" s="317" t="n"/>
      <c r="AJ181" s="39" t="n"/>
      <c r="AK181" s="39" t="n"/>
      <c r="AL181" s="317" t="n"/>
      <c r="AM181" s="338" t="n"/>
      <c r="AN181" s="179" t="n"/>
      <c r="AO181" s="317" t="n"/>
      <c r="AP181" s="317" t="n"/>
      <c r="AQ181" s="179" t="n"/>
      <c r="AR181" s="317" t="n"/>
      <c r="AS181" s="317" t="n"/>
      <c r="AT181" s="179" t="n"/>
      <c r="AU181" s="317" t="n"/>
      <c r="AV181" s="317" t="n"/>
      <c r="AW181" s="179" t="n"/>
      <c r="AX181" s="317" t="n"/>
      <c r="AY181" s="340" t="n"/>
      <c r="AZ181" s="93" t="n"/>
      <c r="BA181" s="340" t="n"/>
      <c r="BB181" s="93" t="n"/>
      <c r="BC181" s="340" t="n"/>
      <c r="BD181" s="93" t="n"/>
      <c r="BE181" s="340" t="n"/>
      <c r="BF181" s="93" t="n"/>
      <c r="BG181" s="340" t="n"/>
      <c r="BH181" s="93" t="n"/>
      <c r="BI181" s="340" t="n"/>
      <c r="BJ181" s="93" t="n"/>
      <c r="BK181" s="340" t="n"/>
      <c r="BL181" s="93" t="n"/>
      <c r="BM181" s="340" t="n"/>
      <c r="BN181" s="340" t="n"/>
      <c r="BO181" s="340" t="n"/>
      <c r="BP181" s="340" t="n"/>
      <c r="BQ181" s="340" t="n"/>
      <c r="BR181" s="340" t="n"/>
      <c r="BS181" s="340" t="n"/>
      <c r="BT181" s="340" t="n"/>
      <c r="BU181" s="340" t="n"/>
      <c r="BV181" s="340" t="n"/>
      <c r="BW181" s="340" t="n"/>
      <c r="BX181" s="340" t="n"/>
      <c r="BY181" s="340" t="n"/>
      <c r="BZ181" s="340" t="n"/>
      <c r="CA181" s="340" t="n"/>
      <c r="CB181" s="340" t="n"/>
      <c r="CC181" s="340" t="n"/>
      <c r="CD181" s="340" t="n"/>
      <c r="CE181" s="340" t="n"/>
      <c r="CF181" s="340" t="n"/>
      <c r="CG181" s="340" t="n"/>
      <c r="CH181" s="340" t="n"/>
      <c r="CI181" s="340" t="n"/>
      <c r="CJ181" s="340" t="n"/>
      <c r="CK181" s="340" t="n"/>
      <c r="CL181" s="340" t="n"/>
      <c r="CM181" s="340" t="n"/>
      <c r="CN181" s="340" t="n"/>
      <c r="CO181" s="340" t="n"/>
      <c r="CP181" s="340" t="n"/>
      <c r="CQ181" s="340" t="n"/>
      <c r="CR181" s="340" t="n"/>
      <c r="CS181" s="340" t="n"/>
      <c r="CT181" s="340" t="n"/>
      <c r="CU181" s="340" t="n"/>
      <c r="CV181" s="340" t="n"/>
      <c r="CW181" s="340" t="n"/>
      <c r="CX181" s="340" t="n"/>
      <c r="CY181" s="340" t="n"/>
      <c r="CZ181" s="340" t="n"/>
      <c r="DA181" s="340" t="n"/>
      <c r="DB181" s="340" t="n"/>
      <c r="DC181" s="340" t="n"/>
      <c r="DD181" s="340" t="n"/>
      <c r="DE181" s="341" t="n"/>
      <c r="DF181" s="341" t="n"/>
    </row>
    <row r="182" ht="13" customFormat="1" customHeight="1" s="119">
      <c r="A182" s="342" t="n"/>
      <c r="B182" s="317" t="n"/>
      <c r="C182" s="39" t="n"/>
      <c r="D182" s="39" t="n"/>
      <c r="E182" s="317" t="n"/>
      <c r="F182" s="39" t="n"/>
      <c r="G182" s="39" t="n"/>
      <c r="H182" s="317" t="n"/>
      <c r="I182" s="39" t="n"/>
      <c r="J182" s="39" t="n"/>
      <c r="K182" s="317" t="n"/>
      <c r="L182" s="39" t="n"/>
      <c r="M182" s="39" t="n"/>
      <c r="N182" s="317" t="n"/>
      <c r="O182" s="39" t="n"/>
      <c r="P182" s="39" t="n"/>
      <c r="Q182" s="317" t="n"/>
      <c r="R182" s="39" t="n"/>
      <c r="S182" s="39" t="n"/>
      <c r="T182" s="317" t="n"/>
      <c r="U182" s="39" t="n"/>
      <c r="V182" s="39" t="n"/>
      <c r="W182" s="317" t="n"/>
      <c r="X182" s="39" t="n"/>
      <c r="Y182" s="39" t="n"/>
      <c r="Z182" s="317" t="n"/>
      <c r="AA182" s="39" t="n"/>
      <c r="AB182" s="39" t="n"/>
      <c r="AC182" s="317" t="n"/>
      <c r="AD182" s="39" t="n"/>
      <c r="AE182" s="39" t="n"/>
      <c r="AF182" s="317" t="n"/>
      <c r="AG182" s="39" t="n"/>
      <c r="AH182" s="39" t="n"/>
      <c r="AI182" s="317" t="n"/>
      <c r="AJ182" s="39" t="n"/>
      <c r="AK182" s="39" t="n"/>
      <c r="AL182" s="317" t="n"/>
      <c r="AM182" s="338" t="n"/>
      <c r="AN182" s="39" t="n"/>
      <c r="AO182" s="317" t="n"/>
      <c r="AP182" s="317" t="n"/>
      <c r="AQ182" s="39" t="n"/>
      <c r="AR182" s="317" t="n"/>
      <c r="AS182" s="317" t="n"/>
      <c r="AT182" s="39" t="n"/>
      <c r="AU182" s="317" t="n"/>
      <c r="AV182" s="317" t="n"/>
      <c r="AW182" s="39" t="n"/>
      <c r="AX182" s="317" t="n"/>
      <c r="AY182" s="340" t="n"/>
      <c r="AZ182" s="93" t="n"/>
      <c r="BA182" s="340" t="n"/>
      <c r="BB182" s="93" t="n"/>
      <c r="BC182" s="340" t="n"/>
      <c r="BD182" s="93" t="n"/>
      <c r="BE182" s="340" t="n"/>
      <c r="BF182" s="93" t="n"/>
      <c r="BG182" s="340" t="n"/>
      <c r="BH182" s="93" t="n"/>
      <c r="BI182" s="340" t="n"/>
      <c r="BJ182" s="93" t="n"/>
      <c r="BK182" s="340" t="n"/>
      <c r="BL182" s="93" t="n"/>
      <c r="BM182" s="340" t="n"/>
      <c r="BN182" s="340" t="n"/>
      <c r="BO182" s="340" t="n"/>
      <c r="BP182" s="340" t="n"/>
      <c r="BQ182" s="340" t="n"/>
      <c r="BR182" s="340" t="n"/>
      <c r="BS182" s="340" t="n"/>
      <c r="BT182" s="340" t="n"/>
      <c r="BU182" s="340" t="n"/>
      <c r="BV182" s="340" t="n"/>
      <c r="BW182" s="340" t="n"/>
      <c r="BX182" s="340" t="n"/>
      <c r="BY182" s="340" t="n"/>
      <c r="BZ182" s="340" t="n"/>
      <c r="CA182" s="340" t="n"/>
      <c r="CB182" s="340" t="n"/>
      <c r="CC182" s="340" t="n"/>
      <c r="CD182" s="340" t="n"/>
      <c r="CE182" s="340" t="n"/>
      <c r="CF182" s="340" t="n"/>
      <c r="CG182" s="340" t="n"/>
      <c r="CH182" s="340" t="n"/>
      <c r="CI182" s="340" t="n"/>
      <c r="CJ182" s="340" t="n"/>
      <c r="CK182" s="340" t="n"/>
      <c r="CL182" s="340" t="n"/>
      <c r="CM182" s="340" t="n"/>
      <c r="CN182" s="340" t="n"/>
      <c r="CO182" s="340" t="n"/>
      <c r="CP182" s="340" t="n"/>
      <c r="CQ182" s="340" t="n"/>
      <c r="CR182" s="340" t="n"/>
      <c r="CS182" s="340" t="n"/>
      <c r="CT182" s="340" t="n"/>
      <c r="CU182" s="340" t="n"/>
      <c r="CV182" s="340" t="n"/>
      <c r="CW182" s="340" t="n"/>
      <c r="CX182" s="340" t="n"/>
      <c r="CY182" s="340" t="n"/>
      <c r="CZ182" s="340" t="n"/>
      <c r="DA182" s="340" t="n"/>
      <c r="DB182" s="340" t="n"/>
      <c r="DC182" s="340" t="n"/>
      <c r="DD182" s="340" t="n"/>
      <c r="DE182" s="341" t="n"/>
      <c r="DF182" s="341" t="n"/>
    </row>
    <row r="183" ht="13" customFormat="1" customHeight="1" s="119">
      <c r="A183" s="342" t="n"/>
      <c r="B183" s="317" t="n"/>
      <c r="C183" s="142" t="n"/>
      <c r="D183" s="142" t="n"/>
      <c r="E183" s="317" t="n"/>
      <c r="F183" s="142" t="n"/>
      <c r="G183" s="142" t="n"/>
      <c r="H183" s="317" t="n"/>
      <c r="I183" s="142" t="n"/>
      <c r="J183" s="142" t="n"/>
      <c r="K183" s="317" t="n"/>
      <c r="L183" s="142" t="n"/>
      <c r="M183" s="142" t="n"/>
      <c r="N183" s="317" t="n"/>
      <c r="O183" s="142" t="n"/>
      <c r="P183" s="142" t="n"/>
      <c r="Q183" s="317" t="n"/>
      <c r="R183" s="142" t="n"/>
      <c r="S183" s="142" t="n"/>
      <c r="T183" s="317" t="n"/>
      <c r="U183" s="142" t="n"/>
      <c r="V183" s="142" t="n"/>
      <c r="W183" s="317" t="n"/>
      <c r="X183" s="142" t="n"/>
      <c r="Y183" s="142" t="n"/>
      <c r="Z183" s="317" t="n"/>
      <c r="AA183" s="142" t="n"/>
      <c r="AB183" s="142" t="n"/>
      <c r="AC183" s="317" t="n"/>
      <c r="AD183" s="142" t="n"/>
      <c r="AE183" s="142" t="n"/>
      <c r="AF183" s="317" t="n"/>
      <c r="AG183" s="142" t="n"/>
      <c r="AH183" s="142" t="n"/>
      <c r="AI183" s="317" t="n"/>
      <c r="AJ183" s="142" t="n"/>
      <c r="AK183" s="142" t="n"/>
      <c r="AL183" s="317" t="n"/>
      <c r="AM183" s="317" t="n"/>
      <c r="AN183" s="182" t="n"/>
      <c r="AO183" s="317" t="n"/>
      <c r="AP183" s="317" t="n"/>
      <c r="AQ183" s="182" t="n"/>
      <c r="AR183" s="317" t="n"/>
      <c r="AS183" s="317" t="n"/>
      <c r="AT183" s="182" t="n"/>
      <c r="AU183" s="317" t="n"/>
      <c r="AV183" s="317" t="n"/>
      <c r="AW183" s="182" t="n"/>
      <c r="AX183" s="317" t="n"/>
      <c r="AY183" s="340" t="n"/>
      <c r="AZ183" s="93" t="n"/>
      <c r="BA183" s="340" t="n"/>
      <c r="BB183" s="93" t="n"/>
      <c r="BC183" s="340" t="n"/>
      <c r="BD183" s="93" t="n"/>
      <c r="BE183" s="340" t="n"/>
      <c r="BF183" s="93" t="n"/>
      <c r="BG183" s="340" t="n"/>
      <c r="BH183" s="93" t="n"/>
      <c r="BI183" s="340" t="n"/>
      <c r="BJ183" s="93" t="n"/>
      <c r="BK183" s="340" t="n"/>
      <c r="BL183" s="93" t="n"/>
      <c r="BM183" s="340" t="n"/>
      <c r="BN183" s="340" t="n"/>
      <c r="BO183" s="340" t="n"/>
      <c r="BP183" s="340" t="n"/>
      <c r="BQ183" s="340" t="n"/>
      <c r="BR183" s="340" t="n"/>
      <c r="BS183" s="340" t="n"/>
      <c r="BT183" s="340" t="n"/>
      <c r="BU183" s="340" t="n"/>
      <c r="BV183" s="340" t="n"/>
      <c r="BW183" s="340" t="n"/>
      <c r="BX183" s="340" t="n"/>
      <c r="BY183" s="340" t="n"/>
      <c r="BZ183" s="340" t="n"/>
      <c r="CA183" s="340" t="n"/>
      <c r="CB183" s="340" t="n"/>
      <c r="CC183" s="340" t="n"/>
      <c r="CD183" s="340" t="n"/>
      <c r="CE183" s="340" t="n"/>
      <c r="CF183" s="340" t="n"/>
      <c r="CG183" s="340" t="n"/>
      <c r="CH183" s="340" t="n"/>
      <c r="CI183" s="340" t="n"/>
      <c r="CJ183" s="340" t="n"/>
      <c r="CK183" s="340" t="n"/>
      <c r="CL183" s="340" t="n"/>
      <c r="CM183" s="340" t="n"/>
      <c r="CN183" s="340" t="n"/>
      <c r="CO183" s="340" t="n"/>
      <c r="CP183" s="340" t="n"/>
      <c r="CQ183" s="340" t="n"/>
      <c r="CR183" s="340" t="n"/>
      <c r="CS183" s="340" t="n"/>
      <c r="CT183" s="340" t="n"/>
      <c r="CU183" s="340" t="n"/>
      <c r="CV183" s="340" t="n"/>
      <c r="CW183" s="340" t="n"/>
      <c r="CX183" s="340" t="n"/>
      <c r="CY183" s="340" t="n"/>
      <c r="CZ183" s="340" t="n"/>
      <c r="DA183" s="340" t="n"/>
      <c r="DB183" s="340" t="n"/>
      <c r="DC183" s="340" t="n"/>
      <c r="DD183" s="340" t="n"/>
      <c r="DE183" s="341" t="n"/>
      <c r="DF183" s="341" t="n"/>
    </row>
    <row r="184" ht="13" customFormat="1" customHeight="1" s="119">
      <c r="A184" s="342" t="n"/>
      <c r="B184" s="317" t="n"/>
      <c r="C184" s="142" t="n"/>
      <c r="D184" s="142" t="n"/>
      <c r="E184" s="317" t="n"/>
      <c r="F184" s="142" t="n"/>
      <c r="G184" s="142" t="n"/>
      <c r="H184" s="317" t="n"/>
      <c r="I184" s="142" t="n"/>
      <c r="J184" s="142" t="n"/>
      <c r="K184" s="317" t="n"/>
      <c r="L184" s="142" t="n"/>
      <c r="M184" s="142" t="n"/>
      <c r="N184" s="317" t="n"/>
      <c r="O184" s="142" t="n"/>
      <c r="P184" s="142" t="n"/>
      <c r="Q184" s="317" t="n"/>
      <c r="R184" s="142" t="n"/>
      <c r="S184" s="142" t="n"/>
      <c r="T184" s="317" t="n"/>
      <c r="U184" s="142" t="n"/>
      <c r="V184" s="142" t="n"/>
      <c r="W184" s="317" t="n"/>
      <c r="X184" s="142" t="n"/>
      <c r="Y184" s="142" t="n"/>
      <c r="Z184" s="317" t="n"/>
      <c r="AA184" s="142" t="n"/>
      <c r="AB184" s="142" t="n"/>
      <c r="AC184" s="317" t="n"/>
      <c r="AD184" s="142" t="n"/>
      <c r="AE184" s="142" t="n"/>
      <c r="AF184" s="317" t="n"/>
      <c r="AG184" s="142" t="n"/>
      <c r="AH184" s="142" t="n"/>
      <c r="AI184" s="317" t="n"/>
      <c r="AJ184" s="142" t="n"/>
      <c r="AK184" s="142" t="n"/>
      <c r="AL184" s="317" t="n"/>
      <c r="AM184" s="317" t="n"/>
      <c r="AN184" s="182" t="n"/>
      <c r="AO184" s="317" t="n"/>
      <c r="AP184" s="317" t="n"/>
      <c r="AQ184" s="182" t="n"/>
      <c r="AR184" s="317" t="n"/>
      <c r="AS184" s="317" t="n"/>
      <c r="AT184" s="182" t="n"/>
      <c r="AU184" s="317" t="n"/>
      <c r="AV184" s="317" t="n"/>
      <c r="AW184" s="182" t="n"/>
      <c r="AX184" s="317" t="n"/>
      <c r="AY184" s="340" t="n"/>
      <c r="AZ184" s="93" t="n"/>
      <c r="BA184" s="340" t="n"/>
      <c r="BB184" s="93" t="n"/>
      <c r="BC184" s="340" t="n"/>
      <c r="BD184" s="93" t="n"/>
      <c r="BE184" s="340" t="n"/>
      <c r="BF184" s="93" t="n"/>
      <c r="BG184" s="340" t="n"/>
      <c r="BH184" s="93" t="n"/>
      <c r="BI184" s="340" t="n"/>
      <c r="BJ184" s="93" t="n"/>
      <c r="BK184" s="340" t="n"/>
      <c r="BL184" s="93" t="n"/>
      <c r="BM184" s="340" t="n"/>
      <c r="BN184" s="340" t="n"/>
      <c r="BO184" s="340" t="n"/>
      <c r="BP184" s="340" t="n"/>
      <c r="BQ184" s="340" t="n"/>
      <c r="BR184" s="340" t="n"/>
      <c r="BS184" s="340" t="n"/>
      <c r="BT184" s="340" t="n"/>
      <c r="BU184" s="340" t="n"/>
      <c r="BV184" s="340" t="n"/>
      <c r="BW184" s="340" t="n"/>
      <c r="BX184" s="340" t="n"/>
      <c r="BY184" s="340" t="n"/>
      <c r="BZ184" s="340" t="n"/>
      <c r="CA184" s="340" t="n"/>
      <c r="CB184" s="340" t="n"/>
      <c r="CC184" s="340" t="n"/>
      <c r="CD184" s="340" t="n"/>
      <c r="CE184" s="340" t="n"/>
      <c r="CF184" s="340" t="n"/>
      <c r="CG184" s="340" t="n"/>
      <c r="CH184" s="340" t="n"/>
      <c r="CI184" s="340" t="n"/>
      <c r="CJ184" s="340" t="n"/>
      <c r="CK184" s="340" t="n"/>
      <c r="CL184" s="340" t="n"/>
      <c r="CM184" s="340" t="n"/>
      <c r="CN184" s="340" t="n"/>
      <c r="CO184" s="340" t="n"/>
      <c r="CP184" s="340" t="n"/>
      <c r="CQ184" s="340" t="n"/>
      <c r="CR184" s="340" t="n"/>
      <c r="CS184" s="340" t="n"/>
      <c r="CT184" s="340" t="n"/>
      <c r="CU184" s="340" t="n"/>
      <c r="CV184" s="340" t="n"/>
      <c r="CW184" s="340" t="n"/>
      <c r="CX184" s="340" t="n"/>
      <c r="CY184" s="340" t="n"/>
      <c r="CZ184" s="340" t="n"/>
      <c r="DA184" s="340" t="n"/>
      <c r="DB184" s="340" t="n"/>
      <c r="DC184" s="340" t="n"/>
      <c r="DD184" s="340" t="n"/>
      <c r="DE184" s="341" t="n"/>
      <c r="DF184" s="341" t="n"/>
    </row>
    <row r="185" ht="13" customFormat="1" customHeight="1" s="119">
      <c r="A185" s="342" t="n"/>
      <c r="B185" s="317" t="n"/>
      <c r="C185" s="142" t="n"/>
      <c r="D185" s="142" t="n"/>
      <c r="E185" s="317" t="n"/>
      <c r="F185" s="142" t="n"/>
      <c r="G185" s="142" t="n"/>
      <c r="H185" s="317" t="n"/>
      <c r="I185" s="142" t="n"/>
      <c r="J185" s="142" t="n"/>
      <c r="K185" s="317" t="n"/>
      <c r="L185" s="142" t="n"/>
      <c r="M185" s="142" t="n"/>
      <c r="N185" s="317" t="n"/>
      <c r="O185" s="142" t="n"/>
      <c r="P185" s="142" t="n"/>
      <c r="Q185" s="317" t="n"/>
      <c r="R185" s="142" t="n"/>
      <c r="S185" s="142" t="n"/>
      <c r="T185" s="317" t="n"/>
      <c r="U185" s="142" t="n"/>
      <c r="V185" s="142" t="n"/>
      <c r="W185" s="317" t="n"/>
      <c r="X185" s="142" t="n"/>
      <c r="Y185" s="142" t="n"/>
      <c r="Z185" s="317" t="n"/>
      <c r="AA185" s="142" t="n"/>
      <c r="AB185" s="142" t="n"/>
      <c r="AC185" s="317" t="n"/>
      <c r="AD185" s="142" t="n"/>
      <c r="AE185" s="142" t="n"/>
      <c r="AF185" s="317" t="n"/>
      <c r="AG185" s="142" t="n"/>
      <c r="AH185" s="142" t="n"/>
      <c r="AI185" s="317" t="n"/>
      <c r="AJ185" s="142" t="n"/>
      <c r="AK185" s="142" t="n"/>
      <c r="AL185" s="317" t="n"/>
      <c r="AM185" s="317" t="n"/>
      <c r="AN185" s="182" t="n"/>
      <c r="AO185" s="317" t="n"/>
      <c r="AP185" s="317" t="n"/>
      <c r="AQ185" s="182" t="n"/>
      <c r="AR185" s="317" t="n"/>
      <c r="AS185" s="317" t="n"/>
      <c r="AT185" s="182" t="n"/>
      <c r="AU185" s="317" t="n"/>
      <c r="AV185" s="317" t="n"/>
      <c r="AW185" s="182" t="n"/>
      <c r="AX185" s="183" t="n"/>
      <c r="AY185" s="340" t="n"/>
      <c r="AZ185" s="93" t="n"/>
      <c r="BA185" s="340" t="n"/>
      <c r="BB185" s="93" t="n"/>
      <c r="BC185" s="340" t="n"/>
      <c r="BD185" s="93" t="n"/>
      <c r="BE185" s="340" t="n"/>
      <c r="BF185" s="93" t="n"/>
      <c r="BG185" s="340" t="n"/>
      <c r="BH185" s="93" t="n"/>
      <c r="BI185" s="340" t="n"/>
      <c r="BJ185" s="93" t="n"/>
      <c r="BK185" s="340" t="n"/>
      <c r="BL185" s="93" t="n"/>
      <c r="BM185" s="340" t="n"/>
      <c r="BN185" s="340" t="n"/>
      <c r="BO185" s="340" t="n"/>
      <c r="BP185" s="340" t="n"/>
      <c r="BQ185" s="340" t="n"/>
      <c r="BR185" s="340" t="n"/>
      <c r="BS185" s="340" t="n"/>
      <c r="BT185" s="340" t="n"/>
      <c r="BU185" s="340" t="n"/>
      <c r="BV185" s="340" t="n"/>
      <c r="BW185" s="340" t="n"/>
      <c r="BX185" s="340" t="n"/>
      <c r="BY185" s="340" t="n"/>
      <c r="BZ185" s="340" t="n"/>
      <c r="CA185" s="340" t="n"/>
      <c r="CB185" s="340" t="n"/>
      <c r="CC185" s="340" t="n"/>
      <c r="CD185" s="340" t="n"/>
      <c r="CE185" s="340" t="n"/>
      <c r="CF185" s="340" t="n"/>
      <c r="CG185" s="340" t="n"/>
      <c r="CH185" s="340" t="n"/>
      <c r="CI185" s="340" t="n"/>
      <c r="CJ185" s="340" t="n"/>
      <c r="CK185" s="340" t="n"/>
      <c r="CL185" s="340" t="n"/>
      <c r="CM185" s="340" t="n"/>
      <c r="CN185" s="340" t="n"/>
      <c r="CO185" s="340" t="n"/>
      <c r="CP185" s="340" t="n"/>
      <c r="CQ185" s="340" t="n"/>
      <c r="CR185" s="340" t="n"/>
      <c r="CS185" s="340" t="n"/>
      <c r="CT185" s="340" t="n"/>
      <c r="CU185" s="340" t="n"/>
      <c r="CV185" s="340" t="n"/>
      <c r="CW185" s="340" t="n"/>
      <c r="CX185" s="340" t="n"/>
      <c r="CY185" s="340" t="n"/>
      <c r="CZ185" s="340" t="n"/>
      <c r="DA185" s="340" t="n"/>
      <c r="DB185" s="340" t="n"/>
      <c r="DC185" s="340" t="n"/>
      <c r="DD185" s="340" t="n"/>
      <c r="DE185" s="341" t="n"/>
      <c r="DF185" s="341" t="n"/>
    </row>
    <row r="186" ht="13" customFormat="1" customHeight="1" s="119">
      <c r="A186" s="342" t="n"/>
      <c r="B186" s="317" t="n"/>
      <c r="C186" s="142" t="n"/>
      <c r="D186" s="142" t="n"/>
      <c r="E186" s="317" t="n"/>
      <c r="F186" s="142" t="n"/>
      <c r="G186" s="142" t="n"/>
      <c r="H186" s="317" t="n"/>
      <c r="I186" s="142" t="n"/>
      <c r="J186" s="142" t="n"/>
      <c r="K186" s="317" t="n"/>
      <c r="L186" s="142" t="n"/>
      <c r="M186" s="142" t="n"/>
      <c r="N186" s="317" t="n"/>
      <c r="O186" s="142" t="n"/>
      <c r="P186" s="142" t="n"/>
      <c r="Q186" s="317" t="n"/>
      <c r="R186" s="142" t="n"/>
      <c r="S186" s="142" t="n"/>
      <c r="T186" s="317" t="n"/>
      <c r="U186" s="142" t="n"/>
      <c r="V186" s="142" t="n"/>
      <c r="W186" s="317" t="n"/>
      <c r="X186" s="142" t="n"/>
      <c r="Y186" s="142" t="n"/>
      <c r="Z186" s="317" t="n"/>
      <c r="AA186" s="142" t="n"/>
      <c r="AB186" s="142" t="n"/>
      <c r="AC186" s="317" t="n"/>
      <c r="AD186" s="142" t="n"/>
      <c r="AE186" s="142" t="n"/>
      <c r="AF186" s="317" t="n"/>
      <c r="AG186" s="142" t="n"/>
      <c r="AH186" s="142" t="n"/>
      <c r="AI186" s="317" t="n"/>
      <c r="AJ186" s="142" t="n"/>
      <c r="AK186" s="142" t="n"/>
      <c r="AL186" s="317" t="n"/>
      <c r="AM186" s="317" t="n"/>
      <c r="AN186" s="182" t="n"/>
      <c r="AO186" s="317" t="n"/>
      <c r="AP186" s="317" t="n"/>
      <c r="AQ186" s="182" t="n"/>
      <c r="AR186" s="317" t="n"/>
      <c r="AS186" s="317" t="n"/>
      <c r="AT186" s="182" t="n"/>
      <c r="AU186" s="317" t="n"/>
      <c r="AV186" s="317" t="n"/>
      <c r="AW186" s="182" t="n"/>
      <c r="AX186" s="183" t="n"/>
      <c r="AY186" s="340" t="n"/>
      <c r="AZ186" s="93" t="n"/>
      <c r="BA186" s="340" t="n"/>
      <c r="BB186" s="93" t="n"/>
      <c r="BC186" s="340" t="n"/>
      <c r="BD186" s="93" t="n"/>
      <c r="BE186" s="340" t="n"/>
      <c r="BF186" s="93" t="n"/>
      <c r="BG186" s="340" t="n"/>
      <c r="BH186" s="93" t="n"/>
      <c r="BI186" s="340" t="n"/>
      <c r="BJ186" s="93" t="n"/>
      <c r="BK186" s="340" t="n"/>
      <c r="BL186" s="93" t="n"/>
      <c r="BM186" s="340" t="n"/>
      <c r="BN186" s="340" t="n"/>
      <c r="BO186" s="340" t="n"/>
      <c r="BP186" s="340" t="n"/>
      <c r="BQ186" s="340" t="n"/>
      <c r="BR186" s="340" t="n"/>
      <c r="BS186" s="340" t="n"/>
      <c r="BT186" s="340" t="n"/>
      <c r="BU186" s="340" t="n"/>
      <c r="BV186" s="340" t="n"/>
      <c r="BW186" s="340" t="n"/>
      <c r="BX186" s="340" t="n"/>
      <c r="BY186" s="340" t="n"/>
      <c r="BZ186" s="340" t="n"/>
      <c r="CA186" s="340" t="n"/>
      <c r="CB186" s="340" t="n"/>
      <c r="CC186" s="340" t="n"/>
      <c r="CD186" s="340" t="n"/>
      <c r="CE186" s="340" t="n"/>
      <c r="CF186" s="340" t="n"/>
      <c r="CG186" s="340" t="n"/>
      <c r="CH186" s="340" t="n"/>
      <c r="CI186" s="340" t="n"/>
      <c r="CJ186" s="340" t="n"/>
      <c r="CK186" s="340" t="n"/>
      <c r="CL186" s="340" t="n"/>
      <c r="CM186" s="340" t="n"/>
      <c r="CN186" s="340" t="n"/>
      <c r="CO186" s="340" t="n"/>
      <c r="CP186" s="340" t="n"/>
      <c r="CQ186" s="340" t="n"/>
      <c r="CR186" s="340" t="n"/>
      <c r="CS186" s="340" t="n"/>
      <c r="CT186" s="340" t="n"/>
      <c r="CU186" s="340" t="n"/>
      <c r="CV186" s="340" t="n"/>
      <c r="CW186" s="340" t="n"/>
      <c r="CX186" s="340" t="n"/>
      <c r="CY186" s="340" t="n"/>
      <c r="CZ186" s="340" t="n"/>
      <c r="DA186" s="340" t="n"/>
      <c r="DB186" s="340" t="n"/>
      <c r="DC186" s="340" t="n"/>
      <c r="DD186" s="340" t="n"/>
      <c r="DE186" s="341" t="n"/>
      <c r="DF186" s="341" t="n"/>
    </row>
    <row r="187" ht="13" customFormat="1" customHeight="1" s="119">
      <c r="A187" s="342" t="n"/>
      <c r="B187" s="317" t="n"/>
      <c r="C187" s="142" t="n"/>
      <c r="D187" s="142" t="n"/>
      <c r="E187" s="317" t="n"/>
      <c r="F187" s="142" t="n"/>
      <c r="G187" s="142" t="n"/>
      <c r="H187" s="317" t="n"/>
      <c r="I187" s="142" t="n"/>
      <c r="J187" s="142" t="n"/>
      <c r="K187" s="317" t="n"/>
      <c r="L187" s="142" t="n"/>
      <c r="M187" s="142" t="n"/>
      <c r="N187" s="317" t="n"/>
      <c r="O187" s="142" t="n"/>
      <c r="P187" s="142" t="n"/>
      <c r="Q187" s="317" t="n"/>
      <c r="R187" s="142" t="n"/>
      <c r="S187" s="142" t="n"/>
      <c r="T187" s="317" t="n"/>
      <c r="U187" s="142" t="n"/>
      <c r="V187" s="142" t="n"/>
      <c r="W187" s="317" t="n"/>
      <c r="X187" s="142" t="n"/>
      <c r="Y187" s="142" t="n"/>
      <c r="Z187" s="317" t="n"/>
      <c r="AA187" s="142" t="n"/>
      <c r="AB187" s="142" t="n"/>
      <c r="AC187" s="317" t="n"/>
      <c r="AD187" s="142" t="n"/>
      <c r="AE187" s="142" t="n"/>
      <c r="AF187" s="317" t="n"/>
      <c r="AG187" s="142" t="n"/>
      <c r="AH187" s="142" t="n"/>
      <c r="AI187" s="317" t="n"/>
      <c r="AJ187" s="142" t="n"/>
      <c r="AK187" s="142" t="n"/>
      <c r="AL187" s="317" t="n"/>
      <c r="AM187" s="317" t="n"/>
      <c r="AN187" s="317" t="n"/>
      <c r="AO187" s="317" t="n"/>
      <c r="AP187" s="317" t="n"/>
      <c r="AQ187" s="317" t="n"/>
      <c r="AR187" s="317" t="n"/>
      <c r="AS187" s="317" t="n"/>
      <c r="AT187" s="317" t="n"/>
      <c r="AU187" s="317" t="n"/>
      <c r="AV187" s="317" t="n"/>
      <c r="AW187" s="317" t="n"/>
      <c r="AX187" s="317" t="n"/>
      <c r="AY187" s="340" t="n"/>
      <c r="AZ187" s="93" t="n"/>
      <c r="BA187" s="340" t="n"/>
      <c r="BB187" s="93" t="n"/>
      <c r="BC187" s="340" t="n"/>
      <c r="BD187" s="93" t="n"/>
      <c r="BE187" s="340" t="n"/>
      <c r="BF187" s="93" t="n"/>
      <c r="BG187" s="340" t="n"/>
      <c r="BH187" s="93" t="n"/>
      <c r="BI187" s="340" t="n"/>
      <c r="BJ187" s="93" t="n"/>
      <c r="BK187" s="340" t="n"/>
      <c r="BL187" s="93" t="n"/>
      <c r="BM187" s="340" t="n"/>
      <c r="BN187" s="340" t="n"/>
      <c r="BO187" s="340" t="n"/>
      <c r="BP187" s="340" t="n"/>
      <c r="BQ187" s="340" t="n"/>
      <c r="BR187" s="340" t="n"/>
      <c r="BS187" s="340" t="n"/>
      <c r="BT187" s="340" t="n"/>
      <c r="BU187" s="340" t="n"/>
      <c r="BV187" s="340" t="n"/>
      <c r="BW187" s="340" t="n"/>
      <c r="BX187" s="340" t="n"/>
      <c r="BY187" s="340" t="n"/>
      <c r="BZ187" s="340" t="n"/>
      <c r="CA187" s="340" t="n"/>
      <c r="CB187" s="340" t="n"/>
      <c r="CC187" s="340" t="n"/>
      <c r="CD187" s="340" t="n"/>
      <c r="CE187" s="340" t="n"/>
      <c r="CF187" s="340" t="n"/>
      <c r="CG187" s="340" t="n"/>
      <c r="CH187" s="340" t="n"/>
      <c r="CI187" s="340" t="n"/>
      <c r="CJ187" s="340" t="n"/>
      <c r="CK187" s="340" t="n"/>
      <c r="CL187" s="340" t="n"/>
      <c r="CM187" s="340" t="n"/>
      <c r="CN187" s="340" t="n"/>
      <c r="CO187" s="340" t="n"/>
      <c r="CP187" s="340" t="n"/>
      <c r="CQ187" s="340" t="n"/>
      <c r="CR187" s="340" t="n"/>
      <c r="CS187" s="340" t="n"/>
      <c r="CT187" s="340" t="n"/>
      <c r="CU187" s="340" t="n"/>
      <c r="CV187" s="340" t="n"/>
      <c r="CW187" s="340" t="n"/>
      <c r="CX187" s="340" t="n"/>
      <c r="CY187" s="340" t="n"/>
      <c r="CZ187" s="340" t="n"/>
      <c r="DA187" s="340" t="n"/>
      <c r="DB187" s="340" t="n"/>
      <c r="DC187" s="340" t="n"/>
      <c r="DD187" s="340" t="n"/>
      <c r="DE187" s="341" t="n"/>
      <c r="DF187" s="341" t="n"/>
    </row>
    <row r="188" ht="13" customFormat="1" customHeight="1" s="119">
      <c r="A188" s="342" t="n"/>
      <c r="B188" s="317" t="n"/>
      <c r="C188" s="142" t="n"/>
      <c r="D188" s="142" t="n"/>
      <c r="E188" s="317" t="n"/>
      <c r="F188" s="142" t="n"/>
      <c r="G188" s="142" t="n"/>
      <c r="H188" s="317" t="n"/>
      <c r="I188" s="142" t="n"/>
      <c r="J188" s="142" t="n"/>
      <c r="K188" s="317" t="n"/>
      <c r="L188" s="142" t="n"/>
      <c r="M188" s="142" t="n"/>
      <c r="N188" s="317" t="n"/>
      <c r="O188" s="142" t="n"/>
      <c r="P188" s="142" t="n"/>
      <c r="Q188" s="317" t="n"/>
      <c r="R188" s="142" t="n"/>
      <c r="S188" s="142" t="n"/>
      <c r="T188" s="317" t="n"/>
      <c r="U188" s="142" t="n"/>
      <c r="V188" s="142" t="n"/>
      <c r="W188" s="317" t="n"/>
      <c r="X188" s="142" t="n"/>
      <c r="Y188" s="142" t="n"/>
      <c r="Z188" s="317" t="n"/>
      <c r="AA188" s="142" t="n"/>
      <c r="AB188" s="142" t="n"/>
      <c r="AC188" s="317" t="n"/>
      <c r="AD188" s="142" t="n"/>
      <c r="AE188" s="142" t="n"/>
      <c r="AF188" s="317" t="n"/>
      <c r="AG188" s="142" t="n"/>
      <c r="AH188" s="142" t="n"/>
      <c r="AI188" s="317" t="n"/>
      <c r="AJ188" s="142" t="n"/>
      <c r="AK188" s="142" t="n"/>
      <c r="AL188" s="317" t="n"/>
      <c r="AM188" s="317" t="n"/>
      <c r="AN188" s="182" t="n"/>
      <c r="AO188" s="317" t="n"/>
      <c r="AP188" s="317" t="n"/>
      <c r="AQ188" s="182" t="n"/>
      <c r="AR188" s="317" t="n"/>
      <c r="AS188" s="317" t="n"/>
      <c r="AT188" s="182" t="n"/>
      <c r="AU188" s="317" t="n"/>
      <c r="AV188" s="317" t="n"/>
      <c r="AW188" s="182" t="n"/>
      <c r="AX188" s="317" t="n"/>
      <c r="AY188" s="340" t="n"/>
      <c r="AZ188" s="93" t="n"/>
      <c r="BA188" s="340" t="n"/>
      <c r="BB188" s="93" t="n"/>
      <c r="BC188" s="340" t="n"/>
      <c r="BD188" s="93" t="n"/>
      <c r="BE188" s="340" t="n"/>
      <c r="BF188" s="93" t="n"/>
      <c r="BG188" s="340" t="n"/>
      <c r="BH188" s="93" t="n"/>
      <c r="BI188" s="340" t="n"/>
      <c r="BJ188" s="93" t="n"/>
      <c r="BK188" s="340" t="n"/>
      <c r="BL188" s="93" t="n"/>
      <c r="BM188" s="340" t="n"/>
      <c r="BN188" s="340" t="n"/>
      <c r="BO188" s="340" t="n"/>
      <c r="BP188" s="340" t="n"/>
      <c r="BQ188" s="340" t="n"/>
      <c r="BR188" s="340" t="n"/>
      <c r="BS188" s="340" t="n"/>
      <c r="BT188" s="340" t="n"/>
      <c r="BU188" s="340" t="n"/>
      <c r="BV188" s="340" t="n"/>
      <c r="BW188" s="340" t="n"/>
      <c r="BX188" s="340" t="n"/>
      <c r="BY188" s="340" t="n"/>
      <c r="BZ188" s="340" t="n"/>
      <c r="CA188" s="340" t="n"/>
      <c r="CB188" s="340" t="n"/>
      <c r="CC188" s="340" t="n"/>
      <c r="CD188" s="340" t="n"/>
      <c r="CE188" s="340" t="n"/>
      <c r="CF188" s="340" t="n"/>
      <c r="CG188" s="340" t="n"/>
      <c r="CH188" s="340" t="n"/>
      <c r="CI188" s="340" t="n"/>
      <c r="CJ188" s="340" t="n"/>
      <c r="CK188" s="340" t="n"/>
      <c r="CL188" s="340" t="n"/>
      <c r="CM188" s="340" t="n"/>
      <c r="CN188" s="340" t="n"/>
      <c r="CO188" s="340" t="n"/>
      <c r="CP188" s="340" t="n"/>
      <c r="CQ188" s="340" t="n"/>
      <c r="CR188" s="340" t="n"/>
      <c r="CS188" s="340" t="n"/>
      <c r="CT188" s="340" t="n"/>
      <c r="CU188" s="340" t="n"/>
      <c r="CV188" s="340" t="n"/>
      <c r="CW188" s="340" t="n"/>
      <c r="CX188" s="340" t="n"/>
      <c r="CY188" s="340" t="n"/>
      <c r="CZ188" s="340" t="n"/>
      <c r="DA188" s="340" t="n"/>
      <c r="DB188" s="340" t="n"/>
      <c r="DC188" s="340" t="n"/>
      <c r="DD188" s="340" t="n"/>
      <c r="DE188" s="341" t="n"/>
      <c r="DF188" s="341" t="n"/>
    </row>
    <row r="189" ht="13" customFormat="1" customHeight="1" s="119">
      <c r="A189" s="342" t="n"/>
      <c r="B189" s="317" t="n"/>
      <c r="C189" s="142" t="n"/>
      <c r="D189" s="142" t="n"/>
      <c r="E189" s="317" t="n"/>
      <c r="F189" s="142" t="n"/>
      <c r="G189" s="142" t="n"/>
      <c r="H189" s="317" t="n"/>
      <c r="I189" s="142" t="n"/>
      <c r="J189" s="142" t="n"/>
      <c r="K189" s="317" t="n"/>
      <c r="L189" s="142" t="n"/>
      <c r="M189" s="142" t="n"/>
      <c r="N189" s="317" t="n"/>
      <c r="O189" s="142" t="n"/>
      <c r="P189" s="142" t="n"/>
      <c r="Q189" s="317" t="n"/>
      <c r="R189" s="142" t="n"/>
      <c r="S189" s="142" t="n"/>
      <c r="T189" s="317" t="n"/>
      <c r="U189" s="142" t="n"/>
      <c r="V189" s="142" t="n"/>
      <c r="W189" s="317" t="n"/>
      <c r="X189" s="142" t="n"/>
      <c r="Y189" s="142" t="n"/>
      <c r="Z189" s="317" t="n"/>
      <c r="AA189" s="142" t="n"/>
      <c r="AB189" s="142" t="n"/>
      <c r="AC189" s="317" t="n"/>
      <c r="AD189" s="142" t="n"/>
      <c r="AE189" s="142" t="n"/>
      <c r="AF189" s="317" t="n"/>
      <c r="AG189" s="142" t="n"/>
      <c r="AH189" s="142" t="n"/>
      <c r="AI189" s="317" t="n"/>
      <c r="AJ189" s="142" t="n"/>
      <c r="AK189" s="142" t="n"/>
      <c r="AL189" s="317" t="n"/>
      <c r="AM189" s="317" t="n"/>
      <c r="AN189" s="182" t="n"/>
      <c r="AO189" s="317" t="n"/>
      <c r="AP189" s="317" t="n"/>
      <c r="AQ189" s="182" t="n"/>
      <c r="AR189" s="317" t="n"/>
      <c r="AS189" s="317" t="n"/>
      <c r="AT189" s="182" t="n"/>
      <c r="AU189" s="317" t="n"/>
      <c r="AV189" s="317" t="n"/>
      <c r="AW189" s="182" t="n"/>
      <c r="AX189" s="317" t="n"/>
      <c r="AY189" s="340" t="n"/>
      <c r="AZ189" s="93" t="n"/>
      <c r="BA189" s="340" t="n"/>
      <c r="BB189" s="93" t="n"/>
      <c r="BC189" s="340" t="n"/>
      <c r="BD189" s="93" t="n"/>
      <c r="BE189" s="340" t="n"/>
      <c r="BF189" s="93" t="n"/>
      <c r="BG189" s="340" t="n"/>
      <c r="BH189" s="93" t="n"/>
      <c r="BI189" s="340" t="n"/>
      <c r="BJ189" s="93" t="n"/>
      <c r="BK189" s="340" t="n"/>
      <c r="BL189" s="93" t="n"/>
      <c r="BM189" s="340" t="n"/>
      <c r="BN189" s="340" t="n"/>
      <c r="BO189" s="340" t="n"/>
      <c r="BP189" s="340" t="n"/>
      <c r="BQ189" s="340" t="n"/>
      <c r="BR189" s="340" t="n"/>
      <c r="BS189" s="340" t="n"/>
      <c r="BT189" s="340" t="n"/>
      <c r="BU189" s="340" t="n"/>
      <c r="BV189" s="340" t="n"/>
      <c r="BW189" s="340" t="n"/>
      <c r="BX189" s="340" t="n"/>
      <c r="BY189" s="340" t="n"/>
      <c r="BZ189" s="340" t="n"/>
      <c r="CA189" s="340" t="n"/>
      <c r="CB189" s="340" t="n"/>
      <c r="CC189" s="340" t="n"/>
      <c r="CD189" s="340" t="n"/>
      <c r="CE189" s="340" t="n"/>
      <c r="CF189" s="340" t="n"/>
      <c r="CG189" s="340" t="n"/>
      <c r="CH189" s="340" t="n"/>
      <c r="CI189" s="340" t="n"/>
      <c r="CJ189" s="340" t="n"/>
      <c r="CK189" s="340" t="n"/>
      <c r="CL189" s="340" t="n"/>
      <c r="CM189" s="340" t="n"/>
      <c r="CN189" s="340" t="n"/>
      <c r="CO189" s="340" t="n"/>
      <c r="CP189" s="340" t="n"/>
      <c r="CQ189" s="340" t="n"/>
      <c r="CR189" s="340" t="n"/>
      <c r="CS189" s="340" t="n"/>
      <c r="CT189" s="340" t="n"/>
      <c r="CU189" s="340" t="n"/>
      <c r="CV189" s="340" t="n"/>
      <c r="CW189" s="340" t="n"/>
      <c r="CX189" s="340" t="n"/>
      <c r="CY189" s="340" t="n"/>
      <c r="CZ189" s="340" t="n"/>
      <c r="DA189" s="340" t="n"/>
      <c r="DB189" s="340" t="n"/>
      <c r="DC189" s="340" t="n"/>
      <c r="DD189" s="340" t="n"/>
      <c r="DE189" s="341" t="n"/>
      <c r="DF189" s="341" t="n"/>
    </row>
    <row r="190" ht="13" customFormat="1" customHeight="1" s="119">
      <c r="A190" s="342" t="n"/>
      <c r="B190" s="317" t="n"/>
      <c r="C190" s="142" t="n"/>
      <c r="D190" s="142" t="n"/>
      <c r="E190" s="317" t="n"/>
      <c r="F190" s="142" t="n"/>
      <c r="G190" s="142" t="n"/>
      <c r="H190" s="317" t="n"/>
      <c r="I190" s="142" t="n"/>
      <c r="J190" s="142" t="n"/>
      <c r="K190" s="317" t="n"/>
      <c r="L190" s="142" t="n"/>
      <c r="M190" s="142" t="n"/>
      <c r="N190" s="317" t="n"/>
      <c r="O190" s="142" t="n"/>
      <c r="P190" s="142" t="n"/>
      <c r="Q190" s="317" t="n"/>
      <c r="R190" s="142" t="n"/>
      <c r="S190" s="142" t="n"/>
      <c r="T190" s="317" t="n"/>
      <c r="U190" s="142" t="n"/>
      <c r="V190" s="142" t="n"/>
      <c r="W190" s="317" t="n"/>
      <c r="X190" s="142" t="n"/>
      <c r="Y190" s="142" t="n"/>
      <c r="Z190" s="317" t="n"/>
      <c r="AA190" s="142" t="n"/>
      <c r="AB190" s="142" t="n"/>
      <c r="AC190" s="317" t="n"/>
      <c r="AD190" s="142" t="n"/>
      <c r="AE190" s="142" t="n"/>
      <c r="AF190" s="317" t="n"/>
      <c r="AG190" s="142" t="n"/>
      <c r="AH190" s="142" t="n"/>
      <c r="AI190" s="317" t="n"/>
      <c r="AJ190" s="142" t="n"/>
      <c r="AK190" s="142" t="n"/>
      <c r="AL190" s="317" t="n"/>
      <c r="AM190" s="317" t="n"/>
      <c r="AN190" s="182" t="n"/>
      <c r="AO190" s="317" t="n"/>
      <c r="AP190" s="317" t="n"/>
      <c r="AQ190" s="182" t="n"/>
      <c r="AR190" s="317" t="n"/>
      <c r="AS190" s="317" t="n"/>
      <c r="AT190" s="182" t="n"/>
      <c r="AU190" s="317" t="n"/>
      <c r="AV190" s="317" t="n"/>
      <c r="AW190" s="182" t="n"/>
      <c r="AX190" s="317" t="n"/>
      <c r="AY190" s="340" t="n"/>
      <c r="AZ190" s="93" t="n"/>
      <c r="BA190" s="340" t="n"/>
      <c r="BB190" s="93" t="n"/>
      <c r="BC190" s="340" t="n"/>
      <c r="BD190" s="93" t="n"/>
      <c r="BE190" s="340" t="n"/>
      <c r="BF190" s="93" t="n"/>
      <c r="BG190" s="340" t="n"/>
      <c r="BH190" s="93" t="n"/>
      <c r="BI190" s="340" t="n"/>
      <c r="BJ190" s="93" t="n"/>
      <c r="BK190" s="340" t="n"/>
      <c r="BL190" s="93" t="n"/>
      <c r="BM190" s="340" t="n"/>
      <c r="BN190" s="340" t="n"/>
      <c r="BO190" s="340" t="n"/>
      <c r="BP190" s="340" t="n"/>
      <c r="BQ190" s="340" t="n"/>
      <c r="BR190" s="340" t="n"/>
      <c r="BS190" s="340" t="n"/>
      <c r="BT190" s="340" t="n"/>
      <c r="BU190" s="340" t="n"/>
      <c r="BV190" s="340" t="n"/>
      <c r="BW190" s="340" t="n"/>
      <c r="BX190" s="340" t="n"/>
      <c r="BY190" s="340" t="n"/>
      <c r="BZ190" s="340" t="n"/>
      <c r="CA190" s="340" t="n"/>
      <c r="CB190" s="340" t="n"/>
      <c r="CC190" s="340" t="n"/>
      <c r="CD190" s="340" t="n"/>
      <c r="CE190" s="340" t="n"/>
      <c r="CF190" s="340" t="n"/>
      <c r="CG190" s="340" t="n"/>
      <c r="CH190" s="340" t="n"/>
      <c r="CI190" s="340" t="n"/>
      <c r="CJ190" s="340" t="n"/>
      <c r="CK190" s="340" t="n"/>
      <c r="CL190" s="340" t="n"/>
      <c r="CM190" s="340" t="n"/>
      <c r="CN190" s="340" t="n"/>
      <c r="CO190" s="340" t="n"/>
      <c r="CP190" s="340" t="n"/>
      <c r="CQ190" s="340" t="n"/>
      <c r="CR190" s="340" t="n"/>
      <c r="CS190" s="340" t="n"/>
      <c r="CT190" s="340" t="n"/>
      <c r="CU190" s="340" t="n"/>
      <c r="CV190" s="340" t="n"/>
      <c r="CW190" s="340" t="n"/>
      <c r="CX190" s="340" t="n"/>
      <c r="CY190" s="340" t="n"/>
      <c r="CZ190" s="340" t="n"/>
      <c r="DA190" s="340" t="n"/>
      <c r="DB190" s="340" t="n"/>
      <c r="DC190" s="340" t="n"/>
      <c r="DD190" s="340" t="n"/>
      <c r="DE190" s="341" t="n"/>
      <c r="DF190" s="341" t="n"/>
    </row>
    <row r="191" ht="13" customFormat="1" customHeight="1" s="119">
      <c r="A191" s="342" t="n"/>
      <c r="B191" s="317" t="n"/>
      <c r="C191" s="142" t="n"/>
      <c r="D191" s="142" t="n"/>
      <c r="E191" s="317" t="n"/>
      <c r="F191" s="142" t="n"/>
      <c r="G191" s="142" t="n"/>
      <c r="H191" s="317" t="n"/>
      <c r="I191" s="142" t="n"/>
      <c r="J191" s="142" t="n"/>
      <c r="K191" s="317" t="n"/>
      <c r="L191" s="142" t="n"/>
      <c r="M191" s="142" t="n"/>
      <c r="N191" s="317" t="n"/>
      <c r="O191" s="142" t="n"/>
      <c r="P191" s="142" t="n"/>
      <c r="Q191" s="317" t="n"/>
      <c r="R191" s="142" t="n"/>
      <c r="S191" s="142" t="n"/>
      <c r="T191" s="317" t="n"/>
      <c r="U191" s="142" t="n"/>
      <c r="V191" s="142" t="n"/>
      <c r="W191" s="317" t="n"/>
      <c r="X191" s="142" t="n"/>
      <c r="Y191" s="142" t="n"/>
      <c r="Z191" s="317" t="n"/>
      <c r="AA191" s="142" t="n"/>
      <c r="AB191" s="142" t="n"/>
      <c r="AC191" s="317" t="n"/>
      <c r="AD191" s="142" t="n"/>
      <c r="AE191" s="142" t="n"/>
      <c r="AF191" s="317" t="n"/>
      <c r="AG191" s="142" t="n"/>
      <c r="AH191" s="142" t="n"/>
      <c r="AI191" s="317" t="n"/>
      <c r="AJ191" s="142" t="n"/>
      <c r="AK191" s="142" t="n"/>
      <c r="AL191" s="317" t="n"/>
      <c r="AM191" s="317" t="n"/>
      <c r="AN191" s="182" t="n"/>
      <c r="AO191" s="317" t="n"/>
      <c r="AP191" s="317" t="n"/>
      <c r="AQ191" s="182" t="n"/>
      <c r="AR191" s="317" t="n"/>
      <c r="AS191" s="317" t="n"/>
      <c r="AT191" s="182" t="n"/>
      <c r="AU191" s="317" t="n"/>
      <c r="AV191" s="317" t="n"/>
      <c r="AW191" s="182" t="n"/>
      <c r="AX191" s="317" t="n"/>
      <c r="AY191" s="340" t="n"/>
      <c r="AZ191" s="93" t="n"/>
      <c r="BA191" s="340" t="n"/>
      <c r="BB191" s="93" t="n"/>
      <c r="BC191" s="340" t="n"/>
      <c r="BD191" s="93" t="n"/>
      <c r="BE191" s="340" t="n"/>
      <c r="BF191" s="93" t="n"/>
      <c r="BG191" s="340" t="n"/>
      <c r="BH191" s="93" t="n"/>
      <c r="BI191" s="340" t="n"/>
      <c r="BJ191" s="93" t="n"/>
      <c r="BK191" s="340" t="n"/>
      <c r="BL191" s="93" t="n"/>
      <c r="BM191" s="340" t="n"/>
      <c r="BN191" s="340" t="n"/>
      <c r="BO191" s="340" t="n"/>
      <c r="BP191" s="340" t="n"/>
      <c r="BQ191" s="340" t="n"/>
      <c r="BR191" s="340" t="n"/>
      <c r="BS191" s="340" t="n"/>
      <c r="BT191" s="340" t="n"/>
      <c r="BU191" s="340" t="n"/>
      <c r="BV191" s="340" t="n"/>
      <c r="BW191" s="340" t="n"/>
      <c r="BX191" s="340" t="n"/>
      <c r="BY191" s="340" t="n"/>
      <c r="BZ191" s="340" t="n"/>
      <c r="CA191" s="340" t="n"/>
      <c r="CB191" s="340" t="n"/>
      <c r="CC191" s="340" t="n"/>
      <c r="CD191" s="340" t="n"/>
      <c r="CE191" s="340" t="n"/>
      <c r="CF191" s="340" t="n"/>
      <c r="CG191" s="340" t="n"/>
      <c r="CH191" s="340" t="n"/>
      <c r="CI191" s="340" t="n"/>
      <c r="CJ191" s="340" t="n"/>
      <c r="CK191" s="340" t="n"/>
      <c r="CL191" s="340" t="n"/>
      <c r="CM191" s="340" t="n"/>
      <c r="CN191" s="340" t="n"/>
      <c r="CO191" s="340" t="n"/>
      <c r="CP191" s="340" t="n"/>
      <c r="CQ191" s="340" t="n"/>
      <c r="CR191" s="340" t="n"/>
      <c r="CS191" s="340" t="n"/>
      <c r="CT191" s="340" t="n"/>
      <c r="CU191" s="340" t="n"/>
      <c r="CV191" s="340" t="n"/>
      <c r="CW191" s="340" t="n"/>
      <c r="CX191" s="340" t="n"/>
      <c r="CY191" s="340" t="n"/>
      <c r="CZ191" s="340" t="n"/>
      <c r="DA191" s="340" t="n"/>
      <c r="DB191" s="340" t="n"/>
      <c r="DC191" s="340" t="n"/>
      <c r="DD191" s="340" t="n"/>
      <c r="DE191" s="341" t="n"/>
      <c r="DF191" s="341" t="n"/>
    </row>
    <row r="192" ht="13" customFormat="1" customHeight="1" s="119">
      <c r="A192" s="342" t="n"/>
      <c r="B192" s="317" t="n"/>
      <c r="C192" s="142" t="n"/>
      <c r="D192" s="142" t="n"/>
      <c r="E192" s="317" t="n"/>
      <c r="F192" s="142" t="n"/>
      <c r="G192" s="142" t="n"/>
      <c r="H192" s="317" t="n"/>
      <c r="I192" s="142" t="n"/>
      <c r="J192" s="142" t="n"/>
      <c r="K192" s="317" t="n"/>
      <c r="L192" s="142" t="n"/>
      <c r="M192" s="142" t="n"/>
      <c r="N192" s="317" t="n"/>
      <c r="O192" s="142" t="n"/>
      <c r="P192" s="142" t="n"/>
      <c r="Q192" s="317" t="n"/>
      <c r="R192" s="142" t="n"/>
      <c r="S192" s="142" t="n"/>
      <c r="T192" s="317" t="n"/>
      <c r="U192" s="142" t="n"/>
      <c r="V192" s="142" t="n"/>
      <c r="W192" s="317" t="n"/>
      <c r="X192" s="142" t="n"/>
      <c r="Y192" s="142" t="n"/>
      <c r="Z192" s="317" t="n"/>
      <c r="AA192" s="142" t="n"/>
      <c r="AB192" s="142" t="n"/>
      <c r="AC192" s="317" t="n"/>
      <c r="AD192" s="142" t="n"/>
      <c r="AE192" s="142" t="n"/>
      <c r="AF192" s="317" t="n"/>
      <c r="AG192" s="142" t="n"/>
      <c r="AH192" s="142" t="n"/>
      <c r="AI192" s="317" t="n"/>
      <c r="AJ192" s="142" t="n"/>
      <c r="AK192" s="142" t="n"/>
      <c r="AL192" s="317" t="n"/>
      <c r="AM192" s="317" t="n"/>
      <c r="AN192" s="182" t="n"/>
      <c r="AO192" s="317" t="n"/>
      <c r="AP192" s="317" t="n"/>
      <c r="AQ192" s="182" t="n"/>
      <c r="AR192" s="317" t="n"/>
      <c r="AS192" s="317" t="n"/>
      <c r="AT192" s="182" t="n"/>
      <c r="AU192" s="317" t="n"/>
      <c r="AV192" s="317" t="n"/>
      <c r="AW192" s="182" t="n"/>
      <c r="AX192" s="317" t="n"/>
      <c r="AY192" s="340" t="n"/>
      <c r="AZ192" s="93" t="n"/>
      <c r="BA192" s="340" t="n"/>
      <c r="BB192" s="93" t="n"/>
      <c r="BC192" s="340" t="n"/>
      <c r="BD192" s="93" t="n"/>
      <c r="BE192" s="340" t="n"/>
      <c r="BF192" s="93" t="n"/>
      <c r="BG192" s="340" t="n"/>
      <c r="BH192" s="93" t="n"/>
      <c r="BI192" s="340" t="n"/>
      <c r="BJ192" s="93" t="n"/>
      <c r="BK192" s="340" t="n"/>
      <c r="BL192" s="93" t="n"/>
      <c r="BM192" s="340" t="n"/>
      <c r="BN192" s="340" t="n"/>
      <c r="BO192" s="340" t="n"/>
      <c r="BP192" s="340" t="n"/>
      <c r="BQ192" s="340" t="n"/>
      <c r="BR192" s="340" t="n"/>
      <c r="BS192" s="340" t="n"/>
      <c r="BT192" s="340" t="n"/>
      <c r="BU192" s="340" t="n"/>
      <c r="BV192" s="340" t="n"/>
      <c r="BW192" s="340" t="n"/>
      <c r="BX192" s="340" t="n"/>
      <c r="BY192" s="340" t="n"/>
      <c r="BZ192" s="340" t="n"/>
      <c r="CA192" s="340" t="n"/>
      <c r="CB192" s="340" t="n"/>
      <c r="CC192" s="340" t="n"/>
      <c r="CD192" s="340" t="n"/>
      <c r="CE192" s="340" t="n"/>
      <c r="CF192" s="340" t="n"/>
      <c r="CG192" s="340" t="n"/>
      <c r="CH192" s="340" t="n"/>
      <c r="CI192" s="340" t="n"/>
      <c r="CJ192" s="340" t="n"/>
      <c r="CK192" s="340" t="n"/>
      <c r="CL192" s="340" t="n"/>
      <c r="CM192" s="340" t="n"/>
      <c r="CN192" s="340" t="n"/>
      <c r="CO192" s="340" t="n"/>
      <c r="CP192" s="340" t="n"/>
      <c r="CQ192" s="340" t="n"/>
      <c r="CR192" s="340" t="n"/>
      <c r="CS192" s="340" t="n"/>
      <c r="CT192" s="340" t="n"/>
      <c r="CU192" s="340" t="n"/>
      <c r="CV192" s="340" t="n"/>
      <c r="CW192" s="340" t="n"/>
      <c r="CX192" s="340" t="n"/>
      <c r="CY192" s="340" t="n"/>
      <c r="CZ192" s="340" t="n"/>
      <c r="DA192" s="340" t="n"/>
      <c r="DB192" s="340" t="n"/>
      <c r="DC192" s="340" t="n"/>
      <c r="DD192" s="340" t="n"/>
      <c r="DE192" s="341" t="n"/>
      <c r="DF192" s="341" t="n"/>
    </row>
    <row r="193" ht="13" customFormat="1" customHeight="1" s="119">
      <c r="A193" s="342" t="n"/>
      <c r="B193" s="317" t="n"/>
      <c r="C193" s="142" t="n"/>
      <c r="D193" s="142" t="n"/>
      <c r="E193" s="317" t="n"/>
      <c r="F193" s="142" t="n"/>
      <c r="G193" s="142" t="n"/>
      <c r="H193" s="317" t="n"/>
      <c r="I193" s="142" t="n"/>
      <c r="J193" s="142" t="n"/>
      <c r="K193" s="317" t="n"/>
      <c r="L193" s="142" t="n"/>
      <c r="M193" s="142" t="n"/>
      <c r="N193" s="317" t="n"/>
      <c r="O193" s="142" t="n"/>
      <c r="P193" s="142" t="n"/>
      <c r="Q193" s="317" t="n"/>
      <c r="R193" s="142" t="n"/>
      <c r="S193" s="142" t="n"/>
      <c r="T193" s="317" t="n"/>
      <c r="U193" s="142" t="n"/>
      <c r="V193" s="142" t="n"/>
      <c r="W193" s="317" t="n"/>
      <c r="X193" s="142" t="n"/>
      <c r="Y193" s="142" t="n"/>
      <c r="Z193" s="317" t="n"/>
      <c r="AA193" s="142" t="n"/>
      <c r="AB193" s="142" t="n"/>
      <c r="AC193" s="317" t="n"/>
      <c r="AD193" s="142" t="n"/>
      <c r="AE193" s="142" t="n"/>
      <c r="AF193" s="317" t="n"/>
      <c r="AG193" s="142" t="n"/>
      <c r="AH193" s="142" t="n"/>
      <c r="AI193" s="317" t="n"/>
      <c r="AJ193" s="142" t="n"/>
      <c r="AK193" s="142" t="n"/>
      <c r="AL193" s="317" t="n"/>
      <c r="AM193" s="317" t="n"/>
      <c r="AN193" s="182" t="n"/>
      <c r="AO193" s="317" t="n"/>
      <c r="AP193" s="317" t="n"/>
      <c r="AQ193" s="182" t="n"/>
      <c r="AR193" s="317" t="n"/>
      <c r="AS193" s="317" t="n"/>
      <c r="AT193" s="182" t="n"/>
      <c r="AU193" s="317" t="n"/>
      <c r="AV193" s="317" t="n"/>
      <c r="AW193" s="182" t="n"/>
      <c r="AX193" s="317" t="n"/>
      <c r="AY193" s="340" t="n"/>
      <c r="AZ193" s="93" t="n"/>
      <c r="BA193" s="340" t="n"/>
      <c r="BB193" s="93" t="n"/>
      <c r="BC193" s="340" t="n"/>
      <c r="BD193" s="93" t="n"/>
      <c r="BE193" s="340" t="n"/>
      <c r="BF193" s="93" t="n"/>
      <c r="BG193" s="340" t="n"/>
      <c r="BH193" s="93" t="n"/>
      <c r="BI193" s="340" t="n"/>
      <c r="BJ193" s="93" t="n"/>
      <c r="BK193" s="340" t="n"/>
      <c r="BL193" s="93" t="n"/>
      <c r="BM193" s="340" t="n"/>
      <c r="BN193" s="340" t="n"/>
      <c r="BO193" s="340" t="n"/>
      <c r="BP193" s="340" t="n"/>
      <c r="BQ193" s="340" t="n"/>
      <c r="BR193" s="340" t="n"/>
      <c r="BS193" s="340" t="n"/>
      <c r="BT193" s="340" t="n"/>
      <c r="BU193" s="340" t="n"/>
      <c r="BV193" s="340" t="n"/>
      <c r="BW193" s="340" t="n"/>
      <c r="BX193" s="340" t="n"/>
      <c r="BY193" s="340" t="n"/>
      <c r="BZ193" s="340" t="n"/>
      <c r="CA193" s="340" t="n"/>
      <c r="CB193" s="340" t="n"/>
      <c r="CC193" s="340" t="n"/>
      <c r="CD193" s="340" t="n"/>
      <c r="CE193" s="340" t="n"/>
      <c r="CF193" s="340" t="n"/>
      <c r="CG193" s="340" t="n"/>
      <c r="CH193" s="340" t="n"/>
      <c r="CI193" s="340" t="n"/>
      <c r="CJ193" s="340" t="n"/>
      <c r="CK193" s="340" t="n"/>
      <c r="CL193" s="340" t="n"/>
      <c r="CM193" s="340" t="n"/>
      <c r="CN193" s="340" t="n"/>
      <c r="CO193" s="340" t="n"/>
      <c r="CP193" s="340" t="n"/>
      <c r="CQ193" s="340" t="n"/>
      <c r="CR193" s="340" t="n"/>
      <c r="CS193" s="340" t="n"/>
      <c r="CT193" s="340" t="n"/>
      <c r="CU193" s="340" t="n"/>
      <c r="CV193" s="340" t="n"/>
      <c r="CW193" s="340" t="n"/>
      <c r="CX193" s="340" t="n"/>
      <c r="CY193" s="340" t="n"/>
      <c r="CZ193" s="340" t="n"/>
      <c r="DA193" s="340" t="n"/>
      <c r="DB193" s="340" t="n"/>
      <c r="DC193" s="340" t="n"/>
      <c r="DD193" s="340" t="n"/>
      <c r="DE193" s="341" t="n"/>
      <c r="DF193" s="341" t="n"/>
    </row>
    <row r="194" ht="13" customFormat="1" customHeight="1" s="119">
      <c r="A194" s="342" t="n"/>
      <c r="B194" s="317" t="n"/>
      <c r="C194" s="142" t="n"/>
      <c r="D194" s="142" t="n"/>
      <c r="E194" s="317" t="n"/>
      <c r="F194" s="142" t="n"/>
      <c r="G194" s="142" t="n"/>
      <c r="H194" s="317" t="n"/>
      <c r="I194" s="142" t="n"/>
      <c r="J194" s="142" t="n"/>
      <c r="K194" s="317" t="n"/>
      <c r="L194" s="142" t="n"/>
      <c r="M194" s="142" t="n"/>
      <c r="N194" s="317" t="n"/>
      <c r="O194" s="142" t="n"/>
      <c r="P194" s="142" t="n"/>
      <c r="Q194" s="317" t="n"/>
      <c r="R194" s="142" t="n"/>
      <c r="S194" s="142" t="n"/>
      <c r="T194" s="317" t="n"/>
      <c r="U194" s="142" t="n"/>
      <c r="V194" s="142" t="n"/>
      <c r="W194" s="317" t="n"/>
      <c r="X194" s="142" t="n"/>
      <c r="Y194" s="142" t="n"/>
      <c r="Z194" s="317" t="n"/>
      <c r="AA194" s="142" t="n"/>
      <c r="AB194" s="142" t="n"/>
      <c r="AC194" s="317" t="n"/>
      <c r="AD194" s="142" t="n"/>
      <c r="AE194" s="142" t="n"/>
      <c r="AF194" s="317" t="n"/>
      <c r="AG194" s="142" t="n"/>
      <c r="AH194" s="142" t="n"/>
      <c r="AI194" s="317" t="n"/>
      <c r="AJ194" s="142" t="n"/>
      <c r="AK194" s="142" t="n"/>
      <c r="AL194" s="317" t="n"/>
      <c r="AM194" s="317" t="n"/>
      <c r="AN194" s="317" t="n"/>
      <c r="AO194" s="317" t="n"/>
      <c r="AP194" s="317" t="n"/>
      <c r="AQ194" s="317" t="n"/>
      <c r="AR194" s="317" t="n"/>
      <c r="AS194" s="317" t="n"/>
      <c r="AT194" s="317" t="n"/>
      <c r="AU194" s="317" t="n"/>
      <c r="AV194" s="317" t="n"/>
      <c r="AW194" s="317" t="n"/>
      <c r="AX194" s="317" t="n"/>
      <c r="AY194" s="340" t="n"/>
      <c r="AZ194" s="93" t="n"/>
      <c r="BA194" s="340" t="n"/>
      <c r="BB194" s="93" t="n"/>
      <c r="BC194" s="340" t="n"/>
      <c r="BD194" s="93" t="n"/>
      <c r="BE194" s="340" t="n"/>
      <c r="BF194" s="93" t="n"/>
      <c r="BG194" s="340" t="n"/>
      <c r="BH194" s="93" t="n"/>
      <c r="BI194" s="340" t="n"/>
      <c r="BJ194" s="93" t="n"/>
      <c r="BK194" s="340" t="n"/>
      <c r="BL194" s="93" t="n"/>
      <c r="BM194" s="340" t="n"/>
      <c r="BN194" s="340" t="n"/>
      <c r="BO194" s="340" t="n"/>
      <c r="BP194" s="340" t="n"/>
      <c r="BQ194" s="340" t="n"/>
      <c r="BR194" s="340" t="n"/>
      <c r="BS194" s="340" t="n"/>
      <c r="BT194" s="340" t="n"/>
      <c r="BU194" s="340" t="n"/>
      <c r="BV194" s="340" t="n"/>
      <c r="BW194" s="340" t="n"/>
      <c r="BX194" s="340" t="n"/>
      <c r="BY194" s="340" t="n"/>
      <c r="BZ194" s="340" t="n"/>
      <c r="CA194" s="340" t="n"/>
      <c r="CB194" s="340" t="n"/>
      <c r="CC194" s="340" t="n"/>
      <c r="CD194" s="340" t="n"/>
      <c r="CE194" s="340" t="n"/>
      <c r="CF194" s="340" t="n"/>
      <c r="CG194" s="340" t="n"/>
      <c r="CH194" s="340" t="n"/>
      <c r="CI194" s="340" t="n"/>
      <c r="CJ194" s="340" t="n"/>
      <c r="CK194" s="340" t="n"/>
      <c r="CL194" s="340" t="n"/>
      <c r="CM194" s="340" t="n"/>
      <c r="CN194" s="340" t="n"/>
      <c r="CO194" s="340" t="n"/>
      <c r="CP194" s="340" t="n"/>
      <c r="CQ194" s="340" t="n"/>
      <c r="CR194" s="340" t="n"/>
      <c r="CS194" s="340" t="n"/>
      <c r="CT194" s="340" t="n"/>
      <c r="CU194" s="340" t="n"/>
      <c r="CV194" s="340" t="n"/>
      <c r="CW194" s="340" t="n"/>
      <c r="CX194" s="340" t="n"/>
      <c r="CY194" s="340" t="n"/>
      <c r="CZ194" s="340" t="n"/>
      <c r="DA194" s="340" t="n"/>
      <c r="DB194" s="340" t="n"/>
      <c r="DC194" s="340" t="n"/>
      <c r="DD194" s="340" t="n"/>
      <c r="DE194" s="341" t="n"/>
      <c r="DF194" s="341" t="n"/>
    </row>
    <row r="195" ht="13" customFormat="1" customHeight="1" s="40">
      <c r="A195" s="335" t="n"/>
      <c r="B195" s="291" t="n"/>
      <c r="C195" s="37" t="n"/>
      <c r="D195" s="37" t="n"/>
      <c r="E195" s="291" t="n"/>
      <c r="F195" s="37" t="n"/>
      <c r="G195" s="37" t="n"/>
      <c r="H195" s="291" t="n"/>
      <c r="I195" s="37" t="n"/>
      <c r="J195" s="37" t="n"/>
      <c r="K195" s="291" t="n"/>
      <c r="L195" s="37" t="n"/>
      <c r="M195" s="37" t="n"/>
      <c r="N195" s="291" t="n"/>
      <c r="O195" s="37" t="n"/>
      <c r="P195" s="37" t="n"/>
      <c r="Q195" s="291" t="n"/>
      <c r="R195" s="37" t="n"/>
      <c r="S195" s="37" t="n"/>
      <c r="T195" s="291" t="n"/>
      <c r="U195" s="37" t="n"/>
      <c r="V195" s="37" t="n"/>
      <c r="W195" s="291" t="n"/>
      <c r="X195" s="37" t="n"/>
      <c r="Y195" s="37" t="n"/>
      <c r="Z195" s="291" t="n"/>
      <c r="AA195" s="37" t="n"/>
      <c r="AB195" s="37" t="n"/>
      <c r="AC195" s="291" t="n"/>
      <c r="AD195" s="37" t="n"/>
      <c r="AE195" s="37" t="n"/>
      <c r="AF195" s="291" t="n"/>
      <c r="AG195" s="37" t="n"/>
      <c r="AH195" s="37" t="n"/>
      <c r="AI195" s="291" t="n"/>
      <c r="AJ195" s="37" t="n"/>
      <c r="AK195" s="37" t="n"/>
      <c r="AL195" s="291" t="n"/>
      <c r="AM195" s="291" t="n"/>
      <c r="AN195" s="291" t="n"/>
      <c r="AO195" s="291" t="n"/>
      <c r="AP195" s="291" t="n"/>
      <c r="AQ195" s="291" t="n"/>
      <c r="AR195" s="291" t="n"/>
      <c r="AS195" s="291" t="n"/>
      <c r="AT195" s="291" t="n"/>
      <c r="AU195" s="291" t="n"/>
      <c r="AV195" s="291" t="n"/>
      <c r="AW195" s="291" t="n"/>
      <c r="AX195" s="291" t="n"/>
      <c r="AY195" s="291" t="n"/>
      <c r="AZ195" s="291" t="n"/>
      <c r="BA195" s="291" t="n"/>
      <c r="BB195" s="291" t="n"/>
      <c r="BC195" s="291" t="n"/>
      <c r="BD195" s="291" t="n"/>
      <c r="BE195" s="291" t="n"/>
      <c r="BF195" s="291" t="n"/>
      <c r="BG195" s="291" t="n"/>
      <c r="BH195" s="291" t="n"/>
      <c r="BI195" s="291" t="n"/>
      <c r="BJ195" s="291" t="n"/>
      <c r="BK195" s="291" t="n"/>
      <c r="BL195" s="291" t="n"/>
      <c r="BM195" s="291" t="n"/>
      <c r="BN195" s="291" t="n"/>
      <c r="BO195" s="291" t="n"/>
      <c r="BP195" s="291" t="n"/>
      <c r="BQ195" s="291" t="n"/>
      <c r="BR195" s="291" t="n"/>
      <c r="BS195" s="291" t="n"/>
      <c r="BT195" s="291" t="n"/>
      <c r="BU195" s="291" t="n"/>
      <c r="BV195" s="291" t="n"/>
      <c r="BW195" s="291" t="n"/>
      <c r="BX195" s="291" t="n"/>
      <c r="BY195" s="291" t="n"/>
      <c r="BZ195" s="291" t="n"/>
      <c r="CA195" s="291" t="n"/>
      <c r="CB195" s="291" t="n"/>
      <c r="CC195" s="291" t="n"/>
      <c r="CD195" s="291" t="n"/>
      <c r="CE195" s="291" t="n"/>
      <c r="CF195" s="291" t="n"/>
      <c r="CG195" s="291" t="n"/>
      <c r="CH195" s="291" t="n"/>
      <c r="CI195" s="291" t="n"/>
      <c r="CJ195" s="291" t="n"/>
      <c r="CK195" s="291" t="n"/>
      <c r="CL195" s="291" t="n"/>
      <c r="CM195" s="291" t="n"/>
      <c r="CN195" s="291" t="n"/>
      <c r="CO195" s="291" t="n"/>
      <c r="CP195" s="343" t="n"/>
      <c r="CQ195" s="291" t="n"/>
      <c r="CR195" s="343" t="n"/>
      <c r="CS195" s="291" t="n"/>
      <c r="CT195" s="343" t="n"/>
      <c r="CU195" s="291" t="n"/>
      <c r="CV195" s="343" t="n"/>
      <c r="CW195" s="291" t="n"/>
      <c r="CX195" s="291" t="n"/>
      <c r="CY195" s="291" t="n"/>
      <c r="CZ195" s="291" t="n"/>
      <c r="DA195" s="291" t="n"/>
      <c r="DB195" s="291" t="n"/>
      <c r="DC195" s="291" t="n"/>
      <c r="DD195" s="291" t="n"/>
      <c r="DE195" s="311" t="n"/>
      <c r="DF195" s="311" t="n"/>
    </row>
    <row r="196" ht="13" customFormat="1" customHeight="1" s="40">
      <c r="B196" s="291" t="n"/>
      <c r="C196" s="37" t="n"/>
      <c r="D196" s="37" t="n"/>
      <c r="E196" s="291" t="n"/>
      <c r="F196" s="37" t="n"/>
      <c r="G196" s="37" t="n"/>
      <c r="H196" s="291" t="n"/>
      <c r="I196" s="37" t="n"/>
      <c r="J196" s="37" t="n"/>
      <c r="K196" s="291" t="n"/>
      <c r="L196" s="37" t="n"/>
      <c r="M196" s="37" t="n"/>
      <c r="N196" s="291" t="n"/>
      <c r="O196" s="37" t="n"/>
      <c r="P196" s="37" t="n"/>
      <c r="Q196" s="291" t="n"/>
      <c r="R196" s="37" t="n"/>
      <c r="S196" s="37" t="n"/>
      <c r="T196" s="291" t="n"/>
      <c r="U196" s="37" t="n"/>
      <c r="V196" s="37" t="n"/>
      <c r="W196" s="291" t="n"/>
      <c r="X196" s="37" t="n"/>
      <c r="Y196" s="37" t="n"/>
      <c r="Z196" s="291" t="n"/>
      <c r="AA196" s="37" t="n"/>
      <c r="AB196" s="37" t="n"/>
      <c r="AC196" s="291" t="n"/>
      <c r="AD196" s="37" t="n"/>
      <c r="AE196" s="37" t="n"/>
      <c r="AF196" s="291" t="n"/>
      <c r="AG196" s="37" t="n"/>
      <c r="AH196" s="37" t="n"/>
      <c r="AI196" s="291" t="n"/>
      <c r="AJ196" s="37" t="n"/>
      <c r="AK196" s="37" t="n"/>
      <c r="AL196" s="291" t="n"/>
      <c r="AM196" s="291" t="n"/>
      <c r="AN196" s="291" t="n"/>
      <c r="AO196" s="291" t="n"/>
      <c r="AP196" s="291" t="n"/>
      <c r="AQ196" s="291" t="n"/>
      <c r="AR196" s="291" t="n"/>
      <c r="AS196" s="291" t="n"/>
      <c r="AT196" s="291" t="n"/>
      <c r="AU196" s="291" t="n"/>
      <c r="AV196" s="291" t="n"/>
      <c r="AW196" s="291" t="n"/>
      <c r="AX196" s="291" t="n"/>
      <c r="AY196" s="291" t="n"/>
      <c r="AZ196" s="291" t="n"/>
      <c r="BA196" s="291" t="n"/>
      <c r="BB196" s="291" t="n"/>
      <c r="BC196" s="291" t="n"/>
      <c r="BD196" s="291" t="n"/>
      <c r="BE196" s="291" t="n"/>
      <c r="BF196" s="291" t="n"/>
      <c r="BG196" s="291" t="n"/>
      <c r="BH196" s="291" t="n"/>
      <c r="BI196" s="291" t="n"/>
      <c r="BJ196" s="291" t="n"/>
      <c r="BK196" s="291" t="n"/>
      <c r="BL196" s="291" t="n"/>
      <c r="BM196" s="291" t="n"/>
      <c r="BN196" s="291" t="n"/>
      <c r="BO196" s="291" t="n"/>
      <c r="BP196" s="291" t="n"/>
      <c r="BQ196" s="291" t="n"/>
      <c r="BR196" s="291" t="n"/>
      <c r="BS196" s="291" t="n"/>
      <c r="BT196" s="291" t="n"/>
      <c r="BU196" s="291" t="n"/>
      <c r="BV196" s="291" t="n"/>
      <c r="BW196" s="291" t="n"/>
      <c r="BX196" s="291" t="n"/>
      <c r="BY196" s="291" t="n"/>
      <c r="BZ196" s="291" t="n"/>
      <c r="CA196" s="291" t="n"/>
      <c r="CB196" s="291" t="n"/>
      <c r="CC196" s="291" t="n"/>
      <c r="CD196" s="291" t="n"/>
      <c r="CE196" s="291" t="n"/>
      <c r="CF196" s="291" t="n"/>
      <c r="CG196" s="291" t="n"/>
      <c r="CH196" s="291" t="n"/>
      <c r="CI196" s="291" t="n"/>
      <c r="CJ196" s="291" t="n"/>
      <c r="CK196" s="291" t="n"/>
      <c r="CL196" s="291" t="n"/>
      <c r="CM196" s="291" t="n"/>
      <c r="CN196" s="291" t="n"/>
      <c r="CO196" s="291" t="n"/>
      <c r="CP196" s="343" t="n"/>
      <c r="CQ196" s="291" t="n"/>
      <c r="CR196" s="343" t="n"/>
      <c r="CS196" s="291" t="n"/>
      <c r="CT196" s="343" t="n"/>
      <c r="CU196" s="291" t="n"/>
      <c r="CV196" s="343" t="n"/>
      <c r="CW196" s="291" t="n"/>
      <c r="CX196" s="291" t="n"/>
      <c r="CY196" s="291" t="n"/>
      <c r="CZ196" s="291" t="n"/>
      <c r="DA196" s="291" t="n"/>
      <c r="DB196" s="291" t="n"/>
      <c r="DC196" s="291" t="n"/>
      <c r="DD196" s="291" t="n"/>
      <c r="DE196" s="311" t="n"/>
      <c r="DF196" s="311" t="n"/>
    </row>
    <row r="197" ht="13" customFormat="1" customHeight="1" s="40">
      <c r="A197" s="344" t="n"/>
      <c r="B197" s="291" t="n"/>
      <c r="C197" s="37" t="n"/>
      <c r="D197" s="37" t="n"/>
      <c r="E197" s="291" t="n"/>
      <c r="F197" s="37" t="n"/>
      <c r="G197" s="37" t="n"/>
      <c r="H197" s="291" t="n"/>
      <c r="I197" s="37" t="n"/>
      <c r="J197" s="37" t="n"/>
      <c r="K197" s="291" t="n"/>
      <c r="L197" s="37" t="n"/>
      <c r="M197" s="37" t="n"/>
      <c r="N197" s="291" t="n"/>
      <c r="O197" s="37" t="n"/>
      <c r="P197" s="37" t="n"/>
      <c r="Q197" s="291" t="n"/>
      <c r="R197" s="37" t="n"/>
      <c r="S197" s="37" t="n"/>
      <c r="T197" s="291" t="n"/>
      <c r="U197" s="37" t="n"/>
      <c r="V197" s="37" t="n"/>
      <c r="W197" s="291" t="n"/>
      <c r="X197" s="37" t="n"/>
      <c r="Y197" s="37" t="n"/>
      <c r="Z197" s="291" t="n"/>
      <c r="AA197" s="37" t="n"/>
      <c r="AB197" s="37" t="n"/>
      <c r="AC197" s="291" t="n"/>
      <c r="AD197" s="37" t="n"/>
      <c r="AE197" s="37" t="n"/>
      <c r="AF197" s="291" t="n"/>
      <c r="AG197" s="37" t="n"/>
      <c r="AH197" s="37" t="n"/>
      <c r="AI197" s="291" t="n"/>
      <c r="AJ197" s="37" t="n"/>
      <c r="AK197" s="37" t="n"/>
      <c r="AL197" s="291" t="n"/>
      <c r="AM197" s="291" t="n"/>
      <c r="AN197" s="291" t="n"/>
      <c r="AO197" s="291" t="n"/>
      <c r="AP197" s="291" t="n"/>
      <c r="AQ197" s="291" t="n"/>
      <c r="AR197" s="291" t="n"/>
      <c r="AS197" s="291" t="n"/>
      <c r="AT197" s="291" t="n"/>
      <c r="AU197" s="291" t="n"/>
      <c r="AV197" s="291" t="n"/>
      <c r="AW197" s="291" t="n"/>
      <c r="AX197" s="291" t="n"/>
      <c r="AY197" s="291" t="n"/>
      <c r="AZ197" s="291" t="n"/>
      <c r="BA197" s="291" t="n"/>
      <c r="BB197" s="291" t="n"/>
      <c r="BC197" s="291" t="n"/>
      <c r="BD197" s="291" t="n"/>
      <c r="BE197" s="291" t="n"/>
      <c r="BF197" s="291" t="n"/>
      <c r="BG197" s="291" t="n"/>
      <c r="BH197" s="291" t="n"/>
      <c r="BI197" s="291" t="n"/>
      <c r="BJ197" s="291" t="n"/>
      <c r="BK197" s="291" t="n"/>
      <c r="BL197" s="291" t="n"/>
      <c r="BM197" s="291" t="n"/>
      <c r="BN197" s="291" t="n"/>
      <c r="BO197" s="291" t="n"/>
      <c r="BP197" s="291" t="n"/>
      <c r="BQ197" s="291" t="n"/>
      <c r="BR197" s="291" t="n"/>
      <c r="BS197" s="291" t="n"/>
      <c r="BT197" s="291" t="n"/>
      <c r="BU197" s="291" t="n"/>
      <c r="BV197" s="291" t="n"/>
      <c r="BW197" s="291" t="n"/>
      <c r="BX197" s="291" t="n"/>
      <c r="BY197" s="291" t="n"/>
      <c r="BZ197" s="291" t="n"/>
      <c r="CA197" s="291" t="n"/>
      <c r="CB197" s="291" t="n"/>
      <c r="CC197" s="291" t="n"/>
      <c r="CD197" s="291" t="n"/>
      <c r="CE197" s="291" t="n"/>
      <c r="CF197" s="291" t="n"/>
      <c r="CG197" s="291" t="n"/>
      <c r="CH197" s="291" t="n"/>
      <c r="CI197" s="291" t="n"/>
      <c r="CJ197" s="291" t="n"/>
      <c r="CK197" s="291" t="n"/>
      <c r="CL197" s="291" t="n"/>
      <c r="CM197" s="291" t="n"/>
      <c r="CN197" s="291" t="n"/>
      <c r="CO197" s="291" t="n"/>
      <c r="CP197" s="343" t="n"/>
      <c r="CQ197" s="291" t="n"/>
      <c r="CR197" s="343" t="n"/>
      <c r="CS197" s="291" t="n"/>
      <c r="CT197" s="343" t="n"/>
      <c r="CU197" s="291" t="n"/>
      <c r="CV197" s="343" t="n"/>
      <c r="CW197" s="291" t="n"/>
      <c r="CX197" s="291" t="n"/>
      <c r="CY197" s="291" t="n"/>
      <c r="CZ197" s="291" t="n"/>
      <c r="DA197" s="291" t="n"/>
      <c r="DB197" s="291" t="n"/>
      <c r="DC197" s="291" t="n"/>
      <c r="DD197" s="291" t="n"/>
      <c r="DE197" s="311" t="n"/>
      <c r="DF197" s="311" t="n"/>
    </row>
    <row r="198" ht="13" customFormat="1" customHeight="1" s="40">
      <c r="A198" s="345" t="n"/>
      <c r="B198" s="291" t="n"/>
      <c r="C198" s="97" t="n"/>
      <c r="D198" s="97" t="n"/>
      <c r="E198" s="291" t="n"/>
      <c r="F198" s="97" t="n"/>
      <c r="G198" s="97" t="n"/>
      <c r="H198" s="291" t="n"/>
      <c r="I198" s="97" t="n"/>
      <c r="J198" s="97" t="n"/>
      <c r="K198" s="291" t="n"/>
      <c r="L198" s="97" t="n"/>
      <c r="M198" s="97" t="n"/>
      <c r="N198" s="291" t="n"/>
      <c r="O198" s="97" t="n"/>
      <c r="P198" s="97" t="n"/>
      <c r="Q198" s="291" t="n"/>
      <c r="R198" s="97" t="n"/>
      <c r="S198" s="97" t="n"/>
      <c r="T198" s="291" t="n"/>
      <c r="U198" s="97" t="n"/>
      <c r="V198" s="97" t="n"/>
      <c r="W198" s="291" t="n"/>
      <c r="X198" s="97" t="n"/>
      <c r="Y198" s="97" t="n"/>
      <c r="Z198" s="291" t="n"/>
      <c r="AA198" s="97" t="n"/>
      <c r="AB198" s="97" t="n"/>
      <c r="AC198" s="291" t="n"/>
      <c r="AD198" s="97" t="n"/>
      <c r="AE198" s="97" t="n"/>
      <c r="AF198" s="291" t="n"/>
      <c r="AG198" s="97" t="n"/>
      <c r="AH198" s="97" t="n"/>
      <c r="AI198" s="291" t="n"/>
      <c r="AJ198" s="97" t="n"/>
      <c r="AK198" s="97" t="n"/>
      <c r="AL198" s="291" t="n"/>
      <c r="AM198" s="186" t="n"/>
      <c r="AN198" s="97" t="n"/>
      <c r="AO198" s="291" t="n"/>
      <c r="AP198" s="186" t="n"/>
      <c r="AQ198" s="97" t="n"/>
      <c r="AR198" s="291" t="n"/>
      <c r="AS198" s="186" t="n"/>
      <c r="AT198" s="97" t="n"/>
      <c r="AU198" s="291" t="n"/>
      <c r="AV198" s="186" t="n"/>
      <c r="AW198" s="97" t="n"/>
      <c r="AX198" s="291" t="n"/>
      <c r="AY198" s="291" t="n"/>
      <c r="AZ198" s="97" t="n"/>
      <c r="BA198" s="291" t="n"/>
      <c r="BB198" s="97" t="n"/>
      <c r="BC198" s="291" t="n"/>
      <c r="BD198" s="97" t="n"/>
      <c r="BE198" s="291" t="n"/>
      <c r="BF198" s="97" t="n"/>
      <c r="BG198" s="291" t="n"/>
      <c r="BH198" s="97" t="n"/>
      <c r="BI198" s="291" t="n"/>
      <c r="BJ198" s="97" t="n"/>
      <c r="BK198" s="291" t="n"/>
      <c r="BL198" s="97" t="n"/>
      <c r="BM198" s="291" t="n"/>
      <c r="BN198" s="97" t="n"/>
      <c r="BO198" s="291" t="n"/>
      <c r="BP198" s="291" t="n"/>
      <c r="BQ198" s="97" t="n"/>
      <c r="BR198" s="291" t="n"/>
      <c r="BS198" s="97" t="n"/>
      <c r="BT198" s="291" t="n"/>
      <c r="BU198" s="97" t="n"/>
      <c r="BV198" s="291" t="n"/>
      <c r="BW198" s="97" t="n"/>
      <c r="BX198" s="291" t="n"/>
      <c r="BY198" s="97" t="n"/>
      <c r="BZ198" s="291" t="n"/>
      <c r="CA198" s="97" t="n"/>
      <c r="CB198" s="291" t="n"/>
      <c r="CC198" s="97" t="n"/>
      <c r="CD198" s="291" t="n"/>
      <c r="CE198" s="97" t="n"/>
      <c r="CF198" s="291" t="n"/>
      <c r="CG198" s="97" t="n"/>
      <c r="CH198" s="291" t="n"/>
      <c r="CI198" s="97" t="n"/>
      <c r="CJ198" s="291" t="n"/>
      <c r="CK198" s="97" t="n"/>
      <c r="CL198" s="291" t="n"/>
      <c r="CM198" s="97" t="n"/>
      <c r="CN198" s="291" t="n"/>
      <c r="CO198" s="97" t="n"/>
      <c r="CP198" s="291" t="n"/>
      <c r="CQ198" s="97" t="n"/>
      <c r="CR198" s="291" t="n"/>
      <c r="CS198" s="97" t="n"/>
      <c r="CT198" s="291" t="n"/>
      <c r="CU198" s="97" t="n"/>
      <c r="CV198" s="346" t="n"/>
      <c r="CW198" s="291" t="n"/>
      <c r="CX198" s="97" t="n"/>
      <c r="CY198" s="291" t="n"/>
      <c r="CZ198" s="97" t="n"/>
      <c r="DA198" s="291" t="n"/>
      <c r="DB198" s="97" t="n"/>
      <c r="DC198" s="291" t="n"/>
      <c r="DD198" s="97" t="n"/>
      <c r="DE198" s="311" t="n"/>
      <c r="DF198" s="311" t="n"/>
    </row>
    <row r="199" ht="13" customFormat="1" customHeight="1" s="40">
      <c r="A199" s="52" t="n"/>
      <c r="B199" s="291" t="n"/>
      <c r="C199" s="39" t="n"/>
      <c r="D199" s="39" t="n"/>
      <c r="E199" s="291" t="n"/>
      <c r="F199" s="39" t="n"/>
      <c r="G199" s="39" t="n"/>
      <c r="H199" s="291" t="n"/>
      <c r="I199" s="39" t="n"/>
      <c r="J199" s="39" t="n"/>
      <c r="K199" s="291" t="n"/>
      <c r="L199" s="39" t="n"/>
      <c r="M199" s="39" t="n"/>
      <c r="N199" s="291" t="n"/>
      <c r="O199" s="39" t="n"/>
      <c r="P199" s="39" t="n"/>
      <c r="Q199" s="291" t="n"/>
      <c r="R199" s="39" t="n"/>
      <c r="S199" s="39" t="n"/>
      <c r="T199" s="291" t="n"/>
      <c r="U199" s="39" t="n"/>
      <c r="V199" s="39" t="n"/>
      <c r="W199" s="291" t="n"/>
      <c r="X199" s="39" t="n"/>
      <c r="Y199" s="39" t="n"/>
      <c r="Z199" s="291" t="n"/>
      <c r="AA199" s="39" t="n"/>
      <c r="AB199" s="39" t="n"/>
      <c r="AC199" s="291" t="n"/>
      <c r="AD199" s="39" t="n"/>
      <c r="AE199" s="39" t="n"/>
      <c r="AF199" s="291" t="n"/>
      <c r="AG199" s="39" t="n"/>
      <c r="AH199" s="39" t="n"/>
      <c r="AI199" s="291" t="n"/>
      <c r="AJ199" s="39" t="n"/>
      <c r="AK199" s="39" t="n"/>
      <c r="AL199" s="291" t="n"/>
      <c r="AM199" s="53" t="n"/>
      <c r="AN199" s="291" t="n"/>
      <c r="AO199" s="291" t="n"/>
      <c r="AP199" s="53" t="n"/>
      <c r="AQ199" s="291" t="n"/>
      <c r="AR199" s="291" t="n"/>
      <c r="AS199" s="53" t="n"/>
      <c r="AT199" s="291" t="n"/>
      <c r="AU199" s="291" t="n"/>
      <c r="AV199" s="53" t="n"/>
      <c r="AW199" s="291" t="n"/>
      <c r="AX199" s="291" t="n"/>
      <c r="AY199" s="291" t="n"/>
      <c r="AZ199" s="39" t="n"/>
      <c r="BA199" s="291" t="n"/>
      <c r="BB199" s="39" t="n"/>
      <c r="BC199" s="291" t="n"/>
      <c r="BD199" s="39" t="n"/>
      <c r="BE199" s="291" t="n"/>
      <c r="BF199" s="39" t="n"/>
      <c r="BG199" s="291" t="n"/>
      <c r="BH199" s="39" t="n"/>
      <c r="BI199" s="291" t="n"/>
      <c r="BJ199" s="39" t="n"/>
      <c r="BK199" s="291" t="n"/>
      <c r="BL199" s="39" t="n"/>
      <c r="BM199" s="291" t="n"/>
      <c r="BN199" s="39" t="n"/>
      <c r="BO199" s="291" t="n"/>
      <c r="BP199" s="291" t="n"/>
      <c r="BQ199" s="39" t="n"/>
      <c r="BR199" s="291" t="n"/>
      <c r="BS199" s="39" t="n"/>
      <c r="BT199" s="291" t="n"/>
      <c r="BU199" s="39" t="n"/>
      <c r="BV199" s="291" t="n"/>
      <c r="BW199" s="39" t="n"/>
      <c r="BX199" s="291" t="n"/>
      <c r="BY199" s="39" t="n"/>
      <c r="BZ199" s="291" t="n"/>
      <c r="CA199" s="39" t="n"/>
      <c r="CB199" s="291" t="n"/>
      <c r="CC199" s="39" t="n"/>
      <c r="CD199" s="291" t="n"/>
      <c r="CE199" s="39" t="n"/>
      <c r="CF199" s="291" t="n"/>
      <c r="CG199" s="291" t="n"/>
      <c r="CH199" s="291" t="n"/>
      <c r="CI199" s="291" t="n"/>
      <c r="CJ199" s="291" t="n"/>
      <c r="CK199" s="291" t="n"/>
      <c r="CL199" s="291" t="n"/>
      <c r="CM199" s="291" t="n"/>
      <c r="CN199" s="291" t="n"/>
      <c r="CO199" s="291" t="n"/>
      <c r="CP199" s="291" t="n"/>
      <c r="CQ199" s="291" t="n"/>
      <c r="CR199" s="291" t="n"/>
      <c r="CS199" s="291" t="n"/>
      <c r="CT199" s="291" t="n"/>
      <c r="CU199" s="291" t="n"/>
      <c r="CV199" s="343" t="n"/>
      <c r="CW199" s="291" t="n"/>
      <c r="CX199" s="39" t="n"/>
      <c r="CY199" s="291" t="n"/>
      <c r="CZ199" s="39" t="n"/>
      <c r="DA199" s="291" t="n"/>
      <c r="DB199" s="39" t="n"/>
      <c r="DC199" s="291" t="n"/>
      <c r="DD199" s="39" t="n"/>
      <c r="DE199" s="311" t="n"/>
      <c r="DF199" s="311" t="n"/>
    </row>
    <row r="200" ht="13" customFormat="1" customHeight="1" s="40">
      <c r="A200" s="345" t="n"/>
      <c r="B200" s="291" t="n"/>
      <c r="C200" s="39" t="n"/>
      <c r="D200" s="39" t="n"/>
      <c r="E200" s="291" t="n"/>
      <c r="F200" s="39" t="n"/>
      <c r="G200" s="39" t="n"/>
      <c r="H200" s="291" t="n"/>
      <c r="I200" s="39" t="n"/>
      <c r="J200" s="39" t="n"/>
      <c r="K200" s="291" t="n"/>
      <c r="L200" s="39" t="n"/>
      <c r="M200" s="39" t="n"/>
      <c r="N200" s="291" t="n"/>
      <c r="O200" s="39" t="n"/>
      <c r="P200" s="39" t="n"/>
      <c r="Q200" s="291" t="n"/>
      <c r="R200" s="39" t="n"/>
      <c r="S200" s="39" t="n"/>
      <c r="T200" s="291" t="n"/>
      <c r="U200" s="39" t="n"/>
      <c r="V200" s="39" t="n"/>
      <c r="W200" s="291" t="n"/>
      <c r="X200" s="39" t="n"/>
      <c r="Y200" s="39" t="n"/>
      <c r="Z200" s="291" t="n"/>
      <c r="AA200" s="39" t="n"/>
      <c r="AB200" s="39" t="n"/>
      <c r="AC200" s="291" t="n"/>
      <c r="AD200" s="39" t="n"/>
      <c r="AE200" s="39" t="n"/>
      <c r="AF200" s="291" t="n"/>
      <c r="AG200" s="39" t="n"/>
      <c r="AH200" s="39" t="n"/>
      <c r="AI200" s="291" t="n"/>
      <c r="AJ200" s="39" t="n"/>
      <c r="AK200" s="39" t="n"/>
      <c r="AL200" s="291" t="n"/>
      <c r="AM200" s="352" t="n"/>
      <c r="AN200" s="39" t="n"/>
      <c r="AO200" s="291" t="n"/>
      <c r="AP200" s="352" t="n"/>
      <c r="AQ200" s="39" t="n"/>
      <c r="AR200" s="291" t="n"/>
      <c r="AS200" s="352" t="n"/>
      <c r="AT200" s="39" t="n"/>
      <c r="AU200" s="291" t="n"/>
      <c r="AV200" s="352" t="n"/>
      <c r="AW200" s="39" t="n"/>
      <c r="AX200" s="291" t="n"/>
      <c r="AY200" s="291" t="n"/>
      <c r="AZ200" s="39" t="n"/>
      <c r="BA200" s="291" t="n"/>
      <c r="BB200" s="39" t="n"/>
      <c r="BC200" s="291" t="n"/>
      <c r="BD200" s="39" t="n"/>
      <c r="BE200" s="291" t="n"/>
      <c r="BF200" s="39" t="n"/>
      <c r="BG200" s="291" t="n"/>
      <c r="BH200" s="39" t="n"/>
      <c r="BI200" s="291" t="n"/>
      <c r="BJ200" s="39" t="n"/>
      <c r="BK200" s="291" t="n"/>
      <c r="BL200" s="39" t="n"/>
      <c r="BM200" s="291" t="n"/>
      <c r="BN200" s="39" t="n"/>
      <c r="BO200" s="291" t="n"/>
      <c r="BP200" s="291" t="n"/>
      <c r="BQ200" s="39" t="n"/>
      <c r="BR200" s="291" t="n"/>
      <c r="BS200" s="39" t="n"/>
      <c r="BT200" s="291" t="n"/>
      <c r="BU200" s="39" t="n"/>
      <c r="BV200" s="291" t="n"/>
      <c r="BW200" s="39" t="n"/>
      <c r="BX200" s="291" t="n"/>
      <c r="BY200" s="39" t="n"/>
      <c r="BZ200" s="291" t="n"/>
      <c r="CA200" s="39" t="n"/>
      <c r="CB200" s="291" t="n"/>
      <c r="CC200" s="39" t="n"/>
      <c r="CD200" s="291" t="n"/>
      <c r="CE200" s="39" t="n"/>
      <c r="CF200" s="291" t="n"/>
      <c r="CG200" s="39" t="n"/>
      <c r="CH200" s="291" t="n"/>
      <c r="CI200" s="39" t="n"/>
      <c r="CJ200" s="291" t="n"/>
      <c r="CK200" s="39" t="n"/>
      <c r="CL200" s="291" t="n"/>
      <c r="CM200" s="39" t="n"/>
      <c r="CN200" s="291" t="n"/>
      <c r="CO200" s="39" t="n"/>
      <c r="CP200" s="291" t="n"/>
      <c r="CQ200" s="39" t="n"/>
      <c r="CR200" s="291" t="n"/>
      <c r="CS200" s="39" t="n"/>
      <c r="CT200" s="291" t="n"/>
      <c r="CU200" s="39" t="n"/>
      <c r="CV200" s="343" t="n"/>
      <c r="CW200" s="291" t="n"/>
      <c r="CX200" s="39" t="n"/>
      <c r="CY200" s="291" t="n"/>
      <c r="CZ200" s="39" t="n"/>
      <c r="DA200" s="291" t="n"/>
      <c r="DB200" s="39" t="n"/>
      <c r="DC200" s="291" t="n"/>
      <c r="DD200" s="39" t="n"/>
      <c r="DE200" s="311" t="n"/>
      <c r="DF200" s="311" t="n"/>
    </row>
    <row r="201" ht="13" customFormat="1" customHeight="1" s="40">
      <c r="A201" s="52" t="n"/>
      <c r="B201" s="291" t="n"/>
      <c r="C201" s="39" t="n"/>
      <c r="D201" s="39" t="n"/>
      <c r="E201" s="291" t="n"/>
      <c r="F201" s="39" t="n"/>
      <c r="G201" s="39" t="n"/>
      <c r="H201" s="291" t="n"/>
      <c r="I201" s="39" t="n"/>
      <c r="J201" s="39" t="n"/>
      <c r="K201" s="291" t="n"/>
      <c r="L201" s="39" t="n"/>
      <c r="M201" s="39" t="n"/>
      <c r="N201" s="291" t="n"/>
      <c r="O201" s="39" t="n"/>
      <c r="P201" s="39" t="n"/>
      <c r="Q201" s="291" t="n"/>
      <c r="R201" s="39" t="n"/>
      <c r="S201" s="39" t="n"/>
      <c r="T201" s="291" t="n"/>
      <c r="U201" s="39" t="n"/>
      <c r="V201" s="39" t="n"/>
      <c r="W201" s="291" t="n"/>
      <c r="X201" s="39" t="n"/>
      <c r="Y201" s="39" t="n"/>
      <c r="Z201" s="291" t="n"/>
      <c r="AA201" s="39" t="n"/>
      <c r="AB201" s="39" t="n"/>
      <c r="AC201" s="291" t="n"/>
      <c r="AD201" s="39" t="n"/>
      <c r="AE201" s="39" t="n"/>
      <c r="AF201" s="291" t="n"/>
      <c r="AG201" s="39" t="n"/>
      <c r="AH201" s="39" t="n"/>
      <c r="AI201" s="291" t="n"/>
      <c r="AJ201" s="39" t="n"/>
      <c r="AK201" s="39" t="n"/>
      <c r="AL201" s="291" t="n"/>
      <c r="AM201" s="352" t="n"/>
      <c r="AN201" s="39" t="n"/>
      <c r="AO201" s="291" t="n"/>
      <c r="AP201" s="352" t="n"/>
      <c r="AQ201" s="39" t="n"/>
      <c r="AR201" s="291" t="n"/>
      <c r="AS201" s="352" t="n"/>
      <c r="AT201" s="39" t="n"/>
      <c r="AU201" s="291" t="n"/>
      <c r="AV201" s="352" t="n"/>
      <c r="AW201" s="39" t="n"/>
      <c r="AX201" s="291" t="n"/>
      <c r="AY201" s="291" t="n"/>
      <c r="AZ201" s="39" t="n"/>
      <c r="BA201" s="291" t="n"/>
      <c r="BB201" s="39" t="n"/>
      <c r="BC201" s="291" t="n"/>
      <c r="BD201" s="39" t="n"/>
      <c r="BE201" s="291" t="n"/>
      <c r="BF201" s="39" t="n"/>
      <c r="BG201" s="291" t="n"/>
      <c r="BH201" s="39" t="n"/>
      <c r="BI201" s="291" t="n"/>
      <c r="BJ201" s="39" t="n"/>
      <c r="BK201" s="291" t="n"/>
      <c r="BL201" s="39" t="n"/>
      <c r="BM201" s="291" t="n"/>
      <c r="BN201" s="39" t="n"/>
      <c r="BO201" s="291" t="n"/>
      <c r="BP201" s="291" t="n"/>
      <c r="BQ201" s="39" t="n"/>
      <c r="BR201" s="291" t="n"/>
      <c r="BS201" s="39" t="n"/>
      <c r="BT201" s="291" t="n"/>
      <c r="BU201" s="39" t="n"/>
      <c r="BV201" s="291" t="n"/>
      <c r="BW201" s="39" t="n"/>
      <c r="BX201" s="291" t="n"/>
      <c r="BY201" s="39" t="n"/>
      <c r="BZ201" s="291" t="n"/>
      <c r="CA201" s="39" t="n"/>
      <c r="CB201" s="291" t="n"/>
      <c r="CC201" s="39" t="n"/>
      <c r="CD201" s="291" t="n"/>
      <c r="CE201" s="39" t="n"/>
      <c r="CF201" s="291" t="n"/>
      <c r="CG201" s="39" t="n"/>
      <c r="CH201" s="291" t="n"/>
      <c r="CI201" s="39" t="n"/>
      <c r="CJ201" s="291" t="n"/>
      <c r="CK201" s="39" t="n"/>
      <c r="CL201" s="291" t="n"/>
      <c r="CM201" s="39" t="n"/>
      <c r="CN201" s="291" t="n"/>
      <c r="CO201" s="39" t="n"/>
      <c r="CP201" s="291" t="n"/>
      <c r="CQ201" s="39" t="n"/>
      <c r="CR201" s="291" t="n"/>
      <c r="CS201" s="39" t="n"/>
      <c r="CT201" s="291" t="n"/>
      <c r="CU201" s="39" t="n"/>
      <c r="CV201" s="343" t="n"/>
      <c r="CW201" s="291" t="n"/>
      <c r="CX201" s="39" t="n"/>
      <c r="CY201" s="291" t="n"/>
      <c r="CZ201" s="39" t="n"/>
      <c r="DA201" s="291" t="n"/>
      <c r="DB201" s="39" t="n"/>
      <c r="DC201" s="291" t="n"/>
      <c r="DD201" s="39" t="n"/>
      <c r="DE201" s="311" t="n"/>
      <c r="DF201" s="311" t="n"/>
    </row>
    <row r="202" ht="13" customFormat="1" customHeight="1" s="40">
      <c r="A202" s="345" t="n"/>
      <c r="B202" s="291" t="n"/>
      <c r="C202" s="39" t="n"/>
      <c r="D202" s="39" t="n"/>
      <c r="E202" s="291" t="n"/>
      <c r="F202" s="39" t="n"/>
      <c r="G202" s="39" t="n"/>
      <c r="H202" s="291" t="n"/>
      <c r="I202" s="39" t="n"/>
      <c r="J202" s="39" t="n"/>
      <c r="K202" s="291" t="n"/>
      <c r="L202" s="39" t="n"/>
      <c r="M202" s="39" t="n"/>
      <c r="N202" s="291" t="n"/>
      <c r="O202" s="39" t="n"/>
      <c r="P202" s="39" t="n"/>
      <c r="Q202" s="291" t="n"/>
      <c r="R202" s="39" t="n"/>
      <c r="S202" s="39" t="n"/>
      <c r="T202" s="291" t="n"/>
      <c r="U202" s="39" t="n"/>
      <c r="V202" s="39" t="n"/>
      <c r="W202" s="291" t="n"/>
      <c r="X202" s="39" t="n"/>
      <c r="Y202" s="39" t="n"/>
      <c r="Z202" s="291" t="n"/>
      <c r="AA202" s="39" t="n"/>
      <c r="AB202" s="39" t="n"/>
      <c r="AC202" s="291" t="n"/>
      <c r="AD202" s="39" t="n"/>
      <c r="AE202" s="39" t="n"/>
      <c r="AF202" s="291" t="n"/>
      <c r="AG202" s="39" t="n"/>
      <c r="AH202" s="39" t="n"/>
      <c r="AI202" s="291" t="n"/>
      <c r="AJ202" s="39" t="n"/>
      <c r="AK202" s="39" t="n"/>
      <c r="AL202" s="291" t="n"/>
      <c r="AM202" s="352" t="n"/>
      <c r="AN202" s="39" t="n"/>
      <c r="AO202" s="291" t="n"/>
      <c r="AP202" s="352" t="n"/>
      <c r="AQ202" s="39" t="n"/>
      <c r="AR202" s="291" t="n"/>
      <c r="AS202" s="352" t="n"/>
      <c r="AT202" s="39" t="n"/>
      <c r="AU202" s="291" t="n"/>
      <c r="AV202" s="352" t="n"/>
      <c r="AW202" s="39" t="n"/>
      <c r="AX202" s="291" t="n"/>
      <c r="AY202" s="291" t="n"/>
      <c r="AZ202" s="39" t="n"/>
      <c r="BA202" s="291" t="n"/>
      <c r="BB202" s="39" t="n"/>
      <c r="BC202" s="291" t="n"/>
      <c r="BD202" s="39" t="n"/>
      <c r="BE202" s="291" t="n"/>
      <c r="BF202" s="39" t="n"/>
      <c r="BG202" s="291" t="n"/>
      <c r="BH202" s="39" t="n"/>
      <c r="BI202" s="291" t="n"/>
      <c r="BJ202" s="39" t="n"/>
      <c r="BK202" s="291" t="n"/>
      <c r="BL202" s="39" t="n"/>
      <c r="BM202" s="291" t="n"/>
      <c r="BN202" s="39" t="n"/>
      <c r="BO202" s="291" t="n"/>
      <c r="BP202" s="291" t="n"/>
      <c r="BQ202" s="39" t="n"/>
      <c r="BR202" s="291" t="n"/>
      <c r="BS202" s="39" t="n"/>
      <c r="BT202" s="291" t="n"/>
      <c r="BU202" s="39" t="n"/>
      <c r="BV202" s="291" t="n"/>
      <c r="BW202" s="39" t="n"/>
      <c r="BX202" s="291" t="n"/>
      <c r="BY202" s="39" t="n"/>
      <c r="BZ202" s="291" t="n"/>
      <c r="CA202" s="39" t="n"/>
      <c r="CB202" s="291" t="n"/>
      <c r="CC202" s="39" t="n"/>
      <c r="CD202" s="291" t="n"/>
      <c r="CE202" s="39" t="n"/>
      <c r="CF202" s="291" t="n"/>
      <c r="CG202" s="39" t="n"/>
      <c r="CH202" s="291" t="n"/>
      <c r="CI202" s="39" t="n"/>
      <c r="CJ202" s="291" t="n"/>
      <c r="CK202" s="39" t="n"/>
      <c r="CL202" s="291" t="n"/>
      <c r="CM202" s="39" t="n"/>
      <c r="CN202" s="291" t="n"/>
      <c r="CO202" s="39" t="n"/>
      <c r="CP202" s="291" t="n"/>
      <c r="CQ202" s="39" t="n"/>
      <c r="CR202" s="291" t="n"/>
      <c r="CS202" s="39" t="n"/>
      <c r="CT202" s="291" t="n"/>
      <c r="CU202" s="39" t="n"/>
      <c r="CV202" s="343" t="n"/>
      <c r="CW202" s="291" t="n"/>
      <c r="CX202" s="39" t="n"/>
      <c r="CY202" s="291" t="n"/>
      <c r="CZ202" s="39" t="n"/>
      <c r="DA202" s="291" t="n"/>
      <c r="DB202" s="39" t="n"/>
      <c r="DC202" s="291" t="n"/>
      <c r="DD202" s="39" t="n"/>
      <c r="DE202" s="311" t="n"/>
      <c r="DF202" s="311" t="n"/>
    </row>
    <row r="203" ht="13" customFormat="1" customHeight="1" s="40">
      <c r="A203" s="52" t="n"/>
      <c r="B203" s="291" t="n"/>
      <c r="C203" s="39" t="n"/>
      <c r="D203" s="39" t="n"/>
      <c r="E203" s="291" t="n"/>
      <c r="F203" s="39" t="n"/>
      <c r="G203" s="39" t="n"/>
      <c r="H203" s="291" t="n"/>
      <c r="I203" s="39" t="n"/>
      <c r="J203" s="39" t="n"/>
      <c r="K203" s="291" t="n"/>
      <c r="L203" s="39" t="n"/>
      <c r="M203" s="39" t="n"/>
      <c r="N203" s="291" t="n"/>
      <c r="O203" s="39" t="n"/>
      <c r="P203" s="39" t="n"/>
      <c r="Q203" s="291" t="n"/>
      <c r="R203" s="39" t="n"/>
      <c r="S203" s="39" t="n"/>
      <c r="T203" s="291" t="n"/>
      <c r="U203" s="39" t="n"/>
      <c r="V203" s="39" t="n"/>
      <c r="W203" s="291" t="n"/>
      <c r="X203" s="39" t="n"/>
      <c r="Y203" s="39" t="n"/>
      <c r="Z203" s="291" t="n"/>
      <c r="AA203" s="39" t="n"/>
      <c r="AB203" s="39" t="n"/>
      <c r="AC203" s="291" t="n"/>
      <c r="AD203" s="39" t="n"/>
      <c r="AE203" s="39" t="n"/>
      <c r="AF203" s="291" t="n"/>
      <c r="AG203" s="39" t="n"/>
      <c r="AH203" s="39" t="n"/>
      <c r="AI203" s="291" t="n"/>
      <c r="AJ203" s="39" t="n"/>
      <c r="AK203" s="39" t="n"/>
      <c r="AL203" s="291" t="n"/>
      <c r="AM203" s="352" t="n"/>
      <c r="AN203" s="39" t="n"/>
      <c r="AO203" s="291" t="n"/>
      <c r="AP203" s="352" t="n"/>
      <c r="AQ203" s="39" t="n"/>
      <c r="AR203" s="291" t="n"/>
      <c r="AS203" s="352" t="n"/>
      <c r="AT203" s="39" t="n"/>
      <c r="AU203" s="291" t="n"/>
      <c r="AV203" s="352" t="n"/>
      <c r="AW203" s="39" t="n"/>
      <c r="AX203" s="291" t="n"/>
      <c r="AY203" s="291" t="n"/>
      <c r="AZ203" s="39" t="n"/>
      <c r="BA203" s="291" t="n"/>
      <c r="BB203" s="39" t="n"/>
      <c r="BC203" s="291" t="n"/>
      <c r="BD203" s="39" t="n"/>
      <c r="BE203" s="291" t="n"/>
      <c r="BF203" s="39" t="n"/>
      <c r="BG203" s="291" t="n"/>
      <c r="BH203" s="39" t="n"/>
      <c r="BI203" s="291" t="n"/>
      <c r="BJ203" s="39" t="n"/>
      <c r="BK203" s="291" t="n"/>
      <c r="BL203" s="39" t="n"/>
      <c r="BM203" s="291" t="n"/>
      <c r="BN203" s="39" t="n"/>
      <c r="BO203" s="291" t="n"/>
      <c r="BP203" s="291" t="n"/>
      <c r="BQ203" s="39" t="n"/>
      <c r="BR203" s="291" t="n"/>
      <c r="BS203" s="39" t="n"/>
      <c r="BT203" s="291" t="n"/>
      <c r="BU203" s="39" t="n"/>
      <c r="BV203" s="291" t="n"/>
      <c r="BW203" s="39" t="n"/>
      <c r="BX203" s="291" t="n"/>
      <c r="BY203" s="39" t="n"/>
      <c r="BZ203" s="291" t="n"/>
      <c r="CA203" s="39" t="n"/>
      <c r="CB203" s="291" t="n"/>
      <c r="CC203" s="39" t="n"/>
      <c r="CD203" s="291" t="n"/>
      <c r="CE203" s="39" t="n"/>
      <c r="CF203" s="291" t="n"/>
      <c r="CG203" s="39" t="n"/>
      <c r="CH203" s="291" t="n"/>
      <c r="CI203" s="39" t="n"/>
      <c r="CJ203" s="291" t="n"/>
      <c r="CK203" s="39" t="n"/>
      <c r="CL203" s="291" t="n"/>
      <c r="CM203" s="39" t="n"/>
      <c r="CN203" s="291" t="n"/>
      <c r="CO203" s="39" t="n"/>
      <c r="CP203" s="291" t="n"/>
      <c r="CQ203" s="39" t="n"/>
      <c r="CR203" s="291" t="n"/>
      <c r="CS203" s="39" t="n"/>
      <c r="CT203" s="291" t="n"/>
      <c r="CU203" s="39" t="n"/>
      <c r="CV203" s="343" t="n"/>
      <c r="CW203" s="291" t="n"/>
      <c r="CX203" s="39" t="n"/>
      <c r="CY203" s="291" t="n"/>
      <c r="CZ203" s="39" t="n"/>
      <c r="DA203" s="291" t="n"/>
      <c r="DB203" s="39" t="n"/>
      <c r="DC203" s="291" t="n"/>
      <c r="DD203" s="39" t="n"/>
      <c r="DE203" s="311" t="n"/>
      <c r="DF203" s="311" t="n"/>
    </row>
    <row r="204" ht="13" customFormat="1" customHeight="1" s="40">
      <c r="A204" s="345" t="n"/>
      <c r="B204" s="291" t="n"/>
      <c r="C204" s="39" t="n"/>
      <c r="D204" s="39" t="n"/>
      <c r="E204" s="291" t="n"/>
      <c r="F204" s="39" t="n"/>
      <c r="G204" s="39" t="n"/>
      <c r="H204" s="291" t="n"/>
      <c r="I204" s="39" t="n"/>
      <c r="J204" s="39" t="n"/>
      <c r="K204" s="291" t="n"/>
      <c r="L204" s="39" t="n"/>
      <c r="M204" s="39" t="n"/>
      <c r="N204" s="291" t="n"/>
      <c r="O204" s="39" t="n"/>
      <c r="P204" s="39" t="n"/>
      <c r="Q204" s="291" t="n"/>
      <c r="R204" s="39" t="n"/>
      <c r="S204" s="39" t="n"/>
      <c r="T204" s="291" t="n"/>
      <c r="U204" s="39" t="n"/>
      <c r="V204" s="39" t="n"/>
      <c r="W204" s="291" t="n"/>
      <c r="X204" s="39" t="n"/>
      <c r="Y204" s="39" t="n"/>
      <c r="Z204" s="291" t="n"/>
      <c r="AA204" s="39" t="n"/>
      <c r="AB204" s="39" t="n"/>
      <c r="AC204" s="291" t="n"/>
      <c r="AD204" s="39" t="n"/>
      <c r="AE204" s="39" t="n"/>
      <c r="AF204" s="291" t="n"/>
      <c r="AG204" s="39" t="n"/>
      <c r="AH204" s="39" t="n"/>
      <c r="AI204" s="291" t="n"/>
      <c r="AJ204" s="39" t="n"/>
      <c r="AK204" s="39" t="n"/>
      <c r="AL204" s="291" t="n"/>
      <c r="AM204" s="352" t="n"/>
      <c r="AN204" s="39" t="n"/>
      <c r="AO204" s="291" t="n"/>
      <c r="AP204" s="352" t="n"/>
      <c r="AQ204" s="39" t="n"/>
      <c r="AR204" s="291" t="n"/>
      <c r="AS204" s="352" t="n"/>
      <c r="AT204" s="39" t="n"/>
      <c r="AU204" s="291" t="n"/>
      <c r="AV204" s="352" t="n"/>
      <c r="AW204" s="39" t="n"/>
      <c r="AX204" s="291" t="n"/>
      <c r="AY204" s="291" t="n"/>
      <c r="AZ204" s="39" t="n"/>
      <c r="BA204" s="291" t="n"/>
      <c r="BB204" s="39" t="n"/>
      <c r="BC204" s="291" t="n"/>
      <c r="BD204" s="39" t="n"/>
      <c r="BE204" s="291" t="n"/>
      <c r="BF204" s="39" t="n"/>
      <c r="BG204" s="291" t="n"/>
      <c r="BH204" s="39" t="n"/>
      <c r="BI204" s="291" t="n"/>
      <c r="BJ204" s="39" t="n"/>
      <c r="BK204" s="291" t="n"/>
      <c r="BL204" s="39" t="n"/>
      <c r="BM204" s="291" t="n"/>
      <c r="BN204" s="39" t="n"/>
      <c r="BO204" s="291" t="n"/>
      <c r="BP204" s="291" t="n"/>
      <c r="BQ204" s="39" t="n"/>
      <c r="BR204" s="291" t="n"/>
      <c r="BS204" s="39" t="n"/>
      <c r="BT204" s="291" t="n"/>
      <c r="BU204" s="39" t="n"/>
      <c r="BV204" s="291" t="n"/>
      <c r="BW204" s="39" t="n"/>
      <c r="BX204" s="291" t="n"/>
      <c r="BY204" s="39" t="n"/>
      <c r="BZ204" s="291" t="n"/>
      <c r="CA204" s="39" t="n"/>
      <c r="CB204" s="291" t="n"/>
      <c r="CC204" s="39" t="n"/>
      <c r="CD204" s="291" t="n"/>
      <c r="CE204" s="39" t="n"/>
      <c r="CF204" s="291" t="n"/>
      <c r="CG204" s="39" t="n"/>
      <c r="CH204" s="291" t="n"/>
      <c r="CI204" s="39" t="n"/>
      <c r="CJ204" s="291" t="n"/>
      <c r="CK204" s="39" t="n"/>
      <c r="CL204" s="291" t="n"/>
      <c r="CM204" s="39" t="n"/>
      <c r="CN204" s="291" t="n"/>
      <c r="CO204" s="39" t="n"/>
      <c r="CP204" s="291" t="n"/>
      <c r="CQ204" s="39" t="n"/>
      <c r="CR204" s="291" t="n"/>
      <c r="CS204" s="39" t="n"/>
      <c r="CT204" s="291" t="n"/>
      <c r="CU204" s="39" t="n"/>
      <c r="CV204" s="343" t="n"/>
      <c r="CW204" s="291" t="n"/>
      <c r="CX204" s="39" t="n"/>
      <c r="CY204" s="291" t="n"/>
      <c r="CZ204" s="39" t="n"/>
      <c r="DA204" s="291" t="n"/>
      <c r="DB204" s="39" t="n"/>
      <c r="DC204" s="291" t="n"/>
      <c r="DD204" s="39" t="n"/>
      <c r="DE204" s="311" t="n"/>
      <c r="DF204" s="311" t="n"/>
    </row>
    <row r="205" ht="13" customFormat="1" customHeight="1" s="40">
      <c r="A205" s="345" t="n"/>
      <c r="B205" s="291" t="n"/>
      <c r="C205" s="39" t="n"/>
      <c r="D205" s="39" t="n"/>
      <c r="E205" s="291" t="n"/>
      <c r="F205" s="39" t="n"/>
      <c r="G205" s="39" t="n"/>
      <c r="H205" s="291" t="n"/>
      <c r="I205" s="39" t="n"/>
      <c r="J205" s="39" t="n"/>
      <c r="K205" s="291" t="n"/>
      <c r="L205" s="39" t="n"/>
      <c r="M205" s="39" t="n"/>
      <c r="N205" s="291" t="n"/>
      <c r="O205" s="39" t="n"/>
      <c r="P205" s="39" t="n"/>
      <c r="Q205" s="291" t="n"/>
      <c r="R205" s="39" t="n"/>
      <c r="S205" s="39" t="n"/>
      <c r="T205" s="291" t="n"/>
      <c r="U205" s="39" t="n"/>
      <c r="V205" s="39" t="n"/>
      <c r="W205" s="291" t="n"/>
      <c r="X205" s="39" t="n"/>
      <c r="Y205" s="39" t="n"/>
      <c r="Z205" s="291" t="n"/>
      <c r="AA205" s="39" t="n"/>
      <c r="AB205" s="39" t="n"/>
      <c r="AC205" s="291" t="n"/>
      <c r="AD205" s="39" t="n"/>
      <c r="AE205" s="39" t="n"/>
      <c r="AF205" s="291" t="n"/>
      <c r="AG205" s="39" t="n"/>
      <c r="AH205" s="39" t="n"/>
      <c r="AI205" s="291" t="n"/>
      <c r="AJ205" s="39" t="n"/>
      <c r="AK205" s="39" t="n"/>
      <c r="AL205" s="291" t="n"/>
      <c r="AM205" s="352" t="n"/>
      <c r="AN205" s="39" t="n"/>
      <c r="AO205" s="291" t="n"/>
      <c r="AP205" s="352" t="n"/>
      <c r="AQ205" s="39" t="n"/>
      <c r="AR205" s="291" t="n"/>
      <c r="AS205" s="352" t="n"/>
      <c r="AT205" s="39" t="n"/>
      <c r="AU205" s="291" t="n"/>
      <c r="AV205" s="352" t="n"/>
      <c r="AW205" s="39" t="n"/>
      <c r="AX205" s="291" t="n"/>
      <c r="AY205" s="291" t="n"/>
      <c r="AZ205" s="39" t="n"/>
      <c r="BA205" s="291" t="n"/>
      <c r="BB205" s="39" t="n"/>
      <c r="BC205" s="291" t="n"/>
      <c r="BD205" s="39" t="n"/>
      <c r="BE205" s="291" t="n"/>
      <c r="BF205" s="39" t="n"/>
      <c r="BG205" s="291" t="n"/>
      <c r="BH205" s="39" t="n"/>
      <c r="BI205" s="291" t="n"/>
      <c r="BJ205" s="39" t="n"/>
      <c r="BK205" s="291" t="n"/>
      <c r="BL205" s="39" t="n"/>
      <c r="BM205" s="291" t="n"/>
      <c r="BN205" s="39" t="n"/>
      <c r="BO205" s="291" t="n"/>
      <c r="BP205" s="291" t="n"/>
      <c r="BQ205" s="39" t="n"/>
      <c r="BR205" s="291" t="n"/>
      <c r="BS205" s="39" t="n"/>
      <c r="BT205" s="291" t="n"/>
      <c r="BU205" s="39" t="n"/>
      <c r="BV205" s="291" t="n"/>
      <c r="BW205" s="39" t="n"/>
      <c r="BX205" s="291" t="n"/>
      <c r="BY205" s="39" t="n"/>
      <c r="BZ205" s="291" t="n"/>
      <c r="CA205" s="39" t="n"/>
      <c r="CB205" s="291" t="n"/>
      <c r="CC205" s="39" t="n"/>
      <c r="CD205" s="291" t="n"/>
      <c r="CE205" s="39" t="n"/>
      <c r="CF205" s="291" t="n"/>
      <c r="CG205" s="39" t="n"/>
      <c r="CH205" s="291" t="n"/>
      <c r="CI205" s="39" t="n"/>
      <c r="CJ205" s="291" t="n"/>
      <c r="CK205" s="39" t="n"/>
      <c r="CL205" s="291" t="n"/>
      <c r="CM205" s="39" t="n"/>
      <c r="CN205" s="291" t="n"/>
      <c r="CO205" s="39" t="n"/>
      <c r="CP205" s="291" t="n"/>
      <c r="CQ205" s="39" t="n"/>
      <c r="CR205" s="291" t="n"/>
      <c r="CS205" s="39" t="n"/>
      <c r="CT205" s="291" t="n"/>
      <c r="CU205" s="39" t="n"/>
      <c r="CV205" s="343" t="n"/>
      <c r="CW205" s="291" t="n"/>
      <c r="CX205" s="39" t="n"/>
      <c r="CY205" s="291" t="n"/>
      <c r="CZ205" s="39" t="n"/>
      <c r="DA205" s="291" t="n"/>
      <c r="DB205" s="39" t="n"/>
      <c r="DC205" s="291" t="n"/>
      <c r="DD205" s="39" t="n"/>
      <c r="DE205" s="311" t="n"/>
      <c r="DF205" s="311" t="n"/>
    </row>
    <row r="206" customFormat="1" s="40">
      <c r="A206" s="345" t="n"/>
      <c r="B206" s="291" t="n"/>
      <c r="C206" s="39" t="n"/>
      <c r="D206" s="39" t="n"/>
      <c r="E206" s="291" t="n"/>
      <c r="F206" s="39" t="n"/>
      <c r="G206" s="39" t="n"/>
      <c r="H206" s="291" t="n"/>
      <c r="I206" s="39" t="n"/>
      <c r="J206" s="39" t="n"/>
      <c r="K206" s="291" t="n"/>
      <c r="L206" s="39" t="n"/>
      <c r="M206" s="39" t="n"/>
      <c r="N206" s="291" t="n"/>
      <c r="O206" s="39" t="n"/>
      <c r="P206" s="39" t="n"/>
      <c r="Q206" s="291" t="n"/>
      <c r="R206" s="39" t="n"/>
      <c r="S206" s="39" t="n"/>
      <c r="T206" s="291" t="n"/>
      <c r="U206" s="39" t="n"/>
      <c r="V206" s="39" t="n"/>
      <c r="W206" s="291" t="n"/>
      <c r="X206" s="39" t="n"/>
      <c r="Y206" s="39" t="n"/>
      <c r="Z206" s="291" t="n"/>
      <c r="AA206" s="39" t="n"/>
      <c r="AB206" s="39" t="n"/>
      <c r="AC206" s="291" t="n"/>
      <c r="AD206" s="39" t="n"/>
      <c r="AE206" s="39" t="n"/>
      <c r="AF206" s="291" t="n"/>
      <c r="AG206" s="39" t="n"/>
      <c r="AH206" s="39" t="n"/>
      <c r="AI206" s="291" t="n"/>
      <c r="AJ206" s="39" t="n"/>
      <c r="AK206" s="39" t="n"/>
      <c r="AL206" s="291" t="n"/>
      <c r="AM206" s="352" t="n"/>
      <c r="AN206" s="39" t="n"/>
      <c r="AO206" s="291" t="n"/>
      <c r="AP206" s="352" t="n"/>
      <c r="AQ206" s="39" t="n"/>
      <c r="AR206" s="291" t="n"/>
      <c r="AS206" s="352" t="n"/>
      <c r="AT206" s="39" t="n"/>
      <c r="AU206" s="291" t="n"/>
      <c r="AV206" s="352" t="n"/>
      <c r="AW206" s="39" t="n"/>
      <c r="AX206" s="291" t="n"/>
      <c r="AY206" s="291" t="n"/>
      <c r="AZ206" s="39" t="n"/>
      <c r="BA206" s="291" t="n"/>
      <c r="BB206" s="39" t="n"/>
      <c r="BC206" s="291" t="n"/>
      <c r="BD206" s="39" t="n"/>
      <c r="BE206" s="291" t="n"/>
      <c r="BF206" s="39" t="n"/>
      <c r="BG206" s="291" t="n"/>
      <c r="BH206" s="39" t="n"/>
      <c r="BI206" s="291" t="n"/>
      <c r="BJ206" s="39" t="n"/>
      <c r="BK206" s="291" t="n"/>
      <c r="BL206" s="39" t="n"/>
      <c r="BM206" s="291" t="n"/>
      <c r="BN206" s="39" t="n"/>
      <c r="BO206" s="291" t="n"/>
      <c r="BP206" s="349" t="n"/>
      <c r="BQ206" s="39" t="n"/>
      <c r="BR206" s="291" t="n"/>
      <c r="BS206" s="39" t="n"/>
      <c r="BT206" s="291" t="n"/>
      <c r="BU206" s="39" t="n"/>
      <c r="BV206" s="291" t="n"/>
      <c r="BW206" s="39" t="n"/>
      <c r="BX206" s="291" t="n"/>
      <c r="BY206" s="39" t="n"/>
      <c r="BZ206" s="291" t="n"/>
      <c r="CA206" s="39" t="n"/>
      <c r="CB206" s="291" t="n"/>
      <c r="CC206" s="39" t="n"/>
      <c r="CD206" s="291" t="n"/>
      <c r="CE206" s="39" t="n"/>
      <c r="CF206" s="291" t="n"/>
      <c r="CG206" s="39" t="n"/>
      <c r="CH206" s="291" t="n"/>
      <c r="CI206" s="39" t="n"/>
      <c r="CJ206" s="291" t="n"/>
      <c r="CK206" s="39" t="n"/>
      <c r="CL206" s="291" t="n"/>
      <c r="CM206" s="39" t="n"/>
      <c r="CN206" s="291" t="n"/>
      <c r="CO206" s="39" t="n"/>
      <c r="CP206" s="291" t="n"/>
      <c r="CQ206" s="39" t="n"/>
      <c r="CR206" s="291" t="n"/>
      <c r="CS206" s="39" t="n"/>
      <c r="CT206" s="291" t="n"/>
      <c r="CU206" s="39" t="n"/>
      <c r="CV206" s="39" t="n"/>
      <c r="CW206" s="350" t="n"/>
      <c r="CX206" s="39" t="n"/>
      <c r="CY206" s="350" t="n"/>
      <c r="CZ206" s="39" t="n"/>
      <c r="DA206" s="350" t="n"/>
      <c r="DB206" s="39" t="n"/>
      <c r="DC206" s="1" t="n"/>
      <c r="DD206" s="39" t="n"/>
      <c r="DE206" s="270" t="n"/>
      <c r="DF206" s="270" t="n"/>
    </row>
    <row r="207" customFormat="1" s="40">
      <c r="A207" s="345" t="n"/>
      <c r="B207" s="291" t="n"/>
      <c r="C207" s="39" t="n"/>
      <c r="D207" s="39" t="n"/>
      <c r="E207" s="291" t="n"/>
      <c r="F207" s="39" t="n"/>
      <c r="G207" s="39" t="n"/>
      <c r="H207" s="291" t="n"/>
      <c r="I207" s="39" t="n"/>
      <c r="J207" s="39" t="n"/>
      <c r="K207" s="291" t="n"/>
      <c r="L207" s="39" t="n"/>
      <c r="M207" s="39" t="n"/>
      <c r="N207" s="291" t="n"/>
      <c r="O207" s="39" t="n"/>
      <c r="P207" s="39" t="n"/>
      <c r="Q207" s="291" t="n"/>
      <c r="R207" s="39" t="n"/>
      <c r="S207" s="39" t="n"/>
      <c r="T207" s="291" t="n"/>
      <c r="U207" s="39" t="n"/>
      <c r="V207" s="39" t="n"/>
      <c r="W207" s="291" t="n"/>
      <c r="X207" s="39" t="n"/>
      <c r="Y207" s="39" t="n"/>
      <c r="Z207" s="291" t="n"/>
      <c r="AA207" s="39" t="n"/>
      <c r="AB207" s="39" t="n"/>
      <c r="AC207" s="291" t="n"/>
      <c r="AD207" s="39" t="n"/>
      <c r="AE207" s="39" t="n"/>
      <c r="AF207" s="291" t="n"/>
      <c r="AG207" s="39" t="n"/>
      <c r="AH207" s="39" t="n"/>
      <c r="AI207" s="291" t="n"/>
      <c r="AJ207" s="39" t="n"/>
      <c r="AK207" s="39" t="n"/>
      <c r="AL207" s="291" t="n"/>
      <c r="AM207" s="352" t="n"/>
      <c r="AN207" s="39" t="n"/>
      <c r="AO207" s="291" t="n"/>
      <c r="AP207" s="352" t="n"/>
      <c r="AQ207" s="39" t="n"/>
      <c r="AR207" s="291" t="n"/>
      <c r="AS207" s="352" t="n"/>
      <c r="AT207" s="39" t="n"/>
      <c r="AU207" s="291" t="n"/>
      <c r="AV207" s="352" t="n"/>
      <c r="AW207" s="39" t="n"/>
      <c r="AX207" s="291" t="n"/>
      <c r="AY207" s="291" t="n"/>
      <c r="AZ207" s="39" t="n"/>
      <c r="BA207" s="291" t="n"/>
      <c r="BB207" s="39" t="n"/>
      <c r="BC207" s="291" t="n"/>
      <c r="BD207" s="39" t="n"/>
      <c r="BE207" s="291" t="n"/>
      <c r="BF207" s="39" t="n"/>
      <c r="BG207" s="291" t="n"/>
      <c r="BH207" s="39" t="n"/>
      <c r="BI207" s="291" t="n"/>
      <c r="BJ207" s="39" t="n"/>
      <c r="BK207" s="291" t="n"/>
      <c r="BL207" s="39" t="n"/>
      <c r="BM207" s="291" t="n"/>
      <c r="BN207" s="39" t="n"/>
      <c r="BO207" s="291" t="n"/>
      <c r="BP207" s="349" t="n"/>
      <c r="BQ207" s="39" t="n"/>
      <c r="BR207" s="291" t="n"/>
      <c r="BS207" s="39" t="n"/>
      <c r="BT207" s="291" t="n"/>
      <c r="BU207" s="39" t="n"/>
      <c r="BV207" s="291" t="n"/>
      <c r="BW207" s="39" t="n"/>
      <c r="BX207" s="291" t="n"/>
      <c r="BY207" s="39" t="n"/>
      <c r="BZ207" s="291" t="n"/>
      <c r="CA207" s="39" t="n"/>
      <c r="CB207" s="291" t="n"/>
      <c r="CC207" s="39" t="n"/>
      <c r="CD207" s="291" t="n"/>
      <c r="CE207" s="39" t="n"/>
      <c r="CF207" s="291" t="n"/>
      <c r="CG207" s="39" t="n"/>
      <c r="CH207" s="291" t="n"/>
      <c r="CI207" s="39" t="n"/>
      <c r="CJ207" s="291" t="n"/>
      <c r="CK207" s="39" t="n"/>
      <c r="CL207" s="291" t="n"/>
      <c r="CM207" s="39" t="n"/>
      <c r="CN207" s="291" t="n"/>
      <c r="CO207" s="39" t="n"/>
      <c r="CP207" s="291" t="n"/>
      <c r="CQ207" s="39" t="n"/>
      <c r="CR207" s="291" t="n"/>
      <c r="CS207" s="39" t="n"/>
      <c r="CT207" s="291" t="n"/>
      <c r="CU207" s="39" t="n"/>
      <c r="CV207" s="39" t="n"/>
      <c r="CW207" s="350" t="n"/>
      <c r="CX207" s="39" t="n"/>
      <c r="CY207" s="350" t="n"/>
      <c r="CZ207" s="39" t="n"/>
      <c r="DA207" s="350" t="n"/>
      <c r="DB207" s="39" t="n"/>
      <c r="DC207" s="1" t="n"/>
      <c r="DD207" s="39" t="n"/>
      <c r="DE207" s="270" t="n"/>
      <c r="DF207" s="270" t="n"/>
    </row>
    <row r="208" customFormat="1" s="116">
      <c r="A208" s="351" t="n"/>
      <c r="B208" s="317" t="n"/>
      <c r="C208" s="39" t="n"/>
      <c r="D208" s="39" t="n"/>
      <c r="E208" s="317" t="n"/>
      <c r="F208" s="39" t="n"/>
      <c r="G208" s="39" t="n"/>
      <c r="H208" s="317" t="n"/>
      <c r="I208" s="39" t="n"/>
      <c r="J208" s="39" t="n"/>
      <c r="K208" s="317" t="n"/>
      <c r="L208" s="39" t="n"/>
      <c r="M208" s="39" t="n"/>
      <c r="N208" s="317" t="n"/>
      <c r="O208" s="39" t="n"/>
      <c r="P208" s="39" t="n"/>
      <c r="Q208" s="317" t="n"/>
      <c r="R208" s="39" t="n"/>
      <c r="S208" s="39" t="n"/>
      <c r="T208" s="317" t="n"/>
      <c r="U208" s="39" t="n"/>
      <c r="V208" s="39" t="n"/>
      <c r="W208" s="317" t="n"/>
      <c r="X208" s="39" t="n"/>
      <c r="Y208" s="39" t="n"/>
      <c r="Z208" s="317" t="n"/>
      <c r="AA208" s="39" t="n"/>
      <c r="AB208" s="39" t="n"/>
      <c r="AC208" s="317" t="n"/>
      <c r="AD208" s="39" t="n"/>
      <c r="AE208" s="39" t="n"/>
      <c r="AF208" s="317" t="n"/>
      <c r="AG208" s="39" t="n"/>
      <c r="AH208" s="39" t="n"/>
      <c r="AI208" s="317" t="n"/>
      <c r="AJ208" s="39" t="n"/>
      <c r="AK208" s="39" t="n"/>
      <c r="AL208" s="317" t="n"/>
      <c r="AM208" s="352" t="n"/>
      <c r="AN208" s="352" t="n"/>
      <c r="AO208" s="317" t="n"/>
      <c r="AP208" s="352" t="n"/>
      <c r="AQ208" s="352" t="n"/>
      <c r="AR208" s="317" t="n"/>
      <c r="AS208" s="352" t="n"/>
      <c r="AT208" s="352" t="n"/>
      <c r="AU208" s="317" t="n"/>
      <c r="AV208" s="352" t="n"/>
      <c r="AW208" s="352" t="n"/>
      <c r="AX208" s="317" t="n"/>
      <c r="AY208" s="317" t="n"/>
      <c r="AZ208" s="39" t="n"/>
      <c r="BA208" s="317" t="n"/>
      <c r="BB208" s="39" t="n"/>
      <c r="BC208" s="317" t="n"/>
      <c r="BD208" s="39" t="n"/>
      <c r="BE208" s="317" t="n"/>
      <c r="BF208" s="39" t="n"/>
      <c r="BG208" s="317" t="n"/>
      <c r="BH208" s="39" t="n"/>
      <c r="BI208" s="317" t="n"/>
      <c r="BJ208" s="39" t="n"/>
      <c r="BK208" s="317" t="n"/>
      <c r="BL208" s="39" t="n"/>
      <c r="BM208" s="317" t="n"/>
      <c r="BN208" s="39" t="n"/>
      <c r="BO208" s="317" t="n"/>
      <c r="BP208" s="354" t="n"/>
      <c r="BQ208" s="39" t="n"/>
      <c r="BR208" s="317" t="n"/>
      <c r="BS208" s="39" t="n"/>
      <c r="BT208" s="317" t="n"/>
      <c r="BU208" s="39" t="n"/>
      <c r="BV208" s="317" t="n"/>
      <c r="BW208" s="39" t="n"/>
      <c r="BX208" s="317" t="n"/>
      <c r="BY208" s="39" t="n"/>
      <c r="BZ208" s="317" t="n"/>
      <c r="CA208" s="39" t="n"/>
      <c r="CB208" s="317" t="n"/>
      <c r="CC208" s="39" t="n"/>
      <c r="CD208" s="317" t="n"/>
      <c r="CE208" s="39" t="n"/>
      <c r="CF208" s="317" t="n"/>
      <c r="CG208" s="39" t="n"/>
      <c r="CH208" s="317" t="n"/>
      <c r="CI208" s="39" t="n"/>
      <c r="CJ208" s="317" t="n"/>
      <c r="CK208" s="39" t="n"/>
      <c r="CL208" s="317" t="n"/>
      <c r="CM208" s="39" t="n"/>
      <c r="CN208" s="317" t="n"/>
      <c r="CO208" s="39" t="n"/>
      <c r="CP208" s="317" t="n"/>
      <c r="CQ208" s="39" t="n"/>
      <c r="CR208" s="317" t="n"/>
      <c r="CS208" s="39" t="n"/>
      <c r="CT208" s="317" t="n"/>
      <c r="CU208" s="39" t="n"/>
      <c r="CV208" s="39" t="n"/>
      <c r="CW208" s="355" t="n"/>
      <c r="CX208" s="39" t="n"/>
      <c r="CY208" s="355" t="n"/>
      <c r="CZ208" s="39" t="n"/>
      <c r="DA208" s="355" t="n"/>
      <c r="DB208" s="39" t="n"/>
      <c r="DC208" s="117" t="n"/>
      <c r="DD208" s="39" t="n"/>
      <c r="DE208" s="356" t="n"/>
      <c r="DF208" s="356" t="n"/>
    </row>
    <row r="209" customFormat="1" s="116">
      <c r="A209" s="351" t="n"/>
      <c r="B209" s="317" t="n"/>
      <c r="C209" s="39" t="n"/>
      <c r="D209" s="39" t="n"/>
      <c r="E209" s="317" t="n"/>
      <c r="F209" s="39" t="n"/>
      <c r="G209" s="39" t="n"/>
      <c r="H209" s="317" t="n"/>
      <c r="I209" s="39" t="n"/>
      <c r="J209" s="39" t="n"/>
      <c r="K209" s="317" t="n"/>
      <c r="L209" s="39" t="n"/>
      <c r="M209" s="39" t="n"/>
      <c r="N209" s="317" t="n"/>
      <c r="O209" s="39" t="n"/>
      <c r="P209" s="39" t="n"/>
      <c r="Q209" s="317" t="n"/>
      <c r="R209" s="39" t="n"/>
      <c r="S209" s="39" t="n"/>
      <c r="T209" s="317" t="n"/>
      <c r="U209" s="39" t="n"/>
      <c r="V209" s="39" t="n"/>
      <c r="W209" s="317" t="n"/>
      <c r="X209" s="39" t="n"/>
      <c r="Y209" s="39" t="n"/>
      <c r="Z209" s="317" t="n"/>
      <c r="AA209" s="39" t="n"/>
      <c r="AB209" s="39" t="n"/>
      <c r="AC209" s="317" t="n"/>
      <c r="AD209" s="39" t="n"/>
      <c r="AE209" s="39" t="n"/>
      <c r="AF209" s="317" t="n"/>
      <c r="AG209" s="39" t="n"/>
      <c r="AH209" s="39" t="n"/>
      <c r="AI209" s="317" t="n"/>
      <c r="AJ209" s="39" t="n"/>
      <c r="AK209" s="39" t="n"/>
      <c r="AL209" s="317" t="n"/>
      <c r="AM209" s="352" t="n"/>
      <c r="AN209" s="352" t="n"/>
      <c r="AO209" s="317" t="n"/>
      <c r="AP209" s="352" t="n"/>
      <c r="AQ209" s="352" t="n"/>
      <c r="AR209" s="317" t="n"/>
      <c r="AS209" s="352" t="n"/>
      <c r="AT209" s="352" t="n"/>
      <c r="AU209" s="317" t="n"/>
      <c r="AV209" s="352" t="n"/>
      <c r="AW209" s="352" t="n"/>
      <c r="AX209" s="317" t="n"/>
      <c r="AY209" s="317" t="n"/>
      <c r="AZ209" s="39" t="n"/>
      <c r="BA209" s="317" t="n"/>
      <c r="BB209" s="39" t="n"/>
      <c r="BC209" s="317" t="n"/>
      <c r="BD209" s="39" t="n"/>
      <c r="BE209" s="317" t="n"/>
      <c r="BF209" s="39" t="n"/>
      <c r="BG209" s="317" t="n"/>
      <c r="BH209" s="39" t="n"/>
      <c r="BI209" s="317" t="n"/>
      <c r="BJ209" s="39" t="n"/>
      <c r="BK209" s="317" t="n"/>
      <c r="BL209" s="39" t="n"/>
      <c r="BM209" s="317" t="n"/>
      <c r="BN209" s="39" t="n"/>
      <c r="BO209" s="317" t="n"/>
      <c r="BP209" s="354" t="n"/>
      <c r="BQ209" s="39" t="n"/>
      <c r="BR209" s="317" t="n"/>
      <c r="BS209" s="39" t="n"/>
      <c r="BT209" s="317" t="n"/>
      <c r="BU209" s="39" t="n"/>
      <c r="BV209" s="317" t="n"/>
      <c r="BW209" s="39" t="n"/>
      <c r="BX209" s="317" t="n"/>
      <c r="BY209" s="39" t="n"/>
      <c r="BZ209" s="317" t="n"/>
      <c r="CA209" s="39" t="n"/>
      <c r="CB209" s="317" t="n"/>
      <c r="CC209" s="39" t="n"/>
      <c r="CD209" s="317" t="n"/>
      <c r="CE209" s="39" t="n"/>
      <c r="CF209" s="317" t="n"/>
      <c r="CG209" s="39" t="n"/>
      <c r="CH209" s="317" t="n"/>
      <c r="CI209" s="39" t="n"/>
      <c r="CJ209" s="317" t="n"/>
      <c r="CK209" s="39" t="n"/>
      <c r="CL209" s="317" t="n"/>
      <c r="CM209" s="39" t="n"/>
      <c r="CN209" s="317" t="n"/>
      <c r="CO209" s="39" t="n"/>
      <c r="CP209" s="317" t="n"/>
      <c r="CQ209" s="39" t="n"/>
      <c r="CR209" s="317" t="n"/>
      <c r="CS209" s="39" t="n"/>
      <c r="CT209" s="317" t="n"/>
      <c r="CU209" s="39" t="n"/>
      <c r="CV209" s="39" t="n"/>
      <c r="CW209" s="355" t="n"/>
      <c r="CX209" s="39" t="n"/>
      <c r="CY209" s="355" t="n"/>
      <c r="CZ209" s="39" t="n"/>
      <c r="DA209" s="355" t="n"/>
      <c r="DB209" s="39" t="n"/>
      <c r="DC209" s="117" t="n"/>
      <c r="DD209" s="39" t="n"/>
      <c r="DE209" s="356" t="n"/>
      <c r="DF209" s="356" t="n"/>
    </row>
    <row r="210" customFormat="1" s="116">
      <c r="A210" s="351" t="n"/>
      <c r="B210" s="317" t="n"/>
      <c r="C210" s="39" t="n"/>
      <c r="D210" s="39" t="n"/>
      <c r="E210" s="317" t="n"/>
      <c r="F210" s="39" t="n"/>
      <c r="G210" s="39" t="n"/>
      <c r="H210" s="317" t="n"/>
      <c r="I210" s="39" t="n"/>
      <c r="J210" s="39" t="n"/>
      <c r="K210" s="317" t="n"/>
      <c r="L210" s="39" t="n"/>
      <c r="M210" s="39" t="n"/>
      <c r="N210" s="317" t="n"/>
      <c r="O210" s="39" t="n"/>
      <c r="P210" s="39" t="n"/>
      <c r="Q210" s="317" t="n"/>
      <c r="R210" s="39" t="n"/>
      <c r="S210" s="39" t="n"/>
      <c r="T210" s="317" t="n"/>
      <c r="U210" s="39" t="n"/>
      <c r="V210" s="39" t="n"/>
      <c r="W210" s="317" t="n"/>
      <c r="X210" s="39" t="n"/>
      <c r="Y210" s="39" t="n"/>
      <c r="Z210" s="317" t="n"/>
      <c r="AA210" s="39" t="n"/>
      <c r="AB210" s="39" t="n"/>
      <c r="AC210" s="317" t="n"/>
      <c r="AD210" s="39" t="n"/>
      <c r="AE210" s="39" t="n"/>
      <c r="AF210" s="317" t="n"/>
      <c r="AG210" s="39" t="n"/>
      <c r="AH210" s="39" t="n"/>
      <c r="AI210" s="317" t="n"/>
      <c r="AJ210" s="39" t="n"/>
      <c r="AK210" s="39" t="n"/>
      <c r="AL210" s="317" t="n"/>
      <c r="AM210" s="352" t="n"/>
      <c r="AN210" s="352" t="n"/>
      <c r="AO210" s="317" t="n"/>
      <c r="AP210" s="352" t="n"/>
      <c r="AQ210" s="352" t="n"/>
      <c r="AR210" s="317" t="n"/>
      <c r="AS210" s="352" t="n"/>
      <c r="AT210" s="352" t="n"/>
      <c r="AU210" s="317" t="n"/>
      <c r="AV210" s="352" t="n"/>
      <c r="AW210" s="352" t="n"/>
      <c r="AX210" s="317" t="n"/>
      <c r="AY210" s="317" t="n"/>
      <c r="AZ210" s="39" t="n"/>
      <c r="BA210" s="317" t="n"/>
      <c r="BB210" s="39" t="n"/>
      <c r="BC210" s="317" t="n"/>
      <c r="BD210" s="39" t="n"/>
      <c r="BE210" s="317" t="n"/>
      <c r="BF210" s="39" t="n"/>
      <c r="BG210" s="317" t="n"/>
      <c r="BH210" s="39" t="n"/>
      <c r="BI210" s="317" t="n"/>
      <c r="BJ210" s="39" t="n"/>
      <c r="BK210" s="317" t="n"/>
      <c r="BL210" s="39" t="n"/>
      <c r="BM210" s="317" t="n"/>
      <c r="BN210" s="39" t="n"/>
      <c r="BO210" s="317" t="n"/>
      <c r="BP210" s="354" t="n"/>
      <c r="BQ210" s="39" t="n"/>
      <c r="BR210" s="317" t="n"/>
      <c r="BS210" s="39" t="n"/>
      <c r="BT210" s="317" t="n"/>
      <c r="BU210" s="39" t="n"/>
      <c r="BV210" s="317" t="n"/>
      <c r="BW210" s="39" t="n"/>
      <c r="BX210" s="317" t="n"/>
      <c r="BY210" s="39" t="n"/>
      <c r="BZ210" s="317" t="n"/>
      <c r="CA210" s="39" t="n"/>
      <c r="CB210" s="317" t="n"/>
      <c r="CC210" s="39" t="n"/>
      <c r="CD210" s="317" t="n"/>
      <c r="CE210" s="39" t="n"/>
      <c r="CF210" s="317" t="n"/>
      <c r="CG210" s="39" t="n"/>
      <c r="CH210" s="317" t="n"/>
      <c r="CI210" s="39" t="n"/>
      <c r="CJ210" s="317" t="n"/>
      <c r="CK210" s="39" t="n"/>
      <c r="CL210" s="317" t="n"/>
      <c r="CM210" s="39" t="n"/>
      <c r="CN210" s="317" t="n"/>
      <c r="CO210" s="39" t="n"/>
      <c r="CP210" s="317" t="n"/>
      <c r="CQ210" s="39" t="n"/>
      <c r="CR210" s="317" t="n"/>
      <c r="CS210" s="39" t="n"/>
      <c r="CT210" s="317" t="n"/>
      <c r="CU210" s="39" t="n"/>
      <c r="CV210" s="39" t="n"/>
      <c r="CW210" s="355" t="n"/>
      <c r="CX210" s="39" t="n"/>
      <c r="CY210" s="355" t="n"/>
      <c r="CZ210" s="39" t="n"/>
      <c r="DA210" s="355" t="n"/>
      <c r="DB210" s="39" t="n"/>
      <c r="DC210" s="117" t="n"/>
      <c r="DD210" s="39" t="n"/>
      <c r="DE210" s="356" t="n"/>
      <c r="DF210" s="356" t="n"/>
    </row>
    <row r="211" ht="13" customFormat="1" customHeight="1" s="40">
      <c r="A211" s="326" t="n"/>
      <c r="B211" s="291" t="n"/>
      <c r="C211" s="39" t="n"/>
      <c r="D211" s="39" t="n"/>
      <c r="E211" s="291" t="n"/>
      <c r="F211" s="39" t="n"/>
      <c r="G211" s="39" t="n"/>
      <c r="H211" s="291" t="n"/>
      <c r="I211" s="39" t="n"/>
      <c r="J211" s="39" t="n"/>
      <c r="K211" s="291" t="n"/>
      <c r="L211" s="39" t="n"/>
      <c r="M211" s="39" t="n"/>
      <c r="N211" s="291" t="n"/>
      <c r="O211" s="39" t="n"/>
      <c r="P211" s="39" t="n"/>
      <c r="Q211" s="291" t="n"/>
      <c r="R211" s="39" t="n"/>
      <c r="S211" s="39" t="n"/>
      <c r="T211" s="291" t="n"/>
      <c r="U211" s="39" t="n"/>
      <c r="V211" s="39" t="n"/>
      <c r="W211" s="291" t="n"/>
      <c r="X211" s="39" t="n"/>
      <c r="Y211" s="39" t="n"/>
      <c r="Z211" s="291" t="n"/>
      <c r="AA211" s="37" t="n"/>
      <c r="AB211" s="37" t="n"/>
      <c r="AC211" s="291" t="n"/>
      <c r="AD211" s="37" t="n"/>
      <c r="AE211" s="37" t="n"/>
      <c r="AF211" s="291" t="n"/>
      <c r="AG211" s="37" t="n"/>
      <c r="AH211" s="37" t="n"/>
      <c r="AI211" s="291" t="n"/>
      <c r="AJ211" s="37" t="n"/>
      <c r="AK211" s="37" t="n"/>
      <c r="AL211" s="291" t="n"/>
      <c r="AM211" s="291" t="n"/>
      <c r="AN211" s="291" t="n"/>
      <c r="AO211" s="291" t="n"/>
      <c r="AP211" s="291" t="n"/>
      <c r="AQ211" s="291" t="n"/>
      <c r="AR211" s="291" t="n"/>
      <c r="AS211" s="291" t="n"/>
      <c r="AT211" s="291" t="n"/>
      <c r="AU211" s="291" t="n"/>
      <c r="AV211" s="291" t="n"/>
      <c r="AW211" s="291" t="n"/>
      <c r="AX211" s="291" t="n"/>
      <c r="AY211" s="291" t="n"/>
      <c r="AZ211" s="39" t="n"/>
      <c r="BA211" s="291" t="n"/>
      <c r="BB211" s="39" t="n"/>
      <c r="BC211" s="291" t="n"/>
      <c r="BD211" s="39" t="n"/>
      <c r="BE211" s="291" t="n"/>
      <c r="BF211" s="39" t="n"/>
      <c r="BG211" s="291" t="n"/>
      <c r="BH211" s="39" t="n"/>
      <c r="BI211" s="291" t="n"/>
      <c r="BJ211" s="39" t="n"/>
      <c r="BK211" s="291" t="n"/>
      <c r="BL211" s="39" t="n"/>
      <c r="BM211" s="291" t="n"/>
      <c r="BN211" s="39" t="n"/>
      <c r="BO211" s="291" t="n"/>
      <c r="BP211" s="291" t="n"/>
      <c r="BQ211" s="39" t="n"/>
      <c r="BR211" s="291" t="n"/>
      <c r="BS211" s="39" t="n"/>
      <c r="BT211" s="291" t="n"/>
      <c r="BU211" s="39" t="n"/>
      <c r="BV211" s="291" t="n"/>
      <c r="BW211" s="39" t="n"/>
      <c r="BX211" s="291" t="n"/>
      <c r="BY211" s="39" t="n"/>
      <c r="BZ211" s="291" t="n"/>
      <c r="CA211" s="39" t="n"/>
      <c r="CB211" s="291" t="n"/>
      <c r="CC211" s="39" t="n"/>
      <c r="CD211" s="291" t="n"/>
      <c r="CE211" s="39" t="n"/>
      <c r="CF211" s="291" t="n"/>
      <c r="CG211" s="291" t="n"/>
      <c r="CH211" s="291" t="n"/>
      <c r="CI211" s="291" t="n"/>
      <c r="CJ211" s="291" t="n"/>
      <c r="CK211" s="291" t="n"/>
      <c r="CL211" s="291" t="n"/>
      <c r="CM211" s="291" t="n"/>
      <c r="CN211" s="291" t="n"/>
      <c r="CO211" s="291" t="n"/>
      <c r="CP211" s="343" t="n"/>
      <c r="CQ211" s="291" t="n"/>
      <c r="CR211" s="343" t="n"/>
      <c r="CS211" s="291" t="n"/>
      <c r="CT211" s="343" t="n"/>
      <c r="CU211" s="291" t="n"/>
      <c r="CV211" s="343" t="n"/>
      <c r="CW211" s="291" t="n"/>
      <c r="CX211" s="39" t="n"/>
      <c r="CY211" s="291" t="n"/>
      <c r="CZ211" s="39" t="n"/>
      <c r="DA211" s="291" t="n"/>
      <c r="DB211" s="39" t="n"/>
      <c r="DC211" s="291" t="n"/>
      <c r="DD211" s="39" t="n"/>
      <c r="DE211" s="311" t="n"/>
      <c r="DF211" s="311" t="n"/>
    </row>
    <row r="212" ht="13" customFormat="1" customHeight="1" s="40">
      <c r="A212" s="335" t="n"/>
      <c r="B212" s="291" t="n"/>
      <c r="C212" s="37" t="n"/>
      <c r="D212" s="37" t="n"/>
      <c r="E212" s="291" t="n"/>
      <c r="F212" s="37" t="n"/>
      <c r="G212" s="37" t="n"/>
      <c r="H212" s="291" t="n"/>
      <c r="I212" s="37" t="n"/>
      <c r="J212" s="37" t="n"/>
      <c r="K212" s="291" t="n"/>
      <c r="L212" s="37" t="n"/>
      <c r="M212" s="37" t="n"/>
      <c r="N212" s="291" t="n"/>
      <c r="O212" s="37" t="n"/>
      <c r="P212" s="37" t="n"/>
      <c r="Q212" s="291" t="n"/>
      <c r="R212" s="37" t="n"/>
      <c r="S212" s="37" t="n"/>
      <c r="T212" s="291" t="n"/>
      <c r="U212" s="37" t="n"/>
      <c r="V212" s="37" t="n"/>
      <c r="W212" s="291" t="n"/>
      <c r="X212" s="37" t="n"/>
      <c r="Y212" s="37" t="n"/>
      <c r="Z212" s="291" t="n"/>
      <c r="AA212" s="37" t="n"/>
      <c r="AB212" s="37" t="n"/>
      <c r="AC212" s="291" t="n"/>
      <c r="AD212" s="37" t="n"/>
      <c r="AE212" s="37" t="n"/>
      <c r="AF212" s="291" t="n"/>
      <c r="AG212" s="37" t="n"/>
      <c r="AH212" s="37" t="n"/>
      <c r="AI212" s="291" t="n"/>
      <c r="AJ212" s="37" t="n"/>
      <c r="AK212" s="37" t="n"/>
      <c r="AL212" s="291" t="n"/>
      <c r="AM212" s="291" t="n"/>
      <c r="AN212" s="291" t="n"/>
      <c r="AO212" s="291" t="n"/>
      <c r="AP212" s="291" t="n"/>
      <c r="AQ212" s="291" t="n"/>
      <c r="AR212" s="291" t="n"/>
      <c r="AS212" s="291" t="n"/>
      <c r="AT212" s="291" t="n"/>
      <c r="AU212" s="291" t="n"/>
      <c r="AV212" s="291" t="n"/>
      <c r="AW212" s="291" t="n"/>
      <c r="AX212" s="291" t="n"/>
      <c r="AY212" s="291" t="n"/>
      <c r="AZ212" s="291" t="n"/>
      <c r="BA212" s="291" t="n"/>
      <c r="BB212" s="291" t="n"/>
      <c r="BC212" s="291" t="n"/>
      <c r="BD212" s="291" t="n"/>
      <c r="BE212" s="291" t="n"/>
      <c r="BF212" s="291" t="n"/>
      <c r="BG212" s="291" t="n"/>
      <c r="BH212" s="291" t="n"/>
      <c r="BI212" s="291" t="n"/>
      <c r="BJ212" s="291" t="n"/>
      <c r="BK212" s="291" t="n"/>
      <c r="BL212" s="291" t="n"/>
      <c r="BM212" s="291" t="n"/>
      <c r="BN212" s="291" t="n"/>
      <c r="BO212" s="291" t="n"/>
      <c r="BP212" s="291" t="n"/>
      <c r="BQ212" s="291" t="n"/>
      <c r="BR212" s="291" t="n"/>
      <c r="BS212" s="291" t="n"/>
      <c r="BT212" s="291" t="n"/>
      <c r="BU212" s="291" t="n"/>
      <c r="BV212" s="291" t="n"/>
      <c r="BW212" s="291" t="n"/>
      <c r="BX212" s="291" t="n"/>
      <c r="BY212" s="291" t="n"/>
      <c r="BZ212" s="291" t="n"/>
      <c r="CA212" s="291" t="n"/>
      <c r="CB212" s="291" t="n"/>
      <c r="CC212" s="291" t="n"/>
      <c r="CD212" s="291" t="n"/>
      <c r="CE212" s="291" t="n"/>
      <c r="CF212" s="291" t="n"/>
      <c r="CG212" s="291" t="n"/>
      <c r="CH212" s="291" t="n"/>
      <c r="CI212" s="291" t="n"/>
      <c r="CJ212" s="291" t="n"/>
      <c r="CK212" s="291" t="n"/>
      <c r="CL212" s="291" t="n"/>
      <c r="CM212" s="291" t="n"/>
      <c r="CN212" s="291" t="n"/>
      <c r="CO212" s="291" t="n"/>
      <c r="CP212" s="343" t="n"/>
      <c r="CQ212" s="291" t="n"/>
      <c r="CR212" s="343" t="n"/>
      <c r="CS212" s="291" t="n"/>
      <c r="CT212" s="343" t="n"/>
      <c r="CU212" s="291" t="n"/>
      <c r="CV212" s="343" t="n"/>
      <c r="CW212" s="291" t="n"/>
      <c r="CX212" s="291" t="n"/>
      <c r="CY212" s="291" t="n"/>
      <c r="CZ212" s="291" t="n"/>
      <c r="DA212" s="291" t="n"/>
      <c r="DB212" s="291" t="n"/>
      <c r="DC212" s="291" t="n"/>
      <c r="DD212" s="291" t="n"/>
      <c r="DE212" s="311" t="n"/>
      <c r="DF212" s="311" t="n"/>
    </row>
    <row r="213" ht="13" customFormat="1" customHeight="1" s="40">
      <c r="A213" s="326" t="n"/>
      <c r="B213" s="291" t="n"/>
      <c r="C213" s="37" t="n"/>
      <c r="D213" s="37" t="n"/>
      <c r="E213" s="291" t="n"/>
      <c r="F213" s="37" t="n"/>
      <c r="G213" s="37" t="n"/>
      <c r="H213" s="291" t="n"/>
      <c r="I213" s="37" t="n"/>
      <c r="J213" s="37" t="n"/>
      <c r="K213" s="291" t="n"/>
      <c r="L213" s="37" t="n"/>
      <c r="M213" s="37" t="n"/>
      <c r="N213" s="291" t="n"/>
      <c r="O213" s="37" t="n"/>
      <c r="P213" s="37" t="n"/>
      <c r="Q213" s="291" t="n"/>
      <c r="R213" s="37" t="n"/>
      <c r="S213" s="37" t="n"/>
      <c r="T213" s="291" t="n"/>
      <c r="U213" s="37" t="n"/>
      <c r="V213" s="37" t="n"/>
      <c r="W213" s="291" t="n"/>
      <c r="X213" s="37" t="n"/>
      <c r="Y213" s="37" t="n"/>
      <c r="Z213" s="291" t="n"/>
      <c r="AA213" s="37" t="n"/>
      <c r="AB213" s="37" t="n"/>
      <c r="AC213" s="291" t="n"/>
      <c r="AD213" s="37" t="n"/>
      <c r="AE213" s="37" t="n"/>
      <c r="AF213" s="291" t="n"/>
      <c r="AG213" s="37" t="n"/>
      <c r="AH213" s="37" t="n"/>
      <c r="AI213" s="291" t="n"/>
      <c r="AJ213" s="37" t="n"/>
      <c r="AK213" s="37" t="n"/>
      <c r="AL213" s="291" t="n"/>
      <c r="AM213" s="291" t="n"/>
      <c r="AN213" s="291" t="n"/>
      <c r="AO213" s="291" t="n"/>
      <c r="AP213" s="291" t="n"/>
      <c r="AQ213" s="291" t="n"/>
      <c r="AR213" s="291" t="n"/>
      <c r="AS213" s="291" t="n"/>
      <c r="AT213" s="291" t="n"/>
      <c r="AU213" s="291" t="n"/>
      <c r="AV213" s="39" t="n"/>
      <c r="AW213" s="39" t="n"/>
      <c r="AX213" s="291" t="n"/>
      <c r="AY213" s="291" t="n"/>
      <c r="AZ213" s="291" t="n"/>
      <c r="BA213" s="291" t="n"/>
      <c r="BB213" s="291" t="n"/>
      <c r="BC213" s="291" t="n"/>
      <c r="BD213" s="291" t="n"/>
      <c r="BE213" s="291" t="n"/>
      <c r="BF213" s="291" t="n"/>
      <c r="BG213" s="291" t="n"/>
      <c r="BH213" s="291" t="n"/>
      <c r="BI213" s="291" t="n"/>
      <c r="BJ213" s="291" t="n"/>
      <c r="BK213" s="291" t="n"/>
      <c r="BL213" s="291" t="n"/>
      <c r="BM213" s="291" t="n"/>
      <c r="BN213" s="291" t="n"/>
      <c r="BO213" s="291" t="n"/>
      <c r="BP213" s="291" t="n"/>
      <c r="BQ213" s="291" t="n"/>
      <c r="BR213" s="291" t="n"/>
      <c r="BS213" s="291" t="n"/>
      <c r="BT213" s="291" t="n"/>
      <c r="BU213" s="291" t="n"/>
      <c r="BV213" s="291" t="n"/>
      <c r="BW213" s="291" t="n"/>
      <c r="BX213" s="291" t="n"/>
      <c r="BY213" s="291" t="n"/>
      <c r="BZ213" s="291" t="n"/>
      <c r="CA213" s="291" t="n"/>
      <c r="CB213" s="291" t="n"/>
      <c r="CC213" s="291" t="n"/>
      <c r="CD213" s="291" t="n"/>
      <c r="CE213" s="291" t="n"/>
      <c r="CF213" s="291" t="n"/>
      <c r="CG213" s="291" t="n"/>
      <c r="CH213" s="291" t="n"/>
      <c r="CI213" s="291" t="n"/>
      <c r="CJ213" s="291" t="n"/>
      <c r="CK213" s="291" t="n"/>
      <c r="CL213" s="291" t="n"/>
      <c r="CM213" s="291" t="n"/>
      <c r="CN213" s="291" t="n"/>
      <c r="CO213" s="291" t="n"/>
      <c r="CP213" s="291" t="n"/>
      <c r="CQ213" s="291" t="n"/>
      <c r="CR213" s="291" t="n"/>
      <c r="CS213" s="291" t="n"/>
      <c r="CT213" s="291" t="n"/>
      <c r="CU213" s="291" t="n"/>
      <c r="CV213" s="343" t="n"/>
      <c r="CW213" s="291" t="n"/>
      <c r="CX213" s="291" t="n"/>
      <c r="CY213" s="291" t="n"/>
      <c r="CZ213" s="291" t="n"/>
      <c r="DA213" s="291" t="n"/>
      <c r="DB213" s="291" t="n"/>
      <c r="DC213" s="291" t="n"/>
      <c r="DD213" s="291" t="n"/>
      <c r="DE213" s="311" t="n"/>
      <c r="DF213" s="311" t="n"/>
    </row>
    <row r="214" ht="13" customFormat="1" customHeight="1" s="40">
      <c r="A214" s="326" t="n"/>
      <c r="B214" s="291" t="n"/>
      <c r="C214" s="37" t="n"/>
      <c r="D214" s="37" t="n"/>
      <c r="E214" s="291" t="n"/>
      <c r="F214" s="37" t="n"/>
      <c r="G214" s="37" t="n"/>
      <c r="H214" s="291" t="n"/>
      <c r="I214" s="37" t="n"/>
      <c r="J214" s="37" t="n"/>
      <c r="K214" s="291" t="n"/>
      <c r="L214" s="37" t="n"/>
      <c r="M214" s="37" t="n"/>
      <c r="N214" s="291" t="n"/>
      <c r="O214" s="37" t="n"/>
      <c r="P214" s="37" t="n"/>
      <c r="Q214" s="291" t="n"/>
      <c r="R214" s="37" t="n"/>
      <c r="S214" s="37" t="n"/>
      <c r="T214" s="291" t="n"/>
      <c r="U214" s="37" t="n"/>
      <c r="V214" s="37" t="n"/>
      <c r="W214" s="291" t="n"/>
      <c r="X214" s="37" t="n"/>
      <c r="Y214" s="37" t="n"/>
      <c r="Z214" s="291" t="n"/>
      <c r="AA214" s="37" t="n"/>
      <c r="AB214" s="37" t="n"/>
      <c r="AC214" s="291" t="n"/>
      <c r="AD214" s="37" t="n"/>
      <c r="AE214" s="37" t="n"/>
      <c r="AF214" s="291" t="n"/>
      <c r="AG214" s="37" t="n"/>
      <c r="AH214" s="37" t="n"/>
      <c r="AI214" s="291" t="n"/>
      <c r="AJ214" s="37" t="n"/>
      <c r="AK214" s="37" t="n"/>
      <c r="AL214" s="291" t="n"/>
      <c r="AM214" s="291" t="n"/>
      <c r="AN214" s="291" t="n"/>
      <c r="AO214" s="291" t="n"/>
      <c r="AP214" s="291" t="n"/>
      <c r="AQ214" s="291" t="n"/>
      <c r="AR214" s="291" t="n"/>
      <c r="AS214" s="291" t="n"/>
      <c r="AT214" s="291" t="n"/>
      <c r="AU214" s="291" t="n"/>
      <c r="AV214" s="39" t="n"/>
      <c r="AW214" s="39" t="n"/>
      <c r="AX214" s="291" t="n"/>
      <c r="AY214" s="291" t="n"/>
      <c r="AZ214" s="291" t="n"/>
      <c r="BA214" s="291" t="n"/>
      <c r="BB214" s="291" t="n"/>
      <c r="BC214" s="291" t="n"/>
      <c r="BD214" s="291" t="n"/>
      <c r="BE214" s="291" t="n"/>
      <c r="BF214" s="291" t="n"/>
      <c r="BG214" s="291" t="n"/>
      <c r="BH214" s="291" t="n"/>
      <c r="BI214" s="291" t="n"/>
      <c r="BJ214" s="291" t="n"/>
      <c r="BK214" s="291" t="n"/>
      <c r="BL214" s="291" t="n"/>
      <c r="BM214" s="291" t="n"/>
      <c r="BN214" s="291" t="n"/>
      <c r="BO214" s="291" t="n"/>
      <c r="BP214" s="291" t="n"/>
      <c r="BQ214" s="291" t="n"/>
      <c r="BR214" s="291" t="n"/>
      <c r="BS214" s="291" t="n"/>
      <c r="BT214" s="291" t="n"/>
      <c r="BU214" s="291" t="n"/>
      <c r="BV214" s="291" t="n"/>
      <c r="BW214" s="291" t="n"/>
      <c r="BX214" s="291" t="n"/>
      <c r="BY214" s="291" t="n"/>
      <c r="BZ214" s="291" t="n"/>
      <c r="CA214" s="291" t="n"/>
      <c r="CB214" s="291" t="n"/>
      <c r="CC214" s="291" t="n"/>
      <c r="CD214" s="291" t="n"/>
      <c r="CE214" s="291" t="n"/>
      <c r="CF214" s="291" t="n"/>
      <c r="CG214" s="291" t="n"/>
      <c r="CH214" s="291" t="n"/>
      <c r="CI214" s="291" t="n"/>
      <c r="CJ214" s="291" t="n"/>
      <c r="CK214" s="291" t="n"/>
      <c r="CL214" s="291" t="n"/>
      <c r="CM214" s="291" t="n"/>
      <c r="CN214" s="291" t="n"/>
      <c r="CO214" s="291" t="n"/>
      <c r="CP214" s="291" t="n"/>
      <c r="CQ214" s="291" t="n"/>
      <c r="CR214" s="291" t="n"/>
      <c r="CS214" s="291" t="n"/>
      <c r="CT214" s="291" t="n"/>
      <c r="CU214" s="291" t="n"/>
      <c r="CV214" s="343" t="n"/>
      <c r="CW214" s="291" t="n"/>
      <c r="CX214" s="291" t="n"/>
      <c r="CY214" s="291" t="n"/>
      <c r="CZ214" s="291" t="n"/>
      <c r="DA214" s="291" t="n"/>
      <c r="DB214" s="291" t="n"/>
      <c r="DC214" s="291" t="n"/>
      <c r="DD214" s="291" t="n"/>
      <c r="DE214" s="311" t="n"/>
      <c r="DF214" s="311" t="n"/>
    </row>
    <row r="215" ht="13" customFormat="1" customHeight="1" s="40">
      <c r="A215" s="326" t="n"/>
      <c r="B215" s="291" t="n"/>
      <c r="C215" s="37" t="n"/>
      <c r="D215" s="37" t="n"/>
      <c r="E215" s="291" t="n"/>
      <c r="F215" s="37" t="n"/>
      <c r="G215" s="37" t="n"/>
      <c r="H215" s="291" t="n"/>
      <c r="I215" s="37" t="n"/>
      <c r="J215" s="37" t="n"/>
      <c r="K215" s="291" t="n"/>
      <c r="L215" s="37" t="n"/>
      <c r="M215" s="37" t="n"/>
      <c r="N215" s="291" t="n"/>
      <c r="O215" s="37" t="n"/>
      <c r="P215" s="37" t="n"/>
      <c r="Q215" s="291" t="n"/>
      <c r="R215" s="37" t="n"/>
      <c r="S215" s="37" t="n"/>
      <c r="T215" s="291" t="n"/>
      <c r="U215" s="37" t="n"/>
      <c r="V215" s="37" t="n"/>
      <c r="W215" s="291" t="n"/>
      <c r="X215" s="37" t="n"/>
      <c r="Y215" s="37" t="n"/>
      <c r="Z215" s="291" t="n"/>
      <c r="AA215" s="37" t="n"/>
      <c r="AB215" s="37" t="n"/>
      <c r="AC215" s="291" t="n"/>
      <c r="AD215" s="37" t="n"/>
      <c r="AE215" s="37" t="n"/>
      <c r="AF215" s="291" t="n"/>
      <c r="AG215" s="37" t="n"/>
      <c r="AH215" s="37" t="n"/>
      <c r="AI215" s="291" t="n"/>
      <c r="AJ215" s="37" t="n"/>
      <c r="AK215" s="37" t="n"/>
      <c r="AL215" s="291" t="n"/>
      <c r="AM215" s="291" t="n"/>
      <c r="AN215" s="291" t="n"/>
      <c r="AO215" s="291" t="n"/>
      <c r="AP215" s="291" t="n"/>
      <c r="AQ215" s="291" t="n"/>
      <c r="AR215" s="291" t="n"/>
      <c r="AS215" s="291" t="n"/>
      <c r="AT215" s="291" t="n"/>
      <c r="AU215" s="291" t="n"/>
      <c r="AV215" s="39" t="n"/>
      <c r="AW215" s="39" t="n"/>
      <c r="AX215" s="291" t="n"/>
      <c r="AY215" s="291" t="n"/>
      <c r="AZ215" s="291" t="n"/>
      <c r="BA215" s="291" t="n"/>
      <c r="BB215" s="291" t="n"/>
      <c r="BC215" s="291" t="n"/>
      <c r="BD215" s="291" t="n"/>
      <c r="BE215" s="291" t="n"/>
      <c r="BF215" s="291" t="n"/>
      <c r="BG215" s="291" t="n"/>
      <c r="BH215" s="291" t="n"/>
      <c r="BI215" s="291" t="n"/>
      <c r="BJ215" s="291" t="n"/>
      <c r="BK215" s="291" t="n"/>
      <c r="BL215" s="291" t="n"/>
      <c r="BM215" s="291" t="n"/>
      <c r="BN215" s="291" t="n"/>
      <c r="BO215" s="291" t="n"/>
      <c r="BP215" s="291" t="n"/>
      <c r="BQ215" s="291" t="n"/>
      <c r="BR215" s="291" t="n"/>
      <c r="BS215" s="291" t="n"/>
      <c r="BT215" s="291" t="n"/>
      <c r="BU215" s="291" t="n"/>
      <c r="BV215" s="291" t="n"/>
      <c r="BW215" s="291" t="n"/>
      <c r="BX215" s="291" t="n"/>
      <c r="BY215" s="291" t="n"/>
      <c r="BZ215" s="291" t="n"/>
      <c r="CA215" s="291" t="n"/>
      <c r="CB215" s="291" t="n"/>
      <c r="CC215" s="291" t="n"/>
      <c r="CD215" s="291" t="n"/>
      <c r="CE215" s="291" t="n"/>
      <c r="CF215" s="291" t="n"/>
      <c r="CG215" s="291" t="n"/>
      <c r="CH215" s="291" t="n"/>
      <c r="CI215" s="291" t="n"/>
      <c r="CJ215" s="291" t="n"/>
      <c r="CK215" s="291" t="n"/>
      <c r="CL215" s="291" t="n"/>
      <c r="CM215" s="291" t="n"/>
      <c r="CN215" s="291" t="n"/>
      <c r="CO215" s="291" t="n"/>
      <c r="CP215" s="291" t="n"/>
      <c r="CQ215" s="291" t="n"/>
      <c r="CR215" s="291" t="n"/>
      <c r="CS215" s="291" t="n"/>
      <c r="CT215" s="291" t="n"/>
      <c r="CU215" s="291" t="n"/>
      <c r="CV215" s="343" t="n"/>
      <c r="CW215" s="291" t="n"/>
      <c r="CX215" s="291" t="n"/>
      <c r="CY215" s="291" t="n"/>
      <c r="CZ215" s="291" t="n"/>
      <c r="DA215" s="291" t="n"/>
      <c r="DB215" s="291" t="n"/>
      <c r="DC215" s="291" t="n"/>
      <c r="DD215" s="291" t="n"/>
      <c r="DE215" s="311" t="n"/>
      <c r="DF215" s="311" t="n"/>
    </row>
    <row r="216" ht="13" customFormat="1" customHeight="1" s="40">
      <c r="A216" s="326" t="n"/>
      <c r="B216" s="291" t="n"/>
      <c r="C216" s="39" t="n"/>
      <c r="D216" s="39" t="n"/>
      <c r="E216" s="291" t="n"/>
      <c r="F216" s="39" t="n"/>
      <c r="G216" s="39" t="n"/>
      <c r="H216" s="291" t="n"/>
      <c r="I216" s="39" t="n"/>
      <c r="J216" s="39" t="n"/>
      <c r="K216" s="291" t="n"/>
      <c r="L216" s="39" t="n"/>
      <c r="M216" s="39" t="n"/>
      <c r="N216" s="291" t="n"/>
      <c r="O216" s="39" t="n"/>
      <c r="P216" s="39" t="n"/>
      <c r="Q216" s="291" t="n"/>
      <c r="R216" s="39" t="n"/>
      <c r="S216" s="39" t="n"/>
      <c r="T216" s="291" t="n"/>
      <c r="U216" s="39" t="n"/>
      <c r="V216" s="39" t="n"/>
      <c r="W216" s="291" t="n"/>
      <c r="X216" s="39" t="n"/>
      <c r="Y216" s="39" t="n"/>
      <c r="Z216" s="291" t="n"/>
      <c r="AA216" s="39" t="n"/>
      <c r="AB216" s="39" t="n"/>
      <c r="AC216" s="291" t="n"/>
      <c r="AD216" s="39" t="n"/>
      <c r="AE216" s="39" t="n"/>
      <c r="AF216" s="291" t="n"/>
      <c r="AG216" s="39" t="n"/>
      <c r="AH216" s="39" t="n"/>
      <c r="AI216" s="291" t="n"/>
      <c r="AJ216" s="39" t="n"/>
      <c r="AK216" s="39" t="n"/>
      <c r="AL216" s="291" t="n"/>
      <c r="AM216" s="39" t="n"/>
      <c r="AN216" s="39" t="n"/>
      <c r="AO216" s="291" t="n"/>
      <c r="AP216" s="39" t="n"/>
      <c r="AQ216" s="39" t="n"/>
      <c r="AR216" s="291" t="n"/>
      <c r="AS216" s="39" t="n"/>
      <c r="AT216" s="39" t="n"/>
      <c r="AU216" s="291" t="n"/>
      <c r="AV216" s="39" t="n"/>
      <c r="AW216" s="39" t="n"/>
      <c r="AX216" s="291" t="n"/>
      <c r="AY216" s="291" t="n"/>
      <c r="AZ216" s="39" t="n"/>
      <c r="BA216" s="291" t="n"/>
      <c r="BB216" s="39" t="n"/>
      <c r="BC216" s="291" t="n"/>
      <c r="BD216" s="39" t="n"/>
      <c r="BE216" s="291" t="n"/>
      <c r="BF216" s="39" t="n"/>
      <c r="BG216" s="291" t="n"/>
      <c r="BH216" s="39" t="n"/>
      <c r="BI216" s="291" t="n"/>
      <c r="BJ216" s="39" t="n"/>
      <c r="BK216" s="291" t="n"/>
      <c r="BL216" s="39" t="n"/>
      <c r="BM216" s="291" t="n"/>
      <c r="BN216" s="39" t="n"/>
      <c r="BO216" s="291" t="n"/>
      <c r="BP216" s="291" t="n"/>
      <c r="BQ216" s="39" t="n"/>
      <c r="BR216" s="291" t="n"/>
      <c r="BS216" s="39" t="n"/>
      <c r="BT216" s="291" t="n"/>
      <c r="BU216" s="39" t="n"/>
      <c r="BV216" s="291" t="n"/>
      <c r="BW216" s="39" t="n"/>
      <c r="BX216" s="291" t="n"/>
      <c r="BY216" s="39" t="n"/>
      <c r="BZ216" s="291" t="n"/>
      <c r="CA216" s="39" t="n"/>
      <c r="CB216" s="291" t="n"/>
      <c r="CC216" s="39" t="n"/>
      <c r="CD216" s="291" t="n"/>
      <c r="CE216" s="39" t="n"/>
      <c r="CF216" s="291" t="n"/>
      <c r="CG216" s="39" t="n"/>
      <c r="CH216" s="291" t="n"/>
      <c r="CI216" s="39" t="n"/>
      <c r="CJ216" s="291" t="n"/>
      <c r="CK216" s="39" t="n"/>
      <c r="CL216" s="291" t="n"/>
      <c r="CM216" s="39" t="n"/>
      <c r="CN216" s="291" t="n"/>
      <c r="CO216" s="39" t="n"/>
      <c r="CP216" s="291" t="n"/>
      <c r="CQ216" s="39" t="n"/>
      <c r="CR216" s="291" t="n"/>
      <c r="CS216" s="39" t="n"/>
      <c r="CT216" s="291" t="n"/>
      <c r="CU216" s="39" t="n"/>
      <c r="CV216" s="343" t="n"/>
      <c r="CW216" s="291" t="n"/>
      <c r="CX216" s="39" t="n"/>
      <c r="CY216" s="291" t="n"/>
      <c r="CZ216" s="39" t="n"/>
      <c r="DA216" s="291" t="n"/>
      <c r="DB216" s="39" t="n"/>
      <c r="DC216" s="291" t="n"/>
      <c r="DD216" s="39" t="n"/>
      <c r="DE216" s="311" t="n"/>
      <c r="DF216" s="311" t="n"/>
    </row>
    <row r="217" ht="13" customFormat="1" customHeight="1" s="40">
      <c r="A217" s="326" t="n"/>
      <c r="B217" s="291" t="n"/>
      <c r="C217" s="39" t="n"/>
      <c r="D217" s="39" t="n"/>
      <c r="E217" s="291" t="n"/>
      <c r="F217" s="39" t="n"/>
      <c r="G217" s="39" t="n"/>
      <c r="H217" s="291" t="n"/>
      <c r="I217" s="39" t="n"/>
      <c r="J217" s="39" t="n"/>
      <c r="K217" s="291" t="n"/>
      <c r="L217" s="39" t="n"/>
      <c r="M217" s="39" t="n"/>
      <c r="N217" s="291" t="n"/>
      <c r="O217" s="39" t="n"/>
      <c r="P217" s="39" t="n"/>
      <c r="Q217" s="291" t="n"/>
      <c r="R217" s="39" t="n"/>
      <c r="S217" s="39" t="n"/>
      <c r="T217" s="291" t="n"/>
      <c r="U217" s="39" t="n"/>
      <c r="V217" s="39" t="n"/>
      <c r="W217" s="291" t="n"/>
      <c r="X217" s="39" t="n"/>
      <c r="Y217" s="39" t="n"/>
      <c r="Z217" s="291" t="n"/>
      <c r="AA217" s="39" t="n"/>
      <c r="AB217" s="39" t="n"/>
      <c r="AC217" s="291" t="n"/>
      <c r="AD217" s="39" t="n"/>
      <c r="AE217" s="39" t="n"/>
      <c r="AF217" s="291" t="n"/>
      <c r="AG217" s="39" t="n"/>
      <c r="AH217" s="39" t="n"/>
      <c r="AI217" s="291" t="n"/>
      <c r="AJ217" s="39" t="n"/>
      <c r="AK217" s="39" t="n"/>
      <c r="AL217" s="291" t="n"/>
      <c r="AM217" s="39" t="n"/>
      <c r="AN217" s="39" t="n"/>
      <c r="AO217" s="291" t="n"/>
      <c r="AP217" s="39" t="n"/>
      <c r="AQ217" s="39" t="n"/>
      <c r="AR217" s="291" t="n"/>
      <c r="AS217" s="39" t="n"/>
      <c r="AT217" s="39" t="n"/>
      <c r="AU217" s="291" t="n"/>
      <c r="AV217" s="39" t="n"/>
      <c r="AW217" s="39" t="n"/>
      <c r="AX217" s="291" t="n"/>
      <c r="AY217" s="291" t="n"/>
      <c r="AZ217" s="39" t="n"/>
      <c r="BA217" s="291" t="n"/>
      <c r="BB217" s="39" t="n"/>
      <c r="BC217" s="291" t="n"/>
      <c r="BD217" s="39" t="n"/>
      <c r="BE217" s="291" t="n"/>
      <c r="BF217" s="39" t="n"/>
      <c r="BG217" s="291" t="n"/>
      <c r="BH217" s="39" t="n"/>
      <c r="BI217" s="291" t="n"/>
      <c r="BJ217" s="39" t="n"/>
      <c r="BK217" s="291" t="n"/>
      <c r="BL217" s="39" t="n"/>
      <c r="BM217" s="291" t="n"/>
      <c r="BN217" s="39" t="n"/>
      <c r="BO217" s="291" t="n"/>
      <c r="BP217" s="291" t="n"/>
      <c r="BQ217" s="39" t="n"/>
      <c r="BR217" s="291" t="n"/>
      <c r="BS217" s="39" t="n"/>
      <c r="BT217" s="291" t="n"/>
      <c r="BU217" s="39" t="n"/>
      <c r="BV217" s="291" t="n"/>
      <c r="BW217" s="39" t="n"/>
      <c r="BX217" s="291" t="n"/>
      <c r="BY217" s="39" t="n"/>
      <c r="BZ217" s="291" t="n"/>
      <c r="CA217" s="39" t="n"/>
      <c r="CB217" s="291" t="n"/>
      <c r="CC217" s="39" t="n"/>
      <c r="CD217" s="291" t="n"/>
      <c r="CE217" s="39" t="n"/>
      <c r="CF217" s="291" t="n"/>
      <c r="CG217" s="39" t="n"/>
      <c r="CH217" s="291" t="n"/>
      <c r="CI217" s="39" t="n"/>
      <c r="CJ217" s="291" t="n"/>
      <c r="CK217" s="39" t="n"/>
      <c r="CL217" s="291" t="n"/>
      <c r="CM217" s="39" t="n"/>
      <c r="CN217" s="291" t="n"/>
      <c r="CO217" s="39" t="n"/>
      <c r="CP217" s="291" t="n"/>
      <c r="CQ217" s="39" t="n"/>
      <c r="CR217" s="291" t="n"/>
      <c r="CS217" s="39" t="n"/>
      <c r="CT217" s="291" t="n"/>
      <c r="CU217" s="39" t="n"/>
      <c r="CV217" s="343" t="n"/>
      <c r="CW217" s="291" t="n"/>
      <c r="CX217" s="39" t="n"/>
      <c r="CY217" s="291" t="n"/>
      <c r="CZ217" s="39" t="n"/>
      <c r="DA217" s="291" t="n"/>
      <c r="DB217" s="39" t="n"/>
      <c r="DC217" s="291" t="n"/>
      <c r="DD217" s="39" t="n"/>
      <c r="DE217" s="311" t="n"/>
      <c r="DF217" s="311" t="n"/>
    </row>
    <row r="218" ht="13" customFormat="1" customHeight="1" s="40">
      <c r="A218" s="326" t="n"/>
      <c r="B218" s="291" t="n"/>
      <c r="C218" s="39" t="n"/>
      <c r="D218" s="39" t="n"/>
      <c r="E218" s="291" t="n"/>
      <c r="F218" s="39" t="n"/>
      <c r="G218" s="39" t="n"/>
      <c r="H218" s="291" t="n"/>
      <c r="I218" s="39" t="n"/>
      <c r="J218" s="39" t="n"/>
      <c r="K218" s="291" t="n"/>
      <c r="L218" s="39" t="n"/>
      <c r="M218" s="39" t="n"/>
      <c r="N218" s="291" t="n"/>
      <c r="O218" s="39" t="n"/>
      <c r="P218" s="39" t="n"/>
      <c r="Q218" s="291" t="n"/>
      <c r="R218" s="39" t="n"/>
      <c r="S218" s="39" t="n"/>
      <c r="T218" s="291" t="n"/>
      <c r="U218" s="39" t="n"/>
      <c r="V218" s="39" t="n"/>
      <c r="W218" s="291" t="n"/>
      <c r="X218" s="39" t="n"/>
      <c r="Y218" s="39" t="n"/>
      <c r="Z218" s="291" t="n"/>
      <c r="AA218" s="39" t="n"/>
      <c r="AB218" s="39" t="n"/>
      <c r="AC218" s="291" t="n"/>
      <c r="AD218" s="39" t="n"/>
      <c r="AE218" s="39" t="n"/>
      <c r="AF218" s="291" t="n"/>
      <c r="AG218" s="39" t="n"/>
      <c r="AH218" s="39" t="n"/>
      <c r="AI218" s="291" t="n"/>
      <c r="AJ218" s="39" t="n"/>
      <c r="AK218" s="39" t="n"/>
      <c r="AL218" s="291" t="n"/>
      <c r="AM218" s="39" t="n"/>
      <c r="AN218" s="39" t="n"/>
      <c r="AO218" s="291" t="n"/>
      <c r="AP218" s="39" t="n"/>
      <c r="AQ218" s="39" t="n"/>
      <c r="AR218" s="291" t="n"/>
      <c r="AS218" s="39" t="n"/>
      <c r="AT218" s="39" t="n"/>
      <c r="AU218" s="291" t="n"/>
      <c r="AV218" s="39" t="n"/>
      <c r="AW218" s="39" t="n"/>
      <c r="AX218" s="291" t="n"/>
      <c r="AY218" s="291" t="n"/>
      <c r="AZ218" s="39" t="n"/>
      <c r="BA218" s="291" t="n"/>
      <c r="BB218" s="39" t="n"/>
      <c r="BC218" s="291" t="n"/>
      <c r="BD218" s="39" t="n"/>
      <c r="BE218" s="291" t="n"/>
      <c r="BF218" s="39" t="n"/>
      <c r="BG218" s="291" t="n"/>
      <c r="BH218" s="39" t="n"/>
      <c r="BI218" s="291" t="n"/>
      <c r="BJ218" s="39" t="n"/>
      <c r="BK218" s="291" t="n"/>
      <c r="BL218" s="39" t="n"/>
      <c r="BM218" s="291" t="n"/>
      <c r="BN218" s="39" t="n"/>
      <c r="BO218" s="291" t="n"/>
      <c r="BP218" s="291" t="n"/>
      <c r="BQ218" s="39" t="n"/>
      <c r="BR218" s="291" t="n"/>
      <c r="BS218" s="39" t="n"/>
      <c r="BT218" s="291" t="n"/>
      <c r="BU218" s="39" t="n"/>
      <c r="BV218" s="291" t="n"/>
      <c r="BW218" s="39" t="n"/>
      <c r="BX218" s="291" t="n"/>
      <c r="BY218" s="39" t="n"/>
      <c r="BZ218" s="291" t="n"/>
      <c r="CA218" s="39" t="n"/>
      <c r="CB218" s="291" t="n"/>
      <c r="CC218" s="39" t="n"/>
      <c r="CD218" s="291" t="n"/>
      <c r="CE218" s="39" t="n"/>
      <c r="CF218" s="291" t="n"/>
      <c r="CG218" s="39" t="n"/>
      <c r="CH218" s="291" t="n"/>
      <c r="CI218" s="39" t="n"/>
      <c r="CJ218" s="291" t="n"/>
      <c r="CK218" s="39" t="n"/>
      <c r="CL218" s="291" t="n"/>
      <c r="CM218" s="39" t="n"/>
      <c r="CN218" s="291" t="n"/>
      <c r="CO218" s="39" t="n"/>
      <c r="CP218" s="291" t="n"/>
      <c r="CQ218" s="39" t="n"/>
      <c r="CR218" s="291" t="n"/>
      <c r="CS218" s="39" t="n"/>
      <c r="CT218" s="291" t="n"/>
      <c r="CU218" s="39" t="n"/>
      <c r="CV218" s="343" t="n"/>
      <c r="CW218" s="291" t="n"/>
      <c r="CX218" s="39" t="n"/>
      <c r="CY218" s="291" t="n"/>
      <c r="CZ218" s="39" t="n"/>
      <c r="DA218" s="291" t="n"/>
      <c r="DB218" s="39" t="n"/>
      <c r="DC218" s="291" t="n"/>
      <c r="DD218" s="39" t="n"/>
      <c r="DE218" s="311" t="n"/>
      <c r="DF218" s="311" t="n"/>
    </row>
    <row r="219" ht="13" customFormat="1" customHeight="1" s="40">
      <c r="A219" s="326" t="n"/>
      <c r="B219" s="291" t="n"/>
      <c r="C219" s="39" t="n"/>
      <c r="D219" s="39" t="n"/>
      <c r="E219" s="291" t="n"/>
      <c r="F219" s="39" t="n"/>
      <c r="G219" s="39" t="n"/>
      <c r="H219" s="291" t="n"/>
      <c r="I219" s="39" t="n"/>
      <c r="J219" s="39" t="n"/>
      <c r="K219" s="291" t="n"/>
      <c r="L219" s="39" t="n"/>
      <c r="M219" s="39" t="n"/>
      <c r="N219" s="291" t="n"/>
      <c r="O219" s="39" t="n"/>
      <c r="P219" s="39" t="n"/>
      <c r="Q219" s="291" t="n"/>
      <c r="R219" s="39" t="n"/>
      <c r="S219" s="39" t="n"/>
      <c r="T219" s="291" t="n"/>
      <c r="U219" s="39" t="n"/>
      <c r="V219" s="39" t="n"/>
      <c r="W219" s="291" t="n"/>
      <c r="X219" s="39" t="n"/>
      <c r="Y219" s="39" t="n"/>
      <c r="Z219" s="291" t="n"/>
      <c r="AA219" s="39" t="n"/>
      <c r="AB219" s="39" t="n"/>
      <c r="AC219" s="291" t="n"/>
      <c r="AD219" s="39" t="n"/>
      <c r="AE219" s="39" t="n"/>
      <c r="AF219" s="291" t="n"/>
      <c r="AG219" s="39" t="n"/>
      <c r="AH219" s="39" t="n"/>
      <c r="AI219" s="291" t="n"/>
      <c r="AJ219" s="39" t="n"/>
      <c r="AK219" s="39" t="n"/>
      <c r="AL219" s="291" t="n"/>
      <c r="AM219" s="39" t="n"/>
      <c r="AN219" s="39" t="n"/>
      <c r="AO219" s="291" t="n"/>
      <c r="AP219" s="39" t="n"/>
      <c r="AQ219" s="39" t="n"/>
      <c r="AR219" s="291" t="n"/>
      <c r="AS219" s="39" t="n"/>
      <c r="AT219" s="39" t="n"/>
      <c r="AU219" s="291" t="n"/>
      <c r="AV219" s="39" t="n"/>
      <c r="AW219" s="39" t="n"/>
      <c r="AX219" s="291" t="n"/>
      <c r="AY219" s="291" t="n"/>
      <c r="AZ219" s="39" t="n"/>
      <c r="BA219" s="291" t="n"/>
      <c r="BB219" s="39" t="n"/>
      <c r="BC219" s="291" t="n"/>
      <c r="BD219" s="39" t="n"/>
      <c r="BE219" s="291" t="n"/>
      <c r="BF219" s="39" t="n"/>
      <c r="BG219" s="291" t="n"/>
      <c r="BH219" s="39" t="n"/>
      <c r="BI219" s="291" t="n"/>
      <c r="BJ219" s="39" t="n"/>
      <c r="BK219" s="291" t="n"/>
      <c r="BL219" s="39" t="n"/>
      <c r="BM219" s="291" t="n"/>
      <c r="BN219" s="39" t="n"/>
      <c r="BO219" s="291" t="n"/>
      <c r="BP219" s="291" t="n"/>
      <c r="BQ219" s="39" t="n"/>
      <c r="BR219" s="291" t="n"/>
      <c r="BS219" s="39" t="n"/>
      <c r="BT219" s="291" t="n"/>
      <c r="BU219" s="39" t="n"/>
      <c r="BV219" s="291" t="n"/>
      <c r="BW219" s="39" t="n"/>
      <c r="BX219" s="291" t="n"/>
      <c r="BY219" s="39" t="n"/>
      <c r="BZ219" s="291" t="n"/>
      <c r="CA219" s="39" t="n"/>
      <c r="CB219" s="291" t="n"/>
      <c r="CC219" s="39" t="n"/>
      <c r="CD219" s="291" t="n"/>
      <c r="CE219" s="39" t="n"/>
      <c r="CF219" s="291" t="n"/>
      <c r="CG219" s="39" t="n"/>
      <c r="CH219" s="291" t="n"/>
      <c r="CI219" s="39" t="n"/>
      <c r="CJ219" s="291" t="n"/>
      <c r="CK219" s="39" t="n"/>
      <c r="CL219" s="291" t="n"/>
      <c r="CM219" s="39" t="n"/>
      <c r="CN219" s="291" t="n"/>
      <c r="CO219" s="39" t="n"/>
      <c r="CP219" s="291" t="n"/>
      <c r="CQ219" s="39" t="n"/>
      <c r="CR219" s="291" t="n"/>
      <c r="CS219" s="39" t="n"/>
      <c r="CT219" s="291" t="n"/>
      <c r="CU219" s="39" t="n"/>
      <c r="CV219" s="343" t="n"/>
      <c r="CW219" s="291" t="n"/>
      <c r="CX219" s="39" t="n"/>
      <c r="CY219" s="291" t="n"/>
      <c r="CZ219" s="39" t="n"/>
      <c r="DA219" s="291" t="n"/>
      <c r="DB219" s="39" t="n"/>
      <c r="DC219" s="291" t="n"/>
      <c r="DD219" s="39" t="n"/>
      <c r="DE219" s="311" t="n"/>
      <c r="DF219" s="311" t="n"/>
    </row>
    <row r="220" ht="13" customFormat="1" customHeight="1" s="40">
      <c r="A220" s="326" t="n"/>
      <c r="B220" s="291" t="n"/>
      <c r="C220" s="39" t="n"/>
      <c r="D220" s="39" t="n"/>
      <c r="E220" s="291" t="n"/>
      <c r="F220" s="39" t="n"/>
      <c r="G220" s="39" t="n"/>
      <c r="H220" s="291" t="n"/>
      <c r="I220" s="39" t="n"/>
      <c r="J220" s="39" t="n"/>
      <c r="K220" s="291" t="n"/>
      <c r="L220" s="39" t="n"/>
      <c r="M220" s="39" t="n"/>
      <c r="N220" s="291" t="n"/>
      <c r="O220" s="39" t="n"/>
      <c r="P220" s="39" t="n"/>
      <c r="Q220" s="291" t="n"/>
      <c r="R220" s="39" t="n"/>
      <c r="S220" s="39" t="n"/>
      <c r="T220" s="291" t="n"/>
      <c r="U220" s="39" t="n"/>
      <c r="V220" s="39" t="n"/>
      <c r="W220" s="291" t="n"/>
      <c r="X220" s="39" t="n"/>
      <c r="Y220" s="39" t="n"/>
      <c r="Z220" s="291" t="n"/>
      <c r="AA220" s="39" t="n"/>
      <c r="AB220" s="39" t="n"/>
      <c r="AC220" s="291" t="n"/>
      <c r="AD220" s="39" t="n"/>
      <c r="AE220" s="39" t="n"/>
      <c r="AF220" s="291" t="n"/>
      <c r="AG220" s="39" t="n"/>
      <c r="AH220" s="39" t="n"/>
      <c r="AI220" s="291" t="n"/>
      <c r="AJ220" s="39" t="n"/>
      <c r="AK220" s="39" t="n"/>
      <c r="AL220" s="291" t="n"/>
      <c r="AM220" s="39" t="n"/>
      <c r="AN220" s="39" t="n"/>
      <c r="AO220" s="291" t="n"/>
      <c r="AP220" s="39" t="n"/>
      <c r="AQ220" s="39" t="n"/>
      <c r="AR220" s="291" t="n"/>
      <c r="AS220" s="39" t="n"/>
      <c r="AT220" s="39" t="n"/>
      <c r="AU220" s="291" t="n"/>
      <c r="AV220" s="39" t="n"/>
      <c r="AW220" s="39" t="n"/>
      <c r="AX220" s="291" t="n"/>
      <c r="AY220" s="291" t="n"/>
      <c r="AZ220" s="39" t="n"/>
      <c r="BA220" s="291" t="n"/>
      <c r="BB220" s="39" t="n"/>
      <c r="BC220" s="291" t="n"/>
      <c r="BD220" s="39" t="n"/>
      <c r="BE220" s="291" t="n"/>
      <c r="BF220" s="39" t="n"/>
      <c r="BG220" s="291" t="n"/>
      <c r="BH220" s="39" t="n"/>
      <c r="BI220" s="291" t="n"/>
      <c r="BJ220" s="39" t="n"/>
      <c r="BK220" s="291" t="n"/>
      <c r="BL220" s="39" t="n"/>
      <c r="BM220" s="291" t="n"/>
      <c r="BN220" s="39" t="n"/>
      <c r="BO220" s="291" t="n"/>
      <c r="BP220" s="291" t="n"/>
      <c r="BQ220" s="39" t="n"/>
      <c r="BR220" s="291" t="n"/>
      <c r="BS220" s="39" t="n"/>
      <c r="BT220" s="291" t="n"/>
      <c r="BU220" s="39" t="n"/>
      <c r="BV220" s="291" t="n"/>
      <c r="BW220" s="39" t="n"/>
      <c r="BX220" s="291" t="n"/>
      <c r="BY220" s="39" t="n"/>
      <c r="BZ220" s="291" t="n"/>
      <c r="CA220" s="39" t="n"/>
      <c r="CB220" s="291" t="n"/>
      <c r="CC220" s="39" t="n"/>
      <c r="CD220" s="291" t="n"/>
      <c r="CE220" s="39" t="n"/>
      <c r="CF220" s="291" t="n"/>
      <c r="CG220" s="39" t="n"/>
      <c r="CH220" s="291" t="n"/>
      <c r="CI220" s="39" t="n"/>
      <c r="CJ220" s="291" t="n"/>
      <c r="CK220" s="39" t="n"/>
      <c r="CL220" s="291" t="n"/>
      <c r="CM220" s="39" t="n"/>
      <c r="CN220" s="291" t="n"/>
      <c r="CO220" s="39" t="n"/>
      <c r="CP220" s="291" t="n"/>
      <c r="CQ220" s="39" t="n"/>
      <c r="CR220" s="291" t="n"/>
      <c r="CS220" s="39" t="n"/>
      <c r="CT220" s="291" t="n"/>
      <c r="CU220" s="39" t="n"/>
      <c r="CV220" s="343" t="n"/>
      <c r="CW220" s="291" t="n"/>
      <c r="CX220" s="39" t="n"/>
      <c r="CY220" s="291" t="n"/>
      <c r="CZ220" s="39" t="n"/>
      <c r="DA220" s="291" t="n"/>
      <c r="DB220" s="39" t="n"/>
      <c r="DC220" s="291" t="n"/>
      <c r="DD220" s="39" t="n"/>
      <c r="DE220" s="311" t="n"/>
      <c r="DF220" s="311" t="n"/>
    </row>
    <row r="221" ht="13" customFormat="1" customHeight="1" s="116">
      <c r="A221" s="342" t="n"/>
      <c r="B221" s="317" t="n"/>
      <c r="C221" s="39" t="n"/>
      <c r="D221" s="39" t="n"/>
      <c r="E221" s="317" t="n"/>
      <c r="F221" s="39" t="n"/>
      <c r="G221" s="39" t="n"/>
      <c r="H221" s="317" t="n"/>
      <c r="I221" s="39" t="n"/>
      <c r="J221" s="39" t="n"/>
      <c r="K221" s="317" t="n"/>
      <c r="L221" s="39" t="n"/>
      <c r="M221" s="39" t="n"/>
      <c r="N221" s="317" t="n"/>
      <c r="O221" s="39" t="n"/>
      <c r="P221" s="39" t="n"/>
      <c r="Q221" s="317" t="n"/>
      <c r="R221" s="39" t="n"/>
      <c r="S221" s="39" t="n"/>
      <c r="T221" s="317" t="n"/>
      <c r="U221" s="39" t="n"/>
      <c r="V221" s="39" t="n"/>
      <c r="W221" s="317" t="n"/>
      <c r="X221" s="39" t="n"/>
      <c r="Y221" s="39" t="n"/>
      <c r="Z221" s="317" t="n"/>
      <c r="AA221" s="39" t="n"/>
      <c r="AB221" s="39" t="n"/>
      <c r="AC221" s="317" t="n"/>
      <c r="AD221" s="39" t="n"/>
      <c r="AE221" s="39" t="n"/>
      <c r="AF221" s="317" t="n"/>
      <c r="AG221" s="39" t="n"/>
      <c r="AH221" s="39" t="n"/>
      <c r="AI221" s="317" t="n"/>
      <c r="AJ221" s="39" t="n"/>
      <c r="AK221" s="39" t="n"/>
      <c r="AL221" s="317" t="n"/>
      <c r="AM221" s="39" t="n"/>
      <c r="AN221" s="39" t="n"/>
      <c r="AO221" s="317" t="n"/>
      <c r="AP221" s="39" t="n"/>
      <c r="AQ221" s="39" t="n"/>
      <c r="AR221" s="317" t="n"/>
      <c r="AS221" s="39" t="n"/>
      <c r="AT221" s="39" t="n"/>
      <c r="AU221" s="317" t="n"/>
      <c r="AV221" s="39" t="n"/>
      <c r="AW221" s="39" t="n"/>
      <c r="AX221" s="317" t="n"/>
      <c r="AY221" s="317" t="n"/>
      <c r="AZ221" s="39" t="n"/>
      <c r="BA221" s="317" t="n"/>
      <c r="BB221" s="39" t="n"/>
      <c r="BC221" s="317" t="n"/>
      <c r="BD221" s="39" t="n"/>
      <c r="BE221" s="317" t="n"/>
      <c r="BF221" s="39" t="n"/>
      <c r="BG221" s="317" t="n"/>
      <c r="BH221" s="39" t="n"/>
      <c r="BI221" s="317" t="n"/>
      <c r="BJ221" s="39" t="n"/>
      <c r="BK221" s="317" t="n"/>
      <c r="BL221" s="39" t="n"/>
      <c r="BM221" s="317" t="n"/>
      <c r="BN221" s="39" t="n"/>
      <c r="BO221" s="317" t="n"/>
      <c r="BP221" s="317" t="n"/>
      <c r="BQ221" s="39" t="n"/>
      <c r="BR221" s="317" t="n"/>
      <c r="BS221" s="39" t="n"/>
      <c r="BT221" s="317" t="n"/>
      <c r="BU221" s="39" t="n"/>
      <c r="BV221" s="317" t="n"/>
      <c r="BW221" s="39" t="n"/>
      <c r="BX221" s="317" t="n"/>
      <c r="BY221" s="39" t="n"/>
      <c r="BZ221" s="317" t="n"/>
      <c r="CA221" s="39" t="n"/>
      <c r="CB221" s="317" t="n"/>
      <c r="CC221" s="39" t="n"/>
      <c r="CD221" s="317" t="n"/>
      <c r="CE221" s="39" t="n"/>
      <c r="CF221" s="317" t="n"/>
      <c r="CG221" s="39" t="n"/>
      <c r="CH221" s="317" t="n"/>
      <c r="CI221" s="39" t="n"/>
      <c r="CJ221" s="317" t="n"/>
      <c r="CK221" s="39" t="n"/>
      <c r="CL221" s="317" t="n"/>
      <c r="CM221" s="39" t="n"/>
      <c r="CN221" s="317" t="n"/>
      <c r="CO221" s="39" t="n"/>
      <c r="CP221" s="317" t="n"/>
      <c r="CQ221" s="39" t="n"/>
      <c r="CR221" s="317" t="n"/>
      <c r="CS221" s="39" t="n"/>
      <c r="CT221" s="317" t="n"/>
      <c r="CU221" s="39" t="n"/>
      <c r="CV221" s="343" t="n"/>
      <c r="CW221" s="317" t="n"/>
      <c r="CX221" s="39" t="n"/>
      <c r="CY221" s="317" t="n"/>
      <c r="CZ221" s="39" t="n"/>
      <c r="DA221" s="317" t="n"/>
      <c r="DB221" s="39" t="n"/>
      <c r="DC221" s="317" t="n"/>
      <c r="DD221" s="39" t="n"/>
      <c r="DE221" s="319" t="n"/>
      <c r="DF221" s="319" t="n"/>
    </row>
    <row r="222" ht="13" customFormat="1" customHeight="1" s="40">
      <c r="A222" s="326" t="n"/>
      <c r="B222" s="291" t="n"/>
      <c r="C222" s="39" t="n"/>
      <c r="D222" s="39" t="n"/>
      <c r="E222" s="291" t="n"/>
      <c r="F222" s="39" t="n"/>
      <c r="G222" s="39" t="n"/>
      <c r="H222" s="291" t="n"/>
      <c r="I222" s="39" t="n"/>
      <c r="J222" s="39" t="n"/>
      <c r="K222" s="291" t="n"/>
      <c r="L222" s="39" t="n"/>
      <c r="M222" s="39" t="n"/>
      <c r="N222" s="291" t="n"/>
      <c r="O222" s="39" t="n"/>
      <c r="P222" s="39" t="n"/>
      <c r="Q222" s="291" t="n"/>
      <c r="R222" s="39" t="n"/>
      <c r="S222" s="39" t="n"/>
      <c r="T222" s="291" t="n"/>
      <c r="U222" s="39" t="n"/>
      <c r="V222" s="39" t="n"/>
      <c r="W222" s="291" t="n"/>
      <c r="X222" s="39" t="n"/>
      <c r="Y222" s="39" t="n"/>
      <c r="Z222" s="291" t="n"/>
      <c r="AA222" s="39" t="n"/>
      <c r="AB222" s="39" t="n"/>
      <c r="AC222" s="291" t="n"/>
      <c r="AD222" s="39" t="n"/>
      <c r="AE222" s="39" t="n"/>
      <c r="AF222" s="291" t="n"/>
      <c r="AG222" s="39" t="n"/>
      <c r="AH222" s="39" t="n"/>
      <c r="AI222" s="291" t="n"/>
      <c r="AJ222" s="39" t="n"/>
      <c r="AK222" s="39" t="n"/>
      <c r="AL222" s="291" t="n"/>
      <c r="AM222" s="39" t="n"/>
      <c r="AN222" s="39" t="n"/>
      <c r="AO222" s="291" t="n"/>
      <c r="AP222" s="39" t="n"/>
      <c r="AQ222" s="39" t="n"/>
      <c r="AR222" s="291" t="n"/>
      <c r="AS222" s="39" t="n"/>
      <c r="AT222" s="39" t="n"/>
      <c r="AU222" s="291" t="n"/>
      <c r="AV222" s="39" t="n"/>
      <c r="AW222" s="39" t="n"/>
      <c r="AX222" s="291" t="n"/>
      <c r="AY222" s="291" t="n"/>
      <c r="AZ222" s="39" t="n"/>
      <c r="BA222" s="291" t="n"/>
      <c r="BB222" s="39" t="n"/>
      <c r="BC222" s="291" t="n"/>
      <c r="BD222" s="39" t="n"/>
      <c r="BE222" s="291" t="n"/>
      <c r="BF222" s="39" t="n"/>
      <c r="BG222" s="291" t="n"/>
      <c r="BH222" s="39" t="n"/>
      <c r="BI222" s="291" t="n"/>
      <c r="BJ222" s="39" t="n"/>
      <c r="BK222" s="291" t="n"/>
      <c r="BL222" s="39" t="n"/>
      <c r="BM222" s="291" t="n"/>
      <c r="BN222" s="39" t="n"/>
      <c r="BO222" s="291" t="n"/>
      <c r="BP222" s="291" t="n"/>
      <c r="BQ222" s="39" t="n"/>
      <c r="BR222" s="291" t="n"/>
      <c r="BS222" s="39" t="n"/>
      <c r="BT222" s="291" t="n"/>
      <c r="BU222" s="39" t="n"/>
      <c r="BV222" s="291" t="n"/>
      <c r="BW222" s="39" t="n"/>
      <c r="BX222" s="291" t="n"/>
      <c r="BY222" s="39" t="n"/>
      <c r="BZ222" s="291" t="n"/>
      <c r="CA222" s="39" t="n"/>
      <c r="CB222" s="291" t="n"/>
      <c r="CC222" s="39" t="n"/>
      <c r="CD222" s="291" t="n"/>
      <c r="CE222" s="39" t="n"/>
      <c r="CF222" s="291" t="n"/>
      <c r="CG222" s="39" t="n"/>
      <c r="CH222" s="291" t="n"/>
      <c r="CI222" s="39" t="n"/>
      <c r="CJ222" s="291" t="n"/>
      <c r="CK222" s="39" t="n"/>
      <c r="CL222" s="291" t="n"/>
      <c r="CM222" s="39" t="n"/>
      <c r="CN222" s="291" t="n"/>
      <c r="CO222" s="39" t="n"/>
      <c r="CP222" s="291" t="n"/>
      <c r="CQ222" s="39" t="n"/>
      <c r="CR222" s="291" t="n"/>
      <c r="CS222" s="39" t="n"/>
      <c r="CT222" s="291" t="n"/>
      <c r="CU222" s="39" t="n"/>
      <c r="CV222" s="343" t="n"/>
      <c r="CW222" s="291" t="n"/>
      <c r="CX222" s="39" t="n"/>
      <c r="CY222" s="291" t="n"/>
      <c r="CZ222" s="39" t="n"/>
      <c r="DA222" s="291" t="n"/>
      <c r="DB222" s="39" t="n"/>
      <c r="DC222" s="291" t="n"/>
      <c r="DD222" s="39" t="n"/>
      <c r="DE222" s="311" t="n"/>
      <c r="DF222" s="311" t="n"/>
    </row>
    <row r="223" ht="13" customFormat="1" customHeight="1" s="64">
      <c r="A223" s="342" t="n"/>
      <c r="B223" s="317" t="n"/>
      <c r="C223" s="39" t="n"/>
      <c r="D223" s="39" t="n"/>
      <c r="E223" s="317" t="n"/>
      <c r="F223" s="39" t="n"/>
      <c r="G223" s="39" t="n"/>
      <c r="H223" s="317" t="n"/>
      <c r="I223" s="39" t="n"/>
      <c r="J223" s="39" t="n"/>
      <c r="K223" s="317" t="n"/>
      <c r="L223" s="39" t="n"/>
      <c r="M223" s="39" t="n"/>
      <c r="N223" s="317" t="n"/>
      <c r="O223" s="39" t="n"/>
      <c r="P223" s="39" t="n"/>
      <c r="Q223" s="317" t="n"/>
      <c r="R223" s="39" t="n"/>
      <c r="S223" s="39" t="n"/>
      <c r="T223" s="317" t="n"/>
      <c r="U223" s="39" t="n"/>
      <c r="V223" s="39" t="n"/>
      <c r="W223" s="317" t="n"/>
      <c r="X223" s="39" t="n"/>
      <c r="Y223" s="39" t="n"/>
      <c r="Z223" s="317" t="n"/>
      <c r="AA223" s="39" t="n"/>
      <c r="AB223" s="39" t="n"/>
      <c r="AC223" s="317" t="n"/>
      <c r="AD223" s="39" t="n"/>
      <c r="AE223" s="39" t="n"/>
      <c r="AF223" s="317" t="n"/>
      <c r="AG223" s="39" t="n"/>
      <c r="AH223" s="39" t="n"/>
      <c r="AI223" s="317" t="n"/>
      <c r="AJ223" s="39" t="n"/>
      <c r="AK223" s="39" t="n"/>
      <c r="AL223" s="317" t="n"/>
      <c r="AM223" s="39" t="n"/>
      <c r="AN223" s="39" t="n"/>
      <c r="AO223" s="317" t="n"/>
      <c r="AP223" s="39" t="n"/>
      <c r="AQ223" s="39" t="n"/>
      <c r="AR223" s="317" t="n"/>
      <c r="AS223" s="39" t="n"/>
      <c r="AT223" s="39" t="n"/>
      <c r="AU223" s="317" t="n"/>
      <c r="AV223" s="39" t="n"/>
      <c r="AW223" s="39" t="n"/>
      <c r="AX223" s="357" t="n"/>
      <c r="AY223" s="357" t="n"/>
      <c r="AZ223" s="357" t="n"/>
      <c r="BA223" s="357" t="n"/>
      <c r="BB223" s="357" t="n"/>
      <c r="BC223" s="357" t="n"/>
      <c r="BD223" s="357" t="n"/>
      <c r="BE223" s="357" t="n"/>
      <c r="BF223" s="357" t="n"/>
      <c r="BG223" s="357" t="n"/>
      <c r="BH223" s="357" t="n"/>
      <c r="BI223" s="357" t="n"/>
      <c r="BJ223" s="357" t="n"/>
      <c r="BK223" s="357" t="n"/>
      <c r="BL223" s="357" t="n"/>
      <c r="BM223" s="357" t="n"/>
      <c r="BN223" s="357" t="n"/>
      <c r="BO223" s="357" t="n"/>
      <c r="BP223" s="357" t="n"/>
      <c r="BQ223" s="357" t="n"/>
      <c r="BR223" s="357" t="n"/>
      <c r="BS223" s="357" t="n"/>
      <c r="BT223" s="357" t="n"/>
      <c r="BU223" s="357" t="n"/>
      <c r="BV223" s="357" t="n"/>
      <c r="BW223" s="357" t="n"/>
      <c r="BX223" s="357" t="n"/>
      <c r="BY223" s="357" t="n"/>
      <c r="BZ223" s="357" t="n"/>
      <c r="CA223" s="357" t="n"/>
      <c r="CB223" s="357" t="n"/>
      <c r="CC223" s="357" t="n"/>
      <c r="CD223" s="357" t="n"/>
      <c r="CE223" s="357" t="n"/>
      <c r="CF223" s="357" t="n"/>
      <c r="CG223" s="357" t="n"/>
      <c r="CH223" s="357" t="n"/>
      <c r="CI223" s="357" t="n"/>
      <c r="CJ223" s="357" t="n"/>
      <c r="CK223" s="357" t="n"/>
      <c r="CL223" s="357" t="n"/>
      <c r="CM223" s="357" t="n"/>
      <c r="CN223" s="357" t="n"/>
      <c r="CO223" s="357" t="n"/>
      <c r="CP223" s="357" t="n"/>
      <c r="CQ223" s="357" t="n"/>
      <c r="CR223" s="357" t="n"/>
      <c r="CS223" s="357" t="n"/>
      <c r="CT223" s="357" t="n"/>
      <c r="CU223" s="357" t="n"/>
      <c r="CV223" s="357" t="n"/>
      <c r="CW223" s="357" t="n"/>
      <c r="CX223" s="357" t="n"/>
      <c r="CY223" s="357" t="n"/>
      <c r="CZ223" s="357" t="n"/>
      <c r="DA223" s="357" t="n"/>
      <c r="DB223" s="357" t="n"/>
      <c r="DC223" s="357" t="n"/>
      <c r="DD223" s="357" t="n"/>
      <c r="DE223" s="357" t="n"/>
      <c r="DF223" s="357" t="n"/>
    </row>
    <row r="224" ht="13" customFormat="1" customHeight="1" s="64">
      <c r="A224" s="358" t="n"/>
      <c r="B224" s="357" t="n"/>
      <c r="C224" s="39" t="n"/>
      <c r="D224" s="39" t="n"/>
      <c r="E224" s="357" t="n"/>
      <c r="F224" s="58" t="n"/>
      <c r="G224" s="58" t="n"/>
      <c r="H224" s="357" t="n"/>
      <c r="I224" s="58" t="n"/>
      <c r="J224" s="58" t="n"/>
      <c r="K224" s="357" t="n"/>
      <c r="L224" s="58" t="n"/>
      <c r="M224" s="58" t="n"/>
      <c r="N224" s="357" t="n"/>
      <c r="O224" s="58" t="n"/>
      <c r="P224" s="58" t="n"/>
      <c r="Q224" s="357" t="n"/>
      <c r="R224" s="58" t="n"/>
      <c r="S224" s="58" t="n"/>
      <c r="T224" s="357" t="n"/>
      <c r="U224" s="58" t="n"/>
      <c r="V224" s="58" t="n"/>
      <c r="W224" s="357" t="n"/>
      <c r="X224" s="58" t="n"/>
      <c r="Y224" s="58" t="n"/>
      <c r="Z224" s="357" t="n"/>
      <c r="AA224" s="58" t="n"/>
      <c r="AB224" s="58" t="n"/>
      <c r="AC224" s="357" t="n"/>
      <c r="AD224" s="58" t="n"/>
      <c r="AE224" s="58" t="n"/>
      <c r="AF224" s="357" t="n"/>
      <c r="AG224" s="58" t="n"/>
      <c r="AH224" s="58" t="n"/>
      <c r="AI224" s="357" t="n"/>
      <c r="AJ224" s="58" t="n"/>
      <c r="AK224" s="58" t="n"/>
      <c r="AL224" s="357" t="n"/>
      <c r="AM224" s="357" t="n"/>
      <c r="AN224" s="357" t="n"/>
      <c r="AO224" s="357" t="n"/>
      <c r="AP224" s="357" t="n"/>
      <c r="AQ224" s="357" t="n"/>
      <c r="AR224" s="357" t="n"/>
      <c r="AS224" s="357" t="n"/>
      <c r="AT224" s="357" t="n"/>
      <c r="AU224" s="357" t="n"/>
      <c r="AV224" s="357" t="n"/>
      <c r="AW224" s="357" t="n"/>
      <c r="AX224" s="357" t="n"/>
      <c r="AY224" s="357" t="n"/>
      <c r="AZ224" s="357" t="n"/>
      <c r="BA224" s="357" t="n"/>
      <c r="BB224" s="357" t="n"/>
      <c r="BC224" s="357" t="n"/>
      <c r="BD224" s="357" t="n"/>
      <c r="BE224" s="357" t="n"/>
      <c r="BF224" s="357" t="n"/>
      <c r="BG224" s="357" t="n"/>
      <c r="BH224" s="357" t="n"/>
      <c r="BI224" s="357" t="n"/>
      <c r="BJ224" s="357" t="n"/>
      <c r="BK224" s="357" t="n"/>
      <c r="BL224" s="357" t="n"/>
      <c r="BM224" s="357" t="n"/>
      <c r="BN224" s="357" t="n"/>
      <c r="BO224" s="357" t="n"/>
      <c r="BP224" s="357" t="n"/>
      <c r="BQ224" s="357" t="n"/>
      <c r="BR224" s="357" t="n"/>
      <c r="BS224" s="357" t="n"/>
      <c r="BT224" s="357" t="n"/>
      <c r="BU224" s="357" t="n"/>
      <c r="BV224" s="357" t="n"/>
      <c r="BW224" s="357" t="n"/>
      <c r="BX224" s="357" t="n"/>
      <c r="BY224" s="357" t="n"/>
      <c r="BZ224" s="357" t="n"/>
      <c r="CA224" s="357" t="n"/>
      <c r="CB224" s="357" t="n"/>
      <c r="CC224" s="357" t="n"/>
      <c r="CD224" s="357" t="n"/>
      <c r="CE224" s="357" t="n"/>
      <c r="CF224" s="357" t="n"/>
      <c r="CG224" s="357" t="n"/>
      <c r="CH224" s="357" t="n"/>
      <c r="CI224" s="357" t="n"/>
      <c r="CJ224" s="357" t="n"/>
      <c r="CK224" s="357" t="n"/>
      <c r="CL224" s="357" t="n"/>
      <c r="CM224" s="357" t="n"/>
      <c r="CN224" s="357" t="n"/>
      <c r="CO224" s="357" t="n"/>
      <c r="CP224" s="357" t="n"/>
      <c r="CQ224" s="357" t="n"/>
      <c r="CR224" s="357" t="n"/>
      <c r="CS224" s="357" t="n"/>
      <c r="CT224" s="357" t="n"/>
      <c r="CU224" s="357" t="n"/>
      <c r="CV224" s="357" t="n"/>
      <c r="CW224" s="357" t="n"/>
      <c r="CX224" s="357" t="n"/>
      <c r="CY224" s="357" t="n"/>
      <c r="CZ224" s="357" t="n"/>
      <c r="DA224" s="357" t="n"/>
      <c r="DB224" s="357" t="n"/>
      <c r="DC224" s="357" t="n"/>
      <c r="DD224" s="357" t="n"/>
      <c r="DE224" s="357" t="n"/>
      <c r="DF224" s="357" t="n"/>
    </row>
    <row r="225" ht="13" customFormat="1" customHeight="1" s="40">
      <c r="A225" s="326" t="n"/>
      <c r="B225" s="291" t="n"/>
      <c r="C225" s="37" t="n"/>
      <c r="D225" s="37" t="n"/>
      <c r="E225" s="291" t="n"/>
      <c r="F225" s="37" t="n"/>
      <c r="G225" s="37" t="n"/>
      <c r="H225" s="291" t="n"/>
      <c r="I225" s="37" t="n"/>
      <c r="J225" s="37" t="n"/>
      <c r="K225" s="291" t="n"/>
      <c r="L225" s="37" t="n"/>
      <c r="M225" s="37" t="n"/>
      <c r="N225" s="291" t="n"/>
      <c r="O225" s="37" t="n"/>
      <c r="P225" s="37" t="n"/>
      <c r="Q225" s="291" t="n"/>
      <c r="R225" s="37" t="n"/>
      <c r="S225" s="37" t="n"/>
      <c r="T225" s="291" t="n"/>
      <c r="U225" s="37" t="n"/>
      <c r="V225" s="37" t="n"/>
      <c r="W225" s="291" t="n"/>
      <c r="X225" s="37" t="n"/>
      <c r="Y225" s="37" t="n"/>
      <c r="Z225" s="291" t="n"/>
      <c r="AA225" s="37" t="n"/>
      <c r="AB225" s="37" t="n"/>
      <c r="AC225" s="291" t="n"/>
      <c r="AD225" s="37" t="n"/>
      <c r="AE225" s="37" t="n"/>
      <c r="AF225" s="291" t="n"/>
      <c r="AG225" s="37" t="n"/>
      <c r="AH225" s="37" t="n"/>
      <c r="AI225" s="291" t="n"/>
      <c r="AJ225" s="37" t="n"/>
      <c r="AK225" s="37" t="n"/>
      <c r="AL225" s="291" t="n"/>
      <c r="AM225" s="291" t="n"/>
      <c r="AN225" s="291" t="n"/>
      <c r="AO225" s="291" t="n"/>
      <c r="AP225" s="291" t="n"/>
      <c r="AQ225" s="291" t="n"/>
      <c r="AR225" s="291" t="n"/>
      <c r="AS225" s="291" t="n"/>
      <c r="AT225" s="291" t="n"/>
      <c r="AU225" s="291" t="n"/>
      <c r="AV225" s="359" t="n"/>
      <c r="AW225" s="359" t="n"/>
      <c r="AX225" s="291" t="n"/>
      <c r="AY225" s="291" t="n"/>
      <c r="AZ225" s="37" t="n"/>
      <c r="BA225" s="291" t="n"/>
      <c r="BB225" s="37" t="n"/>
      <c r="BC225" s="291" t="n"/>
      <c r="BD225" s="37" t="n"/>
      <c r="BE225" s="291" t="n"/>
      <c r="BF225" s="37" t="n"/>
      <c r="BG225" s="291" t="n"/>
      <c r="BH225" s="291" t="n"/>
      <c r="BI225" s="291" t="n"/>
      <c r="BJ225" s="291" t="n"/>
      <c r="BK225" s="291" t="n"/>
      <c r="BL225" s="291" t="n"/>
      <c r="BM225" s="291" t="n"/>
      <c r="BN225" s="291" t="n"/>
      <c r="BO225" s="291" t="n"/>
      <c r="BP225" s="291" t="n"/>
      <c r="BQ225" s="37" t="n"/>
      <c r="BR225" s="291" t="n"/>
      <c r="BS225" s="37" t="n"/>
      <c r="BT225" s="291" t="n"/>
      <c r="BU225" s="37" t="n"/>
      <c r="BV225" s="291" t="n"/>
      <c r="BW225" s="37" t="n"/>
      <c r="BX225" s="291" t="n"/>
      <c r="BY225" s="37" t="n"/>
      <c r="BZ225" s="291" t="n"/>
      <c r="CA225" s="37" t="n"/>
      <c r="CB225" s="291" t="n"/>
      <c r="CC225" s="37" t="n"/>
      <c r="CD225" s="291" t="n"/>
      <c r="CE225" s="37" t="n"/>
      <c r="CF225" s="291" t="n"/>
      <c r="CG225" s="291" t="n"/>
      <c r="CH225" s="291" t="n"/>
      <c r="CI225" s="291" t="n"/>
      <c r="CJ225" s="291" t="n"/>
      <c r="CK225" s="291" t="n"/>
      <c r="CL225" s="291" t="n"/>
      <c r="CM225" s="291" t="n"/>
      <c r="CN225" s="291" t="n"/>
      <c r="CO225" s="291" t="n"/>
      <c r="CP225" s="37" t="n"/>
      <c r="CQ225" s="291" t="n"/>
      <c r="CR225" s="37" t="n"/>
      <c r="CS225" s="291" t="n"/>
      <c r="CT225" s="37" t="n"/>
      <c r="CU225" s="291" t="n"/>
      <c r="CV225" s="37" t="n"/>
      <c r="CW225" s="291" t="n"/>
      <c r="CX225" s="37" t="n"/>
      <c r="CY225" s="291" t="n"/>
      <c r="CZ225" s="37" t="n"/>
      <c r="DA225" s="291" t="n"/>
      <c r="DB225" s="37" t="n"/>
      <c r="DC225" s="291" t="n"/>
      <c r="DD225" s="37" t="n"/>
      <c r="DE225" s="291" t="n"/>
      <c r="DF225" s="291" t="n"/>
    </row>
    <row r="226" ht="13" customFormat="1" customHeight="1" s="64">
      <c r="A226" s="358" t="n"/>
      <c r="B226" s="357" t="n"/>
      <c r="C226" s="58" t="n"/>
      <c r="D226" s="58" t="n"/>
      <c r="E226" s="357" t="n"/>
      <c r="F226" s="58" t="n"/>
      <c r="G226" s="58" t="n"/>
      <c r="H226" s="357" t="n"/>
      <c r="I226" s="58" t="n"/>
      <c r="J226" s="58" t="n"/>
      <c r="K226" s="357" t="n"/>
      <c r="L226" s="58" t="n"/>
      <c r="M226" s="58" t="n"/>
      <c r="N226" s="357" t="n"/>
      <c r="O226" s="58" t="n"/>
      <c r="P226" s="58" t="n"/>
      <c r="Q226" s="357" t="n"/>
      <c r="R226" s="58" t="n"/>
      <c r="S226" s="58" t="n"/>
      <c r="T226" s="357" t="n"/>
      <c r="U226" s="58" t="n"/>
      <c r="V226" s="58" t="n"/>
      <c r="W226" s="357" t="n"/>
      <c r="X226" s="58" t="n"/>
      <c r="Y226" s="58" t="n"/>
      <c r="Z226" s="357" t="n"/>
      <c r="AA226" s="58" t="n"/>
      <c r="AB226" s="58" t="n"/>
      <c r="AC226" s="357" t="n"/>
      <c r="AD226" s="58" t="n"/>
      <c r="AE226" s="58" t="n"/>
      <c r="AF226" s="357" t="n"/>
      <c r="AG226" s="58" t="n"/>
      <c r="AH226" s="58" t="n"/>
      <c r="AI226" s="357" t="n"/>
      <c r="AJ226" s="58" t="n"/>
      <c r="AK226" s="58" t="n"/>
      <c r="AL226" s="357" t="n"/>
      <c r="AM226" s="357" t="n"/>
      <c r="AN226" s="357" t="n"/>
      <c r="AO226" s="357" t="n"/>
      <c r="AP226" s="357" t="n"/>
      <c r="AQ226" s="357" t="n"/>
      <c r="AR226" s="357" t="n"/>
      <c r="AS226" s="357" t="n"/>
      <c r="AT226" s="357" t="n"/>
      <c r="AU226" s="357" t="n"/>
      <c r="AV226" s="357" t="n"/>
      <c r="AW226" s="357" t="n"/>
      <c r="AX226" s="357" t="n"/>
      <c r="AY226" s="357" t="n"/>
      <c r="AZ226" s="357" t="n"/>
      <c r="BA226" s="357" t="n"/>
      <c r="BB226" s="357" t="n"/>
      <c r="BC226" s="357" t="n"/>
      <c r="BD226" s="357" t="n"/>
      <c r="BE226" s="357" t="n"/>
      <c r="BF226" s="357" t="n"/>
      <c r="BG226" s="357" t="n"/>
      <c r="BH226" s="357" t="n"/>
      <c r="BI226" s="357" t="n"/>
      <c r="BJ226" s="357" t="n"/>
      <c r="BK226" s="357" t="n"/>
      <c r="BL226" s="357" t="n"/>
      <c r="BM226" s="357" t="n"/>
      <c r="BN226" s="357" t="n"/>
      <c r="BO226" s="357" t="n"/>
      <c r="BP226" s="357" t="n"/>
      <c r="BQ226" s="357" t="n"/>
      <c r="BR226" s="357" t="n"/>
      <c r="BS226" s="357" t="n"/>
      <c r="BT226" s="357" t="n"/>
      <c r="BU226" s="357" t="n"/>
      <c r="BV226" s="357" t="n"/>
      <c r="BW226" s="357" t="n"/>
      <c r="BX226" s="357" t="n"/>
      <c r="BY226" s="357" t="n"/>
      <c r="BZ226" s="357" t="n"/>
      <c r="CA226" s="357" t="n"/>
      <c r="CB226" s="357" t="n"/>
      <c r="CC226" s="357" t="n"/>
      <c r="CD226" s="357" t="n"/>
      <c r="CE226" s="357" t="n"/>
      <c r="CF226" s="357" t="n"/>
      <c r="CG226" s="357" t="n"/>
      <c r="CH226" s="357" t="n"/>
      <c r="CI226" s="357" t="n"/>
      <c r="CJ226" s="357" t="n"/>
      <c r="CK226" s="357" t="n"/>
      <c r="CL226" s="357" t="n"/>
      <c r="CM226" s="357" t="n"/>
      <c r="CN226" s="357" t="n"/>
      <c r="CO226" s="357" t="n"/>
      <c r="CP226" s="357" t="n"/>
      <c r="CQ226" s="357" t="n"/>
      <c r="CR226" s="357" t="n"/>
      <c r="CS226" s="357" t="n"/>
      <c r="CT226" s="357" t="n"/>
      <c r="CU226" s="357" t="n"/>
      <c r="CV226" s="357" t="n"/>
      <c r="CW226" s="357" t="n"/>
      <c r="CX226" s="357" t="n"/>
      <c r="CY226" s="357" t="n"/>
      <c r="CZ226" s="357" t="n"/>
      <c r="DA226" s="357" t="n"/>
      <c r="DB226" s="357" t="n"/>
      <c r="DC226" s="357" t="n"/>
      <c r="DD226" s="357" t="n"/>
      <c r="DE226" s="357" t="n"/>
      <c r="DF226" s="357" t="n"/>
      <c r="DG226" s="357" t="n"/>
    </row>
    <row r="227" ht="13" customFormat="1" customHeight="1" s="64">
      <c r="A227" s="358" t="n"/>
      <c r="B227" s="357" t="n"/>
      <c r="C227" s="58" t="n"/>
      <c r="D227" s="58" t="n"/>
      <c r="E227" s="357" t="n"/>
      <c r="F227" s="58" t="n"/>
      <c r="G227" s="58" t="n"/>
      <c r="H227" s="357" t="n"/>
      <c r="I227" s="58" t="n"/>
      <c r="J227" s="58" t="n"/>
      <c r="K227" s="357" t="n"/>
      <c r="L227" s="58" t="n"/>
      <c r="M227" s="58" t="n"/>
      <c r="N227" s="357" t="n"/>
      <c r="O227" s="58" t="n"/>
      <c r="P227" s="58" t="n"/>
      <c r="Q227" s="357" t="n"/>
      <c r="R227" s="58" t="n"/>
      <c r="S227" s="58" t="n"/>
      <c r="T227" s="357" t="n"/>
      <c r="U227" s="58" t="n"/>
      <c r="V227" s="58" t="n"/>
      <c r="W227" s="357" t="n"/>
      <c r="X227" s="58" t="n"/>
      <c r="Y227" s="58" t="n"/>
      <c r="Z227" s="357" t="n"/>
      <c r="AA227" s="58" t="n"/>
      <c r="AB227" s="58" t="n"/>
      <c r="AC227" s="357" t="n"/>
      <c r="AD227" s="58" t="n"/>
      <c r="AE227" s="58" t="n"/>
      <c r="AF227" s="357" t="n"/>
      <c r="AG227" s="58" t="n"/>
      <c r="AH227" s="58" t="n"/>
      <c r="AI227" s="357" t="n"/>
      <c r="AJ227" s="58" t="n"/>
      <c r="AK227" s="58" t="n"/>
      <c r="AL227" s="357" t="n"/>
      <c r="AM227" s="357" t="n"/>
      <c r="AN227" s="357" t="n"/>
      <c r="AO227" s="357" t="n"/>
      <c r="AP227" s="357" t="n"/>
      <c r="AQ227" s="357" t="n"/>
      <c r="AR227" s="357" t="n"/>
      <c r="AS227" s="357" t="n"/>
      <c r="AT227" s="357" t="n"/>
      <c r="AU227" s="357" t="n"/>
      <c r="AV227" s="357" t="n"/>
      <c r="AW227" s="357" t="n"/>
      <c r="AX227" s="357" t="n"/>
      <c r="AY227" s="357" t="n"/>
      <c r="AZ227" s="357" t="n"/>
      <c r="BA227" s="357" t="n"/>
      <c r="BB227" s="357" t="n"/>
      <c r="BC227" s="357" t="n"/>
      <c r="BD227" s="357" t="n"/>
      <c r="BE227" s="357" t="n"/>
      <c r="BF227" s="357" t="n"/>
      <c r="BG227" s="357" t="n"/>
      <c r="BH227" s="357" t="n"/>
      <c r="BI227" s="357" t="n"/>
      <c r="BJ227" s="357" t="n"/>
      <c r="BK227" s="357" t="n"/>
      <c r="BL227" s="357" t="n"/>
      <c r="BM227" s="357" t="n"/>
      <c r="BN227" s="357" t="n"/>
      <c r="BO227" s="357" t="n"/>
      <c r="BP227" s="357" t="n"/>
      <c r="BQ227" s="357" t="n"/>
      <c r="BR227" s="357" t="n"/>
      <c r="BS227" s="357" t="n"/>
      <c r="BT227" s="357" t="n"/>
      <c r="BU227" s="357" t="n"/>
      <c r="BV227" s="357" t="n"/>
      <c r="BW227" s="357" t="n"/>
      <c r="BX227" s="357" t="n"/>
      <c r="BY227" s="357" t="n"/>
      <c r="BZ227" s="357" t="n"/>
      <c r="CA227" s="357" t="n"/>
      <c r="CB227" s="357" t="n"/>
      <c r="CC227" s="357" t="n"/>
      <c r="CD227" s="357" t="n"/>
      <c r="CE227" s="357" t="n"/>
      <c r="CF227" s="357" t="n"/>
      <c r="CG227" s="357" t="n"/>
      <c r="CH227" s="357" t="n"/>
      <c r="CI227" s="357" t="n"/>
      <c r="CJ227" s="357" t="n"/>
      <c r="CK227" s="357" t="n"/>
      <c r="CL227" s="357" t="n"/>
      <c r="CM227" s="357" t="n"/>
      <c r="CN227" s="357" t="n"/>
      <c r="CO227" s="357" t="n"/>
      <c r="CP227" s="357" t="n"/>
      <c r="CQ227" s="357" t="n"/>
      <c r="CR227" s="357" t="n"/>
      <c r="CS227" s="357" t="n"/>
      <c r="CT227" s="357" t="n"/>
      <c r="CU227" s="357" t="n"/>
      <c r="CV227" s="357" t="n"/>
      <c r="CW227" s="357" t="n"/>
      <c r="CX227" s="357" t="n"/>
      <c r="CY227" s="357" t="n"/>
      <c r="CZ227" s="357" t="n"/>
      <c r="DA227" s="357" t="n"/>
      <c r="DB227" s="357" t="n"/>
      <c r="DC227" s="357" t="n"/>
      <c r="DD227" s="357" t="n"/>
      <c r="DE227" s="357" t="n"/>
      <c r="DF227" s="357" t="n"/>
      <c r="DG227" s="357" t="n"/>
    </row>
    <row r="228" ht="13" customFormat="1" customHeight="1" s="64">
      <c r="A228" s="358" t="n"/>
      <c r="B228" s="357" t="n"/>
      <c r="C228" s="58" t="n"/>
      <c r="D228" s="58" t="n"/>
      <c r="E228" s="357" t="n"/>
      <c r="F228" s="58" t="n"/>
      <c r="G228" s="58" t="n"/>
      <c r="H228" s="357" t="n"/>
      <c r="I228" s="58" t="n"/>
      <c r="J228" s="58" t="n"/>
      <c r="K228" s="357" t="n"/>
      <c r="L228" s="58" t="n"/>
      <c r="M228" s="58" t="n"/>
      <c r="N228" s="357" t="n"/>
      <c r="O228" s="58" t="n"/>
      <c r="P228" s="58" t="n"/>
      <c r="Q228" s="357" t="n"/>
      <c r="R228" s="58" t="n"/>
      <c r="S228" s="58" t="n"/>
      <c r="T228" s="357" t="n"/>
      <c r="U228" s="58" t="n"/>
      <c r="V228" s="58" t="n"/>
      <c r="W228" s="357" t="n"/>
      <c r="X228" s="58" t="n"/>
      <c r="Y228" s="58" t="n"/>
      <c r="Z228" s="357" t="n"/>
      <c r="AA228" s="58" t="n"/>
      <c r="AB228" s="58" t="n"/>
      <c r="AC228" s="357" t="n"/>
      <c r="AD228" s="58" t="n"/>
      <c r="AE228" s="58" t="n"/>
      <c r="AF228" s="357" t="n"/>
      <c r="AG228" s="58" t="n"/>
      <c r="AH228" s="58" t="n"/>
      <c r="AI228" s="357" t="n"/>
      <c r="AJ228" s="58" t="n"/>
      <c r="AK228" s="58" t="n"/>
      <c r="AL228" s="357" t="n"/>
      <c r="AM228" s="357" t="n"/>
      <c r="AN228" s="357" t="n"/>
      <c r="AO228" s="357" t="n"/>
      <c r="AP228" s="357" t="n"/>
      <c r="AQ228" s="357" t="n"/>
      <c r="AR228" s="357" t="n"/>
      <c r="AS228" s="357" t="n"/>
      <c r="AT228" s="357" t="n"/>
      <c r="AU228" s="357" t="n"/>
      <c r="AV228" s="360" t="n"/>
      <c r="AW228" s="360" t="n"/>
      <c r="AX228" s="357" t="n"/>
      <c r="AY228" s="357" t="n"/>
      <c r="AZ228" s="58" t="n"/>
      <c r="BA228" s="357" t="n"/>
      <c r="BB228" s="58" t="n"/>
      <c r="BC228" s="357" t="n"/>
      <c r="BD228" s="58" t="n"/>
      <c r="BE228" s="357" t="n"/>
      <c r="BF228" s="58" t="n"/>
      <c r="BG228" s="357" t="n"/>
      <c r="BH228" s="357" t="n"/>
      <c r="BI228" s="357" t="n"/>
      <c r="BJ228" s="357" t="n"/>
      <c r="BK228" s="357" t="n"/>
      <c r="BL228" s="357" t="n"/>
      <c r="BM228" s="357" t="n"/>
      <c r="BN228" s="357" t="n"/>
      <c r="BO228" s="357" t="n"/>
      <c r="BP228" s="357" t="n"/>
      <c r="BQ228" s="58" t="n"/>
      <c r="BR228" s="357" t="n"/>
      <c r="BS228" s="58" t="n"/>
      <c r="BT228" s="357" t="n"/>
      <c r="BU228" s="58" t="n"/>
      <c r="BV228" s="357" t="n"/>
      <c r="BW228" s="58" t="n"/>
      <c r="BX228" s="357" t="n"/>
      <c r="BY228" s="58" t="n"/>
      <c r="BZ228" s="357" t="n"/>
      <c r="CA228" s="58" t="n"/>
      <c r="CB228" s="357" t="n"/>
      <c r="CC228" s="58" t="n"/>
      <c r="CD228" s="357" t="n"/>
      <c r="CE228" s="58" t="n"/>
      <c r="CF228" s="357" t="n"/>
      <c r="CG228" s="357" t="n"/>
      <c r="CH228" s="357" t="n"/>
      <c r="CI228" s="357" t="n"/>
      <c r="CJ228" s="357" t="n"/>
      <c r="CK228" s="357" t="n"/>
      <c r="CL228" s="357" t="n"/>
      <c r="CM228" s="357" t="n"/>
      <c r="CN228" s="357" t="n"/>
      <c r="CO228" s="357" t="n"/>
      <c r="CP228" s="58" t="n"/>
      <c r="CQ228" s="357" t="n"/>
      <c r="CR228" s="58" t="n"/>
      <c r="CS228" s="357" t="n"/>
      <c r="CT228" s="58" t="n"/>
      <c r="CU228" s="357" t="n"/>
      <c r="CV228" s="58" t="n"/>
      <c r="CW228" s="357" t="n"/>
      <c r="CX228" s="58" t="n"/>
      <c r="CY228" s="357" t="n"/>
      <c r="CZ228" s="58" t="n"/>
      <c r="DA228" s="357" t="n"/>
      <c r="DB228" s="58" t="n"/>
      <c r="DC228" s="357" t="n"/>
      <c r="DD228" s="58" t="n"/>
      <c r="DE228" s="357" t="n"/>
      <c r="DF228" s="357" t="n"/>
    </row>
    <row r="229" ht="13" customFormat="1" customHeight="1" s="64">
      <c r="A229" s="358" t="n"/>
      <c r="B229" s="357" t="n"/>
      <c r="C229" s="58" t="n"/>
      <c r="D229" s="58" t="n"/>
      <c r="E229" s="357" t="n"/>
      <c r="F229" s="58" t="n"/>
      <c r="G229" s="58" t="n"/>
      <c r="H229" s="357" t="n"/>
      <c r="I229" s="58" t="n"/>
      <c r="J229" s="58" t="n"/>
      <c r="K229" s="357" t="n"/>
      <c r="L229" s="58" t="n"/>
      <c r="M229" s="58" t="n"/>
      <c r="N229" s="357" t="n"/>
      <c r="O229" s="58" t="n"/>
      <c r="P229" s="58" t="n"/>
      <c r="Q229" s="357" t="n"/>
      <c r="R229" s="58" t="n"/>
      <c r="S229" s="58" t="n"/>
      <c r="T229" s="357" t="n"/>
      <c r="U229" s="58" t="n"/>
      <c r="V229" s="58" t="n"/>
      <c r="W229" s="357" t="n"/>
      <c r="X229" s="58" t="n"/>
      <c r="Y229" s="58" t="n"/>
      <c r="Z229" s="357" t="n"/>
      <c r="AA229" s="58" t="n"/>
      <c r="AB229" s="58" t="n"/>
      <c r="AC229" s="357" t="n"/>
      <c r="AD229" s="58" t="n"/>
      <c r="AE229" s="58" t="n"/>
      <c r="AF229" s="357" t="n"/>
      <c r="AG229" s="58" t="n"/>
      <c r="AH229" s="58" t="n"/>
      <c r="AI229" s="357" t="n"/>
      <c r="AJ229" s="58" t="n"/>
      <c r="AK229" s="58" t="n"/>
      <c r="AL229" s="357" t="n"/>
      <c r="AM229" s="357" t="n"/>
      <c r="AN229" s="357" t="n"/>
      <c r="AO229" s="357" t="n"/>
      <c r="AP229" s="357" t="n"/>
      <c r="AQ229" s="357" t="n"/>
      <c r="AR229" s="357" t="n"/>
      <c r="AS229" s="357" t="n"/>
      <c r="AT229" s="357" t="n"/>
      <c r="AU229" s="357" t="n"/>
      <c r="AV229" s="360" t="n"/>
      <c r="AW229" s="360" t="n"/>
      <c r="AX229" s="357" t="n"/>
      <c r="AY229" s="357" t="n"/>
      <c r="AZ229" s="58" t="n"/>
      <c r="BA229" s="357" t="n"/>
      <c r="BB229" s="58" t="n"/>
      <c r="BC229" s="357" t="n"/>
      <c r="BD229" s="58" t="n"/>
      <c r="BE229" s="357" t="n"/>
      <c r="BF229" s="58" t="n"/>
      <c r="BG229" s="357" t="n"/>
      <c r="BH229" s="357" t="n"/>
      <c r="BI229" s="357" t="n"/>
      <c r="BJ229" s="357" t="n"/>
      <c r="BK229" s="357" t="n"/>
      <c r="BL229" s="357" t="n"/>
      <c r="BM229" s="357" t="n"/>
      <c r="BN229" s="357" t="n"/>
      <c r="BO229" s="357" t="n"/>
      <c r="BP229" s="357" t="n"/>
      <c r="BQ229" s="58" t="n"/>
      <c r="BR229" s="357" t="n"/>
      <c r="BS229" s="58" t="n"/>
      <c r="BT229" s="357" t="n"/>
      <c r="BU229" s="58" t="n"/>
      <c r="BV229" s="357" t="n"/>
      <c r="BW229" s="58" t="n"/>
      <c r="BX229" s="357" t="n"/>
      <c r="BY229" s="58" t="n"/>
      <c r="BZ229" s="357" t="n"/>
      <c r="CA229" s="58" t="n"/>
      <c r="CB229" s="357" t="n"/>
      <c r="CC229" s="58" t="n"/>
      <c r="CD229" s="357" t="n"/>
      <c r="CE229" s="58" t="n"/>
      <c r="CF229" s="357" t="n"/>
      <c r="CG229" s="357" t="n"/>
      <c r="CH229" s="357" t="n"/>
      <c r="CI229" s="357" t="n"/>
      <c r="CJ229" s="357" t="n"/>
      <c r="CK229" s="357" t="n"/>
      <c r="CL229" s="357" t="n"/>
      <c r="CM229" s="357" t="n"/>
      <c r="CN229" s="357" t="n"/>
      <c r="CO229" s="357" t="n"/>
      <c r="CP229" s="58" t="n"/>
      <c r="CQ229" s="357" t="n"/>
      <c r="CR229" s="58" t="n"/>
      <c r="CS229" s="357" t="n"/>
      <c r="CT229" s="58" t="n"/>
      <c r="CU229" s="357" t="n"/>
      <c r="CV229" s="58" t="n"/>
      <c r="CW229" s="357" t="n"/>
      <c r="CX229" s="58" t="n"/>
      <c r="CY229" s="357" t="n"/>
      <c r="CZ229" s="58" t="n"/>
      <c r="DA229" s="357" t="n"/>
      <c r="DB229" s="58" t="n"/>
      <c r="DC229" s="357" t="n"/>
      <c r="DD229" s="58" t="n"/>
      <c r="DE229" s="357" t="n"/>
      <c r="DF229" s="357" t="n"/>
    </row>
    <row r="230" ht="13" customFormat="1" customHeight="1" s="64">
      <c r="A230" s="358" t="n"/>
      <c r="B230" s="357" t="n"/>
      <c r="C230" s="58" t="n"/>
      <c r="D230" s="58" t="n"/>
      <c r="E230" s="357" t="n"/>
      <c r="F230" s="58" t="n"/>
      <c r="G230" s="58" t="n"/>
      <c r="H230" s="357" t="n"/>
      <c r="I230" s="58" t="n"/>
      <c r="J230" s="58" t="n"/>
      <c r="K230" s="357" t="n"/>
      <c r="L230" s="58" t="n"/>
      <c r="M230" s="58" t="n"/>
      <c r="N230" s="357" t="n"/>
      <c r="O230" s="58" t="n"/>
      <c r="P230" s="58" t="n"/>
      <c r="Q230" s="357" t="n"/>
      <c r="R230" s="58" t="n"/>
      <c r="S230" s="58" t="n"/>
      <c r="T230" s="357" t="n"/>
      <c r="U230" s="58" t="n"/>
      <c r="V230" s="58" t="n"/>
      <c r="W230" s="357" t="n"/>
      <c r="X230" s="58" t="n"/>
      <c r="Y230" s="58" t="n"/>
      <c r="Z230" s="357" t="n"/>
      <c r="AA230" s="58" t="n"/>
      <c r="AB230" s="58" t="n"/>
      <c r="AC230" s="357" t="n"/>
      <c r="AD230" s="58" t="n"/>
      <c r="AE230" s="58" t="n"/>
      <c r="AF230" s="357" t="n"/>
      <c r="AG230" s="58" t="n"/>
      <c r="AH230" s="58" t="n"/>
      <c r="AI230" s="357" t="n"/>
      <c r="AJ230" s="58" t="n"/>
      <c r="AK230" s="58" t="n"/>
      <c r="AL230" s="357" t="n"/>
      <c r="AM230" s="357" t="n"/>
      <c r="AN230" s="357" t="n"/>
      <c r="AO230" s="357" t="n"/>
      <c r="AP230" s="357" t="n"/>
      <c r="AQ230" s="357" t="n"/>
      <c r="AR230" s="357" t="n"/>
      <c r="AS230" s="357" t="n"/>
      <c r="AT230" s="357" t="n"/>
      <c r="AU230" s="357" t="n"/>
      <c r="AV230" s="357" t="n"/>
      <c r="AW230" s="357" t="n"/>
      <c r="AX230" s="357" t="n"/>
      <c r="AY230" s="357" t="n"/>
      <c r="AZ230" s="357" t="n"/>
      <c r="BA230" s="357" t="n"/>
      <c r="BB230" s="357" t="n"/>
      <c r="BC230" s="357" t="n"/>
      <c r="BD230" s="357" t="n"/>
      <c r="BE230" s="357" t="n"/>
      <c r="BF230" s="357" t="n"/>
      <c r="BG230" s="357" t="n"/>
      <c r="BH230" s="357" t="n"/>
      <c r="BI230" s="357" t="n"/>
      <c r="BJ230" s="357" t="n"/>
      <c r="BK230" s="357" t="n"/>
      <c r="BL230" s="357" t="n"/>
      <c r="BM230" s="357" t="n"/>
      <c r="BN230" s="357" t="n"/>
      <c r="BO230" s="357" t="n"/>
      <c r="BP230" s="357" t="n"/>
      <c r="BQ230" s="357" t="n"/>
      <c r="BR230" s="357" t="n"/>
      <c r="BS230" s="357" t="n"/>
      <c r="BT230" s="357" t="n"/>
      <c r="BU230" s="357" t="n"/>
      <c r="BV230" s="357" t="n"/>
      <c r="BW230" s="357" t="n"/>
      <c r="BX230" s="357" t="n"/>
      <c r="BY230" s="357" t="n"/>
      <c r="BZ230" s="357" t="n"/>
      <c r="CA230" s="357" t="n"/>
      <c r="CB230" s="357" t="n"/>
      <c r="CC230" s="357" t="n"/>
      <c r="CD230" s="357" t="n"/>
      <c r="CE230" s="357" t="n"/>
      <c r="CF230" s="357" t="n"/>
      <c r="CG230" s="357" t="n"/>
      <c r="CH230" s="357" t="n"/>
      <c r="CI230" s="357" t="n"/>
      <c r="CJ230" s="357" t="n"/>
      <c r="CK230" s="357" t="n"/>
      <c r="CL230" s="357" t="n"/>
      <c r="CM230" s="357" t="n"/>
      <c r="CN230" s="357" t="n"/>
      <c r="CO230" s="357" t="n"/>
      <c r="CP230" s="357" t="n"/>
      <c r="CQ230" s="357" t="n"/>
      <c r="CR230" s="357" t="n"/>
      <c r="CS230" s="357" t="n"/>
      <c r="CT230" s="357" t="n"/>
      <c r="CU230" s="357" t="n"/>
      <c r="CV230" s="357" t="n"/>
      <c r="CW230" s="357" t="n"/>
      <c r="CX230" s="357" t="n"/>
      <c r="CY230" s="357" t="n"/>
      <c r="CZ230" s="357" t="n"/>
      <c r="DA230" s="357" t="n"/>
      <c r="DB230" s="357" t="n"/>
      <c r="DC230" s="357" t="n"/>
      <c r="DD230" s="357" t="n"/>
      <c r="DE230" s="357" t="n"/>
      <c r="DF230" s="357" t="n"/>
      <c r="DG230" s="357" t="n"/>
      <c r="DH230" s="357" t="n"/>
      <c r="DI230" s="357" t="n"/>
      <c r="DJ230" s="357" t="n"/>
      <c r="DK230" s="357" t="n"/>
      <c r="DL230" s="357" t="n"/>
      <c r="DM230" s="357" t="n"/>
      <c r="DN230" s="357" t="n"/>
      <c r="DO230" s="357" t="n"/>
      <c r="DP230" s="357" t="n"/>
      <c r="DQ230" s="357" t="n"/>
      <c r="DR230" s="357" t="n"/>
      <c r="DS230" s="357" t="n"/>
      <c r="DT230" s="357" t="n"/>
      <c r="DU230" s="357" t="n"/>
      <c r="DV230" s="357" t="n"/>
    </row>
    <row r="231" ht="13" customFormat="1" customHeight="1" s="64">
      <c r="A231" s="358" t="n"/>
      <c r="B231" s="357" t="n"/>
      <c r="C231" s="58" t="n"/>
      <c r="D231" s="58" t="n"/>
      <c r="E231" s="357" t="n"/>
      <c r="F231" s="58" t="n"/>
      <c r="G231" s="58" t="n"/>
      <c r="H231" s="357" t="n"/>
      <c r="I231" s="58" t="n"/>
      <c r="J231" s="58" t="n"/>
      <c r="K231" s="357" t="n"/>
      <c r="L231" s="58" t="n"/>
      <c r="M231" s="58" t="n"/>
      <c r="N231" s="357" t="n"/>
      <c r="O231" s="58" t="n"/>
      <c r="P231" s="58" t="n"/>
      <c r="Q231" s="357" t="n"/>
      <c r="R231" s="58" t="n"/>
      <c r="S231" s="58" t="n"/>
      <c r="T231" s="357" t="n"/>
      <c r="U231" s="58" t="n"/>
      <c r="V231" s="58" t="n"/>
      <c r="W231" s="357" t="n"/>
      <c r="X231" s="58" t="n"/>
      <c r="Y231" s="58" t="n"/>
      <c r="Z231" s="357" t="n"/>
      <c r="AA231" s="58" t="n"/>
      <c r="AB231" s="58" t="n"/>
      <c r="AC231" s="357" t="n"/>
      <c r="AD231" s="58" t="n"/>
      <c r="AE231" s="58" t="n"/>
      <c r="AF231" s="357" t="n"/>
      <c r="AG231" s="58" t="n"/>
      <c r="AH231" s="58" t="n"/>
      <c r="AI231" s="357" t="n"/>
      <c r="AJ231" s="58" t="n"/>
      <c r="AK231" s="58" t="n"/>
      <c r="AL231" s="357" t="n"/>
      <c r="AM231" s="357" t="n"/>
      <c r="AN231" s="357" t="n"/>
      <c r="AO231" s="357" t="n"/>
      <c r="AP231" s="357" t="n"/>
      <c r="AQ231" s="357" t="n"/>
      <c r="AR231" s="357" t="n"/>
      <c r="AS231" s="357" t="n"/>
      <c r="AT231" s="357" t="n"/>
      <c r="AU231" s="357" t="n"/>
      <c r="AV231" s="357" t="n"/>
      <c r="AW231" s="357" t="n"/>
      <c r="AX231" s="357" t="n"/>
      <c r="AY231" s="357" t="n"/>
      <c r="AZ231" s="357" t="n"/>
      <c r="BA231" s="357" t="n"/>
      <c r="BB231" s="357" t="n"/>
      <c r="BC231" s="357" t="n"/>
      <c r="BD231" s="357" t="n"/>
      <c r="BE231" s="357" t="n"/>
      <c r="BF231" s="357" t="n"/>
      <c r="BG231" s="357" t="n"/>
      <c r="BH231" s="357" t="n"/>
      <c r="BI231" s="357" t="n"/>
      <c r="BJ231" s="357" t="n"/>
      <c r="BK231" s="357" t="n"/>
      <c r="BL231" s="357" t="n"/>
      <c r="BM231" s="357" t="n"/>
      <c r="BN231" s="357" t="n"/>
      <c r="BO231" s="357" t="n"/>
      <c r="BP231" s="357" t="n"/>
      <c r="BQ231" s="357" t="n"/>
      <c r="BR231" s="357" t="n"/>
      <c r="BS231" s="357" t="n"/>
      <c r="BT231" s="357" t="n"/>
      <c r="BU231" s="357" t="n"/>
      <c r="BV231" s="357" t="n"/>
      <c r="BW231" s="357" t="n"/>
      <c r="BX231" s="357" t="n"/>
      <c r="BY231" s="357" t="n"/>
      <c r="BZ231" s="357" t="n"/>
      <c r="CA231" s="357" t="n"/>
      <c r="CB231" s="357" t="n"/>
      <c r="CC231" s="357" t="n"/>
      <c r="CD231" s="357" t="n"/>
      <c r="CE231" s="357" t="n"/>
      <c r="CF231" s="357" t="n"/>
      <c r="CG231" s="357" t="n"/>
      <c r="CH231" s="357" t="n"/>
      <c r="CI231" s="357" t="n"/>
      <c r="CJ231" s="357" t="n"/>
      <c r="CK231" s="357" t="n"/>
      <c r="CL231" s="357" t="n"/>
      <c r="CM231" s="357" t="n"/>
      <c r="CN231" s="357" t="n"/>
      <c r="CO231" s="357" t="n"/>
      <c r="CP231" s="357" t="n"/>
      <c r="CQ231" s="357" t="n"/>
      <c r="CR231" s="357" t="n"/>
      <c r="CS231" s="357" t="n"/>
      <c r="CT231" s="357" t="n"/>
      <c r="CU231" s="357" t="n"/>
      <c r="CV231" s="357" t="n"/>
      <c r="CW231" s="357" t="n"/>
      <c r="CX231" s="357" t="n"/>
      <c r="CY231" s="357" t="n"/>
      <c r="CZ231" s="357" t="n"/>
      <c r="DA231" s="357" t="n"/>
      <c r="DB231" s="357" t="n"/>
      <c r="DC231" s="357" t="n"/>
      <c r="DD231" s="357" t="n"/>
      <c r="DE231" s="357" t="n"/>
      <c r="DF231" s="357" t="n"/>
      <c r="DG231" s="357" t="n"/>
      <c r="DH231" s="357" t="n"/>
      <c r="DI231" s="357" t="n"/>
      <c r="DJ231" s="357" t="n"/>
      <c r="DK231" s="357" t="n"/>
      <c r="DL231" s="357" t="n"/>
      <c r="DM231" s="357" t="n"/>
      <c r="DN231" s="357" t="n"/>
      <c r="DO231" s="357" t="n"/>
      <c r="DP231" s="357" t="n"/>
      <c r="DQ231" s="357" t="n"/>
      <c r="DR231" s="357" t="n"/>
      <c r="DS231" s="357" t="n"/>
      <c r="DT231" s="357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tabColor theme="8" tint="0.799981688894314"/>
    <outlinePr summaryBelow="1" summaryRight="1"/>
    <pageSetUpPr/>
  </sheetPr>
  <dimension ref="A1:DV231"/>
  <sheetViews>
    <sheetView zoomScale="90" zoomScaleNormal="90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A223" sqref="$A4:$XFD223"/>
    </sheetView>
  </sheetViews>
  <sheetFormatPr baseColWidth="8" defaultColWidth="8.75" defaultRowHeight="14"/>
  <cols>
    <col width="8.75" customWidth="1" style="1" min="1" max="1"/>
    <col width="16.75" customWidth="1" style="1" min="2" max="2"/>
    <col width="9.75" customWidth="1" style="2" min="3" max="3"/>
    <col width="8" customWidth="1" style="2" min="4" max="4"/>
    <col width="16.75" customWidth="1" style="1" min="5" max="5"/>
    <col width="9.75" customWidth="1" style="2" min="6" max="6"/>
    <col width="8" customWidth="1" style="2" min="7" max="7"/>
    <col width="16.75" customWidth="1" style="1" min="8" max="8"/>
    <col width="9.75" customWidth="1" style="2" min="9" max="9"/>
    <col width="8" customWidth="1" style="2" min="10" max="10"/>
    <col width="16.75" customWidth="1" style="1" min="11" max="11"/>
    <col width="9.75" customWidth="1" style="2" min="12" max="12"/>
    <col width="8" customWidth="1" style="2" min="13" max="13"/>
    <col width="16.75" customWidth="1" style="1" min="14" max="14"/>
    <col width="9.75" customWidth="1" style="2" min="15" max="15"/>
    <col width="8" customWidth="1" style="2" min="16" max="16"/>
    <col width="16.75" customWidth="1" style="1" min="17" max="17"/>
    <col width="9.75" customWidth="1" style="2" min="18" max="18"/>
    <col width="8" customWidth="1" style="2" min="19" max="19"/>
    <col width="16.75" customWidth="1" style="1" min="20" max="20"/>
    <col width="9.75" customWidth="1" style="2" min="21" max="21"/>
    <col width="8" customWidth="1" style="2" min="22" max="22"/>
    <col width="16.75" customWidth="1" style="1" min="23" max="23"/>
    <col width="9.75" customWidth="1" style="2" min="24" max="24"/>
    <col width="8" customWidth="1" style="2" min="25" max="25"/>
    <col width="16.75" customWidth="1" style="1" min="26" max="26"/>
    <col width="9.75" customWidth="1" style="2" min="27" max="27"/>
    <col width="8" customWidth="1" style="2" min="28" max="28"/>
    <col width="16.75" customWidth="1" style="1" min="29" max="29"/>
    <col width="9.75" customWidth="1" style="2" min="30" max="30"/>
    <col width="8" customWidth="1" style="2" min="31" max="31"/>
    <col width="16.75" customWidth="1" style="1" min="32" max="32"/>
    <col width="9.75" customWidth="1" style="2" min="33" max="33"/>
    <col width="8" customWidth="1" style="2" min="34" max="34"/>
    <col width="16.75" customWidth="1" style="1" min="35" max="35"/>
    <col width="9.75" customWidth="1" style="2" min="36" max="36"/>
    <col width="8" customWidth="1" style="2" min="37" max="37"/>
    <col width="10.5" customWidth="1" style="1" min="38" max="38"/>
    <col width="9.75" customWidth="1" style="1" min="39" max="39"/>
    <col width="8.5" customWidth="1" style="1" min="40" max="40"/>
    <col width="12.125" customWidth="1" style="1" min="41" max="41"/>
    <col width="9.75" customWidth="1" style="1" min="42" max="42"/>
    <col width="7.875" customWidth="1" style="1" min="43" max="43"/>
    <col width="11" customWidth="1" style="1" min="44" max="44"/>
    <col width="9.75" customWidth="1" style="1" min="45" max="45"/>
    <col width="7.875" customWidth="1" style="1" min="46" max="46"/>
    <col width="11.625" customWidth="1" style="1" min="47" max="47"/>
    <col width="9.75" customWidth="1" style="1" min="48" max="48"/>
    <col width="7.875" customWidth="1" style="1" min="49" max="49"/>
    <col width="16.75" customWidth="1" style="1" min="50" max="50"/>
    <col width="11.375" customWidth="1" style="1" min="51" max="51"/>
    <col width="8.375" customWidth="1" style="1" min="52" max="52"/>
    <col width="10.375" customWidth="1" style="1" min="53" max="53"/>
    <col width="8.375" customWidth="1" style="1" min="54" max="54"/>
    <col width="9" customWidth="1" style="1" min="55" max="55"/>
    <col width="8.375" customWidth="1" style="1" min="56" max="57"/>
    <col width="17.375" customWidth="1" style="1" min="58" max="58"/>
    <col width="31" customWidth="1" style="1" min="59" max="59"/>
    <col width="20.375" customWidth="1" style="1" min="60" max="60"/>
    <col width="16.125" customWidth="1" style="1" min="61" max="61"/>
    <col width="18.375" customWidth="1" style="1" min="62" max="62"/>
    <col width="16.375" customWidth="1" style="1" min="63" max="63"/>
    <col width="14.625" customWidth="1" style="1" min="64" max="64"/>
    <col width="8.375" customWidth="1" style="1" min="65" max="65"/>
    <col width="27" customWidth="1" style="1" min="66" max="66"/>
    <col width="9" customWidth="1" style="1" min="67" max="67"/>
    <col width="16" customWidth="1" style="1" min="68" max="68"/>
    <col width="8.375" customWidth="1" style="1" min="69" max="73"/>
    <col width="14.625" customWidth="1" style="1" min="74" max="74"/>
    <col width="8.375" customWidth="1" style="1" min="75" max="75"/>
    <col width="16" customWidth="1" style="1" min="76" max="76"/>
    <col width="8.375" customWidth="1" style="1" min="77" max="79"/>
    <col width="18.375" customWidth="1" style="1" min="80" max="80"/>
    <col width="17.375" customWidth="1" style="1" min="81" max="81"/>
    <col width="13.625" customWidth="1" style="1" min="82" max="82"/>
    <col width="24" customWidth="1" style="1" min="83" max="83"/>
    <col width="12" customWidth="1" style="1" min="84" max="84"/>
    <col width="17.625" customWidth="1" style="1" min="85" max="85"/>
    <col width="15.75" customWidth="1" style="1" min="86" max="86"/>
    <col width="20.375" customWidth="1" style="1" min="87" max="87"/>
    <col width="18.75" customWidth="1" style="1" min="88" max="88"/>
    <col width="21.75" customWidth="1" style="1" min="89" max="89"/>
    <col width="12.375" customWidth="1" style="1" min="90" max="90"/>
    <col width="14.375" customWidth="1" style="1" min="91" max="91"/>
    <col width="10.375" customWidth="1" style="1" min="92" max="92"/>
    <col width="14.375" customWidth="1" style="1" min="93" max="93"/>
    <col width="15.375" customWidth="1" style="269" min="94" max="94"/>
    <col width="15.125" customWidth="1" style="1" min="95" max="95"/>
    <col width="19.375" customWidth="1" style="269" min="96" max="96"/>
    <col width="15.125" customWidth="1" style="1" min="97" max="97"/>
    <col width="10" customWidth="1" style="269" min="98" max="98"/>
    <col width="16.375" customWidth="1" style="1" min="99" max="99"/>
    <col width="14.625" customWidth="1" style="269" min="100" max="100"/>
    <col width="12" customWidth="1" style="1" min="101" max="101"/>
    <col width="8.375" customWidth="1" style="1" min="102" max="102"/>
    <col width="10.375" customWidth="1" style="1" min="103" max="103"/>
    <col width="8.375" customWidth="1" style="1" min="104" max="104"/>
    <col width="10.375" customWidth="1" style="1" min="105" max="105"/>
    <col width="13.625" customWidth="1" style="1" min="106" max="106"/>
    <col width="18.625" customWidth="1" style="1" min="107" max="107"/>
    <col width="17.75" customWidth="1" style="1" min="108" max="108"/>
    <col width="8.75" customWidth="1" style="270" min="109" max="110"/>
    <col width="8.75" customWidth="1" style="1" min="111" max="16384"/>
  </cols>
  <sheetData>
    <row r="1" customFormat="1" s="59">
      <c r="A1" s="271" t="inlineStr">
        <is>
          <t>指标名称</t>
        </is>
      </c>
      <c r="B1" s="271" t="inlineStr">
        <is>
          <t>可用座公里（百万）</t>
        </is>
      </c>
      <c r="C1" s="4" t="inlineStr">
        <is>
          <t>同比上年</t>
        </is>
      </c>
      <c r="D1" s="4" t="inlineStr">
        <is>
          <t>同比19</t>
        </is>
      </c>
      <c r="E1" s="271" t="inlineStr">
        <is>
          <t>可用座公里:国内</t>
        </is>
      </c>
      <c r="F1" s="4" t="inlineStr">
        <is>
          <t>同比上年</t>
        </is>
      </c>
      <c r="G1" s="4" t="inlineStr">
        <is>
          <t>同比19</t>
        </is>
      </c>
      <c r="H1" s="271" t="inlineStr">
        <is>
          <t>可用座公里:国际</t>
        </is>
      </c>
      <c r="I1" s="4" t="inlineStr">
        <is>
          <t>同比上年</t>
        </is>
      </c>
      <c r="J1" s="4" t="inlineStr">
        <is>
          <t>同比19</t>
        </is>
      </c>
      <c r="K1" s="271" t="inlineStr">
        <is>
          <t>可用座公里:地区</t>
        </is>
      </c>
      <c r="L1" s="4" t="inlineStr">
        <is>
          <t>同比上年</t>
        </is>
      </c>
      <c r="M1" s="4" t="inlineStr">
        <is>
          <t>同比19</t>
        </is>
      </c>
      <c r="N1" s="271" t="inlineStr">
        <is>
          <t>收入客公里（百万）</t>
        </is>
      </c>
      <c r="O1" s="4" t="inlineStr">
        <is>
          <t>同比上年</t>
        </is>
      </c>
      <c r="P1" s="4" t="inlineStr">
        <is>
          <t>同比19</t>
        </is>
      </c>
      <c r="Q1" s="271" t="inlineStr">
        <is>
          <t>收入客公里:国内</t>
        </is>
      </c>
      <c r="R1" s="4" t="inlineStr">
        <is>
          <t>同比上年</t>
        </is>
      </c>
      <c r="S1" s="4" t="inlineStr">
        <is>
          <t>同比19</t>
        </is>
      </c>
      <c r="T1" s="271" t="inlineStr">
        <is>
          <t>收入客公里:国际</t>
        </is>
      </c>
      <c r="U1" s="4" t="inlineStr">
        <is>
          <t>同比上年</t>
        </is>
      </c>
      <c r="V1" s="4" t="inlineStr">
        <is>
          <t>同比19</t>
        </is>
      </c>
      <c r="W1" s="271" t="inlineStr">
        <is>
          <t>收入客公里:地区</t>
        </is>
      </c>
      <c r="X1" s="4" t="inlineStr">
        <is>
          <t>同比上年</t>
        </is>
      </c>
      <c r="Y1" s="4" t="inlineStr">
        <is>
          <t>同比19</t>
        </is>
      </c>
      <c r="Z1" s="271" t="inlineStr">
        <is>
          <t>客运量（千人次）</t>
        </is>
      </c>
      <c r="AA1" s="4" t="inlineStr">
        <is>
          <t>同比上年</t>
        </is>
      </c>
      <c r="AB1" s="4" t="inlineStr">
        <is>
          <t>同比19</t>
        </is>
      </c>
      <c r="AC1" s="271" t="inlineStr">
        <is>
          <t>客运量:国内</t>
        </is>
      </c>
      <c r="AD1" s="4" t="inlineStr">
        <is>
          <t>同比上年</t>
        </is>
      </c>
      <c r="AE1" s="4" t="inlineStr">
        <is>
          <t>同比19</t>
        </is>
      </c>
      <c r="AF1" s="271" t="inlineStr">
        <is>
          <t>客运量:国际</t>
        </is>
      </c>
      <c r="AG1" s="4" t="inlineStr">
        <is>
          <t>同比上年</t>
        </is>
      </c>
      <c r="AH1" s="4" t="inlineStr">
        <is>
          <t>同比19</t>
        </is>
      </c>
      <c r="AI1" s="271" t="inlineStr">
        <is>
          <t>客运量:地区</t>
        </is>
      </c>
      <c r="AJ1" s="4" t="inlineStr">
        <is>
          <t>同比上年</t>
        </is>
      </c>
      <c r="AK1" s="4" t="inlineStr">
        <is>
          <t>同比19</t>
        </is>
      </c>
      <c r="AL1" s="271" t="inlineStr">
        <is>
          <t>客座率</t>
        </is>
      </c>
      <c r="AM1" s="4" t="inlineStr">
        <is>
          <t>同比上年</t>
        </is>
      </c>
      <c r="AN1" s="4" t="inlineStr">
        <is>
          <t>同比19</t>
        </is>
      </c>
      <c r="AO1" s="271" t="inlineStr">
        <is>
          <t>客座率:国内</t>
        </is>
      </c>
      <c r="AP1" s="4" t="inlineStr">
        <is>
          <t>同比上年</t>
        </is>
      </c>
      <c r="AQ1" s="4" t="inlineStr">
        <is>
          <t>同比19</t>
        </is>
      </c>
      <c r="AR1" s="271" t="inlineStr">
        <is>
          <t>客座率:国际</t>
        </is>
      </c>
      <c r="AS1" s="4" t="inlineStr">
        <is>
          <t>同比上年</t>
        </is>
      </c>
      <c r="AT1" s="4" t="inlineStr">
        <is>
          <t>同比19</t>
        </is>
      </c>
      <c r="AU1" s="271" t="inlineStr">
        <is>
          <t>客座率:地区</t>
        </is>
      </c>
      <c r="AV1" s="4" t="inlineStr">
        <is>
          <t>同比上年</t>
        </is>
      </c>
      <c r="AW1" s="4" t="inlineStr">
        <is>
          <t>同比19</t>
        </is>
      </c>
      <c r="AX1" s="271" t="inlineStr">
        <is>
          <t>运营飞机数</t>
        </is>
      </c>
      <c r="AY1" s="4" t="inlineStr">
        <is>
          <t>同比上年</t>
        </is>
      </c>
      <c r="AZ1" s="4" t="inlineStr">
        <is>
          <t>同比19</t>
        </is>
      </c>
      <c r="BA1" s="271" t="n"/>
      <c r="BB1" s="271" t="n"/>
      <c r="BC1" s="271" t="n"/>
      <c r="BD1" s="271" t="n"/>
      <c r="BE1" s="271" t="n"/>
      <c r="BF1" s="271" t="n"/>
      <c r="BG1" s="271" t="n"/>
      <c r="BH1" s="271" t="n"/>
      <c r="BI1" s="271" t="n"/>
      <c r="BJ1" s="271" t="n"/>
      <c r="BK1" s="271" t="n"/>
      <c r="BL1" s="271" t="n"/>
      <c r="BM1" s="271" t="n"/>
      <c r="BN1" s="271" t="n"/>
      <c r="BO1" s="271" t="n"/>
      <c r="BP1" s="271" t="n"/>
      <c r="BQ1" s="271" t="n"/>
      <c r="BR1" s="271" t="n"/>
      <c r="BS1" s="271" t="n"/>
      <c r="BT1" s="271" t="n"/>
      <c r="BU1" s="271" t="n"/>
      <c r="BV1" s="271" t="n"/>
      <c r="BW1" s="271" t="n"/>
      <c r="BX1" s="271" t="n"/>
      <c r="BY1" s="271" t="n"/>
      <c r="BZ1" s="271" t="n"/>
      <c r="CA1" s="271" t="n"/>
      <c r="CB1" s="271" t="n"/>
      <c r="CC1" s="271" t="n"/>
      <c r="CD1" s="271" t="n"/>
      <c r="CE1" s="271" t="n"/>
      <c r="CF1" s="271" t="n"/>
      <c r="CG1" s="271" t="n"/>
      <c r="CH1" s="271" t="n"/>
      <c r="CI1" s="271" t="n"/>
      <c r="CJ1" s="271" t="n"/>
      <c r="CK1" s="271" t="n"/>
      <c r="CL1" s="271" t="n"/>
      <c r="CM1" s="271" t="n"/>
      <c r="CN1" s="271" t="n"/>
      <c r="CO1" s="271" t="n"/>
      <c r="CP1" s="271" t="n"/>
      <c r="CQ1" s="271" t="n"/>
      <c r="CR1" s="271" t="n"/>
      <c r="CS1" s="271" t="n"/>
      <c r="CT1" s="271" t="n"/>
      <c r="CU1" s="271" t="n"/>
      <c r="CV1" s="67" t="n"/>
      <c r="CW1" s="271" t="n"/>
      <c r="CX1" s="271" t="n"/>
      <c r="CY1" s="271" t="n"/>
      <c r="CZ1" s="271" t="n"/>
      <c r="DA1" s="271" t="n"/>
      <c r="DB1" s="271" t="n"/>
      <c r="DC1" s="271" t="n"/>
      <c r="DD1" s="271" t="n"/>
      <c r="DE1" s="272" t="n"/>
      <c r="DF1" s="272" t="n"/>
      <c r="DG1" s="271" t="n"/>
      <c r="DH1" s="67" t="n"/>
      <c r="DI1" s="67" t="n"/>
      <c r="DJ1" s="67" t="n"/>
      <c r="DK1" s="67" t="n"/>
      <c r="DL1" s="67" t="n"/>
      <c r="DM1" s="67" t="n"/>
      <c r="DN1" s="67" t="n"/>
      <c r="DO1" s="67" t="n"/>
      <c r="DP1" s="67" t="n"/>
      <c r="DQ1" s="67" t="n"/>
      <c r="DR1" s="67" t="n"/>
    </row>
    <row r="2" ht="13" customFormat="1" customHeight="1" s="52">
      <c r="A2" s="273" t="inlineStr">
        <is>
          <t>频率</t>
        </is>
      </c>
      <c r="B2" s="274" t="inlineStr">
        <is>
          <t>月</t>
        </is>
      </c>
      <c r="C2" s="7" t="n"/>
      <c r="D2" s="7" t="n"/>
      <c r="E2" s="274" t="inlineStr">
        <is>
          <t>月</t>
        </is>
      </c>
      <c r="F2" s="7" t="n"/>
      <c r="G2" s="7" t="n"/>
      <c r="H2" s="274" t="inlineStr">
        <is>
          <t>月</t>
        </is>
      </c>
      <c r="I2" s="7" t="n"/>
      <c r="J2" s="7" t="n"/>
      <c r="K2" s="274" t="inlineStr">
        <is>
          <t>月</t>
        </is>
      </c>
      <c r="L2" s="7" t="n"/>
      <c r="M2" s="7" t="n"/>
      <c r="N2" s="274" t="inlineStr">
        <is>
          <t>月</t>
        </is>
      </c>
      <c r="O2" s="7" t="n"/>
      <c r="P2" s="7" t="n"/>
      <c r="Q2" s="274" t="inlineStr">
        <is>
          <t>月</t>
        </is>
      </c>
      <c r="R2" s="7" t="n"/>
      <c r="S2" s="7" t="n"/>
      <c r="T2" s="274" t="inlineStr">
        <is>
          <t>月</t>
        </is>
      </c>
      <c r="U2" s="7" t="n"/>
      <c r="V2" s="7" t="n"/>
      <c r="W2" s="274" t="inlineStr">
        <is>
          <t>月</t>
        </is>
      </c>
      <c r="X2" s="7" t="n"/>
      <c r="Y2" s="7" t="n"/>
      <c r="Z2" s="274" t="inlineStr">
        <is>
          <t>月</t>
        </is>
      </c>
      <c r="AA2" s="7" t="n"/>
      <c r="AB2" s="7" t="n"/>
      <c r="AC2" s="274" t="inlineStr">
        <is>
          <t>月</t>
        </is>
      </c>
      <c r="AD2" s="7" t="n"/>
      <c r="AE2" s="7" t="n"/>
      <c r="AF2" s="274" t="inlineStr">
        <is>
          <t>月</t>
        </is>
      </c>
      <c r="AG2" s="7" t="n"/>
      <c r="AH2" s="7" t="n"/>
      <c r="AI2" s="274" t="inlineStr">
        <is>
          <t>月</t>
        </is>
      </c>
      <c r="AJ2" s="7" t="n"/>
      <c r="AK2" s="7" t="n"/>
      <c r="AL2" s="274" t="inlineStr">
        <is>
          <t>月</t>
        </is>
      </c>
      <c r="AM2" s="8" t="n"/>
      <c r="AN2" s="8" t="n"/>
      <c r="AO2" s="274" t="inlineStr">
        <is>
          <t>月</t>
        </is>
      </c>
      <c r="AP2" s="8" t="n"/>
      <c r="AQ2" s="8" t="n"/>
      <c r="AR2" s="274" t="inlineStr">
        <is>
          <t>月</t>
        </is>
      </c>
      <c r="AS2" s="8" t="n"/>
      <c r="AT2" s="8" t="n"/>
      <c r="AU2" s="274" t="inlineStr">
        <is>
          <t>月</t>
        </is>
      </c>
      <c r="AV2" s="8" t="n"/>
      <c r="AW2" s="8" t="n"/>
      <c r="AX2" s="274" t="n"/>
      <c r="AY2" s="8" t="n"/>
      <c r="AZ2" s="8" t="n"/>
      <c r="BA2" s="274" t="n"/>
      <c r="BB2" s="274" t="n"/>
      <c r="BC2" s="274" t="n"/>
      <c r="BD2" s="274" t="n"/>
      <c r="BE2" s="274" t="n"/>
      <c r="BF2" s="274" t="n"/>
      <c r="BG2" s="274" t="n"/>
      <c r="BH2" s="274" t="n"/>
      <c r="BI2" s="274" t="n"/>
      <c r="BJ2" s="274" t="n"/>
      <c r="BK2" s="274" t="n"/>
      <c r="BL2" s="274" t="n"/>
      <c r="BM2" s="274" t="n"/>
      <c r="BN2" s="274" t="n"/>
      <c r="BO2" s="274" t="n"/>
      <c r="BP2" s="274" t="n"/>
      <c r="BQ2" s="274" t="n"/>
      <c r="BR2" s="274" t="n"/>
      <c r="BS2" s="274" t="n"/>
      <c r="BT2" s="274" t="n"/>
      <c r="BU2" s="274" t="n"/>
      <c r="BV2" s="274" t="n"/>
      <c r="BW2" s="274" t="n"/>
      <c r="BX2" s="274" t="n"/>
      <c r="BY2" s="274" t="n"/>
      <c r="BZ2" s="274" t="n"/>
      <c r="CA2" s="274" t="n"/>
      <c r="CB2" s="274" t="n"/>
      <c r="CC2" s="274" t="n"/>
      <c r="CD2" s="274" t="n"/>
      <c r="CE2" s="274" t="n"/>
      <c r="CF2" s="274" t="n"/>
      <c r="CG2" s="274" t="n"/>
      <c r="CH2" s="274" t="n"/>
      <c r="CI2" s="274" t="n"/>
      <c r="CJ2" s="274" t="n"/>
      <c r="CK2" s="274" t="n"/>
      <c r="CL2" s="274" t="n"/>
      <c r="CM2" s="274" t="n"/>
      <c r="CN2" s="274" t="n"/>
      <c r="CO2" s="274" t="n"/>
      <c r="CP2" s="274" t="n"/>
      <c r="CQ2" s="274" t="n"/>
      <c r="CR2" s="274" t="n"/>
      <c r="CS2" s="274" t="n"/>
      <c r="CT2" s="274" t="n"/>
      <c r="CU2" s="274" t="n"/>
      <c r="CV2" s="69" t="n"/>
      <c r="CW2" s="274" t="n"/>
      <c r="CX2" s="274" t="n"/>
      <c r="CY2" s="274" t="n"/>
      <c r="CZ2" s="274" t="n"/>
      <c r="DA2" s="274" t="n"/>
      <c r="DB2" s="274" t="n"/>
      <c r="DC2" s="274" t="n"/>
      <c r="DD2" s="274" t="n"/>
      <c r="DE2" s="275" t="n"/>
      <c r="DF2" s="275" t="n"/>
      <c r="DG2" s="69" t="n"/>
      <c r="DH2" s="69" t="n"/>
      <c r="DI2" s="69" t="n"/>
      <c r="DJ2" s="69" t="n"/>
      <c r="DK2" s="69" t="n"/>
      <c r="DL2" s="69" t="n"/>
      <c r="DM2" s="69" t="n"/>
      <c r="DN2" s="69" t="n"/>
      <c r="DO2" s="69" t="n"/>
      <c r="DP2" s="69" t="n"/>
      <c r="DQ2" s="69" t="n"/>
      <c r="DR2" s="69" t="n"/>
    </row>
    <row r="3" ht="13" customFormat="1" customHeight="1" s="60">
      <c r="A3" s="276" t="n"/>
      <c r="B3" s="277" t="inlineStr">
        <is>
          <t>ASK</t>
        </is>
      </c>
      <c r="C3" s="11" t="n"/>
      <c r="D3" s="11" t="n"/>
      <c r="E3" s="277" t="inlineStr">
        <is>
          <t>Domestic</t>
        </is>
      </c>
      <c r="F3" s="11" t="n"/>
      <c r="G3" s="11" t="n"/>
      <c r="H3" s="277" t="inlineStr">
        <is>
          <t>International</t>
        </is>
      </c>
      <c r="I3" s="11" t="n"/>
      <c r="J3" s="11" t="n"/>
      <c r="K3" s="277" t="inlineStr">
        <is>
          <t>Regional</t>
        </is>
      </c>
      <c r="L3" s="11" t="n"/>
      <c r="M3" s="11" t="n"/>
      <c r="N3" s="277" t="inlineStr">
        <is>
          <t>RPK</t>
        </is>
      </c>
      <c r="O3" s="11" t="n"/>
      <c r="P3" s="11" t="n"/>
      <c r="Q3" s="277" t="inlineStr">
        <is>
          <t>Domestic</t>
        </is>
      </c>
      <c r="R3" s="11" t="n"/>
      <c r="S3" s="11" t="n"/>
      <c r="T3" s="277" t="inlineStr">
        <is>
          <t>International</t>
        </is>
      </c>
      <c r="U3" s="11" t="n"/>
      <c r="V3" s="11" t="n"/>
      <c r="W3" s="277" t="inlineStr">
        <is>
          <t>Regional</t>
        </is>
      </c>
      <c r="X3" s="11" t="n"/>
      <c r="Y3" s="11" t="n"/>
      <c r="Z3" s="277" t="inlineStr">
        <is>
          <t>Pax volume</t>
        </is>
      </c>
      <c r="AA3" s="11" t="n"/>
      <c r="AB3" s="11" t="n"/>
      <c r="AC3" s="277" t="inlineStr">
        <is>
          <t>Domestic</t>
        </is>
      </c>
      <c r="AD3" s="11" t="n"/>
      <c r="AE3" s="11" t="n"/>
      <c r="AF3" s="277" t="inlineStr">
        <is>
          <t>International</t>
        </is>
      </c>
      <c r="AG3" s="11" t="n"/>
      <c r="AH3" s="11" t="n"/>
      <c r="AI3" s="277" t="inlineStr">
        <is>
          <t>Regional</t>
        </is>
      </c>
      <c r="AJ3" s="11" t="n"/>
      <c r="AK3" s="11" t="n"/>
      <c r="AL3" s="277" t="inlineStr">
        <is>
          <t>PLF</t>
        </is>
      </c>
      <c r="AM3" s="12" t="n"/>
      <c r="AN3" s="12" t="n"/>
      <c r="AO3" s="277" t="inlineStr">
        <is>
          <t>Domestic</t>
        </is>
      </c>
      <c r="AP3" s="12" t="n"/>
      <c r="AQ3" s="12" t="n"/>
      <c r="AR3" s="277" t="inlineStr">
        <is>
          <t>International</t>
        </is>
      </c>
      <c r="AS3" s="12" t="n"/>
      <c r="AT3" s="12" t="n"/>
      <c r="AU3" s="277" t="inlineStr">
        <is>
          <t>Regional</t>
        </is>
      </c>
      <c r="AV3" s="12" t="n"/>
      <c r="AW3" s="12" t="n"/>
      <c r="AX3" s="277" t="n"/>
      <c r="AY3" s="12" t="n"/>
      <c r="AZ3" s="12" t="n"/>
      <c r="BA3" s="277" t="n"/>
      <c r="BB3" s="277" t="n"/>
      <c r="BC3" s="277" t="n"/>
      <c r="BD3" s="277" t="n"/>
      <c r="BE3" s="277" t="n"/>
      <c r="BF3" s="277" t="n"/>
      <c r="BG3" s="277" t="n"/>
      <c r="BH3" s="277" t="n"/>
      <c r="BI3" s="277" t="n"/>
      <c r="BJ3" s="277" t="n"/>
      <c r="BK3" s="277" t="n"/>
      <c r="BL3" s="277" t="n"/>
      <c r="BM3" s="277" t="n"/>
      <c r="BN3" s="277" t="n"/>
      <c r="BO3" s="277" t="n"/>
      <c r="BP3" s="277" t="n"/>
      <c r="BQ3" s="277" t="n"/>
      <c r="BR3" s="277" t="n"/>
      <c r="BS3" s="277" t="n"/>
      <c r="BT3" s="277" t="n"/>
      <c r="BU3" s="277" t="n"/>
      <c r="BV3" s="277" t="n"/>
      <c r="BW3" s="277" t="n"/>
      <c r="BX3" s="277" t="n"/>
      <c r="BY3" s="277" t="n"/>
      <c r="BZ3" s="277" t="n"/>
      <c r="CA3" s="277" t="n"/>
      <c r="CB3" s="277" t="n"/>
      <c r="CC3" s="277" t="n"/>
      <c r="CD3" s="277" t="n"/>
      <c r="CE3" s="277" t="n"/>
      <c r="CF3" s="278" t="n"/>
      <c r="CG3" s="277" t="n"/>
      <c r="CH3" s="277" t="n"/>
      <c r="CI3" s="277" t="n"/>
      <c r="CJ3" s="277" t="n"/>
      <c r="CK3" s="277" t="n"/>
      <c r="CL3" s="277" t="n"/>
      <c r="CM3" s="277" t="n"/>
      <c r="CN3" s="278" t="n"/>
      <c r="CO3" s="278" t="n"/>
      <c r="CP3" s="277" t="n"/>
      <c r="CQ3" s="277" t="n"/>
      <c r="CR3" s="277" t="n"/>
      <c r="CS3" s="277" t="n"/>
      <c r="CT3" s="277" t="n"/>
      <c r="CU3" s="277" t="n"/>
      <c r="CV3" s="72" t="n"/>
      <c r="CW3" s="277" t="n"/>
      <c r="CX3" s="277" t="n"/>
      <c r="CY3" s="277" t="n"/>
      <c r="CZ3" s="277" t="n"/>
      <c r="DA3" s="277" t="n"/>
      <c r="DB3" s="277" t="n"/>
      <c r="DC3" s="277" t="n"/>
      <c r="DD3" s="277" t="n"/>
      <c r="DE3" s="279" t="n"/>
      <c r="DF3" s="279" t="n"/>
      <c r="DG3" s="72" t="n"/>
      <c r="DH3" s="72" t="n"/>
      <c r="DI3" s="72" t="n"/>
      <c r="DJ3" s="72" t="n"/>
      <c r="DK3" s="72" t="n"/>
      <c r="DL3" s="72" t="n"/>
      <c r="DM3" s="72" t="n"/>
      <c r="DN3" s="72" t="n"/>
      <c r="DO3" s="72" t="n"/>
      <c r="DP3" s="72" t="n"/>
      <c r="DQ3" s="72" t="n"/>
      <c r="DR3" s="72" t="n"/>
    </row>
    <row r="4" ht="13" customFormat="1" customHeight="1" s="40">
      <c r="A4" s="330" t="n"/>
      <c r="B4" s="281" t="n"/>
      <c r="C4" s="15" t="n"/>
      <c r="D4" s="15" t="n"/>
      <c r="E4" s="281" t="n"/>
      <c r="F4" s="15" t="n"/>
      <c r="G4" s="15" t="n"/>
      <c r="H4" s="281" t="n"/>
      <c r="I4" s="15" t="n"/>
      <c r="J4" s="15" t="n"/>
      <c r="K4" s="281" t="n"/>
      <c r="L4" s="15" t="n"/>
      <c r="M4" s="15" t="n"/>
      <c r="N4" s="281" t="n"/>
      <c r="O4" s="15" t="n"/>
      <c r="P4" s="15" t="n"/>
      <c r="Q4" s="281" t="n"/>
      <c r="R4" s="15" t="n"/>
      <c r="S4" s="15" t="n"/>
      <c r="T4" s="291" t="n"/>
      <c r="U4" s="15" t="n"/>
      <c r="V4" s="15" t="n"/>
      <c r="W4" s="291" t="n"/>
      <c r="X4" s="15" t="n"/>
      <c r="Y4" s="15" t="n"/>
      <c r="Z4" s="281" t="n"/>
      <c r="AA4" s="15" t="n"/>
      <c r="AB4" s="15" t="n"/>
      <c r="AC4" s="281" t="n"/>
      <c r="AD4" s="15" t="n"/>
      <c r="AE4" s="15" t="n"/>
      <c r="AF4" s="281" t="n"/>
      <c r="AG4" s="15" t="n"/>
      <c r="AH4" s="15" t="n"/>
      <c r="AI4" s="281" t="n"/>
      <c r="AJ4" s="15" t="n"/>
      <c r="AK4" s="15" t="n"/>
      <c r="AL4" s="281" t="n"/>
      <c r="AM4" s="15" t="n"/>
      <c r="AN4" s="15" t="n"/>
      <c r="AO4" s="281" t="n"/>
      <c r="AP4" s="15" t="n"/>
      <c r="AQ4" s="15" t="n"/>
      <c r="AR4" s="281" t="n"/>
      <c r="AS4" s="15" t="n"/>
      <c r="AT4" s="15" t="n"/>
      <c r="AU4" s="281" t="n"/>
      <c r="AV4" s="15" t="n"/>
      <c r="AW4" s="15" t="n"/>
      <c r="AX4" s="281" t="n"/>
      <c r="AY4" s="15" t="n"/>
      <c r="AZ4" s="15" t="n"/>
      <c r="BA4" s="291" t="n"/>
      <c r="BB4" s="37" t="n"/>
      <c r="BC4" s="291" t="n"/>
      <c r="BD4" s="37" t="n"/>
      <c r="BE4" s="291" t="n"/>
      <c r="BF4" s="37" t="n"/>
      <c r="BG4" s="291" t="n"/>
      <c r="BH4" s="37" t="n"/>
      <c r="BI4" s="291" t="n"/>
      <c r="BJ4" s="37" t="n"/>
      <c r="BK4" s="291" t="n"/>
      <c r="BL4" s="37" t="n"/>
      <c r="BM4" s="291" t="n"/>
      <c r="BN4" s="37" t="n"/>
      <c r="BO4" s="291" t="n"/>
      <c r="BP4" s="291" t="n"/>
      <c r="BQ4" s="37" t="n"/>
      <c r="BR4" s="291" t="n"/>
      <c r="BS4" s="37" t="n"/>
      <c r="BT4" s="291" t="n"/>
      <c r="BU4" s="37" t="n"/>
      <c r="BV4" s="291" t="n"/>
      <c r="BW4" s="37" t="n"/>
      <c r="BX4" s="291" t="n"/>
      <c r="BY4" s="37" t="n"/>
      <c r="BZ4" s="291" t="n"/>
      <c r="CA4" s="37" t="n"/>
      <c r="CB4" s="291" t="n"/>
      <c r="CC4" s="37" t="n"/>
      <c r="CD4" s="291" t="n"/>
      <c r="CE4" s="37" t="n"/>
      <c r="CF4" s="291" t="n"/>
      <c r="CG4" s="291" t="n"/>
      <c r="CH4" s="291" t="n"/>
      <c r="CI4" s="291" t="n"/>
      <c r="CJ4" s="291" t="n"/>
      <c r="CK4" s="291" t="n"/>
      <c r="CL4" s="291" t="n"/>
      <c r="CM4" s="291" t="n"/>
      <c r="CN4" s="291" t="n"/>
      <c r="CO4" s="291" t="n"/>
      <c r="CP4" s="291" t="n"/>
      <c r="CQ4" s="291" t="n"/>
      <c r="CR4" s="291" t="n"/>
      <c r="CS4" s="291" t="n"/>
      <c r="CT4" s="291" t="n"/>
      <c r="CU4" s="291" t="n"/>
      <c r="CW4" s="291" t="n"/>
      <c r="CX4" s="37" t="n"/>
      <c r="CY4" s="291" t="n"/>
      <c r="CZ4" s="37" t="n"/>
      <c r="DA4" s="291" t="n"/>
      <c r="DB4" s="37" t="n"/>
      <c r="DC4" s="291" t="n"/>
      <c r="DD4" s="37" t="n"/>
      <c r="DE4" s="311" t="n"/>
      <c r="DF4" s="311" t="n"/>
    </row>
    <row r="5">
      <c r="A5" s="428" t="n"/>
      <c r="B5" s="285" t="n"/>
      <c r="C5" s="18" t="n"/>
      <c r="D5" s="18" t="n"/>
      <c r="E5" s="285" t="n"/>
      <c r="F5" s="18" t="n"/>
      <c r="G5" s="18" t="n"/>
      <c r="H5" s="285" t="n"/>
      <c r="I5" s="18" t="n"/>
      <c r="J5" s="18" t="n"/>
      <c r="K5" s="285" t="n"/>
      <c r="L5" s="18" t="n"/>
      <c r="M5" s="18" t="n"/>
      <c r="N5" s="285" t="n"/>
      <c r="O5" s="18" t="n"/>
      <c r="P5" s="18" t="n"/>
      <c r="Q5" s="285" t="n"/>
      <c r="R5" s="18" t="n"/>
      <c r="S5" s="18" t="n"/>
      <c r="T5" s="291" t="n"/>
      <c r="U5" s="18" t="n"/>
      <c r="V5" s="18" t="n"/>
      <c r="W5" s="291" t="n"/>
      <c r="X5" s="18" t="n"/>
      <c r="Y5" s="18" t="n"/>
      <c r="Z5" s="285" t="n"/>
      <c r="AA5" s="18" t="n"/>
      <c r="AB5" s="18" t="n"/>
      <c r="AC5" s="285" t="n"/>
      <c r="AD5" s="18" t="n"/>
      <c r="AE5" s="18" t="n"/>
      <c r="AF5" s="285" t="n"/>
      <c r="AG5" s="18" t="n"/>
      <c r="AH5" s="18" t="n"/>
      <c r="AI5" s="285" t="n"/>
      <c r="AJ5" s="18" t="n"/>
      <c r="AK5" s="18" t="n"/>
      <c r="AL5" s="285" t="n"/>
      <c r="AM5" s="19" t="n"/>
      <c r="AN5" s="19" t="n"/>
      <c r="AO5" s="285" t="n"/>
      <c r="AP5" s="19" t="n"/>
      <c r="AQ5" s="19" t="n"/>
      <c r="AR5" s="285" t="n"/>
      <c r="AS5" s="19" t="n"/>
      <c r="AT5" s="19" t="n"/>
      <c r="AU5" s="285" t="n"/>
      <c r="AV5" s="19" t="n"/>
      <c r="AW5" s="19" t="n"/>
      <c r="AX5" s="285" t="n"/>
      <c r="AY5" s="19" t="n"/>
      <c r="AZ5" s="19" t="n"/>
      <c r="BA5" s="287" t="n"/>
      <c r="BB5" s="287" t="n"/>
      <c r="BC5" s="287" t="n"/>
      <c r="BD5" s="287" t="n"/>
      <c r="BE5" s="287" t="n"/>
      <c r="BF5" s="287" t="n"/>
      <c r="BG5" s="287" t="n"/>
      <c r="BH5" s="287" t="n"/>
      <c r="BI5" s="288" t="n"/>
      <c r="BJ5" s="288" t="n"/>
      <c r="BK5" s="288" t="n"/>
      <c r="BL5" s="288" t="n"/>
      <c r="BM5" s="288" t="n"/>
      <c r="BN5" s="288" t="n"/>
      <c r="BO5" s="288" t="n"/>
      <c r="BP5" s="288" t="n"/>
      <c r="BQ5" s="288" t="n"/>
      <c r="BR5" s="288" t="n"/>
      <c r="BS5" s="288" t="n"/>
      <c r="BT5" s="288" t="n"/>
      <c r="BU5" s="288" t="n"/>
      <c r="BV5" s="288" t="n"/>
      <c r="BW5" s="288" t="n"/>
      <c r="BX5" s="288" t="n"/>
      <c r="BY5" s="288" t="n"/>
      <c r="BZ5" s="288" t="n"/>
      <c r="CA5" s="288" t="n"/>
      <c r="CB5" s="288" t="n"/>
      <c r="CC5" s="288" t="n"/>
      <c r="CD5" s="288" t="n"/>
      <c r="CE5" s="288" t="n"/>
      <c r="CF5" s="288" t="n"/>
      <c r="CG5" s="288" t="n"/>
      <c r="CH5" s="288" t="n"/>
      <c r="CI5" s="288" t="n"/>
      <c r="CJ5" s="288" t="n"/>
      <c r="CK5" s="288" t="n"/>
      <c r="CL5" s="288" t="n"/>
      <c r="CM5" s="288" t="n"/>
      <c r="CN5" s="288" t="n"/>
      <c r="CO5" s="288" t="n"/>
      <c r="CP5" s="288" t="n"/>
      <c r="CQ5" s="288" t="n"/>
      <c r="CR5" s="288" t="n"/>
      <c r="CS5" s="288" t="n"/>
      <c r="CT5" s="288" t="n"/>
      <c r="CU5" s="288" t="n"/>
      <c r="CV5" s="269" t="n"/>
      <c r="CW5" s="288" t="n"/>
      <c r="CX5" s="288" t="n"/>
      <c r="CY5" s="288" t="n"/>
      <c r="CZ5" s="288" t="n"/>
      <c r="DA5" s="288" t="n"/>
      <c r="DB5" s="288" t="n"/>
      <c r="DC5" s="288" t="n"/>
      <c r="DD5" s="288" t="n"/>
      <c r="DE5" s="289" t="n"/>
      <c r="DF5" s="289" t="n"/>
      <c r="DG5" s="79" t="n"/>
    </row>
    <row r="6">
      <c r="A6" s="428" t="n"/>
      <c r="B6" s="285" t="n"/>
      <c r="C6" s="18" t="n"/>
      <c r="D6" s="18" t="n"/>
      <c r="E6" s="285" t="n"/>
      <c r="F6" s="18" t="n"/>
      <c r="G6" s="18" t="n"/>
      <c r="H6" s="285" t="n"/>
      <c r="I6" s="18" t="n"/>
      <c r="J6" s="18" t="n"/>
      <c r="K6" s="285" t="n"/>
      <c r="L6" s="18" t="n"/>
      <c r="M6" s="18" t="n"/>
      <c r="N6" s="285" t="n"/>
      <c r="O6" s="18" t="n"/>
      <c r="P6" s="18" t="n"/>
      <c r="Q6" s="285" t="n"/>
      <c r="R6" s="18" t="n"/>
      <c r="S6" s="18" t="n"/>
      <c r="T6" s="291" t="n"/>
      <c r="U6" s="18" t="n"/>
      <c r="V6" s="18" t="n"/>
      <c r="W6" s="291" t="n"/>
      <c r="X6" s="18" t="n"/>
      <c r="Y6" s="18" t="n"/>
      <c r="Z6" s="285" t="n"/>
      <c r="AA6" s="18" t="n"/>
      <c r="AB6" s="18" t="n"/>
      <c r="AC6" s="285" t="n"/>
      <c r="AD6" s="18" t="n"/>
      <c r="AE6" s="18" t="n"/>
      <c r="AF6" s="285" t="n"/>
      <c r="AG6" s="18" t="n"/>
      <c r="AH6" s="18" t="n"/>
      <c r="AI6" s="285" t="n"/>
      <c r="AJ6" s="18" t="n"/>
      <c r="AK6" s="18" t="n"/>
      <c r="AL6" s="285" t="n"/>
      <c r="AM6" s="19" t="n"/>
      <c r="AN6" s="19" t="n"/>
      <c r="AO6" s="285" t="n"/>
      <c r="AP6" s="19" t="n"/>
      <c r="AQ6" s="19" t="n"/>
      <c r="AR6" s="285" t="n"/>
      <c r="AS6" s="19" t="n"/>
      <c r="AT6" s="19" t="n"/>
      <c r="AU6" s="285" t="n"/>
      <c r="AV6" s="19" t="n"/>
      <c r="AW6" s="19" t="n"/>
      <c r="AX6" s="285" t="n"/>
      <c r="AY6" s="19" t="n"/>
      <c r="AZ6" s="19" t="n"/>
      <c r="BA6" s="287" t="n"/>
      <c r="BB6" s="287" t="n"/>
      <c r="BC6" s="287" t="n"/>
      <c r="BD6" s="287" t="n"/>
      <c r="BE6" s="287" t="n"/>
      <c r="BF6" s="287" t="n"/>
      <c r="BG6" s="287" t="n"/>
      <c r="BH6" s="287" t="n"/>
      <c r="BI6" s="288" t="n"/>
      <c r="BJ6" s="288" t="n"/>
      <c r="BK6" s="288" t="n"/>
      <c r="BL6" s="288" t="n"/>
      <c r="BM6" s="288" t="n"/>
      <c r="BN6" s="288" t="n"/>
      <c r="BO6" s="288" t="n"/>
      <c r="BP6" s="288" t="n"/>
      <c r="BQ6" s="288" t="n"/>
      <c r="BR6" s="288" t="n"/>
      <c r="BS6" s="288" t="n"/>
      <c r="BT6" s="288" t="n"/>
      <c r="BU6" s="288" t="n"/>
      <c r="BV6" s="288" t="n"/>
      <c r="BW6" s="288" t="n"/>
      <c r="BX6" s="288" t="n"/>
      <c r="BY6" s="288" t="n"/>
      <c r="BZ6" s="288" t="n"/>
      <c r="CA6" s="288" t="n"/>
      <c r="CB6" s="288" t="n"/>
      <c r="CC6" s="288" t="n"/>
      <c r="CD6" s="288" t="n"/>
      <c r="CE6" s="288" t="n"/>
      <c r="CF6" s="288" t="n"/>
      <c r="CG6" s="288" t="n"/>
      <c r="CH6" s="288" t="n"/>
      <c r="CI6" s="288" t="n"/>
      <c r="CJ6" s="288" t="n"/>
      <c r="CK6" s="288" t="n"/>
      <c r="CL6" s="288" t="n"/>
      <c r="CM6" s="288" t="n"/>
      <c r="CN6" s="288" t="n"/>
      <c r="CO6" s="288" t="n"/>
      <c r="CP6" s="288" t="n"/>
      <c r="CQ6" s="288" t="n"/>
      <c r="CR6" s="288" t="n"/>
      <c r="CS6" s="288" t="n"/>
      <c r="CT6" s="288" t="n"/>
      <c r="CU6" s="288" t="n"/>
      <c r="CV6" s="269" t="n"/>
      <c r="CW6" s="288" t="n"/>
      <c r="CX6" s="288" t="n"/>
      <c r="CY6" s="288" t="n"/>
      <c r="CZ6" s="288" t="n"/>
      <c r="DA6" s="288" t="n"/>
      <c r="DB6" s="288" t="n"/>
      <c r="DC6" s="288" t="n"/>
      <c r="DD6" s="288" t="n"/>
      <c r="DE6" s="289" t="n"/>
      <c r="DF6" s="289" t="n"/>
      <c r="DG6" s="79" t="n"/>
    </row>
    <row r="7">
      <c r="A7" s="428" t="n"/>
      <c r="B7" s="285" t="n"/>
      <c r="C7" s="18" t="n"/>
      <c r="D7" s="18" t="n"/>
      <c r="E7" s="285" t="n"/>
      <c r="F7" s="18" t="n"/>
      <c r="G7" s="18" t="n"/>
      <c r="H7" s="285" t="n"/>
      <c r="I7" s="18" t="n"/>
      <c r="J7" s="18" t="n"/>
      <c r="K7" s="285" t="n"/>
      <c r="L7" s="18" t="n"/>
      <c r="M7" s="18" t="n"/>
      <c r="N7" s="285" t="n"/>
      <c r="O7" s="18" t="n"/>
      <c r="P7" s="18" t="n"/>
      <c r="Q7" s="285" t="n"/>
      <c r="R7" s="18" t="n"/>
      <c r="S7" s="18" t="n"/>
      <c r="T7" s="291" t="n"/>
      <c r="U7" s="18" t="n"/>
      <c r="V7" s="18" t="n"/>
      <c r="W7" s="291" t="n"/>
      <c r="X7" s="18" t="n"/>
      <c r="Y7" s="18" t="n"/>
      <c r="Z7" s="285" t="n"/>
      <c r="AA7" s="18" t="n"/>
      <c r="AB7" s="18" t="n"/>
      <c r="AC7" s="285" t="n"/>
      <c r="AD7" s="18" t="n"/>
      <c r="AE7" s="18" t="n"/>
      <c r="AF7" s="285" t="n"/>
      <c r="AG7" s="18" t="n"/>
      <c r="AH7" s="18" t="n"/>
      <c r="AI7" s="285" t="n"/>
      <c r="AJ7" s="18" t="n"/>
      <c r="AK7" s="18" t="n"/>
      <c r="AL7" s="285" t="n"/>
      <c r="AM7" s="19" t="n"/>
      <c r="AN7" s="19" t="n"/>
      <c r="AO7" s="285" t="n"/>
      <c r="AP7" s="19" t="n"/>
      <c r="AQ7" s="19" t="n"/>
      <c r="AR7" s="285" t="n"/>
      <c r="AS7" s="19" t="n"/>
      <c r="AT7" s="19" t="n"/>
      <c r="AU7" s="285" t="n"/>
      <c r="AV7" s="19" t="n"/>
      <c r="AW7" s="19" t="n"/>
      <c r="AX7" s="285" t="n"/>
      <c r="AY7" s="19" t="n"/>
      <c r="AZ7" s="19" t="n"/>
      <c r="BA7" s="287" t="n"/>
      <c r="BB7" s="287" t="n"/>
      <c r="BC7" s="287" t="n"/>
      <c r="BD7" s="287" t="n"/>
      <c r="BE7" s="287" t="n"/>
      <c r="BF7" s="287" t="n"/>
      <c r="BG7" s="287" t="n"/>
      <c r="BH7" s="287" t="n"/>
      <c r="BI7" s="288" t="n"/>
      <c r="BJ7" s="288" t="n"/>
      <c r="BK7" s="288" t="n"/>
      <c r="BL7" s="288" t="n"/>
      <c r="BM7" s="288" t="n"/>
      <c r="BN7" s="288" t="n"/>
      <c r="BO7" s="288" t="n"/>
      <c r="BP7" s="288" t="n"/>
      <c r="BQ7" s="288" t="n"/>
      <c r="BR7" s="288" t="n"/>
      <c r="BS7" s="288" t="n"/>
      <c r="BT7" s="288" t="n"/>
      <c r="BU7" s="288" t="n"/>
      <c r="BV7" s="288" t="n"/>
      <c r="BW7" s="288" t="n"/>
      <c r="BX7" s="288" t="n"/>
      <c r="BY7" s="288" t="n"/>
      <c r="BZ7" s="288" t="n"/>
      <c r="CA7" s="288" t="n"/>
      <c r="CB7" s="288" t="n"/>
      <c r="CC7" s="288" t="n"/>
      <c r="CD7" s="288" t="n"/>
      <c r="CE7" s="288" t="n"/>
      <c r="CF7" s="288" t="n"/>
      <c r="CG7" s="288" t="n"/>
      <c r="CH7" s="288" t="n"/>
      <c r="CI7" s="288" t="n"/>
      <c r="CJ7" s="288" t="n"/>
      <c r="CK7" s="288" t="n"/>
      <c r="CL7" s="288" t="n"/>
      <c r="CM7" s="288" t="n"/>
      <c r="CN7" s="288" t="n"/>
      <c r="CO7" s="288" t="n"/>
      <c r="CP7" s="288" t="n"/>
      <c r="CQ7" s="288" t="n"/>
      <c r="CR7" s="288" t="n"/>
      <c r="CS7" s="288" t="n"/>
      <c r="CT7" s="288" t="n"/>
      <c r="CU7" s="288" t="n"/>
      <c r="CV7" s="269" t="n"/>
      <c r="CW7" s="288" t="n"/>
      <c r="CX7" s="288" t="n"/>
      <c r="CY7" s="288" t="n"/>
      <c r="CZ7" s="288" t="n"/>
      <c r="DA7" s="288" t="n"/>
      <c r="DB7" s="288" t="n"/>
      <c r="DC7" s="288" t="n"/>
      <c r="DD7" s="288" t="n"/>
      <c r="DE7" s="289" t="n"/>
      <c r="DF7" s="289" t="n"/>
      <c r="DG7" s="79" t="n"/>
    </row>
    <row r="8">
      <c r="A8" s="428" t="n"/>
      <c r="B8" s="285" t="n"/>
      <c r="C8" s="18" t="n"/>
      <c r="D8" s="18" t="n"/>
      <c r="E8" s="285" t="n"/>
      <c r="F8" s="18" t="n"/>
      <c r="G8" s="18" t="n"/>
      <c r="H8" s="285" t="n"/>
      <c r="I8" s="18" t="n"/>
      <c r="J8" s="18" t="n"/>
      <c r="K8" s="285" t="n"/>
      <c r="L8" s="18" t="n"/>
      <c r="M8" s="18" t="n"/>
      <c r="N8" s="285" t="n"/>
      <c r="O8" s="18" t="n"/>
      <c r="P8" s="18" t="n"/>
      <c r="Q8" s="285" t="n"/>
      <c r="R8" s="18" t="n"/>
      <c r="S8" s="18" t="n"/>
      <c r="T8" s="291" t="n"/>
      <c r="U8" s="18" t="n"/>
      <c r="V8" s="18" t="n"/>
      <c r="W8" s="291" t="n"/>
      <c r="X8" s="18" t="n"/>
      <c r="Y8" s="18" t="n"/>
      <c r="Z8" s="285" t="n"/>
      <c r="AA8" s="18" t="n"/>
      <c r="AB8" s="18" t="n"/>
      <c r="AC8" s="285" t="n"/>
      <c r="AD8" s="18" t="n"/>
      <c r="AE8" s="18" t="n"/>
      <c r="AF8" s="285" t="n"/>
      <c r="AG8" s="18" t="n"/>
      <c r="AH8" s="18" t="n"/>
      <c r="AI8" s="285" t="n"/>
      <c r="AJ8" s="18" t="n"/>
      <c r="AK8" s="18" t="n"/>
      <c r="AL8" s="285" t="n"/>
      <c r="AM8" s="19" t="n"/>
      <c r="AN8" s="19" t="n"/>
      <c r="AO8" s="285" t="n"/>
      <c r="AP8" s="19" t="n"/>
      <c r="AQ8" s="19" t="n"/>
      <c r="AR8" s="285" t="n"/>
      <c r="AS8" s="19" t="n"/>
      <c r="AT8" s="19" t="n"/>
      <c r="AU8" s="285" t="n"/>
      <c r="AV8" s="19" t="n"/>
      <c r="AW8" s="19" t="n"/>
      <c r="AX8" s="285" t="n"/>
      <c r="AY8" s="19" t="n"/>
      <c r="AZ8" s="19" t="n"/>
      <c r="BA8" s="287" t="n"/>
      <c r="BB8" s="287" t="n"/>
      <c r="BC8" s="287" t="n"/>
      <c r="BD8" s="287" t="n"/>
      <c r="BE8" s="287" t="n"/>
      <c r="BF8" s="287" t="n"/>
      <c r="BG8" s="287" t="n"/>
      <c r="BH8" s="287" t="n"/>
      <c r="BI8" s="288" t="n"/>
      <c r="BJ8" s="288" t="n"/>
      <c r="BK8" s="288" t="n"/>
      <c r="BL8" s="288" t="n"/>
      <c r="BM8" s="288" t="n"/>
      <c r="BN8" s="288" t="n"/>
      <c r="BO8" s="288" t="n"/>
      <c r="BP8" s="288" t="n"/>
      <c r="BQ8" s="288" t="n"/>
      <c r="BR8" s="288" t="n"/>
      <c r="BS8" s="288" t="n"/>
      <c r="BT8" s="288" t="n"/>
      <c r="BU8" s="288" t="n"/>
      <c r="BV8" s="288" t="n"/>
      <c r="BW8" s="288" t="n"/>
      <c r="BX8" s="288" t="n"/>
      <c r="BY8" s="288" t="n"/>
      <c r="BZ8" s="288" t="n"/>
      <c r="CA8" s="288" t="n"/>
      <c r="CB8" s="288" t="n"/>
      <c r="CC8" s="288" t="n"/>
      <c r="CD8" s="288" t="n"/>
      <c r="CE8" s="288" t="n"/>
      <c r="CF8" s="288" t="n"/>
      <c r="CG8" s="288" t="n"/>
      <c r="CH8" s="288" t="n"/>
      <c r="CI8" s="288" t="n"/>
      <c r="CJ8" s="288" t="n"/>
      <c r="CK8" s="288" t="n"/>
      <c r="CL8" s="288" t="n"/>
      <c r="CM8" s="288" t="n"/>
      <c r="CN8" s="288" t="n"/>
      <c r="CO8" s="288" t="n"/>
      <c r="CP8" s="288" t="n"/>
      <c r="CQ8" s="288" t="n"/>
      <c r="CR8" s="288" t="n"/>
      <c r="CS8" s="288" t="n"/>
      <c r="CT8" s="288" t="n"/>
      <c r="CU8" s="288" t="n"/>
      <c r="CV8" s="269" t="n"/>
      <c r="CW8" s="288" t="n"/>
      <c r="CX8" s="288" t="n"/>
      <c r="CY8" s="288" t="n"/>
      <c r="CZ8" s="288" t="n"/>
      <c r="DA8" s="288" t="n"/>
      <c r="DB8" s="288" t="n"/>
      <c r="DC8" s="288" t="n"/>
      <c r="DD8" s="288" t="n"/>
      <c r="DE8" s="289" t="n"/>
      <c r="DF8" s="289" t="n"/>
      <c r="DG8" s="79" t="n"/>
    </row>
    <row r="9">
      <c r="A9" s="428" t="n"/>
      <c r="B9" s="285" t="n"/>
      <c r="C9" s="18" t="n"/>
      <c r="D9" s="18" t="n"/>
      <c r="E9" s="285" t="n"/>
      <c r="F9" s="18" t="n"/>
      <c r="G9" s="18" t="n"/>
      <c r="H9" s="285" t="n"/>
      <c r="I9" s="18" t="n"/>
      <c r="J9" s="18" t="n"/>
      <c r="K9" s="285" t="n"/>
      <c r="L9" s="18" t="n"/>
      <c r="M9" s="18" t="n"/>
      <c r="N9" s="285" t="n"/>
      <c r="O9" s="18" t="n"/>
      <c r="P9" s="18" t="n"/>
      <c r="Q9" s="285" t="n"/>
      <c r="R9" s="18" t="n"/>
      <c r="S9" s="18" t="n"/>
      <c r="T9" s="291" t="n"/>
      <c r="U9" s="18" t="n"/>
      <c r="V9" s="18" t="n"/>
      <c r="W9" s="291" t="n"/>
      <c r="X9" s="18" t="n"/>
      <c r="Y9" s="18" t="n"/>
      <c r="Z9" s="285" t="n"/>
      <c r="AA9" s="18" t="n"/>
      <c r="AB9" s="18" t="n"/>
      <c r="AC9" s="285" t="n"/>
      <c r="AD9" s="18" t="n"/>
      <c r="AE9" s="18" t="n"/>
      <c r="AF9" s="285" t="n"/>
      <c r="AG9" s="18" t="n"/>
      <c r="AH9" s="18" t="n"/>
      <c r="AI9" s="285" t="n"/>
      <c r="AJ9" s="18" t="n"/>
      <c r="AK9" s="18" t="n"/>
      <c r="AL9" s="285" t="n"/>
      <c r="AM9" s="19" t="n"/>
      <c r="AN9" s="19" t="n"/>
      <c r="AO9" s="285" t="n"/>
      <c r="AP9" s="19" t="n"/>
      <c r="AQ9" s="19" t="n"/>
      <c r="AR9" s="285" t="n"/>
      <c r="AS9" s="19" t="n"/>
      <c r="AT9" s="19" t="n"/>
      <c r="AU9" s="285" t="n"/>
      <c r="AV9" s="19" t="n"/>
      <c r="AW9" s="19" t="n"/>
      <c r="AX9" s="285" t="n"/>
      <c r="AY9" s="19" t="n"/>
      <c r="AZ9" s="19" t="n"/>
      <c r="BA9" s="287" t="n"/>
      <c r="BB9" s="287" t="n"/>
      <c r="BC9" s="287" t="n"/>
      <c r="BD9" s="287" t="n"/>
      <c r="BE9" s="287" t="n"/>
      <c r="BF9" s="287" t="n"/>
      <c r="BG9" s="287" t="n"/>
      <c r="BH9" s="287" t="n"/>
      <c r="BI9" s="288" t="n"/>
      <c r="BJ9" s="288" t="n"/>
      <c r="BK9" s="288" t="n"/>
      <c r="BL9" s="288" t="n"/>
      <c r="BM9" s="288" t="n"/>
      <c r="BN9" s="288" t="n"/>
      <c r="BO9" s="288" t="n"/>
      <c r="BP9" s="288" t="n"/>
      <c r="BQ9" s="288" t="n"/>
      <c r="BR9" s="288" t="n"/>
      <c r="BS9" s="288" t="n"/>
      <c r="BT9" s="288" t="n"/>
      <c r="BU9" s="288" t="n"/>
      <c r="BV9" s="288" t="n"/>
      <c r="BW9" s="288" t="n"/>
      <c r="BX9" s="288" t="n"/>
      <c r="BY9" s="288" t="n"/>
      <c r="BZ9" s="288" t="n"/>
      <c r="CA9" s="288" t="n"/>
      <c r="CB9" s="288" t="n"/>
      <c r="CC9" s="288" t="n"/>
      <c r="CD9" s="288" t="n"/>
      <c r="CE9" s="288" t="n"/>
      <c r="CF9" s="288" t="n"/>
      <c r="CG9" s="288" t="n"/>
      <c r="CH9" s="288" t="n"/>
      <c r="CI9" s="288" t="n"/>
      <c r="CJ9" s="288" t="n"/>
      <c r="CK9" s="288" t="n"/>
      <c r="CL9" s="288" t="n"/>
      <c r="CM9" s="288" t="n"/>
      <c r="CN9" s="288" t="n"/>
      <c r="CO9" s="288" t="n"/>
      <c r="CP9" s="288" t="n"/>
      <c r="CQ9" s="288" t="n"/>
      <c r="CR9" s="288" t="n"/>
      <c r="CS9" s="288" t="n"/>
      <c r="CT9" s="288" t="n"/>
      <c r="CU9" s="288" t="n"/>
      <c r="CV9" s="269" t="n"/>
      <c r="CW9" s="288" t="n"/>
      <c r="CX9" s="288" t="n"/>
      <c r="CY9" s="288" t="n"/>
      <c r="CZ9" s="288" t="n"/>
      <c r="DA9" s="288" t="n"/>
      <c r="DB9" s="288" t="n"/>
      <c r="DC9" s="288" t="n"/>
      <c r="DD9" s="288" t="n"/>
      <c r="DE9" s="289" t="n"/>
      <c r="DF9" s="289" t="n"/>
      <c r="DG9" s="79" t="n"/>
    </row>
    <row r="10">
      <c r="A10" s="428" t="n"/>
      <c r="B10" s="285" t="n"/>
      <c r="C10" s="18" t="n"/>
      <c r="D10" s="18" t="n"/>
      <c r="E10" s="285" t="n"/>
      <c r="F10" s="18" t="n"/>
      <c r="G10" s="18" t="n"/>
      <c r="H10" s="285" t="n"/>
      <c r="I10" s="18" t="n"/>
      <c r="J10" s="18" t="n"/>
      <c r="K10" s="285" t="n"/>
      <c r="L10" s="18" t="n"/>
      <c r="M10" s="18" t="n"/>
      <c r="N10" s="285" t="n"/>
      <c r="O10" s="18" t="n"/>
      <c r="P10" s="18" t="n"/>
      <c r="Q10" s="285" t="n"/>
      <c r="R10" s="18" t="n"/>
      <c r="S10" s="18" t="n"/>
      <c r="T10" s="291" t="n"/>
      <c r="U10" s="18" t="n"/>
      <c r="V10" s="18" t="n"/>
      <c r="W10" s="291" t="n"/>
      <c r="X10" s="18" t="n"/>
      <c r="Y10" s="18" t="n"/>
      <c r="Z10" s="285" t="n"/>
      <c r="AA10" s="18" t="n"/>
      <c r="AB10" s="18" t="n"/>
      <c r="AC10" s="285" t="n"/>
      <c r="AD10" s="18" t="n"/>
      <c r="AE10" s="18" t="n"/>
      <c r="AF10" s="285" t="n"/>
      <c r="AG10" s="18" t="n"/>
      <c r="AH10" s="18" t="n"/>
      <c r="AI10" s="285" t="n"/>
      <c r="AJ10" s="18" t="n"/>
      <c r="AK10" s="18" t="n"/>
      <c r="AL10" s="285" t="n"/>
      <c r="AM10" s="19" t="n"/>
      <c r="AN10" s="19" t="n"/>
      <c r="AO10" s="285" t="n"/>
      <c r="AP10" s="19" t="n"/>
      <c r="AQ10" s="19" t="n"/>
      <c r="AR10" s="285" t="n"/>
      <c r="AS10" s="19" t="n"/>
      <c r="AT10" s="19" t="n"/>
      <c r="AU10" s="285" t="n"/>
      <c r="AV10" s="19" t="n"/>
      <c r="AW10" s="19" t="n"/>
      <c r="AX10" s="285" t="n"/>
      <c r="AY10" s="19" t="n"/>
      <c r="AZ10" s="19" t="n"/>
      <c r="BA10" s="287" t="n"/>
      <c r="BB10" s="287" t="n"/>
      <c r="BC10" s="287" t="n"/>
      <c r="BD10" s="287" t="n"/>
      <c r="BE10" s="287" t="n"/>
      <c r="BF10" s="287" t="n"/>
      <c r="BG10" s="287" t="n"/>
      <c r="BH10" s="287" t="n"/>
      <c r="BI10" s="288" t="n"/>
      <c r="BJ10" s="288" t="n"/>
      <c r="BK10" s="288" t="n"/>
      <c r="BL10" s="288" t="n"/>
      <c r="BM10" s="288" t="n"/>
      <c r="BN10" s="288" t="n"/>
      <c r="BO10" s="288" t="n"/>
      <c r="BP10" s="288" t="n"/>
      <c r="BQ10" s="288" t="n"/>
      <c r="BR10" s="288" t="n"/>
      <c r="BS10" s="288" t="n"/>
      <c r="BT10" s="288" t="n"/>
      <c r="BU10" s="288" t="n"/>
      <c r="BV10" s="288" t="n"/>
      <c r="BW10" s="288" t="n"/>
      <c r="BX10" s="288" t="n"/>
      <c r="BY10" s="288" t="n"/>
      <c r="BZ10" s="288" t="n"/>
      <c r="CA10" s="288" t="n"/>
      <c r="CB10" s="288" t="n"/>
      <c r="CC10" s="288" t="n"/>
      <c r="CD10" s="288" t="n"/>
      <c r="CE10" s="288" t="n"/>
      <c r="CF10" s="288" t="n"/>
      <c r="CG10" s="288" t="n"/>
      <c r="CH10" s="288" t="n"/>
      <c r="CI10" s="288" t="n"/>
      <c r="CJ10" s="288" t="n"/>
      <c r="CK10" s="288" t="n"/>
      <c r="CL10" s="288" t="n"/>
      <c r="CM10" s="288" t="n"/>
      <c r="CN10" s="288" t="n"/>
      <c r="CO10" s="288" t="n"/>
      <c r="CP10" s="288" t="n"/>
      <c r="CQ10" s="288" t="n"/>
      <c r="CR10" s="288" t="n"/>
      <c r="CS10" s="288" t="n"/>
      <c r="CT10" s="288" t="n"/>
      <c r="CU10" s="288" t="n"/>
      <c r="CV10" s="269" t="n"/>
      <c r="CW10" s="288" t="n"/>
      <c r="CX10" s="288" t="n"/>
      <c r="CY10" s="288" t="n"/>
      <c r="CZ10" s="288" t="n"/>
      <c r="DA10" s="288" t="n"/>
      <c r="DB10" s="288" t="n"/>
      <c r="DC10" s="288" t="n"/>
      <c r="DD10" s="288" t="n"/>
      <c r="DE10" s="289" t="n"/>
      <c r="DF10" s="289" t="n"/>
      <c r="DG10" s="79" t="n"/>
    </row>
    <row r="11">
      <c r="A11" s="428" t="n"/>
      <c r="B11" s="285" t="n"/>
      <c r="C11" s="18" t="n"/>
      <c r="D11" s="18" t="n"/>
      <c r="E11" s="285" t="n"/>
      <c r="F11" s="18" t="n"/>
      <c r="G11" s="18" t="n"/>
      <c r="H11" s="285" t="n"/>
      <c r="I11" s="18" t="n"/>
      <c r="J11" s="18" t="n"/>
      <c r="K11" s="285" t="n"/>
      <c r="L11" s="18" t="n"/>
      <c r="M11" s="18" t="n"/>
      <c r="N11" s="285" t="n"/>
      <c r="O11" s="18" t="n"/>
      <c r="P11" s="18" t="n"/>
      <c r="Q11" s="285" t="n"/>
      <c r="R11" s="18" t="n"/>
      <c r="S11" s="18" t="n"/>
      <c r="T11" s="291" t="n"/>
      <c r="U11" s="18" t="n"/>
      <c r="V11" s="18" t="n"/>
      <c r="W11" s="291" t="n"/>
      <c r="X11" s="18" t="n"/>
      <c r="Y11" s="18" t="n"/>
      <c r="Z11" s="285" t="n"/>
      <c r="AA11" s="18" t="n"/>
      <c r="AB11" s="18" t="n"/>
      <c r="AC11" s="285" t="n"/>
      <c r="AD11" s="18" t="n"/>
      <c r="AE11" s="18" t="n"/>
      <c r="AF11" s="285" t="n"/>
      <c r="AG11" s="18" t="n"/>
      <c r="AH11" s="18" t="n"/>
      <c r="AI11" s="285" t="n"/>
      <c r="AJ11" s="18" t="n"/>
      <c r="AK11" s="18" t="n"/>
      <c r="AL11" s="285" t="n"/>
      <c r="AM11" s="19" t="n"/>
      <c r="AN11" s="19" t="n"/>
      <c r="AO11" s="285" t="n"/>
      <c r="AP11" s="19" t="n"/>
      <c r="AQ11" s="19" t="n"/>
      <c r="AR11" s="285" t="n"/>
      <c r="AS11" s="19" t="n"/>
      <c r="AT11" s="19" t="n"/>
      <c r="AU11" s="285" t="n"/>
      <c r="AV11" s="19" t="n"/>
      <c r="AW11" s="19" t="n"/>
      <c r="AX11" s="285" t="n"/>
      <c r="AY11" s="19" t="n"/>
      <c r="AZ11" s="19" t="n"/>
      <c r="BA11" s="287" t="n"/>
      <c r="BB11" s="287" t="n"/>
      <c r="BC11" s="287" t="n"/>
      <c r="BD11" s="287" t="n"/>
      <c r="BE11" s="287" t="n"/>
      <c r="BF11" s="287" t="n"/>
      <c r="BG11" s="287" t="n"/>
      <c r="BH11" s="287" t="n"/>
      <c r="BI11" s="288" t="n"/>
      <c r="BJ11" s="288" t="n"/>
      <c r="BK11" s="288" t="n"/>
      <c r="BL11" s="288" t="n"/>
      <c r="BM11" s="288" t="n"/>
      <c r="BN11" s="288" t="n"/>
      <c r="BO11" s="288" t="n"/>
      <c r="BP11" s="288" t="n"/>
      <c r="BQ11" s="288" t="n"/>
      <c r="BR11" s="288" t="n"/>
      <c r="BS11" s="288" t="n"/>
      <c r="BT11" s="288" t="n"/>
      <c r="BU11" s="288" t="n"/>
      <c r="BV11" s="288" t="n"/>
      <c r="BW11" s="288" t="n"/>
      <c r="BX11" s="288" t="n"/>
      <c r="BY11" s="288" t="n"/>
      <c r="BZ11" s="288" t="n"/>
      <c r="CA11" s="288" t="n"/>
      <c r="CB11" s="288" t="n"/>
      <c r="CC11" s="288" t="n"/>
      <c r="CD11" s="288" t="n"/>
      <c r="CE11" s="288" t="n"/>
      <c r="CF11" s="288" t="n"/>
      <c r="CG11" s="288" t="n"/>
      <c r="CH11" s="288" t="n"/>
      <c r="CI11" s="288" t="n"/>
      <c r="CJ11" s="288" t="n"/>
      <c r="CK11" s="288" t="n"/>
      <c r="CL11" s="288" t="n"/>
      <c r="CM11" s="288" t="n"/>
      <c r="CN11" s="288" t="n"/>
      <c r="CO11" s="288" t="n"/>
      <c r="CP11" s="288" t="n"/>
      <c r="CQ11" s="288" t="n"/>
      <c r="CR11" s="288" t="n"/>
      <c r="CS11" s="288" t="n"/>
      <c r="CT11" s="288" t="n"/>
      <c r="CU11" s="288" t="n"/>
      <c r="CV11" s="269" t="n"/>
      <c r="CW11" s="288" t="n"/>
      <c r="CX11" s="288" t="n"/>
      <c r="CY11" s="288" t="n"/>
      <c r="CZ11" s="288" t="n"/>
      <c r="DA11" s="288" t="n"/>
      <c r="DB11" s="288" t="n"/>
      <c r="DC11" s="288" t="n"/>
      <c r="DD11" s="288" t="n"/>
      <c r="DE11" s="289" t="n"/>
      <c r="DF11" s="289" t="n"/>
      <c r="DG11" s="79" t="n"/>
    </row>
    <row r="12">
      <c r="A12" s="428" t="n"/>
      <c r="B12" s="285" t="n"/>
      <c r="C12" s="18" t="n"/>
      <c r="D12" s="18" t="n"/>
      <c r="E12" s="285" t="n"/>
      <c r="F12" s="18" t="n"/>
      <c r="G12" s="18" t="n"/>
      <c r="H12" s="285" t="n"/>
      <c r="I12" s="18" t="n"/>
      <c r="J12" s="18" t="n"/>
      <c r="K12" s="285" t="n"/>
      <c r="L12" s="18" t="n"/>
      <c r="M12" s="18" t="n"/>
      <c r="N12" s="285" t="n"/>
      <c r="O12" s="18" t="n"/>
      <c r="P12" s="18" t="n"/>
      <c r="Q12" s="285" t="n"/>
      <c r="R12" s="18" t="n"/>
      <c r="S12" s="18" t="n"/>
      <c r="T12" s="291" t="n"/>
      <c r="U12" s="18" t="n"/>
      <c r="V12" s="18" t="n"/>
      <c r="W12" s="291" t="n"/>
      <c r="X12" s="18" t="n"/>
      <c r="Y12" s="18" t="n"/>
      <c r="Z12" s="285" t="n"/>
      <c r="AA12" s="18" t="n"/>
      <c r="AB12" s="18" t="n"/>
      <c r="AC12" s="285" t="n"/>
      <c r="AD12" s="18" t="n"/>
      <c r="AE12" s="18" t="n"/>
      <c r="AF12" s="285" t="n"/>
      <c r="AG12" s="18" t="n"/>
      <c r="AH12" s="18" t="n"/>
      <c r="AI12" s="285" t="n"/>
      <c r="AJ12" s="18" t="n"/>
      <c r="AK12" s="18" t="n"/>
      <c r="AL12" s="285" t="n"/>
      <c r="AM12" s="19" t="n"/>
      <c r="AN12" s="19" t="n"/>
      <c r="AO12" s="285" t="n"/>
      <c r="AP12" s="19" t="n"/>
      <c r="AQ12" s="19" t="n"/>
      <c r="AR12" s="285" t="n"/>
      <c r="AS12" s="19" t="n"/>
      <c r="AT12" s="19" t="n"/>
      <c r="AU12" s="285" t="n"/>
      <c r="AV12" s="19" t="n"/>
      <c r="AW12" s="19" t="n"/>
      <c r="AX12" s="285" t="n"/>
      <c r="AY12" s="19" t="n"/>
      <c r="AZ12" s="19" t="n"/>
      <c r="BA12" s="287" t="n"/>
      <c r="BB12" s="287" t="n"/>
      <c r="BC12" s="287" t="n"/>
      <c r="BD12" s="287" t="n"/>
      <c r="BE12" s="287" t="n"/>
      <c r="BF12" s="287" t="n"/>
      <c r="BG12" s="287" t="n"/>
      <c r="BH12" s="287" t="n"/>
      <c r="BI12" s="288" t="n"/>
      <c r="BJ12" s="288" t="n"/>
      <c r="BK12" s="288" t="n"/>
      <c r="BL12" s="288" t="n"/>
      <c r="BM12" s="288" t="n"/>
      <c r="BN12" s="288" t="n"/>
      <c r="BO12" s="288" t="n"/>
      <c r="BP12" s="288" t="n"/>
      <c r="BQ12" s="288" t="n"/>
      <c r="BR12" s="288" t="n"/>
      <c r="BS12" s="288" t="n"/>
      <c r="BT12" s="288" t="n"/>
      <c r="BU12" s="288" t="n"/>
      <c r="BV12" s="288" t="n"/>
      <c r="BW12" s="288" t="n"/>
      <c r="BX12" s="288" t="n"/>
      <c r="BY12" s="288" t="n"/>
      <c r="BZ12" s="288" t="n"/>
      <c r="CA12" s="288" t="n"/>
      <c r="CB12" s="288" t="n"/>
      <c r="CC12" s="288" t="n"/>
      <c r="CD12" s="288" t="n"/>
      <c r="CE12" s="288" t="n"/>
      <c r="CF12" s="288" t="n"/>
      <c r="CG12" s="288" t="n"/>
      <c r="CH12" s="288" t="n"/>
      <c r="CI12" s="288" t="n"/>
      <c r="CJ12" s="288" t="n"/>
      <c r="CK12" s="288" t="n"/>
      <c r="CL12" s="288" t="n"/>
      <c r="CM12" s="288" t="n"/>
      <c r="CN12" s="288" t="n"/>
      <c r="CO12" s="288" t="n"/>
      <c r="CP12" s="288" t="n"/>
      <c r="CQ12" s="288" t="n"/>
      <c r="CR12" s="288" t="n"/>
      <c r="CS12" s="288" t="n"/>
      <c r="CT12" s="288" t="n"/>
      <c r="CU12" s="288" t="n"/>
      <c r="CV12" s="269" t="n"/>
      <c r="CW12" s="288" t="n"/>
      <c r="CX12" s="288" t="n"/>
      <c r="CY12" s="288" t="n"/>
      <c r="CZ12" s="288" t="n"/>
      <c r="DA12" s="288" t="n"/>
      <c r="DB12" s="288" t="n"/>
      <c r="DC12" s="288" t="n"/>
      <c r="DD12" s="288" t="n"/>
      <c r="DE12" s="289" t="n"/>
      <c r="DF12" s="289" t="n"/>
      <c r="DG12" s="79" t="n"/>
    </row>
    <row r="13">
      <c r="A13" s="428" t="n"/>
      <c r="B13" s="285" t="n"/>
      <c r="C13" s="18" t="n"/>
      <c r="D13" s="18" t="n"/>
      <c r="E13" s="285" t="n"/>
      <c r="F13" s="18" t="n"/>
      <c r="G13" s="18" t="n"/>
      <c r="H13" s="285" t="n"/>
      <c r="I13" s="18" t="n"/>
      <c r="J13" s="18" t="n"/>
      <c r="K13" s="285" t="n"/>
      <c r="L13" s="18" t="n"/>
      <c r="M13" s="18" t="n"/>
      <c r="N13" s="285" t="n"/>
      <c r="O13" s="18" t="n"/>
      <c r="P13" s="18" t="n"/>
      <c r="Q13" s="285" t="n"/>
      <c r="R13" s="18" t="n"/>
      <c r="S13" s="18" t="n"/>
      <c r="T13" s="291" t="n"/>
      <c r="U13" s="18" t="n"/>
      <c r="V13" s="18" t="n"/>
      <c r="W13" s="291" t="n"/>
      <c r="X13" s="18" t="n"/>
      <c r="Y13" s="18" t="n"/>
      <c r="Z13" s="285" t="n"/>
      <c r="AA13" s="18" t="n"/>
      <c r="AB13" s="18" t="n"/>
      <c r="AC13" s="285" t="n"/>
      <c r="AD13" s="18" t="n"/>
      <c r="AE13" s="18" t="n"/>
      <c r="AF13" s="285" t="n"/>
      <c r="AG13" s="18" t="n"/>
      <c r="AH13" s="18" t="n"/>
      <c r="AI13" s="285" t="n"/>
      <c r="AJ13" s="18" t="n"/>
      <c r="AK13" s="18" t="n"/>
      <c r="AL13" s="285" t="n"/>
      <c r="AM13" s="19" t="n"/>
      <c r="AN13" s="19" t="n"/>
      <c r="AO13" s="285" t="n"/>
      <c r="AP13" s="19" t="n"/>
      <c r="AQ13" s="19" t="n"/>
      <c r="AR13" s="285" t="n"/>
      <c r="AS13" s="19" t="n"/>
      <c r="AT13" s="19" t="n"/>
      <c r="AU13" s="285" t="n"/>
      <c r="AV13" s="19" t="n"/>
      <c r="AW13" s="19" t="n"/>
      <c r="AX13" s="285" t="n"/>
      <c r="AY13" s="19" t="n"/>
      <c r="AZ13" s="19" t="n"/>
      <c r="BA13" s="287" t="n"/>
      <c r="BB13" s="287" t="n"/>
      <c r="BC13" s="287" t="n"/>
      <c r="BD13" s="287" t="n"/>
      <c r="BE13" s="287" t="n"/>
      <c r="BF13" s="287" t="n"/>
      <c r="BG13" s="287" t="n"/>
      <c r="BH13" s="287" t="n"/>
      <c r="BI13" s="288" t="n"/>
      <c r="BJ13" s="288" t="n"/>
      <c r="BK13" s="288" t="n"/>
      <c r="BL13" s="288" t="n"/>
      <c r="BM13" s="288" t="n"/>
      <c r="BN13" s="288" t="n"/>
      <c r="BO13" s="288" t="n"/>
      <c r="BP13" s="288" t="n"/>
      <c r="BQ13" s="288" t="n"/>
      <c r="BR13" s="288" t="n"/>
      <c r="BS13" s="288" t="n"/>
      <c r="BT13" s="288" t="n"/>
      <c r="BU13" s="288" t="n"/>
      <c r="BV13" s="288" t="n"/>
      <c r="BW13" s="288" t="n"/>
      <c r="BX13" s="288" t="n"/>
      <c r="BY13" s="288" t="n"/>
      <c r="BZ13" s="288" t="n"/>
      <c r="CA13" s="288" t="n"/>
      <c r="CB13" s="288" t="n"/>
      <c r="CC13" s="288" t="n"/>
      <c r="CD13" s="288" t="n"/>
      <c r="CE13" s="288" t="n"/>
      <c r="CF13" s="288" t="n"/>
      <c r="CG13" s="288" t="n"/>
      <c r="CH13" s="288" t="n"/>
      <c r="CI13" s="288" t="n"/>
      <c r="CJ13" s="288" t="n"/>
      <c r="CK13" s="288" t="n"/>
      <c r="CL13" s="288" t="n"/>
      <c r="CM13" s="288" t="n"/>
      <c r="CN13" s="288" t="n"/>
      <c r="CO13" s="288" t="n"/>
      <c r="CP13" s="288" t="n"/>
      <c r="CQ13" s="288" t="n"/>
      <c r="CR13" s="288" t="n"/>
      <c r="CS13" s="288" t="n"/>
      <c r="CT13" s="288" t="n"/>
      <c r="CU13" s="288" t="n"/>
      <c r="CV13" s="269" t="n"/>
      <c r="CW13" s="288" t="n"/>
      <c r="CX13" s="288" t="n"/>
      <c r="CY13" s="288" t="n"/>
      <c r="CZ13" s="288" t="n"/>
      <c r="DA13" s="288" t="n"/>
      <c r="DB13" s="288" t="n"/>
      <c r="DC13" s="288" t="n"/>
      <c r="DD13" s="288" t="n"/>
      <c r="DE13" s="289" t="n"/>
      <c r="DF13" s="289" t="n"/>
      <c r="DG13" s="79" t="n"/>
    </row>
    <row r="14">
      <c r="A14" s="428" t="n"/>
      <c r="B14" s="285" t="n"/>
      <c r="C14" s="18" t="n"/>
      <c r="D14" s="18" t="n"/>
      <c r="E14" s="285" t="n"/>
      <c r="F14" s="18" t="n"/>
      <c r="G14" s="18" t="n"/>
      <c r="H14" s="285" t="n"/>
      <c r="I14" s="18" t="n"/>
      <c r="J14" s="18" t="n"/>
      <c r="K14" s="285" t="n"/>
      <c r="L14" s="18" t="n"/>
      <c r="M14" s="18" t="n"/>
      <c r="N14" s="285" t="n"/>
      <c r="O14" s="18" t="n"/>
      <c r="P14" s="18" t="n"/>
      <c r="Q14" s="285" t="n"/>
      <c r="R14" s="18" t="n"/>
      <c r="S14" s="18" t="n"/>
      <c r="T14" s="291" t="n"/>
      <c r="U14" s="18" t="n"/>
      <c r="V14" s="18" t="n"/>
      <c r="W14" s="291" t="n"/>
      <c r="X14" s="18" t="n"/>
      <c r="Y14" s="18" t="n"/>
      <c r="Z14" s="285" t="n"/>
      <c r="AA14" s="18" t="n"/>
      <c r="AB14" s="18" t="n"/>
      <c r="AC14" s="285" t="n"/>
      <c r="AD14" s="18" t="n"/>
      <c r="AE14" s="18" t="n"/>
      <c r="AF14" s="285" t="n"/>
      <c r="AG14" s="18" t="n"/>
      <c r="AH14" s="18" t="n"/>
      <c r="AI14" s="285" t="n"/>
      <c r="AJ14" s="18" t="n"/>
      <c r="AK14" s="18" t="n"/>
      <c r="AL14" s="285" t="n"/>
      <c r="AM14" s="19" t="n"/>
      <c r="AN14" s="19" t="n"/>
      <c r="AO14" s="285" t="n"/>
      <c r="AP14" s="19" t="n"/>
      <c r="AQ14" s="19" t="n"/>
      <c r="AR14" s="285" t="n"/>
      <c r="AS14" s="19" t="n"/>
      <c r="AT14" s="19" t="n"/>
      <c r="AU14" s="285" t="n"/>
      <c r="AV14" s="19" t="n"/>
      <c r="AW14" s="19" t="n"/>
      <c r="AX14" s="285" t="n"/>
      <c r="AY14" s="19" t="n"/>
      <c r="AZ14" s="19" t="n"/>
      <c r="BA14" s="287" t="n"/>
      <c r="BB14" s="287" t="n"/>
      <c r="BC14" s="287" t="n"/>
      <c r="BD14" s="287" t="n"/>
      <c r="BE14" s="287" t="n"/>
      <c r="BF14" s="287" t="n"/>
      <c r="BG14" s="287" t="n"/>
      <c r="BH14" s="287" t="n"/>
      <c r="BI14" s="288" t="n"/>
      <c r="BJ14" s="288" t="n"/>
      <c r="BK14" s="288" t="n"/>
      <c r="BL14" s="288" t="n"/>
      <c r="BM14" s="288" t="n"/>
      <c r="BN14" s="288" t="n"/>
      <c r="BO14" s="288" t="n"/>
      <c r="BP14" s="288" t="n"/>
      <c r="BQ14" s="288" t="n"/>
      <c r="BR14" s="288" t="n"/>
      <c r="BS14" s="288" t="n"/>
      <c r="BT14" s="288" t="n"/>
      <c r="BU14" s="288" t="n"/>
      <c r="BV14" s="288" t="n"/>
      <c r="BW14" s="288" t="n"/>
      <c r="BX14" s="288" t="n"/>
      <c r="BY14" s="288" t="n"/>
      <c r="BZ14" s="288" t="n"/>
      <c r="CA14" s="288" t="n"/>
      <c r="CB14" s="288" t="n"/>
      <c r="CC14" s="288" t="n"/>
      <c r="CD14" s="288" t="n"/>
      <c r="CE14" s="288" t="n"/>
      <c r="CF14" s="288" t="n"/>
      <c r="CG14" s="288" t="n"/>
      <c r="CH14" s="288" t="n"/>
      <c r="CI14" s="288" t="n"/>
      <c r="CJ14" s="288" t="n"/>
      <c r="CK14" s="288" t="n"/>
      <c r="CL14" s="288" t="n"/>
      <c r="CM14" s="288" t="n"/>
      <c r="CN14" s="288" t="n"/>
      <c r="CO14" s="288" t="n"/>
      <c r="CP14" s="288" t="n"/>
      <c r="CQ14" s="288" t="n"/>
      <c r="CR14" s="288" t="n"/>
      <c r="CS14" s="288" t="n"/>
      <c r="CT14" s="288" t="n"/>
      <c r="CU14" s="288" t="n"/>
      <c r="CV14" s="269" t="n"/>
      <c r="CW14" s="288" t="n"/>
      <c r="CX14" s="288" t="n"/>
      <c r="CY14" s="288" t="n"/>
      <c r="CZ14" s="288" t="n"/>
      <c r="DA14" s="288" t="n"/>
      <c r="DB14" s="288" t="n"/>
      <c r="DC14" s="288" t="n"/>
      <c r="DD14" s="288" t="n"/>
      <c r="DE14" s="289" t="n"/>
      <c r="DF14" s="289" t="n"/>
      <c r="DG14" s="79" t="n"/>
    </row>
    <row r="15">
      <c r="A15" s="428" t="n"/>
      <c r="B15" s="285" t="n"/>
      <c r="C15" s="18" t="n"/>
      <c r="D15" s="18" t="n"/>
      <c r="E15" s="285" t="n"/>
      <c r="F15" s="18" t="n"/>
      <c r="G15" s="18" t="n"/>
      <c r="H15" s="285" t="n"/>
      <c r="I15" s="18" t="n"/>
      <c r="J15" s="18" t="n"/>
      <c r="K15" s="285" t="n"/>
      <c r="L15" s="18" t="n"/>
      <c r="M15" s="18" t="n"/>
      <c r="N15" s="285" t="n"/>
      <c r="O15" s="18" t="n"/>
      <c r="P15" s="18" t="n"/>
      <c r="Q15" s="285" t="n"/>
      <c r="R15" s="18" t="n"/>
      <c r="S15" s="18" t="n"/>
      <c r="T15" s="291" t="n"/>
      <c r="U15" s="18" t="n"/>
      <c r="V15" s="18" t="n"/>
      <c r="W15" s="291" t="n"/>
      <c r="X15" s="18" t="n"/>
      <c r="Y15" s="18" t="n"/>
      <c r="Z15" s="285" t="n"/>
      <c r="AA15" s="18" t="n"/>
      <c r="AB15" s="18" t="n"/>
      <c r="AC15" s="285" t="n"/>
      <c r="AD15" s="18" t="n"/>
      <c r="AE15" s="18" t="n"/>
      <c r="AF15" s="285" t="n"/>
      <c r="AG15" s="18" t="n"/>
      <c r="AH15" s="18" t="n"/>
      <c r="AI15" s="285" t="n"/>
      <c r="AJ15" s="18" t="n"/>
      <c r="AK15" s="18" t="n"/>
      <c r="AL15" s="285" t="n"/>
      <c r="AM15" s="19" t="n"/>
      <c r="AN15" s="19" t="n"/>
      <c r="AO15" s="285" t="n"/>
      <c r="AP15" s="19" t="n"/>
      <c r="AQ15" s="19" t="n"/>
      <c r="AR15" s="285" t="n"/>
      <c r="AS15" s="19" t="n"/>
      <c r="AT15" s="19" t="n"/>
      <c r="AU15" s="285" t="n"/>
      <c r="AV15" s="19" t="n"/>
      <c r="AW15" s="19" t="n"/>
      <c r="AX15" s="285" t="n"/>
      <c r="AY15" s="19" t="n"/>
      <c r="AZ15" s="19" t="n"/>
      <c r="BA15" s="287" t="n"/>
      <c r="BB15" s="287" t="n"/>
      <c r="BC15" s="287" t="n"/>
      <c r="BD15" s="287" t="n"/>
      <c r="BE15" s="287" t="n"/>
      <c r="BF15" s="287" t="n"/>
      <c r="BG15" s="287" t="n"/>
      <c r="BH15" s="287" t="n"/>
      <c r="BI15" s="288" t="n"/>
      <c r="BJ15" s="288" t="n"/>
      <c r="BK15" s="288" t="n"/>
      <c r="BL15" s="288" t="n"/>
      <c r="BM15" s="288" t="n"/>
      <c r="BN15" s="288" t="n"/>
      <c r="BO15" s="288" t="n"/>
      <c r="BP15" s="288" t="n"/>
      <c r="BQ15" s="288" t="n"/>
      <c r="BR15" s="288" t="n"/>
      <c r="BS15" s="288" t="n"/>
      <c r="BT15" s="288" t="n"/>
      <c r="BU15" s="288" t="n"/>
      <c r="BV15" s="288" t="n"/>
      <c r="BW15" s="288" t="n"/>
      <c r="BX15" s="288" t="n"/>
      <c r="BY15" s="288" t="n"/>
      <c r="BZ15" s="288" t="n"/>
      <c r="CA15" s="288" t="n"/>
      <c r="CB15" s="288" t="n"/>
      <c r="CC15" s="288" t="n"/>
      <c r="CD15" s="288" t="n"/>
      <c r="CE15" s="288" t="n"/>
      <c r="CF15" s="288" t="n"/>
      <c r="CG15" s="288" t="n"/>
      <c r="CH15" s="288" t="n"/>
      <c r="CI15" s="288" t="n"/>
      <c r="CJ15" s="288" t="n"/>
      <c r="CK15" s="288" t="n"/>
      <c r="CL15" s="288" t="n"/>
      <c r="CM15" s="288" t="n"/>
      <c r="CN15" s="288" t="n"/>
      <c r="CO15" s="288" t="n"/>
      <c r="CP15" s="288" t="n"/>
      <c r="CQ15" s="288" t="n"/>
      <c r="CR15" s="288" t="n"/>
      <c r="CS15" s="288" t="n"/>
      <c r="CT15" s="288" t="n"/>
      <c r="CU15" s="288" t="n"/>
      <c r="CV15" s="269" t="n"/>
      <c r="CW15" s="288" t="n"/>
      <c r="CX15" s="288" t="n"/>
      <c r="CY15" s="288" t="n"/>
      <c r="CZ15" s="288" t="n"/>
      <c r="DA15" s="288" t="n"/>
      <c r="DB15" s="288" t="n"/>
      <c r="DC15" s="288" t="n"/>
      <c r="DD15" s="288" t="n"/>
      <c r="DE15" s="289" t="n"/>
      <c r="DF15" s="289" t="n"/>
      <c r="DG15" s="79" t="n"/>
    </row>
    <row r="16" ht="13" customFormat="1" customHeight="1" s="40">
      <c r="A16" s="330" t="n"/>
      <c r="B16" s="281" t="n"/>
      <c r="C16" s="15" t="n"/>
      <c r="D16" s="15" t="n"/>
      <c r="E16" s="281" t="n"/>
      <c r="F16" s="15" t="n"/>
      <c r="G16" s="15" t="n"/>
      <c r="H16" s="281" t="n"/>
      <c r="I16" s="15" t="n"/>
      <c r="J16" s="15" t="n"/>
      <c r="K16" s="281" t="n"/>
      <c r="L16" s="15" t="n"/>
      <c r="M16" s="15" t="n"/>
      <c r="N16" s="281" t="n"/>
      <c r="O16" s="15" t="n"/>
      <c r="P16" s="15" t="n"/>
      <c r="Q16" s="281" t="n"/>
      <c r="R16" s="15" t="n"/>
      <c r="S16" s="15" t="n"/>
      <c r="T16" s="291" t="n"/>
      <c r="U16" s="15" t="n"/>
      <c r="V16" s="15" t="n"/>
      <c r="W16" s="291" t="n"/>
      <c r="X16" s="15" t="n"/>
      <c r="Y16" s="15" t="n"/>
      <c r="Z16" s="281" t="n"/>
      <c r="AA16" s="15" t="n"/>
      <c r="AB16" s="15" t="n"/>
      <c r="AC16" s="281" t="n"/>
      <c r="AD16" s="15" t="n"/>
      <c r="AE16" s="15" t="n"/>
      <c r="AF16" s="281" t="n"/>
      <c r="AG16" s="15" t="n"/>
      <c r="AH16" s="15" t="n"/>
      <c r="AI16" s="281" t="n"/>
      <c r="AJ16" s="15" t="n"/>
      <c r="AK16" s="15" t="n"/>
      <c r="AL16" s="281" t="n"/>
      <c r="AM16" s="327" t="n"/>
      <c r="AN16" s="15" t="n"/>
      <c r="AO16" s="281" t="n"/>
      <c r="AP16" s="327" t="n"/>
      <c r="AQ16" s="15" t="n"/>
      <c r="AR16" s="281" t="n"/>
      <c r="AS16" s="327" t="n"/>
      <c r="AT16" s="15" t="n"/>
      <c r="AU16" s="281" t="n"/>
      <c r="AV16" s="327" t="n"/>
      <c r="AW16" s="15" t="n"/>
      <c r="AX16" s="281" t="n"/>
      <c r="AY16" s="15" t="n"/>
      <c r="AZ16" s="15" t="n"/>
      <c r="BA16" s="291" t="n"/>
      <c r="BB16" s="37" t="n"/>
      <c r="BC16" s="291" t="n"/>
      <c r="BD16" s="37" t="n"/>
      <c r="BE16" s="291" t="n"/>
      <c r="BF16" s="37" t="n"/>
      <c r="BG16" s="291" t="n"/>
      <c r="BH16" s="37" t="n"/>
      <c r="BI16" s="291" t="n"/>
      <c r="BJ16" s="37" t="n"/>
      <c r="BK16" s="291" t="n"/>
      <c r="BL16" s="37" t="n"/>
      <c r="BM16" s="291" t="n"/>
      <c r="BN16" s="37" t="n"/>
      <c r="BO16" s="291" t="n"/>
      <c r="BP16" s="291" t="n"/>
      <c r="BQ16" s="37" t="n"/>
      <c r="BR16" s="291" t="n"/>
      <c r="BS16" s="37" t="n"/>
      <c r="BT16" s="291" t="n"/>
      <c r="BU16" s="37" t="n"/>
      <c r="BV16" s="291" t="n"/>
      <c r="BW16" s="37" t="n"/>
      <c r="BX16" s="291" t="n"/>
      <c r="BY16" s="37" t="n"/>
      <c r="BZ16" s="291" t="n"/>
      <c r="CA16" s="37" t="n"/>
      <c r="CB16" s="291" t="n"/>
      <c r="CC16" s="37" t="n"/>
      <c r="CD16" s="291" t="n"/>
      <c r="CE16" s="37" t="n"/>
      <c r="CF16" s="291" t="n"/>
      <c r="CG16" s="291" t="n"/>
      <c r="CH16" s="291" t="n"/>
      <c r="CI16" s="291" t="n"/>
      <c r="CJ16" s="291" t="n"/>
      <c r="CK16" s="291" t="n"/>
      <c r="CL16" s="291" t="n"/>
      <c r="CM16" s="291" t="n"/>
      <c r="CN16" s="291" t="n"/>
      <c r="CO16" s="80" t="n"/>
      <c r="CP16" s="291" t="n"/>
      <c r="CQ16" s="80" t="n"/>
      <c r="CR16" s="291" t="n"/>
      <c r="CS16" s="80" t="n"/>
      <c r="CT16" s="291" t="n"/>
      <c r="CU16" s="80" t="n"/>
      <c r="CW16" s="291" t="n"/>
      <c r="CX16" s="37" t="n"/>
      <c r="CY16" s="291" t="n"/>
      <c r="CZ16" s="37" t="n"/>
      <c r="DA16" s="291" t="n"/>
      <c r="DB16" s="37" t="n"/>
      <c r="DC16" s="291" t="n"/>
      <c r="DD16" s="37" t="n"/>
      <c r="DE16" s="311" t="n"/>
      <c r="DF16" s="311" t="n"/>
    </row>
    <row r="17">
      <c r="A17" s="428" t="n"/>
      <c r="B17" s="285" t="n"/>
      <c r="C17" s="15" t="n"/>
      <c r="D17" s="15" t="n"/>
      <c r="E17" s="285" t="n"/>
      <c r="F17" s="15" t="n"/>
      <c r="G17" s="15" t="n"/>
      <c r="H17" s="285" t="n"/>
      <c r="I17" s="15" t="n"/>
      <c r="J17" s="15" t="n"/>
      <c r="K17" s="285" t="n"/>
      <c r="L17" s="15" t="n"/>
      <c r="M17" s="15" t="n"/>
      <c r="N17" s="285" t="n"/>
      <c r="O17" s="15" t="n"/>
      <c r="P17" s="15" t="n"/>
      <c r="Q17" s="285" t="n"/>
      <c r="R17" s="15" t="n"/>
      <c r="S17" s="15" t="n"/>
      <c r="T17" s="291" t="n"/>
      <c r="U17" s="15" t="n"/>
      <c r="V17" s="15" t="n"/>
      <c r="W17" s="291" t="n"/>
      <c r="X17" s="15" t="n"/>
      <c r="Y17" s="15" t="n"/>
      <c r="Z17" s="285" t="n"/>
      <c r="AA17" s="15" t="n"/>
      <c r="AB17" s="15" t="n"/>
      <c r="AC17" s="285" t="n"/>
      <c r="AD17" s="15" t="n"/>
      <c r="AE17" s="15" t="n"/>
      <c r="AF17" s="285" t="n"/>
      <c r="AG17" s="15" t="n"/>
      <c r="AH17" s="15" t="n"/>
      <c r="AI17" s="285" t="n"/>
      <c r="AJ17" s="15" t="n"/>
      <c r="AK17" s="15" t="n"/>
      <c r="AL17" s="285" t="n"/>
      <c r="AM17" s="327" t="n"/>
      <c r="AN17" s="15" t="n"/>
      <c r="AO17" s="285" t="n"/>
      <c r="AP17" s="327" t="n"/>
      <c r="AQ17" s="15" t="n"/>
      <c r="AR17" s="285" t="n"/>
      <c r="AS17" s="327" t="n"/>
      <c r="AT17" s="15" t="n"/>
      <c r="AU17" s="285" t="n"/>
      <c r="AV17" s="327" t="n"/>
      <c r="AW17" s="15" t="n"/>
      <c r="AX17" s="285" t="n"/>
      <c r="AY17" s="15" t="n"/>
      <c r="AZ17" s="15" t="n"/>
      <c r="BA17" s="287" t="n"/>
      <c r="BB17" s="37" t="n"/>
      <c r="BC17" s="287" t="n"/>
      <c r="BD17" s="37" t="n"/>
      <c r="BE17" s="287" t="n"/>
      <c r="BF17" s="37" t="n"/>
      <c r="BG17" s="287" t="n"/>
      <c r="BH17" s="37" t="n"/>
      <c r="BI17" s="288" t="n"/>
      <c r="BJ17" s="37" t="n"/>
      <c r="BK17" s="288" t="n"/>
      <c r="BL17" s="37" t="n"/>
      <c r="BM17" s="288" t="n"/>
      <c r="BN17" s="37" t="n"/>
      <c r="BO17" s="288" t="n"/>
      <c r="BP17" s="288" t="n"/>
      <c r="BQ17" s="37" t="n"/>
      <c r="BR17" s="288" t="n"/>
      <c r="BS17" s="37" t="n"/>
      <c r="BT17" s="288" t="n"/>
      <c r="BU17" s="37" t="n"/>
      <c r="BV17" s="288" t="n"/>
      <c r="BW17" s="37" t="n"/>
      <c r="BX17" s="288" t="n"/>
      <c r="BY17" s="37" t="n"/>
      <c r="BZ17" s="288" t="n"/>
      <c r="CA17" s="37" t="n"/>
      <c r="CB17" s="288" t="n"/>
      <c r="CC17" s="37" t="n"/>
      <c r="CD17" s="288" t="n"/>
      <c r="CE17" s="37" t="n"/>
      <c r="CF17" s="288" t="n"/>
      <c r="CG17" s="291" t="n"/>
      <c r="CH17" s="288" t="n"/>
      <c r="CI17" s="291" t="n"/>
      <c r="CJ17" s="288" t="n"/>
      <c r="CK17" s="291" t="n"/>
      <c r="CL17" s="288" t="n"/>
      <c r="CM17" s="291" t="n"/>
      <c r="CN17" s="288" t="n"/>
      <c r="CO17" s="80" t="n"/>
      <c r="CP17" s="288" t="n"/>
      <c r="CQ17" s="80" t="n"/>
      <c r="CR17" s="288" t="n"/>
      <c r="CS17" s="80" t="n"/>
      <c r="CT17" s="288" t="n"/>
      <c r="CU17" s="80" t="n"/>
      <c r="CV17" s="269" t="n"/>
      <c r="CW17" s="288" t="n"/>
      <c r="CX17" s="37" t="n"/>
      <c r="CY17" s="288" t="n"/>
      <c r="CZ17" s="37" t="n"/>
      <c r="DA17" s="288" t="n"/>
      <c r="DB17" s="37" t="n"/>
      <c r="DC17" s="288" t="n"/>
      <c r="DD17" s="37" t="n"/>
      <c r="DE17" s="289" t="n"/>
      <c r="DF17" s="289" t="n"/>
      <c r="DG17" s="79" t="n"/>
    </row>
    <row r="18">
      <c r="A18" s="428" t="n"/>
      <c r="B18" s="285" t="n"/>
      <c r="C18" s="15" t="n"/>
      <c r="D18" s="15" t="n"/>
      <c r="E18" s="285" t="n"/>
      <c r="F18" s="15" t="n"/>
      <c r="G18" s="15" t="n"/>
      <c r="H18" s="285" t="n"/>
      <c r="I18" s="15" t="n"/>
      <c r="J18" s="15" t="n"/>
      <c r="K18" s="285" t="n"/>
      <c r="L18" s="15" t="n"/>
      <c r="M18" s="15" t="n"/>
      <c r="N18" s="285" t="n"/>
      <c r="O18" s="15" t="n"/>
      <c r="P18" s="15" t="n"/>
      <c r="Q18" s="285" t="n"/>
      <c r="R18" s="15" t="n"/>
      <c r="S18" s="15" t="n"/>
      <c r="T18" s="291" t="n"/>
      <c r="U18" s="15" t="n"/>
      <c r="V18" s="15" t="n"/>
      <c r="W18" s="291" t="n"/>
      <c r="X18" s="15" t="n"/>
      <c r="Y18" s="15" t="n"/>
      <c r="Z18" s="285" t="n"/>
      <c r="AA18" s="15" t="n"/>
      <c r="AB18" s="15" t="n"/>
      <c r="AC18" s="285" t="n"/>
      <c r="AD18" s="15" t="n"/>
      <c r="AE18" s="15" t="n"/>
      <c r="AF18" s="285" t="n"/>
      <c r="AG18" s="15" t="n"/>
      <c r="AH18" s="15" t="n"/>
      <c r="AI18" s="285" t="n"/>
      <c r="AJ18" s="15" t="n"/>
      <c r="AK18" s="15" t="n"/>
      <c r="AL18" s="285" t="n"/>
      <c r="AM18" s="327" t="n"/>
      <c r="AN18" s="15" t="n"/>
      <c r="AO18" s="285" t="n"/>
      <c r="AP18" s="327" t="n"/>
      <c r="AQ18" s="15" t="n"/>
      <c r="AR18" s="285" t="n"/>
      <c r="AS18" s="327" t="n"/>
      <c r="AT18" s="15" t="n"/>
      <c r="AU18" s="285" t="n"/>
      <c r="AV18" s="327" t="n"/>
      <c r="AW18" s="15" t="n"/>
      <c r="AX18" s="285" t="n"/>
      <c r="AY18" s="15" t="n"/>
      <c r="AZ18" s="15" t="n"/>
      <c r="BA18" s="287" t="n"/>
      <c r="BB18" s="37" t="n"/>
      <c r="BC18" s="287" t="n"/>
      <c r="BD18" s="37" t="n"/>
      <c r="BE18" s="287" t="n"/>
      <c r="BF18" s="37" t="n"/>
      <c r="BG18" s="287" t="n"/>
      <c r="BH18" s="37" t="n"/>
      <c r="BI18" s="288" t="n"/>
      <c r="BJ18" s="37" t="n"/>
      <c r="BK18" s="288" t="n"/>
      <c r="BL18" s="37" t="n"/>
      <c r="BM18" s="288" t="n"/>
      <c r="BN18" s="37" t="n"/>
      <c r="BO18" s="288" t="n"/>
      <c r="BP18" s="288" t="n"/>
      <c r="BQ18" s="37" t="n"/>
      <c r="BR18" s="288" t="n"/>
      <c r="BS18" s="37" t="n"/>
      <c r="BT18" s="288" t="n"/>
      <c r="BU18" s="37" t="n"/>
      <c r="BV18" s="288" t="n"/>
      <c r="BW18" s="37" t="n"/>
      <c r="BX18" s="288" t="n"/>
      <c r="BY18" s="37" t="n"/>
      <c r="BZ18" s="288" t="n"/>
      <c r="CA18" s="37" t="n"/>
      <c r="CB18" s="288" t="n"/>
      <c r="CC18" s="37" t="n"/>
      <c r="CD18" s="288" t="n"/>
      <c r="CE18" s="37" t="n"/>
      <c r="CF18" s="288" t="n"/>
      <c r="CG18" s="291" t="n"/>
      <c r="CH18" s="288" t="n"/>
      <c r="CI18" s="291" t="n"/>
      <c r="CJ18" s="288" t="n"/>
      <c r="CK18" s="291" t="n"/>
      <c r="CL18" s="288" t="n"/>
      <c r="CM18" s="291" t="n"/>
      <c r="CN18" s="288" t="n"/>
      <c r="CO18" s="80" t="n"/>
      <c r="CP18" s="288" t="n"/>
      <c r="CQ18" s="80" t="n"/>
      <c r="CR18" s="288" t="n"/>
      <c r="CS18" s="80" t="n"/>
      <c r="CT18" s="288" t="n"/>
      <c r="CU18" s="80" t="n"/>
      <c r="CV18" s="269" t="n"/>
      <c r="CW18" s="288" t="n"/>
      <c r="CX18" s="37" t="n"/>
      <c r="CY18" s="288" t="n"/>
      <c r="CZ18" s="37" t="n"/>
      <c r="DA18" s="288" t="n"/>
      <c r="DB18" s="37" t="n"/>
      <c r="DC18" s="288" t="n"/>
      <c r="DD18" s="37" t="n"/>
      <c r="DE18" s="289" t="n"/>
      <c r="DF18" s="289" t="n"/>
      <c r="DG18" s="79" t="n"/>
    </row>
    <row r="19">
      <c r="A19" s="428" t="n"/>
      <c r="B19" s="285" t="n"/>
      <c r="C19" s="15" t="n"/>
      <c r="D19" s="15" t="n"/>
      <c r="E19" s="285" t="n"/>
      <c r="F19" s="15" t="n"/>
      <c r="G19" s="15" t="n"/>
      <c r="H19" s="285" t="n"/>
      <c r="I19" s="15" t="n"/>
      <c r="J19" s="15" t="n"/>
      <c r="K19" s="285" t="n"/>
      <c r="L19" s="15" t="n"/>
      <c r="M19" s="15" t="n"/>
      <c r="N19" s="285" t="n"/>
      <c r="O19" s="15" t="n"/>
      <c r="P19" s="15" t="n"/>
      <c r="Q19" s="285" t="n"/>
      <c r="R19" s="15" t="n"/>
      <c r="S19" s="15" t="n"/>
      <c r="T19" s="291" t="n"/>
      <c r="U19" s="15" t="n"/>
      <c r="V19" s="15" t="n"/>
      <c r="W19" s="291" t="n"/>
      <c r="X19" s="15" t="n"/>
      <c r="Y19" s="15" t="n"/>
      <c r="Z19" s="285" t="n"/>
      <c r="AA19" s="15" t="n"/>
      <c r="AB19" s="15" t="n"/>
      <c r="AC19" s="285" t="n"/>
      <c r="AD19" s="15" t="n"/>
      <c r="AE19" s="15" t="n"/>
      <c r="AF19" s="285" t="n"/>
      <c r="AG19" s="15" t="n"/>
      <c r="AH19" s="15" t="n"/>
      <c r="AI19" s="285" t="n"/>
      <c r="AJ19" s="15" t="n"/>
      <c r="AK19" s="15" t="n"/>
      <c r="AL19" s="285" t="n"/>
      <c r="AM19" s="327" t="n"/>
      <c r="AN19" s="15" t="n"/>
      <c r="AO19" s="285" t="n"/>
      <c r="AP19" s="327" t="n"/>
      <c r="AQ19" s="15" t="n"/>
      <c r="AR19" s="285" t="n"/>
      <c r="AS19" s="327" t="n"/>
      <c r="AT19" s="15" t="n"/>
      <c r="AU19" s="285" t="n"/>
      <c r="AV19" s="327" t="n"/>
      <c r="AW19" s="15" t="n"/>
      <c r="AX19" s="285" t="n"/>
      <c r="AY19" s="15" t="n"/>
      <c r="AZ19" s="15" t="n"/>
      <c r="BA19" s="287" t="n"/>
      <c r="BB19" s="37" t="n"/>
      <c r="BC19" s="287" t="n"/>
      <c r="BD19" s="37" t="n"/>
      <c r="BE19" s="287" t="n"/>
      <c r="BF19" s="37" t="n"/>
      <c r="BG19" s="287" t="n"/>
      <c r="BH19" s="37" t="n"/>
      <c r="BI19" s="288" t="n"/>
      <c r="BJ19" s="37" t="n"/>
      <c r="BK19" s="288" t="n"/>
      <c r="BL19" s="37" t="n"/>
      <c r="BM19" s="288" t="n"/>
      <c r="BN19" s="37" t="n"/>
      <c r="BO19" s="288" t="n"/>
      <c r="BP19" s="288" t="n"/>
      <c r="BQ19" s="37" t="n"/>
      <c r="BR19" s="288" t="n"/>
      <c r="BS19" s="37" t="n"/>
      <c r="BT19" s="288" t="n"/>
      <c r="BU19" s="37" t="n"/>
      <c r="BV19" s="288" t="n"/>
      <c r="BW19" s="37" t="n"/>
      <c r="BX19" s="288" t="n"/>
      <c r="BY19" s="37" t="n"/>
      <c r="BZ19" s="288" t="n"/>
      <c r="CA19" s="37" t="n"/>
      <c r="CB19" s="288" t="n"/>
      <c r="CC19" s="37" t="n"/>
      <c r="CD19" s="288" t="n"/>
      <c r="CE19" s="37" t="n"/>
      <c r="CF19" s="288" t="n"/>
      <c r="CG19" s="291" t="n"/>
      <c r="CH19" s="288" t="n"/>
      <c r="CI19" s="291" t="n"/>
      <c r="CJ19" s="288" t="n"/>
      <c r="CK19" s="291" t="n"/>
      <c r="CL19" s="288" t="n"/>
      <c r="CM19" s="291" t="n"/>
      <c r="CN19" s="288" t="n"/>
      <c r="CO19" s="80" t="n"/>
      <c r="CP19" s="288" t="n"/>
      <c r="CQ19" s="80" t="n"/>
      <c r="CR19" s="288" t="n"/>
      <c r="CS19" s="80" t="n"/>
      <c r="CT19" s="288" t="n"/>
      <c r="CU19" s="80" t="n"/>
      <c r="CV19" s="269" t="n"/>
      <c r="CW19" s="288" t="n"/>
      <c r="CX19" s="37" t="n"/>
      <c r="CY19" s="288" t="n"/>
      <c r="CZ19" s="37" t="n"/>
      <c r="DA19" s="288" t="n"/>
      <c r="DB19" s="37" t="n"/>
      <c r="DC19" s="288" t="n"/>
      <c r="DD19" s="37" t="n"/>
      <c r="DE19" s="289" t="n"/>
      <c r="DF19" s="289" t="n"/>
      <c r="DG19" s="79" t="n"/>
    </row>
    <row r="20">
      <c r="A20" s="428" t="n"/>
      <c r="B20" s="285" t="n"/>
      <c r="C20" s="15" t="n"/>
      <c r="D20" s="15" t="n"/>
      <c r="E20" s="285" t="n"/>
      <c r="F20" s="15" t="n"/>
      <c r="G20" s="15" t="n"/>
      <c r="H20" s="285" t="n"/>
      <c r="I20" s="15" t="n"/>
      <c r="J20" s="15" t="n"/>
      <c r="K20" s="285" t="n"/>
      <c r="L20" s="15" t="n"/>
      <c r="M20" s="15" t="n"/>
      <c r="N20" s="285" t="n"/>
      <c r="O20" s="15" t="n"/>
      <c r="P20" s="15" t="n"/>
      <c r="Q20" s="285" t="n"/>
      <c r="R20" s="15" t="n"/>
      <c r="S20" s="15" t="n"/>
      <c r="T20" s="291" t="n"/>
      <c r="U20" s="15" t="n"/>
      <c r="V20" s="15" t="n"/>
      <c r="W20" s="291" t="n"/>
      <c r="X20" s="15" t="n"/>
      <c r="Y20" s="15" t="n"/>
      <c r="Z20" s="285" t="n"/>
      <c r="AA20" s="15" t="n"/>
      <c r="AB20" s="15" t="n"/>
      <c r="AC20" s="285" t="n"/>
      <c r="AD20" s="15" t="n"/>
      <c r="AE20" s="15" t="n"/>
      <c r="AF20" s="285" t="n"/>
      <c r="AG20" s="15" t="n"/>
      <c r="AH20" s="15" t="n"/>
      <c r="AI20" s="285" t="n"/>
      <c r="AJ20" s="15" t="n"/>
      <c r="AK20" s="15" t="n"/>
      <c r="AL20" s="285" t="n"/>
      <c r="AM20" s="327" t="n"/>
      <c r="AN20" s="15" t="n"/>
      <c r="AO20" s="285" t="n"/>
      <c r="AP20" s="327" t="n"/>
      <c r="AQ20" s="15" t="n"/>
      <c r="AR20" s="285" t="n"/>
      <c r="AS20" s="327" t="n"/>
      <c r="AT20" s="15" t="n"/>
      <c r="AU20" s="285" t="n"/>
      <c r="AV20" s="327" t="n"/>
      <c r="AW20" s="15" t="n"/>
      <c r="AX20" s="285" t="n"/>
      <c r="AY20" s="15" t="n"/>
      <c r="AZ20" s="15" t="n"/>
      <c r="BA20" s="287" t="n"/>
      <c r="BB20" s="37" t="n"/>
      <c r="BC20" s="287" t="n"/>
      <c r="BD20" s="37" t="n"/>
      <c r="BE20" s="287" t="n"/>
      <c r="BF20" s="37" t="n"/>
      <c r="BG20" s="287" t="n"/>
      <c r="BH20" s="37" t="n"/>
      <c r="BI20" s="288" t="n"/>
      <c r="BJ20" s="37" t="n"/>
      <c r="BK20" s="288" t="n"/>
      <c r="BL20" s="37" t="n"/>
      <c r="BM20" s="288" t="n"/>
      <c r="BN20" s="37" t="n"/>
      <c r="BO20" s="288" t="n"/>
      <c r="BP20" s="288" t="n"/>
      <c r="BQ20" s="37" t="n"/>
      <c r="BR20" s="288" t="n"/>
      <c r="BS20" s="37" t="n"/>
      <c r="BT20" s="288" t="n"/>
      <c r="BU20" s="37" t="n"/>
      <c r="BV20" s="288" t="n"/>
      <c r="BW20" s="37" t="n"/>
      <c r="BX20" s="288" t="n"/>
      <c r="BY20" s="37" t="n"/>
      <c r="BZ20" s="288" t="n"/>
      <c r="CA20" s="37" t="n"/>
      <c r="CB20" s="288" t="n"/>
      <c r="CC20" s="37" t="n"/>
      <c r="CD20" s="288" t="n"/>
      <c r="CE20" s="37" t="n"/>
      <c r="CF20" s="288" t="n"/>
      <c r="CG20" s="291" t="n"/>
      <c r="CH20" s="288" t="n"/>
      <c r="CI20" s="291" t="n"/>
      <c r="CJ20" s="288" t="n"/>
      <c r="CK20" s="291" t="n"/>
      <c r="CL20" s="288" t="n"/>
      <c r="CM20" s="291" t="n"/>
      <c r="CN20" s="288" t="n"/>
      <c r="CO20" s="80" t="n"/>
      <c r="CP20" s="288" t="n"/>
      <c r="CQ20" s="80" t="n"/>
      <c r="CR20" s="288" t="n"/>
      <c r="CS20" s="80" t="n"/>
      <c r="CT20" s="288" t="n"/>
      <c r="CU20" s="80" t="n"/>
      <c r="CV20" s="269" t="n"/>
      <c r="CW20" s="288" t="n"/>
      <c r="CX20" s="37" t="n"/>
      <c r="CY20" s="288" t="n"/>
      <c r="CZ20" s="37" t="n"/>
      <c r="DA20" s="288" t="n"/>
      <c r="DB20" s="37" t="n"/>
      <c r="DC20" s="288" t="n"/>
      <c r="DD20" s="37" t="n"/>
      <c r="DE20" s="289" t="n"/>
      <c r="DF20" s="289" t="n"/>
      <c r="DG20" s="79" t="n"/>
    </row>
    <row r="21">
      <c r="A21" s="428" t="n"/>
      <c r="B21" s="285" t="n"/>
      <c r="C21" s="15" t="n"/>
      <c r="D21" s="15" t="n"/>
      <c r="E21" s="285" t="n"/>
      <c r="F21" s="15" t="n"/>
      <c r="G21" s="15" t="n"/>
      <c r="H21" s="285" t="n"/>
      <c r="I21" s="15" t="n"/>
      <c r="J21" s="15" t="n"/>
      <c r="K21" s="285" t="n"/>
      <c r="L21" s="15" t="n"/>
      <c r="M21" s="15" t="n"/>
      <c r="N21" s="285" t="n"/>
      <c r="O21" s="15" t="n"/>
      <c r="P21" s="15" t="n"/>
      <c r="Q21" s="285" t="n"/>
      <c r="R21" s="15" t="n"/>
      <c r="S21" s="15" t="n"/>
      <c r="T21" s="291" t="n"/>
      <c r="U21" s="15" t="n"/>
      <c r="V21" s="15" t="n"/>
      <c r="W21" s="291" t="n"/>
      <c r="X21" s="15" t="n"/>
      <c r="Y21" s="15" t="n"/>
      <c r="Z21" s="285" t="n"/>
      <c r="AA21" s="15" t="n"/>
      <c r="AB21" s="15" t="n"/>
      <c r="AC21" s="285" t="n"/>
      <c r="AD21" s="15" t="n"/>
      <c r="AE21" s="15" t="n"/>
      <c r="AF21" s="285" t="n"/>
      <c r="AG21" s="15" t="n"/>
      <c r="AH21" s="15" t="n"/>
      <c r="AI21" s="285" t="n"/>
      <c r="AJ21" s="15" t="n"/>
      <c r="AK21" s="15" t="n"/>
      <c r="AL21" s="285" t="n"/>
      <c r="AM21" s="327" t="n"/>
      <c r="AN21" s="15" t="n"/>
      <c r="AO21" s="285" t="n"/>
      <c r="AP21" s="327" t="n"/>
      <c r="AQ21" s="15" t="n"/>
      <c r="AR21" s="285" t="n"/>
      <c r="AS21" s="327" t="n"/>
      <c r="AT21" s="15" t="n"/>
      <c r="AU21" s="285" t="n"/>
      <c r="AV21" s="327" t="n"/>
      <c r="AW21" s="15" t="n"/>
      <c r="AX21" s="285" t="n"/>
      <c r="AY21" s="15" t="n"/>
      <c r="AZ21" s="15" t="n"/>
      <c r="BA21" s="287" t="n"/>
      <c r="BB21" s="37" t="n"/>
      <c r="BC21" s="287" t="n"/>
      <c r="BD21" s="37" t="n"/>
      <c r="BE21" s="287" t="n"/>
      <c r="BF21" s="37" t="n"/>
      <c r="BG21" s="287" t="n"/>
      <c r="BH21" s="37" t="n"/>
      <c r="BI21" s="288" t="n"/>
      <c r="BJ21" s="37" t="n"/>
      <c r="BK21" s="288" t="n"/>
      <c r="BL21" s="37" t="n"/>
      <c r="BM21" s="288" t="n"/>
      <c r="BN21" s="37" t="n"/>
      <c r="BO21" s="288" t="n"/>
      <c r="BP21" s="288" t="n"/>
      <c r="BQ21" s="37" t="n"/>
      <c r="BR21" s="288" t="n"/>
      <c r="BS21" s="37" t="n"/>
      <c r="BT21" s="288" t="n"/>
      <c r="BU21" s="37" t="n"/>
      <c r="BV21" s="288" t="n"/>
      <c r="BW21" s="37" t="n"/>
      <c r="BX21" s="288" t="n"/>
      <c r="BY21" s="37" t="n"/>
      <c r="BZ21" s="288" t="n"/>
      <c r="CA21" s="37" t="n"/>
      <c r="CB21" s="288" t="n"/>
      <c r="CC21" s="37" t="n"/>
      <c r="CD21" s="288" t="n"/>
      <c r="CE21" s="37" t="n"/>
      <c r="CF21" s="288" t="n"/>
      <c r="CG21" s="291" t="n"/>
      <c r="CH21" s="288" t="n"/>
      <c r="CI21" s="291" t="n"/>
      <c r="CJ21" s="288" t="n"/>
      <c r="CK21" s="291" t="n"/>
      <c r="CL21" s="288" t="n"/>
      <c r="CM21" s="291" t="n"/>
      <c r="CN21" s="288" t="n"/>
      <c r="CO21" s="80" t="n"/>
      <c r="CP21" s="288" t="n"/>
      <c r="CQ21" s="80" t="n"/>
      <c r="CR21" s="288" t="n"/>
      <c r="CS21" s="80" t="n"/>
      <c r="CT21" s="288" t="n"/>
      <c r="CU21" s="80" t="n"/>
      <c r="CV21" s="269" t="n"/>
      <c r="CW21" s="288" t="n"/>
      <c r="CX21" s="37" t="n"/>
      <c r="CY21" s="288" t="n"/>
      <c r="CZ21" s="37" t="n"/>
      <c r="DA21" s="288" t="n"/>
      <c r="DB21" s="37" t="n"/>
      <c r="DC21" s="288" t="n"/>
      <c r="DD21" s="37" t="n"/>
      <c r="DE21" s="289" t="n"/>
      <c r="DF21" s="289" t="n"/>
      <c r="DG21" s="79" t="n"/>
    </row>
    <row r="22">
      <c r="A22" s="428" t="n"/>
      <c r="B22" s="285" t="n"/>
      <c r="C22" s="15" t="n"/>
      <c r="D22" s="15" t="n"/>
      <c r="E22" s="285" t="n"/>
      <c r="F22" s="15" t="n"/>
      <c r="G22" s="15" t="n"/>
      <c r="H22" s="285" t="n"/>
      <c r="I22" s="15" t="n"/>
      <c r="J22" s="15" t="n"/>
      <c r="K22" s="285" t="n"/>
      <c r="L22" s="15" t="n"/>
      <c r="M22" s="15" t="n"/>
      <c r="N22" s="285" t="n"/>
      <c r="O22" s="15" t="n"/>
      <c r="P22" s="15" t="n"/>
      <c r="Q22" s="285" t="n"/>
      <c r="R22" s="15" t="n"/>
      <c r="S22" s="15" t="n"/>
      <c r="T22" s="291" t="n"/>
      <c r="U22" s="15" t="n"/>
      <c r="V22" s="15" t="n"/>
      <c r="W22" s="291" t="n"/>
      <c r="X22" s="15" t="n"/>
      <c r="Y22" s="15" t="n"/>
      <c r="Z22" s="285" t="n"/>
      <c r="AA22" s="15" t="n"/>
      <c r="AB22" s="15" t="n"/>
      <c r="AC22" s="285" t="n"/>
      <c r="AD22" s="15" t="n"/>
      <c r="AE22" s="15" t="n"/>
      <c r="AF22" s="285" t="n"/>
      <c r="AG22" s="15" t="n"/>
      <c r="AH22" s="15" t="n"/>
      <c r="AI22" s="285" t="n"/>
      <c r="AJ22" s="15" t="n"/>
      <c r="AK22" s="15" t="n"/>
      <c r="AL22" s="285" t="n"/>
      <c r="AM22" s="327" t="n"/>
      <c r="AN22" s="15" t="n"/>
      <c r="AO22" s="285" t="n"/>
      <c r="AP22" s="327" t="n"/>
      <c r="AQ22" s="15" t="n"/>
      <c r="AR22" s="285" t="n"/>
      <c r="AS22" s="327" t="n"/>
      <c r="AT22" s="15" t="n"/>
      <c r="AU22" s="285" t="n"/>
      <c r="AV22" s="327" t="n"/>
      <c r="AW22" s="15" t="n"/>
      <c r="AX22" s="285" t="n"/>
      <c r="AY22" s="15" t="n"/>
      <c r="AZ22" s="15" t="n"/>
      <c r="BA22" s="287" t="n"/>
      <c r="BB22" s="37" t="n"/>
      <c r="BC22" s="287" t="n"/>
      <c r="BD22" s="37" t="n"/>
      <c r="BE22" s="287" t="n"/>
      <c r="BF22" s="37" t="n"/>
      <c r="BG22" s="287" t="n"/>
      <c r="BH22" s="37" t="n"/>
      <c r="BI22" s="288" t="n"/>
      <c r="BJ22" s="37" t="n"/>
      <c r="BK22" s="288" t="n"/>
      <c r="BL22" s="37" t="n"/>
      <c r="BM22" s="288" t="n"/>
      <c r="BN22" s="37" t="n"/>
      <c r="BO22" s="288" t="n"/>
      <c r="BP22" s="288" t="n"/>
      <c r="BQ22" s="37" t="n"/>
      <c r="BR22" s="288" t="n"/>
      <c r="BS22" s="37" t="n"/>
      <c r="BT22" s="288" t="n"/>
      <c r="BU22" s="37" t="n"/>
      <c r="BV22" s="288" t="n"/>
      <c r="BW22" s="37" t="n"/>
      <c r="BX22" s="288" t="n"/>
      <c r="BY22" s="37" t="n"/>
      <c r="BZ22" s="288" t="n"/>
      <c r="CA22" s="37" t="n"/>
      <c r="CB22" s="288" t="n"/>
      <c r="CC22" s="37" t="n"/>
      <c r="CD22" s="288" t="n"/>
      <c r="CE22" s="37" t="n"/>
      <c r="CF22" s="288" t="n"/>
      <c r="CG22" s="291" t="n"/>
      <c r="CH22" s="288" t="n"/>
      <c r="CI22" s="291" t="n"/>
      <c r="CJ22" s="288" t="n"/>
      <c r="CK22" s="291" t="n"/>
      <c r="CL22" s="288" t="n"/>
      <c r="CM22" s="291" t="n"/>
      <c r="CN22" s="288" t="n"/>
      <c r="CO22" s="80" t="n"/>
      <c r="CP22" s="288" t="n"/>
      <c r="CQ22" s="80" t="n"/>
      <c r="CR22" s="288" t="n"/>
      <c r="CS22" s="80" t="n"/>
      <c r="CT22" s="288" t="n"/>
      <c r="CU22" s="80" t="n"/>
      <c r="CV22" s="269" t="n"/>
      <c r="CW22" s="288" t="n"/>
      <c r="CX22" s="37" t="n"/>
      <c r="CY22" s="288" t="n"/>
      <c r="CZ22" s="37" t="n"/>
      <c r="DA22" s="288" t="n"/>
      <c r="DB22" s="37" t="n"/>
      <c r="DC22" s="288" t="n"/>
      <c r="DD22" s="37" t="n"/>
      <c r="DE22" s="289" t="n"/>
      <c r="DF22" s="289" t="n"/>
      <c r="DG22" s="79" t="n"/>
    </row>
    <row r="23">
      <c r="A23" s="428" t="n"/>
      <c r="B23" s="285" t="n"/>
      <c r="C23" s="15" t="n"/>
      <c r="D23" s="15" t="n"/>
      <c r="E23" s="285" t="n"/>
      <c r="F23" s="15" t="n"/>
      <c r="G23" s="15" t="n"/>
      <c r="H23" s="285" t="n"/>
      <c r="I23" s="15" t="n"/>
      <c r="J23" s="15" t="n"/>
      <c r="K23" s="285" t="n"/>
      <c r="L23" s="15" t="n"/>
      <c r="M23" s="15" t="n"/>
      <c r="N23" s="285" t="n"/>
      <c r="O23" s="15" t="n"/>
      <c r="P23" s="15" t="n"/>
      <c r="Q23" s="285" t="n"/>
      <c r="R23" s="15" t="n"/>
      <c r="S23" s="15" t="n"/>
      <c r="T23" s="291" t="n"/>
      <c r="U23" s="15" t="n"/>
      <c r="V23" s="15" t="n"/>
      <c r="W23" s="291" t="n"/>
      <c r="X23" s="15" t="n"/>
      <c r="Y23" s="15" t="n"/>
      <c r="Z23" s="285" t="n"/>
      <c r="AA23" s="15" t="n"/>
      <c r="AB23" s="15" t="n"/>
      <c r="AC23" s="285" t="n"/>
      <c r="AD23" s="15" t="n"/>
      <c r="AE23" s="15" t="n"/>
      <c r="AF23" s="285" t="n"/>
      <c r="AG23" s="15" t="n"/>
      <c r="AH23" s="15" t="n"/>
      <c r="AI23" s="285" t="n"/>
      <c r="AJ23" s="15" t="n"/>
      <c r="AK23" s="15" t="n"/>
      <c r="AL23" s="285" t="n"/>
      <c r="AM23" s="327" t="n"/>
      <c r="AN23" s="15" t="n"/>
      <c r="AO23" s="285" t="n"/>
      <c r="AP23" s="327" t="n"/>
      <c r="AQ23" s="15" t="n"/>
      <c r="AR23" s="285" t="n"/>
      <c r="AS23" s="327" t="n"/>
      <c r="AT23" s="15" t="n"/>
      <c r="AU23" s="285" t="n"/>
      <c r="AV23" s="327" t="n"/>
      <c r="AW23" s="15" t="n"/>
      <c r="AX23" s="285" t="n"/>
      <c r="AY23" s="15" t="n"/>
      <c r="AZ23" s="15" t="n"/>
      <c r="BA23" s="287" t="n"/>
      <c r="BB23" s="37" t="n"/>
      <c r="BC23" s="287" t="n"/>
      <c r="BD23" s="37" t="n"/>
      <c r="BE23" s="287" t="n"/>
      <c r="BF23" s="37" t="n"/>
      <c r="BG23" s="287" t="n"/>
      <c r="BH23" s="37" t="n"/>
      <c r="BI23" s="288" t="n"/>
      <c r="BJ23" s="37" t="n"/>
      <c r="BK23" s="288" t="n"/>
      <c r="BL23" s="37" t="n"/>
      <c r="BM23" s="288" t="n"/>
      <c r="BN23" s="37" t="n"/>
      <c r="BO23" s="288" t="n"/>
      <c r="BP23" s="288" t="n"/>
      <c r="BQ23" s="37" t="n"/>
      <c r="BR23" s="288" t="n"/>
      <c r="BS23" s="37" t="n"/>
      <c r="BT23" s="288" t="n"/>
      <c r="BU23" s="37" t="n"/>
      <c r="BV23" s="288" t="n"/>
      <c r="BW23" s="37" t="n"/>
      <c r="BX23" s="288" t="n"/>
      <c r="BY23" s="37" t="n"/>
      <c r="BZ23" s="288" t="n"/>
      <c r="CA23" s="37" t="n"/>
      <c r="CB23" s="288" t="n"/>
      <c r="CC23" s="37" t="n"/>
      <c r="CD23" s="288" t="n"/>
      <c r="CE23" s="37" t="n"/>
      <c r="CF23" s="288" t="n"/>
      <c r="CG23" s="291" t="n"/>
      <c r="CH23" s="288" t="n"/>
      <c r="CI23" s="291" t="n"/>
      <c r="CJ23" s="288" t="n"/>
      <c r="CK23" s="291" t="n"/>
      <c r="CL23" s="288" t="n"/>
      <c r="CM23" s="291" t="n"/>
      <c r="CN23" s="288" t="n"/>
      <c r="CO23" s="80" t="n"/>
      <c r="CP23" s="288" t="n"/>
      <c r="CQ23" s="80" t="n"/>
      <c r="CR23" s="288" t="n"/>
      <c r="CS23" s="80" t="n"/>
      <c r="CT23" s="288" t="n"/>
      <c r="CU23" s="80" t="n"/>
      <c r="CV23" s="269" t="n"/>
      <c r="CW23" s="288" t="n"/>
      <c r="CX23" s="37" t="n"/>
      <c r="CY23" s="288" t="n"/>
      <c r="CZ23" s="37" t="n"/>
      <c r="DA23" s="288" t="n"/>
      <c r="DB23" s="37" t="n"/>
      <c r="DC23" s="288" t="n"/>
      <c r="DD23" s="37" t="n"/>
      <c r="DE23" s="289" t="n"/>
      <c r="DF23" s="289" t="n"/>
      <c r="DG23" s="79" t="n"/>
    </row>
    <row r="24">
      <c r="A24" s="428" t="n"/>
      <c r="B24" s="285" t="n"/>
      <c r="C24" s="15" t="n"/>
      <c r="D24" s="15" t="n"/>
      <c r="E24" s="285" t="n"/>
      <c r="F24" s="15" t="n"/>
      <c r="G24" s="15" t="n"/>
      <c r="H24" s="285" t="n"/>
      <c r="I24" s="15" t="n"/>
      <c r="J24" s="15" t="n"/>
      <c r="K24" s="285" t="n"/>
      <c r="L24" s="15" t="n"/>
      <c r="M24" s="15" t="n"/>
      <c r="N24" s="285" t="n"/>
      <c r="O24" s="15" t="n"/>
      <c r="P24" s="15" t="n"/>
      <c r="Q24" s="285" t="n"/>
      <c r="R24" s="15" t="n"/>
      <c r="S24" s="15" t="n"/>
      <c r="T24" s="291" t="n"/>
      <c r="U24" s="15" t="n"/>
      <c r="V24" s="15" t="n"/>
      <c r="W24" s="291" t="n"/>
      <c r="X24" s="15" t="n"/>
      <c r="Y24" s="15" t="n"/>
      <c r="Z24" s="285" t="n"/>
      <c r="AA24" s="15" t="n"/>
      <c r="AB24" s="15" t="n"/>
      <c r="AC24" s="285" t="n"/>
      <c r="AD24" s="15" t="n"/>
      <c r="AE24" s="15" t="n"/>
      <c r="AF24" s="285" t="n"/>
      <c r="AG24" s="15" t="n"/>
      <c r="AH24" s="15" t="n"/>
      <c r="AI24" s="285" t="n"/>
      <c r="AJ24" s="15" t="n"/>
      <c r="AK24" s="15" t="n"/>
      <c r="AL24" s="285" t="n"/>
      <c r="AM24" s="327" t="n"/>
      <c r="AN24" s="15" t="n"/>
      <c r="AO24" s="285" t="n"/>
      <c r="AP24" s="327" t="n"/>
      <c r="AQ24" s="15" t="n"/>
      <c r="AR24" s="285" t="n"/>
      <c r="AS24" s="327" t="n"/>
      <c r="AT24" s="15" t="n"/>
      <c r="AU24" s="285" t="n"/>
      <c r="AV24" s="327" t="n"/>
      <c r="AW24" s="15" t="n"/>
      <c r="AX24" s="285" t="n"/>
      <c r="AY24" s="15" t="n"/>
      <c r="AZ24" s="15" t="n"/>
      <c r="BA24" s="287" t="n"/>
      <c r="BB24" s="37" t="n"/>
      <c r="BC24" s="287" t="n"/>
      <c r="BD24" s="37" t="n"/>
      <c r="BE24" s="287" t="n"/>
      <c r="BF24" s="37" t="n"/>
      <c r="BG24" s="287" t="n"/>
      <c r="BH24" s="37" t="n"/>
      <c r="BI24" s="288" t="n"/>
      <c r="BJ24" s="37" t="n"/>
      <c r="BK24" s="288" t="n"/>
      <c r="BL24" s="37" t="n"/>
      <c r="BM24" s="288" t="n"/>
      <c r="BN24" s="37" t="n"/>
      <c r="BO24" s="288" t="n"/>
      <c r="BP24" s="288" t="n"/>
      <c r="BQ24" s="37" t="n"/>
      <c r="BR24" s="288" t="n"/>
      <c r="BS24" s="37" t="n"/>
      <c r="BT24" s="288" t="n"/>
      <c r="BU24" s="37" t="n"/>
      <c r="BV24" s="288" t="n"/>
      <c r="BW24" s="37" t="n"/>
      <c r="BX24" s="288" t="n"/>
      <c r="BY24" s="37" t="n"/>
      <c r="BZ24" s="288" t="n"/>
      <c r="CA24" s="37" t="n"/>
      <c r="CB24" s="288" t="n"/>
      <c r="CC24" s="37" t="n"/>
      <c r="CD24" s="288" t="n"/>
      <c r="CE24" s="37" t="n"/>
      <c r="CF24" s="288" t="n"/>
      <c r="CG24" s="291" t="n"/>
      <c r="CH24" s="288" t="n"/>
      <c r="CI24" s="291" t="n"/>
      <c r="CJ24" s="288" t="n"/>
      <c r="CK24" s="291" t="n"/>
      <c r="CL24" s="288" t="n"/>
      <c r="CM24" s="291" t="n"/>
      <c r="CN24" s="288" t="n"/>
      <c r="CO24" s="80" t="n"/>
      <c r="CP24" s="288" t="n"/>
      <c r="CQ24" s="80" t="n"/>
      <c r="CR24" s="288" t="n"/>
      <c r="CS24" s="80" t="n"/>
      <c r="CT24" s="288" t="n"/>
      <c r="CU24" s="80" t="n"/>
      <c r="CV24" s="269" t="n"/>
      <c r="CW24" s="288" t="n"/>
      <c r="CX24" s="37" t="n"/>
      <c r="CY24" s="288" t="n"/>
      <c r="CZ24" s="37" t="n"/>
      <c r="DA24" s="288" t="n"/>
      <c r="DB24" s="37" t="n"/>
      <c r="DC24" s="288" t="n"/>
      <c r="DD24" s="37" t="n"/>
      <c r="DE24" s="289" t="n"/>
      <c r="DF24" s="289" t="n"/>
      <c r="DG24" s="79" t="n"/>
    </row>
    <row r="25">
      <c r="A25" s="428" t="n"/>
      <c r="B25" s="285" t="n"/>
      <c r="C25" s="15" t="n"/>
      <c r="D25" s="15" t="n"/>
      <c r="E25" s="285" t="n"/>
      <c r="F25" s="15" t="n"/>
      <c r="G25" s="15" t="n"/>
      <c r="H25" s="285" t="n"/>
      <c r="I25" s="15" t="n"/>
      <c r="J25" s="15" t="n"/>
      <c r="K25" s="285" t="n"/>
      <c r="L25" s="15" t="n"/>
      <c r="M25" s="15" t="n"/>
      <c r="N25" s="285" t="n"/>
      <c r="O25" s="15" t="n"/>
      <c r="P25" s="15" t="n"/>
      <c r="Q25" s="285" t="n"/>
      <c r="R25" s="15" t="n"/>
      <c r="S25" s="15" t="n"/>
      <c r="T25" s="291" t="n"/>
      <c r="U25" s="15" t="n"/>
      <c r="V25" s="15" t="n"/>
      <c r="W25" s="291" t="n"/>
      <c r="X25" s="15" t="n"/>
      <c r="Y25" s="15" t="n"/>
      <c r="Z25" s="285" t="n"/>
      <c r="AA25" s="15" t="n"/>
      <c r="AB25" s="15" t="n"/>
      <c r="AC25" s="285" t="n"/>
      <c r="AD25" s="15" t="n"/>
      <c r="AE25" s="15" t="n"/>
      <c r="AF25" s="285" t="n"/>
      <c r="AG25" s="15" t="n"/>
      <c r="AH25" s="15" t="n"/>
      <c r="AI25" s="285" t="n"/>
      <c r="AJ25" s="15" t="n"/>
      <c r="AK25" s="15" t="n"/>
      <c r="AL25" s="285" t="n"/>
      <c r="AM25" s="327" t="n"/>
      <c r="AN25" s="15" t="n"/>
      <c r="AO25" s="285" t="n"/>
      <c r="AP25" s="327" t="n"/>
      <c r="AQ25" s="15" t="n"/>
      <c r="AR25" s="285" t="n"/>
      <c r="AS25" s="327" t="n"/>
      <c r="AT25" s="15" t="n"/>
      <c r="AU25" s="285" t="n"/>
      <c r="AV25" s="327" t="n"/>
      <c r="AW25" s="15" t="n"/>
      <c r="AX25" s="285" t="n"/>
      <c r="AY25" s="15" t="n"/>
      <c r="AZ25" s="15" t="n"/>
      <c r="BA25" s="287" t="n"/>
      <c r="BB25" s="37" t="n"/>
      <c r="BC25" s="287" t="n"/>
      <c r="BD25" s="37" t="n"/>
      <c r="BE25" s="287" t="n"/>
      <c r="BF25" s="37" t="n"/>
      <c r="BG25" s="287" t="n"/>
      <c r="BH25" s="37" t="n"/>
      <c r="BI25" s="288" t="n"/>
      <c r="BJ25" s="37" t="n"/>
      <c r="BK25" s="288" t="n"/>
      <c r="BL25" s="37" t="n"/>
      <c r="BM25" s="288" t="n"/>
      <c r="BN25" s="37" t="n"/>
      <c r="BO25" s="288" t="n"/>
      <c r="BP25" s="288" t="n"/>
      <c r="BQ25" s="37" t="n"/>
      <c r="BR25" s="288" t="n"/>
      <c r="BS25" s="37" t="n"/>
      <c r="BT25" s="288" t="n"/>
      <c r="BU25" s="37" t="n"/>
      <c r="BV25" s="288" t="n"/>
      <c r="BW25" s="37" t="n"/>
      <c r="BX25" s="288" t="n"/>
      <c r="BY25" s="37" t="n"/>
      <c r="BZ25" s="288" t="n"/>
      <c r="CA25" s="37" t="n"/>
      <c r="CB25" s="288" t="n"/>
      <c r="CC25" s="37" t="n"/>
      <c r="CD25" s="288" t="n"/>
      <c r="CE25" s="37" t="n"/>
      <c r="CF25" s="288" t="n"/>
      <c r="CG25" s="291" t="n"/>
      <c r="CH25" s="288" t="n"/>
      <c r="CI25" s="291" t="n"/>
      <c r="CJ25" s="288" t="n"/>
      <c r="CK25" s="291" t="n"/>
      <c r="CL25" s="288" t="n"/>
      <c r="CM25" s="291" t="n"/>
      <c r="CN25" s="288" t="n"/>
      <c r="CO25" s="80" t="n"/>
      <c r="CP25" s="288" t="n"/>
      <c r="CQ25" s="80" t="n"/>
      <c r="CR25" s="288" t="n"/>
      <c r="CS25" s="80" t="n"/>
      <c r="CT25" s="288" t="n"/>
      <c r="CU25" s="80" t="n"/>
      <c r="CV25" s="269" t="n"/>
      <c r="CW25" s="288" t="n"/>
      <c r="CX25" s="37" t="n"/>
      <c r="CY25" s="288" t="n"/>
      <c r="CZ25" s="37" t="n"/>
      <c r="DA25" s="288" t="n"/>
      <c r="DB25" s="37" t="n"/>
      <c r="DC25" s="288" t="n"/>
      <c r="DD25" s="37" t="n"/>
      <c r="DE25" s="289" t="n"/>
      <c r="DF25" s="289" t="n"/>
      <c r="DG25" s="79" t="n"/>
    </row>
    <row r="26">
      <c r="A26" s="428" t="n"/>
      <c r="B26" s="285" t="n"/>
      <c r="C26" s="15" t="n"/>
      <c r="D26" s="15" t="n"/>
      <c r="E26" s="285" t="n"/>
      <c r="F26" s="15" t="n"/>
      <c r="G26" s="15" t="n"/>
      <c r="H26" s="285" t="n"/>
      <c r="I26" s="15" t="n"/>
      <c r="J26" s="15" t="n"/>
      <c r="K26" s="285" t="n"/>
      <c r="L26" s="15" t="n"/>
      <c r="M26" s="15" t="n"/>
      <c r="N26" s="285" t="n"/>
      <c r="O26" s="15" t="n"/>
      <c r="P26" s="15" t="n"/>
      <c r="Q26" s="285" t="n"/>
      <c r="R26" s="15" t="n"/>
      <c r="S26" s="15" t="n"/>
      <c r="T26" s="291" t="n"/>
      <c r="U26" s="15" t="n"/>
      <c r="V26" s="15" t="n"/>
      <c r="W26" s="291" t="n"/>
      <c r="X26" s="15" t="n"/>
      <c r="Y26" s="15" t="n"/>
      <c r="Z26" s="285" t="n"/>
      <c r="AA26" s="15" t="n"/>
      <c r="AB26" s="15" t="n"/>
      <c r="AC26" s="285" t="n"/>
      <c r="AD26" s="15" t="n"/>
      <c r="AE26" s="15" t="n"/>
      <c r="AF26" s="285" t="n"/>
      <c r="AG26" s="15" t="n"/>
      <c r="AH26" s="15" t="n"/>
      <c r="AI26" s="285" t="n"/>
      <c r="AJ26" s="15" t="n"/>
      <c r="AK26" s="15" t="n"/>
      <c r="AL26" s="285" t="n"/>
      <c r="AM26" s="327" t="n"/>
      <c r="AN26" s="15" t="n"/>
      <c r="AO26" s="285" t="n"/>
      <c r="AP26" s="327" t="n"/>
      <c r="AQ26" s="15" t="n"/>
      <c r="AR26" s="285" t="n"/>
      <c r="AS26" s="327" t="n"/>
      <c r="AT26" s="15" t="n"/>
      <c r="AU26" s="285" t="n"/>
      <c r="AV26" s="327" t="n"/>
      <c r="AW26" s="15" t="n"/>
      <c r="AX26" s="285" t="n"/>
      <c r="AY26" s="15" t="n"/>
      <c r="AZ26" s="15" t="n"/>
      <c r="BA26" s="287" t="n"/>
      <c r="BB26" s="37" t="n"/>
      <c r="BC26" s="287" t="n"/>
      <c r="BD26" s="37" t="n"/>
      <c r="BE26" s="287" t="n"/>
      <c r="BF26" s="37" t="n"/>
      <c r="BG26" s="287" t="n"/>
      <c r="BH26" s="37" t="n"/>
      <c r="BI26" s="288" t="n"/>
      <c r="BJ26" s="37" t="n"/>
      <c r="BK26" s="288" t="n"/>
      <c r="BL26" s="37" t="n"/>
      <c r="BM26" s="288" t="n"/>
      <c r="BN26" s="37" t="n"/>
      <c r="BO26" s="288" t="n"/>
      <c r="BP26" s="288" t="n"/>
      <c r="BQ26" s="37" t="n"/>
      <c r="BR26" s="288" t="n"/>
      <c r="BS26" s="37" t="n"/>
      <c r="BT26" s="288" t="n"/>
      <c r="BU26" s="37" t="n"/>
      <c r="BV26" s="288" t="n"/>
      <c r="BW26" s="37" t="n"/>
      <c r="BX26" s="288" t="n"/>
      <c r="BY26" s="37" t="n"/>
      <c r="BZ26" s="288" t="n"/>
      <c r="CA26" s="37" t="n"/>
      <c r="CB26" s="288" t="n"/>
      <c r="CC26" s="37" t="n"/>
      <c r="CD26" s="288" t="n"/>
      <c r="CE26" s="37" t="n"/>
      <c r="CF26" s="288" t="n"/>
      <c r="CG26" s="291" t="n"/>
      <c r="CH26" s="288" t="n"/>
      <c r="CI26" s="291" t="n"/>
      <c r="CJ26" s="288" t="n"/>
      <c r="CK26" s="291" t="n"/>
      <c r="CL26" s="288" t="n"/>
      <c r="CM26" s="291" t="n"/>
      <c r="CN26" s="288" t="n"/>
      <c r="CO26" s="80" t="n"/>
      <c r="CP26" s="288" t="n"/>
      <c r="CQ26" s="80" t="n"/>
      <c r="CR26" s="288" t="n"/>
      <c r="CS26" s="80" t="n"/>
      <c r="CT26" s="288" t="n"/>
      <c r="CU26" s="80" t="n"/>
      <c r="CV26" s="269" t="n"/>
      <c r="CW26" s="288" t="n"/>
      <c r="CX26" s="37" t="n"/>
      <c r="CY26" s="288" t="n"/>
      <c r="CZ26" s="37" t="n"/>
      <c r="DA26" s="288" t="n"/>
      <c r="DB26" s="37" t="n"/>
      <c r="DC26" s="288" t="n"/>
      <c r="DD26" s="37" t="n"/>
      <c r="DE26" s="289" t="n"/>
      <c r="DF26" s="289" t="n"/>
      <c r="DG26" s="79" t="n"/>
    </row>
    <row r="27">
      <c r="A27" s="428" t="n"/>
      <c r="B27" s="285" t="n"/>
      <c r="C27" s="15" t="n"/>
      <c r="D27" s="15" t="n"/>
      <c r="E27" s="285" t="n"/>
      <c r="F27" s="15" t="n"/>
      <c r="G27" s="15" t="n"/>
      <c r="H27" s="285" t="n"/>
      <c r="I27" s="15" t="n"/>
      <c r="J27" s="15" t="n"/>
      <c r="K27" s="285" t="n"/>
      <c r="L27" s="15" t="n"/>
      <c r="M27" s="15" t="n"/>
      <c r="N27" s="285" t="n"/>
      <c r="O27" s="15" t="n"/>
      <c r="P27" s="15" t="n"/>
      <c r="Q27" s="285" t="n"/>
      <c r="R27" s="15" t="n"/>
      <c r="S27" s="15" t="n"/>
      <c r="T27" s="291" t="n"/>
      <c r="U27" s="15" t="n"/>
      <c r="V27" s="15" t="n"/>
      <c r="W27" s="291" t="n"/>
      <c r="X27" s="15" t="n"/>
      <c r="Y27" s="15" t="n"/>
      <c r="Z27" s="285" t="n"/>
      <c r="AA27" s="15" t="n"/>
      <c r="AB27" s="15" t="n"/>
      <c r="AC27" s="285" t="n"/>
      <c r="AD27" s="15" t="n"/>
      <c r="AE27" s="15" t="n"/>
      <c r="AF27" s="285" t="n"/>
      <c r="AG27" s="15" t="n"/>
      <c r="AH27" s="15" t="n"/>
      <c r="AI27" s="285" t="n"/>
      <c r="AJ27" s="15" t="n"/>
      <c r="AK27" s="15" t="n"/>
      <c r="AL27" s="285" t="n"/>
      <c r="AM27" s="327" t="n"/>
      <c r="AN27" s="15" t="n"/>
      <c r="AO27" s="285" t="n"/>
      <c r="AP27" s="327" t="n"/>
      <c r="AQ27" s="15" t="n"/>
      <c r="AR27" s="285" t="n"/>
      <c r="AS27" s="327" t="n"/>
      <c r="AT27" s="15" t="n"/>
      <c r="AU27" s="285" t="n"/>
      <c r="AV27" s="327" t="n"/>
      <c r="AW27" s="15" t="n"/>
      <c r="AX27" s="285" t="n"/>
      <c r="AY27" s="15" t="n"/>
      <c r="AZ27" s="15" t="n"/>
      <c r="BA27" s="287" t="n"/>
      <c r="BB27" s="37" t="n"/>
      <c r="BC27" s="287" t="n"/>
      <c r="BD27" s="37" t="n"/>
      <c r="BE27" s="287" t="n"/>
      <c r="BF27" s="37" t="n"/>
      <c r="BG27" s="287" t="n"/>
      <c r="BH27" s="37" t="n"/>
      <c r="BI27" s="288" t="n"/>
      <c r="BJ27" s="37" t="n"/>
      <c r="BK27" s="288" t="n"/>
      <c r="BL27" s="37" t="n"/>
      <c r="BM27" s="288" t="n"/>
      <c r="BN27" s="37" t="n"/>
      <c r="BO27" s="288" t="n"/>
      <c r="BP27" s="288" t="n"/>
      <c r="BQ27" s="37" t="n"/>
      <c r="BR27" s="288" t="n"/>
      <c r="BS27" s="37" t="n"/>
      <c r="BT27" s="288" t="n"/>
      <c r="BU27" s="37" t="n"/>
      <c r="BV27" s="288" t="n"/>
      <c r="BW27" s="37" t="n"/>
      <c r="BX27" s="288" t="n"/>
      <c r="BY27" s="37" t="n"/>
      <c r="BZ27" s="288" t="n"/>
      <c r="CA27" s="37" t="n"/>
      <c r="CB27" s="288" t="n"/>
      <c r="CC27" s="37" t="n"/>
      <c r="CD27" s="288" t="n"/>
      <c r="CE27" s="37" t="n"/>
      <c r="CF27" s="288" t="n"/>
      <c r="CG27" s="291" t="n"/>
      <c r="CH27" s="288" t="n"/>
      <c r="CI27" s="291" t="n"/>
      <c r="CJ27" s="288" t="n"/>
      <c r="CK27" s="291" t="n"/>
      <c r="CL27" s="288" t="n"/>
      <c r="CM27" s="291" t="n"/>
      <c r="CN27" s="288" t="n"/>
      <c r="CO27" s="80" t="n"/>
      <c r="CP27" s="288" t="n"/>
      <c r="CQ27" s="80" t="n"/>
      <c r="CR27" s="288" t="n"/>
      <c r="CS27" s="80" t="n"/>
      <c r="CT27" s="288" t="n"/>
      <c r="CU27" s="80" t="n"/>
      <c r="CV27" s="269" t="n"/>
      <c r="CW27" s="288" t="n"/>
      <c r="CX27" s="37" t="n"/>
      <c r="CY27" s="288" t="n"/>
      <c r="CZ27" s="37" t="n"/>
      <c r="DA27" s="288" t="n"/>
      <c r="DB27" s="37" t="n"/>
      <c r="DC27" s="288" t="n"/>
      <c r="DD27" s="37" t="n"/>
      <c r="DE27" s="289" t="n"/>
      <c r="DF27" s="289" t="n"/>
      <c r="DG27" s="79" t="n"/>
    </row>
    <row r="28" ht="13" customFormat="1" customHeight="1" s="40">
      <c r="A28" s="330" t="n"/>
      <c r="B28" s="292" t="n"/>
      <c r="C28" s="15" t="n"/>
      <c r="D28" s="15" t="n"/>
      <c r="E28" s="292" t="n"/>
      <c r="F28" s="15" t="n"/>
      <c r="G28" s="15" t="n"/>
      <c r="H28" s="292" t="n"/>
      <c r="I28" s="15" t="n"/>
      <c r="J28" s="15" t="n"/>
      <c r="K28" s="292" t="n"/>
      <c r="L28" s="15" t="n"/>
      <c r="M28" s="15" t="n"/>
      <c r="N28" s="292" t="n"/>
      <c r="O28" s="15" t="n"/>
      <c r="P28" s="15" t="n"/>
      <c r="Q28" s="292" t="n"/>
      <c r="R28" s="15" t="n"/>
      <c r="S28" s="15" t="n"/>
      <c r="T28" s="291" t="n"/>
      <c r="U28" s="15" t="n"/>
      <c r="V28" s="15" t="n"/>
      <c r="W28" s="291" t="n"/>
      <c r="X28" s="15" t="n"/>
      <c r="Y28" s="15" t="n"/>
      <c r="Z28" s="292" t="n"/>
      <c r="AA28" s="15" t="n"/>
      <c r="AB28" s="15" t="n"/>
      <c r="AC28" s="292" t="n"/>
      <c r="AD28" s="15" t="n"/>
      <c r="AE28" s="15" t="n"/>
      <c r="AF28" s="292" t="n"/>
      <c r="AG28" s="15" t="n"/>
      <c r="AH28" s="15" t="n"/>
      <c r="AI28" s="292" t="n"/>
      <c r="AJ28" s="15" t="n"/>
      <c r="AK28" s="15" t="n"/>
      <c r="AL28" s="292" t="n"/>
      <c r="AM28" s="327" t="n"/>
      <c r="AN28" s="15" t="n"/>
      <c r="AO28" s="292" t="n"/>
      <c r="AP28" s="327" t="n"/>
      <c r="AQ28" s="15" t="n"/>
      <c r="AR28" s="292" t="n"/>
      <c r="AS28" s="327" t="n"/>
      <c r="AT28" s="15" t="n"/>
      <c r="AU28" s="292" t="n"/>
      <c r="AV28" s="327" t="n"/>
      <c r="AW28" s="15" t="n"/>
      <c r="AX28" s="292" t="n"/>
      <c r="AY28" s="15" t="n"/>
      <c r="AZ28" s="15" t="n"/>
      <c r="BA28" s="291" t="n"/>
      <c r="BB28" s="37" t="n"/>
      <c r="BC28" s="291" t="n"/>
      <c r="BD28" s="37" t="n"/>
      <c r="BE28" s="291" t="n"/>
      <c r="BF28" s="37" t="n"/>
      <c r="BG28" s="291" t="n"/>
      <c r="BH28" s="37" t="n"/>
      <c r="BI28" s="291" t="n"/>
      <c r="BJ28" s="37" t="n"/>
      <c r="BK28" s="291" t="n"/>
      <c r="BL28" s="37" t="n"/>
      <c r="BM28" s="291" t="n"/>
      <c r="BN28" s="37" t="n"/>
      <c r="BO28" s="291" t="n"/>
      <c r="BP28" s="291" t="n"/>
      <c r="BQ28" s="37" t="n"/>
      <c r="BR28" s="291" t="n"/>
      <c r="BS28" s="37" t="n"/>
      <c r="BT28" s="291" t="n"/>
      <c r="BU28" s="37" t="n"/>
      <c r="BV28" s="291" t="n"/>
      <c r="BW28" s="37" t="n"/>
      <c r="BX28" s="291" t="n"/>
      <c r="BY28" s="37" t="n"/>
      <c r="BZ28" s="291" t="n"/>
      <c r="CA28" s="37" t="n"/>
      <c r="CB28" s="291" t="n"/>
      <c r="CC28" s="37" t="n"/>
      <c r="CD28" s="291" t="n"/>
      <c r="CE28" s="37" t="n"/>
      <c r="CF28" s="291" t="n"/>
      <c r="CG28" s="291" t="n"/>
      <c r="CH28" s="291" t="n"/>
      <c r="CI28" s="291" t="n"/>
      <c r="CJ28" s="291" t="n"/>
      <c r="CK28" s="291" t="n"/>
      <c r="CL28" s="291" t="n"/>
      <c r="CM28" s="291" t="n"/>
      <c r="CN28" s="291" t="n"/>
      <c r="CO28" s="80" t="n"/>
      <c r="CP28" s="291" t="n"/>
      <c r="CQ28" s="80" t="n"/>
      <c r="CR28" s="291" t="n"/>
      <c r="CS28" s="80" t="n"/>
      <c r="CT28" s="291" t="n"/>
      <c r="CU28" s="80" t="n"/>
      <c r="CW28" s="291" t="n"/>
      <c r="CX28" s="37" t="n"/>
      <c r="CY28" s="291" t="n"/>
      <c r="CZ28" s="37" t="n"/>
      <c r="DA28" s="291" t="n"/>
      <c r="DB28" s="37" t="n"/>
      <c r="DC28" s="291" t="n"/>
      <c r="DD28" s="37" t="n"/>
      <c r="DE28" s="311" t="n"/>
      <c r="DF28" s="311" t="n"/>
    </row>
    <row r="29">
      <c r="A29" s="428" t="n"/>
      <c r="B29" s="285" t="n"/>
      <c r="C29" s="15" t="n"/>
      <c r="D29" s="15" t="n"/>
      <c r="E29" s="285" t="n"/>
      <c r="F29" s="15" t="n"/>
      <c r="G29" s="15" t="n"/>
      <c r="H29" s="285" t="n"/>
      <c r="I29" s="15" t="n"/>
      <c r="J29" s="15" t="n"/>
      <c r="K29" s="285" t="n"/>
      <c r="L29" s="15" t="n"/>
      <c r="M29" s="15" t="n"/>
      <c r="N29" s="285" t="n"/>
      <c r="O29" s="15" t="n"/>
      <c r="P29" s="15" t="n"/>
      <c r="Q29" s="285" t="n"/>
      <c r="R29" s="15" t="n"/>
      <c r="S29" s="15" t="n"/>
      <c r="T29" s="291" t="n"/>
      <c r="U29" s="15" t="n"/>
      <c r="V29" s="15" t="n"/>
      <c r="W29" s="291" t="n"/>
      <c r="X29" s="15" t="n"/>
      <c r="Y29" s="15" t="n"/>
      <c r="Z29" s="285" t="n"/>
      <c r="AA29" s="15" t="n"/>
      <c r="AB29" s="15" t="n"/>
      <c r="AC29" s="285" t="n"/>
      <c r="AD29" s="15" t="n"/>
      <c r="AE29" s="15" t="n"/>
      <c r="AF29" s="285" t="n"/>
      <c r="AG29" s="15" t="n"/>
      <c r="AH29" s="15" t="n"/>
      <c r="AI29" s="285" t="n"/>
      <c r="AJ29" s="15" t="n"/>
      <c r="AK29" s="15" t="n"/>
      <c r="AL29" s="285" t="n"/>
      <c r="AM29" s="327" t="n"/>
      <c r="AN29" s="15" t="n"/>
      <c r="AO29" s="285" t="n"/>
      <c r="AP29" s="327" t="n"/>
      <c r="AQ29" s="15" t="n"/>
      <c r="AR29" s="285" t="n"/>
      <c r="AS29" s="327" t="n"/>
      <c r="AT29" s="15" t="n"/>
      <c r="AU29" s="285" t="n"/>
      <c r="AV29" s="327" t="n"/>
      <c r="AW29" s="15" t="n"/>
      <c r="AX29" s="285" t="n"/>
      <c r="AY29" s="15" t="n"/>
      <c r="AZ29" s="15" t="n"/>
      <c r="BA29" s="287" t="n"/>
      <c r="BB29" s="37" t="n"/>
      <c r="BC29" s="287" t="n"/>
      <c r="BD29" s="37" t="n"/>
      <c r="BE29" s="287" t="n"/>
      <c r="BF29" s="37" t="n"/>
      <c r="BG29" s="287" t="n"/>
      <c r="BH29" s="37" t="n"/>
      <c r="BI29" s="288" t="n"/>
      <c r="BJ29" s="37" t="n"/>
      <c r="BK29" s="288" t="n"/>
      <c r="BL29" s="37" t="n"/>
      <c r="BM29" s="288" t="n"/>
      <c r="BN29" s="37" t="n"/>
      <c r="BO29" s="288" t="n"/>
      <c r="BP29" s="288" t="n"/>
      <c r="BQ29" s="37" t="n"/>
      <c r="BR29" s="288" t="n"/>
      <c r="BS29" s="37" t="n"/>
      <c r="BT29" s="288" t="n"/>
      <c r="BU29" s="37" t="n"/>
      <c r="BV29" s="288" t="n"/>
      <c r="BW29" s="37" t="n"/>
      <c r="BX29" s="288" t="n"/>
      <c r="BY29" s="37" t="n"/>
      <c r="BZ29" s="288" t="n"/>
      <c r="CA29" s="37" t="n"/>
      <c r="CB29" s="288" t="n"/>
      <c r="CC29" s="37" t="n"/>
      <c r="CD29" s="288" t="n"/>
      <c r="CE29" s="37" t="n"/>
      <c r="CF29" s="288" t="n"/>
      <c r="CG29" s="291" t="n"/>
      <c r="CH29" s="288" t="n"/>
      <c r="CI29" s="291" t="n"/>
      <c r="CJ29" s="288" t="n"/>
      <c r="CK29" s="291" t="n"/>
      <c r="CL29" s="288" t="n"/>
      <c r="CM29" s="291" t="n"/>
      <c r="CN29" s="288" t="n"/>
      <c r="CO29" s="80" t="n"/>
      <c r="CP29" s="288" t="n"/>
      <c r="CQ29" s="80" t="n"/>
      <c r="CR29" s="288" t="n"/>
      <c r="CS29" s="80" t="n"/>
      <c r="CT29" s="288" t="n"/>
      <c r="CU29" s="80" t="n"/>
      <c r="CV29" s="269" t="n"/>
      <c r="CW29" s="288" t="n"/>
      <c r="CX29" s="37" t="n"/>
      <c r="CY29" s="288" t="n"/>
      <c r="CZ29" s="37" t="n"/>
      <c r="DA29" s="288" t="n"/>
      <c r="DB29" s="37" t="n"/>
      <c r="DC29" s="288" t="n"/>
      <c r="DD29" s="37" t="n"/>
      <c r="DE29" s="289" t="n"/>
      <c r="DF29" s="289" t="n"/>
      <c r="DG29" s="79" t="n"/>
    </row>
    <row r="30">
      <c r="A30" s="428" t="n"/>
      <c r="B30" s="285" t="n"/>
      <c r="C30" s="15" t="n"/>
      <c r="D30" s="15" t="n"/>
      <c r="E30" s="285" t="n"/>
      <c r="F30" s="15" t="n"/>
      <c r="G30" s="15" t="n"/>
      <c r="H30" s="285" t="n"/>
      <c r="I30" s="15" t="n"/>
      <c r="J30" s="15" t="n"/>
      <c r="K30" s="285" t="n"/>
      <c r="L30" s="15" t="n"/>
      <c r="M30" s="15" t="n"/>
      <c r="N30" s="285" t="n"/>
      <c r="O30" s="15" t="n"/>
      <c r="P30" s="15" t="n"/>
      <c r="Q30" s="285" t="n"/>
      <c r="R30" s="15" t="n"/>
      <c r="S30" s="15" t="n"/>
      <c r="T30" s="291" t="n"/>
      <c r="U30" s="15" t="n"/>
      <c r="V30" s="15" t="n"/>
      <c r="W30" s="291" t="n"/>
      <c r="X30" s="15" t="n"/>
      <c r="Y30" s="15" t="n"/>
      <c r="Z30" s="285" t="n"/>
      <c r="AA30" s="15" t="n"/>
      <c r="AB30" s="15" t="n"/>
      <c r="AC30" s="285" t="n"/>
      <c r="AD30" s="15" t="n"/>
      <c r="AE30" s="15" t="n"/>
      <c r="AF30" s="285" t="n"/>
      <c r="AG30" s="15" t="n"/>
      <c r="AH30" s="15" t="n"/>
      <c r="AI30" s="285" t="n"/>
      <c r="AJ30" s="15" t="n"/>
      <c r="AK30" s="15" t="n"/>
      <c r="AL30" s="285" t="n"/>
      <c r="AM30" s="327" t="n"/>
      <c r="AN30" s="15" t="n"/>
      <c r="AO30" s="285" t="n"/>
      <c r="AP30" s="327" t="n"/>
      <c r="AQ30" s="15" t="n"/>
      <c r="AR30" s="285" t="n"/>
      <c r="AS30" s="327" t="n"/>
      <c r="AT30" s="15" t="n"/>
      <c r="AU30" s="285" t="n"/>
      <c r="AV30" s="327" t="n"/>
      <c r="AW30" s="15" t="n"/>
      <c r="AX30" s="285" t="n"/>
      <c r="AY30" s="15" t="n"/>
      <c r="AZ30" s="15" t="n"/>
      <c r="BA30" s="287" t="n"/>
      <c r="BB30" s="37" t="n"/>
      <c r="BC30" s="287" t="n"/>
      <c r="BD30" s="37" t="n"/>
      <c r="BE30" s="287" t="n"/>
      <c r="BF30" s="37" t="n"/>
      <c r="BG30" s="287" t="n"/>
      <c r="BH30" s="37" t="n"/>
      <c r="BI30" s="288" t="n"/>
      <c r="BJ30" s="37" t="n"/>
      <c r="BK30" s="288" t="n"/>
      <c r="BL30" s="37" t="n"/>
      <c r="BM30" s="288" t="n"/>
      <c r="BN30" s="37" t="n"/>
      <c r="BO30" s="288" t="n"/>
      <c r="BP30" s="288" t="n"/>
      <c r="BQ30" s="37" t="n"/>
      <c r="BR30" s="288" t="n"/>
      <c r="BS30" s="37" t="n"/>
      <c r="BT30" s="288" t="n"/>
      <c r="BU30" s="37" t="n"/>
      <c r="BV30" s="288" t="n"/>
      <c r="BW30" s="37" t="n"/>
      <c r="BX30" s="288" t="n"/>
      <c r="BY30" s="37" t="n"/>
      <c r="BZ30" s="288" t="n"/>
      <c r="CA30" s="37" t="n"/>
      <c r="CB30" s="288" t="n"/>
      <c r="CC30" s="37" t="n"/>
      <c r="CD30" s="288" t="n"/>
      <c r="CE30" s="37" t="n"/>
      <c r="CF30" s="288" t="n"/>
      <c r="CG30" s="291" t="n"/>
      <c r="CH30" s="288" t="n"/>
      <c r="CI30" s="291" t="n"/>
      <c r="CJ30" s="288" t="n"/>
      <c r="CK30" s="291" t="n"/>
      <c r="CL30" s="288" t="n"/>
      <c r="CM30" s="291" t="n"/>
      <c r="CN30" s="288" t="n"/>
      <c r="CO30" s="80" t="n"/>
      <c r="CP30" s="288" t="n"/>
      <c r="CQ30" s="80" t="n"/>
      <c r="CR30" s="288" t="n"/>
      <c r="CS30" s="80" t="n"/>
      <c r="CT30" s="288" t="n"/>
      <c r="CU30" s="80" t="n"/>
      <c r="CV30" s="269" t="n"/>
      <c r="CW30" s="288" t="n"/>
      <c r="CX30" s="37" t="n"/>
      <c r="CY30" s="288" t="n"/>
      <c r="CZ30" s="37" t="n"/>
      <c r="DA30" s="288" t="n"/>
      <c r="DB30" s="37" t="n"/>
      <c r="DC30" s="288" t="n"/>
      <c r="DD30" s="37" t="n"/>
      <c r="DE30" s="289" t="n"/>
      <c r="DF30" s="289" t="n"/>
      <c r="DG30" s="79" t="n"/>
    </row>
    <row r="31">
      <c r="A31" s="428" t="n"/>
      <c r="B31" s="285" t="n"/>
      <c r="C31" s="15" t="n"/>
      <c r="D31" s="15" t="n"/>
      <c r="E31" s="285" t="n"/>
      <c r="F31" s="15" t="n"/>
      <c r="G31" s="15" t="n"/>
      <c r="H31" s="285" t="n"/>
      <c r="I31" s="15" t="n"/>
      <c r="J31" s="15" t="n"/>
      <c r="K31" s="285" t="n"/>
      <c r="L31" s="15" t="n"/>
      <c r="M31" s="15" t="n"/>
      <c r="N31" s="285" t="n"/>
      <c r="O31" s="15" t="n"/>
      <c r="P31" s="15" t="n"/>
      <c r="Q31" s="285" t="n"/>
      <c r="R31" s="15" t="n"/>
      <c r="S31" s="15" t="n"/>
      <c r="T31" s="291" t="n"/>
      <c r="U31" s="15" t="n"/>
      <c r="V31" s="15" t="n"/>
      <c r="W31" s="291" t="n"/>
      <c r="X31" s="15" t="n"/>
      <c r="Y31" s="15" t="n"/>
      <c r="Z31" s="285" t="n"/>
      <c r="AA31" s="15" t="n"/>
      <c r="AB31" s="15" t="n"/>
      <c r="AC31" s="285" t="n"/>
      <c r="AD31" s="15" t="n"/>
      <c r="AE31" s="15" t="n"/>
      <c r="AF31" s="285" t="n"/>
      <c r="AG31" s="15" t="n"/>
      <c r="AH31" s="15" t="n"/>
      <c r="AI31" s="285" t="n"/>
      <c r="AJ31" s="15" t="n"/>
      <c r="AK31" s="15" t="n"/>
      <c r="AL31" s="285" t="n"/>
      <c r="AM31" s="327" t="n"/>
      <c r="AN31" s="15" t="n"/>
      <c r="AO31" s="285" t="n"/>
      <c r="AP31" s="327" t="n"/>
      <c r="AQ31" s="15" t="n"/>
      <c r="AR31" s="285" t="n"/>
      <c r="AS31" s="327" t="n"/>
      <c r="AT31" s="15" t="n"/>
      <c r="AU31" s="285" t="n"/>
      <c r="AV31" s="327" t="n"/>
      <c r="AW31" s="15" t="n"/>
      <c r="AX31" s="285" t="n"/>
      <c r="AY31" s="15" t="n"/>
      <c r="AZ31" s="15" t="n"/>
      <c r="BA31" s="287" t="n"/>
      <c r="BB31" s="37" t="n"/>
      <c r="BC31" s="287" t="n"/>
      <c r="BD31" s="37" t="n"/>
      <c r="BE31" s="287" t="n"/>
      <c r="BF31" s="37" t="n"/>
      <c r="BG31" s="287" t="n"/>
      <c r="BH31" s="37" t="n"/>
      <c r="BI31" s="288" t="n"/>
      <c r="BJ31" s="37" t="n"/>
      <c r="BK31" s="288" t="n"/>
      <c r="BL31" s="37" t="n"/>
      <c r="BM31" s="288" t="n"/>
      <c r="BN31" s="37" t="n"/>
      <c r="BO31" s="288" t="n"/>
      <c r="BP31" s="288" t="n"/>
      <c r="BQ31" s="37" t="n"/>
      <c r="BR31" s="288" t="n"/>
      <c r="BS31" s="37" t="n"/>
      <c r="BT31" s="288" t="n"/>
      <c r="BU31" s="37" t="n"/>
      <c r="BV31" s="288" t="n"/>
      <c r="BW31" s="37" t="n"/>
      <c r="BX31" s="288" t="n"/>
      <c r="BY31" s="37" t="n"/>
      <c r="BZ31" s="288" t="n"/>
      <c r="CA31" s="37" t="n"/>
      <c r="CB31" s="288" t="n"/>
      <c r="CC31" s="37" t="n"/>
      <c r="CD31" s="288" t="n"/>
      <c r="CE31" s="37" t="n"/>
      <c r="CF31" s="288" t="n"/>
      <c r="CG31" s="291" t="n"/>
      <c r="CH31" s="288" t="n"/>
      <c r="CI31" s="291" t="n"/>
      <c r="CJ31" s="288" t="n"/>
      <c r="CK31" s="291" t="n"/>
      <c r="CL31" s="288" t="n"/>
      <c r="CM31" s="291" t="n"/>
      <c r="CN31" s="288" t="n"/>
      <c r="CO31" s="80" t="n"/>
      <c r="CP31" s="288" t="n"/>
      <c r="CQ31" s="80" t="n"/>
      <c r="CR31" s="288" t="n"/>
      <c r="CS31" s="80" t="n"/>
      <c r="CT31" s="288" t="n"/>
      <c r="CU31" s="80" t="n"/>
      <c r="CV31" s="269" t="n"/>
      <c r="CW31" s="288" t="n"/>
      <c r="CX31" s="37" t="n"/>
      <c r="CY31" s="288" t="n"/>
      <c r="CZ31" s="37" t="n"/>
      <c r="DA31" s="288" t="n"/>
      <c r="DB31" s="37" t="n"/>
      <c r="DC31" s="288" t="n"/>
      <c r="DD31" s="37" t="n"/>
      <c r="DE31" s="289" t="n"/>
      <c r="DF31" s="289" t="n"/>
      <c r="DG31" s="79" t="n"/>
    </row>
    <row r="32">
      <c r="A32" s="428" t="n"/>
      <c r="B32" s="285" t="n"/>
      <c r="C32" s="15" t="n"/>
      <c r="D32" s="15" t="n"/>
      <c r="E32" s="285" t="n"/>
      <c r="F32" s="15" t="n"/>
      <c r="G32" s="15" t="n"/>
      <c r="H32" s="285" t="n"/>
      <c r="I32" s="15" t="n"/>
      <c r="J32" s="15" t="n"/>
      <c r="K32" s="285" t="n"/>
      <c r="L32" s="15" t="n"/>
      <c r="M32" s="15" t="n"/>
      <c r="N32" s="285" t="n"/>
      <c r="O32" s="15" t="n"/>
      <c r="P32" s="15" t="n"/>
      <c r="Q32" s="285" t="n"/>
      <c r="R32" s="15" t="n"/>
      <c r="S32" s="15" t="n"/>
      <c r="T32" s="291" t="n"/>
      <c r="U32" s="15" t="n"/>
      <c r="V32" s="15" t="n"/>
      <c r="W32" s="291" t="n"/>
      <c r="X32" s="15" t="n"/>
      <c r="Y32" s="15" t="n"/>
      <c r="Z32" s="285" t="n"/>
      <c r="AA32" s="15" t="n"/>
      <c r="AB32" s="15" t="n"/>
      <c r="AC32" s="285" t="n"/>
      <c r="AD32" s="15" t="n"/>
      <c r="AE32" s="15" t="n"/>
      <c r="AF32" s="285" t="n"/>
      <c r="AG32" s="15" t="n"/>
      <c r="AH32" s="15" t="n"/>
      <c r="AI32" s="285" t="n"/>
      <c r="AJ32" s="15" t="n"/>
      <c r="AK32" s="15" t="n"/>
      <c r="AL32" s="285" t="n"/>
      <c r="AM32" s="327" t="n"/>
      <c r="AN32" s="15" t="n"/>
      <c r="AO32" s="285" t="n"/>
      <c r="AP32" s="327" t="n"/>
      <c r="AQ32" s="15" t="n"/>
      <c r="AR32" s="285" t="n"/>
      <c r="AS32" s="327" t="n"/>
      <c r="AT32" s="15" t="n"/>
      <c r="AU32" s="285" t="n"/>
      <c r="AV32" s="327" t="n"/>
      <c r="AW32" s="15" t="n"/>
      <c r="AX32" s="285" t="n"/>
      <c r="AY32" s="15" t="n"/>
      <c r="AZ32" s="15" t="n"/>
      <c r="BA32" s="287" t="n"/>
      <c r="BB32" s="37" t="n"/>
      <c r="BC32" s="287" t="n"/>
      <c r="BD32" s="37" t="n"/>
      <c r="BE32" s="287" t="n"/>
      <c r="BF32" s="37" t="n"/>
      <c r="BG32" s="287" t="n"/>
      <c r="BH32" s="37" t="n"/>
      <c r="BI32" s="288" t="n"/>
      <c r="BJ32" s="37" t="n"/>
      <c r="BK32" s="288" t="n"/>
      <c r="BL32" s="37" t="n"/>
      <c r="BM32" s="288" t="n"/>
      <c r="BN32" s="37" t="n"/>
      <c r="BO32" s="288" t="n"/>
      <c r="BP32" s="288" t="n"/>
      <c r="BQ32" s="37" t="n"/>
      <c r="BR32" s="288" t="n"/>
      <c r="BS32" s="37" t="n"/>
      <c r="BT32" s="288" t="n"/>
      <c r="BU32" s="37" t="n"/>
      <c r="BV32" s="288" t="n"/>
      <c r="BW32" s="37" t="n"/>
      <c r="BX32" s="288" t="n"/>
      <c r="BY32" s="37" t="n"/>
      <c r="BZ32" s="288" t="n"/>
      <c r="CA32" s="37" t="n"/>
      <c r="CB32" s="288" t="n"/>
      <c r="CC32" s="37" t="n"/>
      <c r="CD32" s="288" t="n"/>
      <c r="CE32" s="37" t="n"/>
      <c r="CF32" s="288" t="n"/>
      <c r="CG32" s="291" t="n"/>
      <c r="CH32" s="288" t="n"/>
      <c r="CI32" s="291" t="n"/>
      <c r="CJ32" s="288" t="n"/>
      <c r="CK32" s="291" t="n"/>
      <c r="CL32" s="288" t="n"/>
      <c r="CM32" s="291" t="n"/>
      <c r="CN32" s="288" t="n"/>
      <c r="CO32" s="80" t="n"/>
      <c r="CP32" s="288" t="n"/>
      <c r="CQ32" s="80" t="n"/>
      <c r="CR32" s="288" t="n"/>
      <c r="CS32" s="80" t="n"/>
      <c r="CT32" s="288" t="n"/>
      <c r="CU32" s="80" t="n"/>
      <c r="CV32" s="269" t="n"/>
      <c r="CW32" s="288" t="n"/>
      <c r="CX32" s="37" t="n"/>
      <c r="CY32" s="288" t="n"/>
      <c r="CZ32" s="37" t="n"/>
      <c r="DA32" s="288" t="n"/>
      <c r="DB32" s="37" t="n"/>
      <c r="DC32" s="288" t="n"/>
      <c r="DD32" s="37" t="n"/>
      <c r="DE32" s="289" t="n"/>
      <c r="DF32" s="289" t="n"/>
      <c r="DG32" s="79" t="n"/>
    </row>
    <row r="33">
      <c r="A33" s="428" t="n"/>
      <c r="B33" s="285" t="n"/>
      <c r="C33" s="15" t="n"/>
      <c r="D33" s="15" t="n"/>
      <c r="E33" s="285" t="n"/>
      <c r="F33" s="15" t="n"/>
      <c r="G33" s="15" t="n"/>
      <c r="H33" s="285" t="n"/>
      <c r="I33" s="15" t="n"/>
      <c r="J33" s="15" t="n"/>
      <c r="K33" s="285" t="n"/>
      <c r="L33" s="15" t="n"/>
      <c r="M33" s="15" t="n"/>
      <c r="N33" s="285" t="n"/>
      <c r="O33" s="15" t="n"/>
      <c r="P33" s="15" t="n"/>
      <c r="Q33" s="285" t="n"/>
      <c r="R33" s="15" t="n"/>
      <c r="S33" s="15" t="n"/>
      <c r="T33" s="291" t="n"/>
      <c r="U33" s="15" t="n"/>
      <c r="V33" s="15" t="n"/>
      <c r="W33" s="291" t="n"/>
      <c r="X33" s="15" t="n"/>
      <c r="Y33" s="15" t="n"/>
      <c r="Z33" s="285" t="n"/>
      <c r="AA33" s="15" t="n"/>
      <c r="AB33" s="15" t="n"/>
      <c r="AC33" s="285" t="n"/>
      <c r="AD33" s="15" t="n"/>
      <c r="AE33" s="15" t="n"/>
      <c r="AF33" s="285" t="n"/>
      <c r="AG33" s="15" t="n"/>
      <c r="AH33" s="15" t="n"/>
      <c r="AI33" s="285" t="n"/>
      <c r="AJ33" s="15" t="n"/>
      <c r="AK33" s="15" t="n"/>
      <c r="AL33" s="285" t="n"/>
      <c r="AM33" s="327" t="n"/>
      <c r="AN33" s="15" t="n"/>
      <c r="AO33" s="285" t="n"/>
      <c r="AP33" s="327" t="n"/>
      <c r="AQ33" s="15" t="n"/>
      <c r="AR33" s="285" t="n"/>
      <c r="AS33" s="327" t="n"/>
      <c r="AT33" s="15" t="n"/>
      <c r="AU33" s="285" t="n"/>
      <c r="AV33" s="327" t="n"/>
      <c r="AW33" s="15" t="n"/>
      <c r="AX33" s="285" t="n"/>
      <c r="AY33" s="15" t="n"/>
      <c r="AZ33" s="15" t="n"/>
      <c r="BA33" s="287" t="n"/>
      <c r="BB33" s="37" t="n"/>
      <c r="BC33" s="287" t="n"/>
      <c r="BD33" s="37" t="n"/>
      <c r="BE33" s="287" t="n"/>
      <c r="BF33" s="37" t="n"/>
      <c r="BG33" s="287" t="n"/>
      <c r="BH33" s="37" t="n"/>
      <c r="BI33" s="288" t="n"/>
      <c r="BJ33" s="37" t="n"/>
      <c r="BK33" s="288" t="n"/>
      <c r="BL33" s="37" t="n"/>
      <c r="BM33" s="288" t="n"/>
      <c r="BN33" s="37" t="n"/>
      <c r="BO33" s="288" t="n"/>
      <c r="BP33" s="288" t="n"/>
      <c r="BQ33" s="37" t="n"/>
      <c r="BR33" s="288" t="n"/>
      <c r="BS33" s="37" t="n"/>
      <c r="BT33" s="288" t="n"/>
      <c r="BU33" s="37" t="n"/>
      <c r="BV33" s="288" t="n"/>
      <c r="BW33" s="37" t="n"/>
      <c r="BX33" s="288" t="n"/>
      <c r="BY33" s="37" t="n"/>
      <c r="BZ33" s="288" t="n"/>
      <c r="CA33" s="37" t="n"/>
      <c r="CB33" s="288" t="n"/>
      <c r="CC33" s="37" t="n"/>
      <c r="CD33" s="288" t="n"/>
      <c r="CE33" s="37" t="n"/>
      <c r="CF33" s="288" t="n"/>
      <c r="CG33" s="291" t="n"/>
      <c r="CH33" s="288" t="n"/>
      <c r="CI33" s="291" t="n"/>
      <c r="CJ33" s="288" t="n"/>
      <c r="CK33" s="291" t="n"/>
      <c r="CL33" s="288" t="n"/>
      <c r="CM33" s="291" t="n"/>
      <c r="CN33" s="288" t="n"/>
      <c r="CO33" s="80" t="n"/>
      <c r="CP33" s="288" t="n"/>
      <c r="CQ33" s="80" t="n"/>
      <c r="CR33" s="288" t="n"/>
      <c r="CS33" s="80" t="n"/>
      <c r="CT33" s="288" t="n"/>
      <c r="CU33" s="80" t="n"/>
      <c r="CV33" s="269" t="n"/>
      <c r="CW33" s="288" t="n"/>
      <c r="CX33" s="37" t="n"/>
      <c r="CY33" s="288" t="n"/>
      <c r="CZ33" s="37" t="n"/>
      <c r="DA33" s="288" t="n"/>
      <c r="DB33" s="37" t="n"/>
      <c r="DC33" s="288" t="n"/>
      <c r="DD33" s="37" t="n"/>
      <c r="DE33" s="289" t="n"/>
      <c r="DF33" s="289" t="n"/>
      <c r="DG33" s="79" t="n"/>
    </row>
    <row r="34">
      <c r="A34" s="428" t="n"/>
      <c r="B34" s="285" t="n"/>
      <c r="C34" s="15" t="n"/>
      <c r="D34" s="15" t="n"/>
      <c r="E34" s="285" t="n"/>
      <c r="F34" s="15" t="n"/>
      <c r="G34" s="15" t="n"/>
      <c r="H34" s="285" t="n"/>
      <c r="I34" s="15" t="n"/>
      <c r="J34" s="15" t="n"/>
      <c r="K34" s="285" t="n"/>
      <c r="L34" s="15" t="n"/>
      <c r="M34" s="15" t="n"/>
      <c r="N34" s="285" t="n"/>
      <c r="O34" s="15" t="n"/>
      <c r="P34" s="15" t="n"/>
      <c r="Q34" s="285" t="n"/>
      <c r="R34" s="15" t="n"/>
      <c r="S34" s="15" t="n"/>
      <c r="T34" s="291" t="n"/>
      <c r="U34" s="15" t="n"/>
      <c r="V34" s="15" t="n"/>
      <c r="W34" s="291" t="n"/>
      <c r="X34" s="15" t="n"/>
      <c r="Y34" s="15" t="n"/>
      <c r="Z34" s="285" t="n"/>
      <c r="AA34" s="15" t="n"/>
      <c r="AB34" s="15" t="n"/>
      <c r="AC34" s="285" t="n"/>
      <c r="AD34" s="15" t="n"/>
      <c r="AE34" s="15" t="n"/>
      <c r="AF34" s="285" t="n"/>
      <c r="AG34" s="15" t="n"/>
      <c r="AH34" s="15" t="n"/>
      <c r="AI34" s="285" t="n"/>
      <c r="AJ34" s="15" t="n"/>
      <c r="AK34" s="15" t="n"/>
      <c r="AL34" s="285" t="n"/>
      <c r="AM34" s="327" t="n"/>
      <c r="AN34" s="15" t="n"/>
      <c r="AO34" s="285" t="n"/>
      <c r="AP34" s="327" t="n"/>
      <c r="AQ34" s="15" t="n"/>
      <c r="AR34" s="285" t="n"/>
      <c r="AS34" s="327" t="n"/>
      <c r="AT34" s="15" t="n"/>
      <c r="AU34" s="285" t="n"/>
      <c r="AV34" s="327" t="n"/>
      <c r="AW34" s="15" t="n"/>
      <c r="AX34" s="285" t="n"/>
      <c r="AY34" s="15" t="n"/>
      <c r="AZ34" s="15" t="n"/>
      <c r="BA34" s="287" t="n"/>
      <c r="BB34" s="37" t="n"/>
      <c r="BC34" s="287" t="n"/>
      <c r="BD34" s="37" t="n"/>
      <c r="BE34" s="287" t="n"/>
      <c r="BF34" s="37" t="n"/>
      <c r="BG34" s="287" t="n"/>
      <c r="BH34" s="37" t="n"/>
      <c r="BI34" s="288" t="n"/>
      <c r="BJ34" s="37" t="n"/>
      <c r="BK34" s="288" t="n"/>
      <c r="BL34" s="37" t="n"/>
      <c r="BM34" s="288" t="n"/>
      <c r="BN34" s="37" t="n"/>
      <c r="BO34" s="288" t="n"/>
      <c r="BP34" s="288" t="n"/>
      <c r="BQ34" s="37" t="n"/>
      <c r="BR34" s="288" t="n"/>
      <c r="BS34" s="37" t="n"/>
      <c r="BT34" s="288" t="n"/>
      <c r="BU34" s="37" t="n"/>
      <c r="BV34" s="288" t="n"/>
      <c r="BW34" s="37" t="n"/>
      <c r="BX34" s="288" t="n"/>
      <c r="BY34" s="37" t="n"/>
      <c r="BZ34" s="288" t="n"/>
      <c r="CA34" s="37" t="n"/>
      <c r="CB34" s="288" t="n"/>
      <c r="CC34" s="37" t="n"/>
      <c r="CD34" s="288" t="n"/>
      <c r="CE34" s="37" t="n"/>
      <c r="CF34" s="288" t="n"/>
      <c r="CG34" s="291" t="n"/>
      <c r="CH34" s="288" t="n"/>
      <c r="CI34" s="291" t="n"/>
      <c r="CJ34" s="288" t="n"/>
      <c r="CK34" s="291" t="n"/>
      <c r="CL34" s="288" t="n"/>
      <c r="CM34" s="291" t="n"/>
      <c r="CN34" s="288" t="n"/>
      <c r="CO34" s="80" t="n"/>
      <c r="CP34" s="288" t="n"/>
      <c r="CQ34" s="80" t="n"/>
      <c r="CR34" s="288" t="n"/>
      <c r="CS34" s="80" t="n"/>
      <c r="CT34" s="288" t="n"/>
      <c r="CU34" s="80" t="n"/>
      <c r="CV34" s="269" t="n"/>
      <c r="CW34" s="288" t="n"/>
      <c r="CX34" s="37" t="n"/>
      <c r="CY34" s="288" t="n"/>
      <c r="CZ34" s="37" t="n"/>
      <c r="DA34" s="288" t="n"/>
      <c r="DB34" s="37" t="n"/>
      <c r="DC34" s="288" t="n"/>
      <c r="DD34" s="37" t="n"/>
      <c r="DE34" s="289" t="n"/>
      <c r="DF34" s="289" t="n"/>
      <c r="DG34" s="79" t="n"/>
    </row>
    <row r="35">
      <c r="A35" s="428" t="n"/>
      <c r="B35" s="285" t="n"/>
      <c r="C35" s="15" t="n"/>
      <c r="D35" s="15" t="n"/>
      <c r="E35" s="285" t="n"/>
      <c r="F35" s="15" t="n"/>
      <c r="G35" s="15" t="n"/>
      <c r="H35" s="285" t="n"/>
      <c r="I35" s="15" t="n"/>
      <c r="J35" s="15" t="n"/>
      <c r="K35" s="285" t="n"/>
      <c r="L35" s="15" t="n"/>
      <c r="M35" s="15" t="n"/>
      <c r="N35" s="285" t="n"/>
      <c r="O35" s="15" t="n"/>
      <c r="P35" s="15" t="n"/>
      <c r="Q35" s="285" t="n"/>
      <c r="R35" s="15" t="n"/>
      <c r="S35" s="15" t="n"/>
      <c r="T35" s="291" t="n"/>
      <c r="U35" s="15" t="n"/>
      <c r="V35" s="15" t="n"/>
      <c r="W35" s="291" t="n"/>
      <c r="X35" s="15" t="n"/>
      <c r="Y35" s="15" t="n"/>
      <c r="Z35" s="285" t="n"/>
      <c r="AA35" s="15" t="n"/>
      <c r="AB35" s="15" t="n"/>
      <c r="AC35" s="285" t="n"/>
      <c r="AD35" s="15" t="n"/>
      <c r="AE35" s="15" t="n"/>
      <c r="AF35" s="285" t="n"/>
      <c r="AG35" s="15" t="n"/>
      <c r="AH35" s="15" t="n"/>
      <c r="AI35" s="285" t="n"/>
      <c r="AJ35" s="15" t="n"/>
      <c r="AK35" s="15" t="n"/>
      <c r="AL35" s="285" t="n"/>
      <c r="AM35" s="327" t="n"/>
      <c r="AN35" s="15" t="n"/>
      <c r="AO35" s="285" t="n"/>
      <c r="AP35" s="327" t="n"/>
      <c r="AQ35" s="15" t="n"/>
      <c r="AR35" s="285" t="n"/>
      <c r="AS35" s="327" t="n"/>
      <c r="AT35" s="15" t="n"/>
      <c r="AU35" s="285" t="n"/>
      <c r="AV35" s="327" t="n"/>
      <c r="AW35" s="15" t="n"/>
      <c r="AX35" s="285" t="n"/>
      <c r="AY35" s="15" t="n"/>
      <c r="AZ35" s="15" t="n"/>
      <c r="BA35" s="287" t="n"/>
      <c r="BB35" s="37" t="n"/>
      <c r="BC35" s="287" t="n"/>
      <c r="BD35" s="37" t="n"/>
      <c r="BE35" s="287" t="n"/>
      <c r="BF35" s="37" t="n"/>
      <c r="BG35" s="287" t="n"/>
      <c r="BH35" s="37" t="n"/>
      <c r="BI35" s="288" t="n"/>
      <c r="BJ35" s="37" t="n"/>
      <c r="BK35" s="288" t="n"/>
      <c r="BL35" s="37" t="n"/>
      <c r="BM35" s="288" t="n"/>
      <c r="BN35" s="37" t="n"/>
      <c r="BO35" s="288" t="n"/>
      <c r="BP35" s="288" t="n"/>
      <c r="BQ35" s="37" t="n"/>
      <c r="BR35" s="288" t="n"/>
      <c r="BS35" s="37" t="n"/>
      <c r="BT35" s="288" t="n"/>
      <c r="BU35" s="37" t="n"/>
      <c r="BV35" s="288" t="n"/>
      <c r="BW35" s="37" t="n"/>
      <c r="BX35" s="288" t="n"/>
      <c r="BY35" s="37" t="n"/>
      <c r="BZ35" s="288" t="n"/>
      <c r="CA35" s="37" t="n"/>
      <c r="CB35" s="288" t="n"/>
      <c r="CC35" s="37" t="n"/>
      <c r="CD35" s="288" t="n"/>
      <c r="CE35" s="37" t="n"/>
      <c r="CF35" s="288" t="n"/>
      <c r="CG35" s="291" t="n"/>
      <c r="CH35" s="288" t="n"/>
      <c r="CI35" s="291" t="n"/>
      <c r="CJ35" s="288" t="n"/>
      <c r="CK35" s="291" t="n"/>
      <c r="CL35" s="288" t="n"/>
      <c r="CM35" s="291" t="n"/>
      <c r="CN35" s="288" t="n"/>
      <c r="CO35" s="80" t="n"/>
      <c r="CP35" s="288" t="n"/>
      <c r="CQ35" s="80" t="n"/>
      <c r="CR35" s="288" t="n"/>
      <c r="CS35" s="80" t="n"/>
      <c r="CT35" s="288" t="n"/>
      <c r="CU35" s="80" t="n"/>
      <c r="CV35" s="269" t="n"/>
      <c r="CW35" s="288" t="n"/>
      <c r="CX35" s="37" t="n"/>
      <c r="CY35" s="288" t="n"/>
      <c r="CZ35" s="37" t="n"/>
      <c r="DA35" s="288" t="n"/>
      <c r="DB35" s="37" t="n"/>
      <c r="DC35" s="288" t="n"/>
      <c r="DD35" s="37" t="n"/>
      <c r="DE35" s="289" t="n"/>
      <c r="DF35" s="289" t="n"/>
      <c r="DG35" s="79" t="n"/>
    </row>
    <row r="36">
      <c r="A36" s="428" t="n"/>
      <c r="B36" s="285" t="n"/>
      <c r="C36" s="15" t="n"/>
      <c r="D36" s="15" t="n"/>
      <c r="E36" s="285" t="n"/>
      <c r="F36" s="15" t="n"/>
      <c r="G36" s="15" t="n"/>
      <c r="H36" s="285" t="n"/>
      <c r="I36" s="15" t="n"/>
      <c r="J36" s="15" t="n"/>
      <c r="K36" s="285" t="n"/>
      <c r="L36" s="15" t="n"/>
      <c r="M36" s="15" t="n"/>
      <c r="N36" s="285" t="n"/>
      <c r="O36" s="15" t="n"/>
      <c r="P36" s="15" t="n"/>
      <c r="Q36" s="285" t="n"/>
      <c r="R36" s="15" t="n"/>
      <c r="S36" s="15" t="n"/>
      <c r="T36" s="291" t="n"/>
      <c r="U36" s="15" t="n"/>
      <c r="V36" s="15" t="n"/>
      <c r="W36" s="291" t="n"/>
      <c r="X36" s="15" t="n"/>
      <c r="Y36" s="15" t="n"/>
      <c r="Z36" s="285" t="n"/>
      <c r="AA36" s="15" t="n"/>
      <c r="AB36" s="15" t="n"/>
      <c r="AC36" s="285" t="n"/>
      <c r="AD36" s="15" t="n"/>
      <c r="AE36" s="15" t="n"/>
      <c r="AF36" s="285" t="n"/>
      <c r="AG36" s="15" t="n"/>
      <c r="AH36" s="15" t="n"/>
      <c r="AI36" s="285" t="n"/>
      <c r="AJ36" s="15" t="n"/>
      <c r="AK36" s="15" t="n"/>
      <c r="AL36" s="285" t="n"/>
      <c r="AM36" s="327" t="n"/>
      <c r="AN36" s="15" t="n"/>
      <c r="AO36" s="285" t="n"/>
      <c r="AP36" s="327" t="n"/>
      <c r="AQ36" s="15" t="n"/>
      <c r="AR36" s="285" t="n"/>
      <c r="AS36" s="327" t="n"/>
      <c r="AT36" s="15" t="n"/>
      <c r="AU36" s="285" t="n"/>
      <c r="AV36" s="327" t="n"/>
      <c r="AW36" s="15" t="n"/>
      <c r="AX36" s="285" t="n"/>
      <c r="AY36" s="15" t="n"/>
      <c r="AZ36" s="15" t="n"/>
      <c r="BA36" s="287" t="n"/>
      <c r="BB36" s="37" t="n"/>
      <c r="BC36" s="287" t="n"/>
      <c r="BD36" s="37" t="n"/>
      <c r="BE36" s="287" t="n"/>
      <c r="BF36" s="37" t="n"/>
      <c r="BG36" s="287" t="n"/>
      <c r="BH36" s="37" t="n"/>
      <c r="BI36" s="288" t="n"/>
      <c r="BJ36" s="37" t="n"/>
      <c r="BK36" s="288" t="n"/>
      <c r="BL36" s="37" t="n"/>
      <c r="BM36" s="288" t="n"/>
      <c r="BN36" s="37" t="n"/>
      <c r="BO36" s="288" t="n"/>
      <c r="BP36" s="288" t="n"/>
      <c r="BQ36" s="37" t="n"/>
      <c r="BR36" s="288" t="n"/>
      <c r="BS36" s="37" t="n"/>
      <c r="BT36" s="288" t="n"/>
      <c r="BU36" s="37" t="n"/>
      <c r="BV36" s="288" t="n"/>
      <c r="BW36" s="37" t="n"/>
      <c r="BX36" s="288" t="n"/>
      <c r="BY36" s="37" t="n"/>
      <c r="BZ36" s="288" t="n"/>
      <c r="CA36" s="37" t="n"/>
      <c r="CB36" s="288" t="n"/>
      <c r="CC36" s="37" t="n"/>
      <c r="CD36" s="288" t="n"/>
      <c r="CE36" s="37" t="n"/>
      <c r="CF36" s="288" t="n"/>
      <c r="CG36" s="291" t="n"/>
      <c r="CH36" s="288" t="n"/>
      <c r="CI36" s="291" t="n"/>
      <c r="CJ36" s="288" t="n"/>
      <c r="CK36" s="291" t="n"/>
      <c r="CL36" s="288" t="n"/>
      <c r="CM36" s="291" t="n"/>
      <c r="CN36" s="288" t="n"/>
      <c r="CO36" s="80" t="n"/>
      <c r="CP36" s="288" t="n"/>
      <c r="CQ36" s="80" t="n"/>
      <c r="CR36" s="288" t="n"/>
      <c r="CS36" s="80" t="n"/>
      <c r="CT36" s="288" t="n"/>
      <c r="CU36" s="80" t="n"/>
      <c r="CV36" s="269" t="n"/>
      <c r="CW36" s="288" t="n"/>
      <c r="CX36" s="37" t="n"/>
      <c r="CY36" s="288" t="n"/>
      <c r="CZ36" s="37" t="n"/>
      <c r="DA36" s="288" t="n"/>
      <c r="DB36" s="37" t="n"/>
      <c r="DC36" s="288" t="n"/>
      <c r="DD36" s="37" t="n"/>
      <c r="DE36" s="289" t="n"/>
      <c r="DF36" s="289" t="n"/>
      <c r="DG36" s="79" t="n"/>
    </row>
    <row r="37">
      <c r="A37" s="428" t="n"/>
      <c r="B37" s="285" t="n"/>
      <c r="C37" s="15" t="n"/>
      <c r="D37" s="15" t="n"/>
      <c r="E37" s="285" t="n"/>
      <c r="F37" s="15" t="n"/>
      <c r="G37" s="15" t="n"/>
      <c r="H37" s="285" t="n"/>
      <c r="I37" s="15" t="n"/>
      <c r="J37" s="15" t="n"/>
      <c r="K37" s="285" t="n"/>
      <c r="L37" s="15" t="n"/>
      <c r="M37" s="15" t="n"/>
      <c r="N37" s="285" t="n"/>
      <c r="O37" s="15" t="n"/>
      <c r="P37" s="15" t="n"/>
      <c r="Q37" s="285" t="n"/>
      <c r="R37" s="15" t="n"/>
      <c r="S37" s="15" t="n"/>
      <c r="T37" s="291" t="n"/>
      <c r="U37" s="15" t="n"/>
      <c r="V37" s="15" t="n"/>
      <c r="W37" s="291" t="n"/>
      <c r="X37" s="15" t="n"/>
      <c r="Y37" s="15" t="n"/>
      <c r="Z37" s="285" t="n"/>
      <c r="AA37" s="15" t="n"/>
      <c r="AB37" s="15" t="n"/>
      <c r="AC37" s="285" t="n"/>
      <c r="AD37" s="15" t="n"/>
      <c r="AE37" s="15" t="n"/>
      <c r="AF37" s="285" t="n"/>
      <c r="AG37" s="15" t="n"/>
      <c r="AH37" s="15" t="n"/>
      <c r="AI37" s="285" t="n"/>
      <c r="AJ37" s="15" t="n"/>
      <c r="AK37" s="15" t="n"/>
      <c r="AL37" s="285" t="n"/>
      <c r="AM37" s="327" t="n"/>
      <c r="AN37" s="15" t="n"/>
      <c r="AO37" s="285" t="n"/>
      <c r="AP37" s="327" t="n"/>
      <c r="AQ37" s="15" t="n"/>
      <c r="AR37" s="285" t="n"/>
      <c r="AS37" s="327" t="n"/>
      <c r="AT37" s="15" t="n"/>
      <c r="AU37" s="285" t="n"/>
      <c r="AV37" s="327" t="n"/>
      <c r="AW37" s="15" t="n"/>
      <c r="AX37" s="285" t="n"/>
      <c r="AY37" s="15" t="n"/>
      <c r="AZ37" s="15" t="n"/>
      <c r="BA37" s="287" t="n"/>
      <c r="BB37" s="37" t="n"/>
      <c r="BC37" s="287" t="n"/>
      <c r="BD37" s="37" t="n"/>
      <c r="BE37" s="287" t="n"/>
      <c r="BF37" s="37" t="n"/>
      <c r="BG37" s="287" t="n"/>
      <c r="BH37" s="37" t="n"/>
      <c r="BI37" s="288" t="n"/>
      <c r="BJ37" s="37" t="n"/>
      <c r="BK37" s="288" t="n"/>
      <c r="BL37" s="37" t="n"/>
      <c r="BM37" s="288" t="n"/>
      <c r="BN37" s="37" t="n"/>
      <c r="BO37" s="288" t="n"/>
      <c r="BP37" s="288" t="n"/>
      <c r="BQ37" s="37" t="n"/>
      <c r="BR37" s="288" t="n"/>
      <c r="BS37" s="37" t="n"/>
      <c r="BT37" s="288" t="n"/>
      <c r="BU37" s="37" t="n"/>
      <c r="BV37" s="288" t="n"/>
      <c r="BW37" s="37" t="n"/>
      <c r="BX37" s="288" t="n"/>
      <c r="BY37" s="37" t="n"/>
      <c r="BZ37" s="288" t="n"/>
      <c r="CA37" s="37" t="n"/>
      <c r="CB37" s="288" t="n"/>
      <c r="CC37" s="37" t="n"/>
      <c r="CD37" s="288" t="n"/>
      <c r="CE37" s="37" t="n"/>
      <c r="CF37" s="288" t="n"/>
      <c r="CG37" s="291" t="n"/>
      <c r="CH37" s="288" t="n"/>
      <c r="CI37" s="291" t="n"/>
      <c r="CJ37" s="288" t="n"/>
      <c r="CK37" s="291" t="n"/>
      <c r="CL37" s="288" t="n"/>
      <c r="CM37" s="291" t="n"/>
      <c r="CN37" s="288" t="n"/>
      <c r="CO37" s="80" t="n"/>
      <c r="CP37" s="288" t="n"/>
      <c r="CQ37" s="80" t="n"/>
      <c r="CR37" s="288" t="n"/>
      <c r="CS37" s="80" t="n"/>
      <c r="CT37" s="288" t="n"/>
      <c r="CU37" s="80" t="n"/>
      <c r="CV37" s="269" t="n"/>
      <c r="CW37" s="288" t="n"/>
      <c r="CX37" s="37" t="n"/>
      <c r="CY37" s="288" t="n"/>
      <c r="CZ37" s="37" t="n"/>
      <c r="DA37" s="288" t="n"/>
      <c r="DB37" s="37" t="n"/>
      <c r="DC37" s="288" t="n"/>
      <c r="DD37" s="37" t="n"/>
      <c r="DE37" s="289" t="n"/>
      <c r="DF37" s="289" t="n"/>
      <c r="DG37" s="79" t="n"/>
    </row>
    <row r="38">
      <c r="A38" s="428" t="n"/>
      <c r="B38" s="285" t="n"/>
      <c r="C38" s="15" t="n"/>
      <c r="D38" s="15" t="n"/>
      <c r="E38" s="285" t="n"/>
      <c r="F38" s="15" t="n"/>
      <c r="G38" s="15" t="n"/>
      <c r="H38" s="285" t="n"/>
      <c r="I38" s="15" t="n"/>
      <c r="J38" s="15" t="n"/>
      <c r="K38" s="285" t="n"/>
      <c r="L38" s="15" t="n"/>
      <c r="M38" s="15" t="n"/>
      <c r="N38" s="285" t="n"/>
      <c r="O38" s="15" t="n"/>
      <c r="P38" s="15" t="n"/>
      <c r="Q38" s="285" t="n"/>
      <c r="R38" s="15" t="n"/>
      <c r="S38" s="15" t="n"/>
      <c r="T38" s="291" t="n"/>
      <c r="U38" s="15" t="n"/>
      <c r="V38" s="15" t="n"/>
      <c r="W38" s="291" t="n"/>
      <c r="X38" s="15" t="n"/>
      <c r="Y38" s="15" t="n"/>
      <c r="Z38" s="285" t="n"/>
      <c r="AA38" s="15" t="n"/>
      <c r="AB38" s="15" t="n"/>
      <c r="AC38" s="285" t="n"/>
      <c r="AD38" s="15" t="n"/>
      <c r="AE38" s="15" t="n"/>
      <c r="AF38" s="285" t="n"/>
      <c r="AG38" s="15" t="n"/>
      <c r="AH38" s="15" t="n"/>
      <c r="AI38" s="285" t="n"/>
      <c r="AJ38" s="15" t="n"/>
      <c r="AK38" s="15" t="n"/>
      <c r="AL38" s="285" t="n"/>
      <c r="AM38" s="327" t="n"/>
      <c r="AN38" s="15" t="n"/>
      <c r="AO38" s="285" t="n"/>
      <c r="AP38" s="327" t="n"/>
      <c r="AQ38" s="15" t="n"/>
      <c r="AR38" s="285" t="n"/>
      <c r="AS38" s="327" t="n"/>
      <c r="AT38" s="15" t="n"/>
      <c r="AU38" s="285" t="n"/>
      <c r="AV38" s="327" t="n"/>
      <c r="AW38" s="15" t="n"/>
      <c r="AX38" s="285" t="n"/>
      <c r="AY38" s="15" t="n"/>
      <c r="AZ38" s="15" t="n"/>
      <c r="BA38" s="287" t="n"/>
      <c r="BB38" s="37" t="n"/>
      <c r="BC38" s="287" t="n"/>
      <c r="BD38" s="37" t="n"/>
      <c r="BE38" s="287" t="n"/>
      <c r="BF38" s="37" t="n"/>
      <c r="BG38" s="287" t="n"/>
      <c r="BH38" s="37" t="n"/>
      <c r="BI38" s="288" t="n"/>
      <c r="BJ38" s="37" t="n"/>
      <c r="BK38" s="288" t="n"/>
      <c r="BL38" s="37" t="n"/>
      <c r="BM38" s="288" t="n"/>
      <c r="BN38" s="37" t="n"/>
      <c r="BO38" s="288" t="n"/>
      <c r="BP38" s="288" t="n"/>
      <c r="BQ38" s="37" t="n"/>
      <c r="BR38" s="288" t="n"/>
      <c r="BS38" s="37" t="n"/>
      <c r="BT38" s="288" t="n"/>
      <c r="BU38" s="37" t="n"/>
      <c r="BV38" s="288" t="n"/>
      <c r="BW38" s="37" t="n"/>
      <c r="BX38" s="288" t="n"/>
      <c r="BY38" s="37" t="n"/>
      <c r="BZ38" s="288" t="n"/>
      <c r="CA38" s="37" t="n"/>
      <c r="CB38" s="288" t="n"/>
      <c r="CC38" s="37" t="n"/>
      <c r="CD38" s="288" t="n"/>
      <c r="CE38" s="37" t="n"/>
      <c r="CF38" s="288" t="n"/>
      <c r="CG38" s="291" t="n"/>
      <c r="CH38" s="288" t="n"/>
      <c r="CI38" s="291" t="n"/>
      <c r="CJ38" s="288" t="n"/>
      <c r="CK38" s="291" t="n"/>
      <c r="CL38" s="288" t="n"/>
      <c r="CM38" s="291" t="n"/>
      <c r="CN38" s="288" t="n"/>
      <c r="CO38" s="80" t="n"/>
      <c r="CP38" s="288" t="n"/>
      <c r="CQ38" s="80" t="n"/>
      <c r="CR38" s="288" t="n"/>
      <c r="CS38" s="80" t="n"/>
      <c r="CT38" s="288" t="n"/>
      <c r="CU38" s="80" t="n"/>
      <c r="CV38" s="269" t="n"/>
      <c r="CW38" s="288" t="n"/>
      <c r="CX38" s="37" t="n"/>
      <c r="CY38" s="288" t="n"/>
      <c r="CZ38" s="37" t="n"/>
      <c r="DA38" s="288" t="n"/>
      <c r="DB38" s="37" t="n"/>
      <c r="DC38" s="288" t="n"/>
      <c r="DD38" s="37" t="n"/>
      <c r="DE38" s="289" t="n"/>
      <c r="DF38" s="289" t="n"/>
      <c r="DG38" s="79" t="n"/>
    </row>
    <row r="39">
      <c r="A39" s="428" t="n"/>
      <c r="B39" s="285" t="n"/>
      <c r="C39" s="15" t="n"/>
      <c r="D39" s="15" t="n"/>
      <c r="E39" s="285" t="n"/>
      <c r="F39" s="15" t="n"/>
      <c r="G39" s="15" t="n"/>
      <c r="H39" s="285" t="n"/>
      <c r="I39" s="15" t="n"/>
      <c r="J39" s="15" t="n"/>
      <c r="K39" s="285" t="n"/>
      <c r="L39" s="15" t="n"/>
      <c r="M39" s="15" t="n"/>
      <c r="N39" s="285" t="n"/>
      <c r="O39" s="15" t="n"/>
      <c r="P39" s="15" t="n"/>
      <c r="Q39" s="285" t="n"/>
      <c r="R39" s="15" t="n"/>
      <c r="S39" s="15" t="n"/>
      <c r="T39" s="291" t="n"/>
      <c r="U39" s="15" t="n"/>
      <c r="V39" s="15" t="n"/>
      <c r="W39" s="291" t="n"/>
      <c r="X39" s="15" t="n"/>
      <c r="Y39" s="15" t="n"/>
      <c r="Z39" s="285" t="n"/>
      <c r="AA39" s="15" t="n"/>
      <c r="AB39" s="15" t="n"/>
      <c r="AC39" s="285" t="n"/>
      <c r="AD39" s="15" t="n"/>
      <c r="AE39" s="15" t="n"/>
      <c r="AF39" s="285" t="n"/>
      <c r="AG39" s="15" t="n"/>
      <c r="AH39" s="15" t="n"/>
      <c r="AI39" s="285" t="n"/>
      <c r="AJ39" s="15" t="n"/>
      <c r="AK39" s="15" t="n"/>
      <c r="AL39" s="285" t="n"/>
      <c r="AM39" s="327" t="n"/>
      <c r="AN39" s="15" t="n"/>
      <c r="AO39" s="285" t="n"/>
      <c r="AP39" s="327" t="n"/>
      <c r="AQ39" s="15" t="n"/>
      <c r="AR39" s="285" t="n"/>
      <c r="AS39" s="327" t="n"/>
      <c r="AT39" s="15" t="n"/>
      <c r="AU39" s="285" t="n"/>
      <c r="AV39" s="327" t="n"/>
      <c r="AW39" s="15" t="n"/>
      <c r="AX39" s="285" t="n"/>
      <c r="AY39" s="15" t="n"/>
      <c r="AZ39" s="15" t="n"/>
      <c r="BA39" s="287" t="n"/>
      <c r="BB39" s="37" t="n"/>
      <c r="BC39" s="287" t="n"/>
      <c r="BD39" s="37" t="n"/>
      <c r="BE39" s="287" t="n"/>
      <c r="BF39" s="37" t="n"/>
      <c r="BG39" s="287" t="n"/>
      <c r="BH39" s="37" t="n"/>
      <c r="BI39" s="288" t="n"/>
      <c r="BJ39" s="37" t="n"/>
      <c r="BK39" s="288" t="n"/>
      <c r="BL39" s="37" t="n"/>
      <c r="BM39" s="288" t="n"/>
      <c r="BN39" s="37" t="n"/>
      <c r="BO39" s="288" t="n"/>
      <c r="BP39" s="288" t="n"/>
      <c r="BQ39" s="37" t="n"/>
      <c r="BR39" s="288" t="n"/>
      <c r="BS39" s="37" t="n"/>
      <c r="BT39" s="288" t="n"/>
      <c r="BU39" s="37" t="n"/>
      <c r="BV39" s="288" t="n"/>
      <c r="BW39" s="37" t="n"/>
      <c r="BX39" s="288" t="n"/>
      <c r="BY39" s="37" t="n"/>
      <c r="BZ39" s="288" t="n"/>
      <c r="CA39" s="37" t="n"/>
      <c r="CB39" s="288" t="n"/>
      <c r="CC39" s="37" t="n"/>
      <c r="CD39" s="288" t="n"/>
      <c r="CE39" s="37" t="n"/>
      <c r="CF39" s="288" t="n"/>
      <c r="CG39" s="291" t="n"/>
      <c r="CH39" s="288" t="n"/>
      <c r="CI39" s="291" t="n"/>
      <c r="CJ39" s="288" t="n"/>
      <c r="CK39" s="291" t="n"/>
      <c r="CL39" s="288" t="n"/>
      <c r="CM39" s="291" t="n"/>
      <c r="CN39" s="288" t="n"/>
      <c r="CO39" s="80" t="n"/>
      <c r="CP39" s="288" t="n"/>
      <c r="CQ39" s="80" t="n"/>
      <c r="CR39" s="288" t="n"/>
      <c r="CS39" s="80" t="n"/>
      <c r="CT39" s="288" t="n"/>
      <c r="CU39" s="80" t="n"/>
      <c r="CV39" s="269" t="n"/>
      <c r="CW39" s="288" t="n"/>
      <c r="CX39" s="37" t="n"/>
      <c r="CY39" s="288" t="n"/>
      <c r="CZ39" s="37" t="n"/>
      <c r="DA39" s="288" t="n"/>
      <c r="DB39" s="37" t="n"/>
      <c r="DC39" s="288" t="n"/>
      <c r="DD39" s="37" t="n"/>
      <c r="DE39" s="289" t="n"/>
      <c r="DF39" s="289" t="n"/>
      <c r="DG39" s="79" t="n"/>
    </row>
    <row r="40" ht="13" customFormat="1" customHeight="1" s="40">
      <c r="A40" s="330" t="n"/>
      <c r="B40" s="292" t="n"/>
      <c r="C40" s="15" t="n"/>
      <c r="D40" s="15" t="n"/>
      <c r="E40" s="292" t="n"/>
      <c r="F40" s="15" t="n"/>
      <c r="G40" s="15" t="n"/>
      <c r="H40" s="292" t="n"/>
      <c r="I40" s="15" t="n"/>
      <c r="J40" s="15" t="n"/>
      <c r="K40" s="292" t="n"/>
      <c r="L40" s="15" t="n"/>
      <c r="M40" s="15" t="n"/>
      <c r="N40" s="292" t="n"/>
      <c r="O40" s="15" t="n"/>
      <c r="P40" s="15" t="n"/>
      <c r="Q40" s="292" t="n"/>
      <c r="R40" s="15" t="n"/>
      <c r="S40" s="15" t="n"/>
      <c r="T40" s="291" t="n"/>
      <c r="U40" s="15" t="n"/>
      <c r="V40" s="15" t="n"/>
      <c r="W40" s="291" t="n"/>
      <c r="X40" s="15" t="n"/>
      <c r="Y40" s="15" t="n"/>
      <c r="Z40" s="292" t="n"/>
      <c r="AA40" s="15" t="n"/>
      <c r="AB40" s="15" t="n"/>
      <c r="AC40" s="292" t="n"/>
      <c r="AD40" s="15" t="n"/>
      <c r="AE40" s="15" t="n"/>
      <c r="AF40" s="292" t="n"/>
      <c r="AG40" s="15" t="n"/>
      <c r="AH40" s="15" t="n"/>
      <c r="AI40" s="292" t="n"/>
      <c r="AJ40" s="15" t="n"/>
      <c r="AK40" s="15" t="n"/>
      <c r="AL40" s="292" t="n"/>
      <c r="AM40" s="327" t="n"/>
      <c r="AN40" s="15" t="n"/>
      <c r="AO40" s="292" t="n"/>
      <c r="AP40" s="327" t="n"/>
      <c r="AQ40" s="15" t="n"/>
      <c r="AR40" s="292" t="n"/>
      <c r="AS40" s="327" t="n"/>
      <c r="AT40" s="15" t="n"/>
      <c r="AU40" s="292" t="n"/>
      <c r="AV40" s="327" t="n"/>
      <c r="AW40" s="15" t="n"/>
      <c r="AX40" s="292" t="n"/>
      <c r="AY40" s="15" t="n"/>
      <c r="AZ40" s="15" t="n"/>
      <c r="BA40" s="291" t="n"/>
      <c r="BB40" s="37" t="n"/>
      <c r="BC40" s="291" t="n"/>
      <c r="BD40" s="37" t="n"/>
      <c r="BE40" s="291" t="n"/>
      <c r="BF40" s="37" t="n"/>
      <c r="BG40" s="291" t="n"/>
      <c r="BH40" s="37" t="n"/>
      <c r="BI40" s="291" t="n"/>
      <c r="BJ40" s="37" t="n"/>
      <c r="BK40" s="291" t="n"/>
      <c r="BL40" s="37" t="n"/>
      <c r="BM40" s="291" t="n"/>
      <c r="BN40" s="37" t="n"/>
      <c r="BO40" s="291" t="n"/>
      <c r="BP40" s="291" t="n"/>
      <c r="BQ40" s="37" t="n"/>
      <c r="BR40" s="291" t="n"/>
      <c r="BS40" s="37" t="n"/>
      <c r="BT40" s="291" t="n"/>
      <c r="BU40" s="37" t="n"/>
      <c r="BV40" s="291" t="n"/>
      <c r="BW40" s="37" t="n"/>
      <c r="BX40" s="291" t="n"/>
      <c r="BY40" s="37" t="n"/>
      <c r="BZ40" s="291" t="n"/>
      <c r="CA40" s="37" t="n"/>
      <c r="CB40" s="291" t="n"/>
      <c r="CC40" s="37" t="n"/>
      <c r="CD40" s="291" t="n"/>
      <c r="CE40" s="37" t="n"/>
      <c r="CF40" s="291" t="n"/>
      <c r="CG40" s="291" t="n"/>
      <c r="CH40" s="291" t="n"/>
      <c r="CI40" s="291" t="n"/>
      <c r="CJ40" s="291" t="n"/>
      <c r="CK40" s="291" t="n"/>
      <c r="CL40" s="291" t="n"/>
      <c r="CM40" s="291" t="n"/>
      <c r="CN40" s="291" t="n"/>
      <c r="CO40" s="80" t="n"/>
      <c r="CP40" s="291" t="n"/>
      <c r="CQ40" s="80" t="n"/>
      <c r="CR40" s="291" t="n"/>
      <c r="CS40" s="80" t="n"/>
      <c r="CT40" s="291" t="n"/>
      <c r="CU40" s="80" t="n"/>
      <c r="CW40" s="291" t="n"/>
      <c r="CX40" s="37" t="n"/>
      <c r="CY40" s="291" t="n"/>
      <c r="CZ40" s="37" t="n"/>
      <c r="DA40" s="291" t="n"/>
      <c r="DB40" s="37" t="n"/>
      <c r="DC40" s="291" t="n"/>
      <c r="DD40" s="37" t="n"/>
      <c r="DE40" s="311" t="n"/>
      <c r="DF40" s="311" t="n"/>
    </row>
    <row r="41">
      <c r="A41" s="428" t="n"/>
      <c r="B41" s="285" t="n"/>
      <c r="C41" s="15" t="n"/>
      <c r="D41" s="15" t="n"/>
      <c r="E41" s="285" t="n"/>
      <c r="F41" s="15" t="n"/>
      <c r="G41" s="15" t="n"/>
      <c r="H41" s="285" t="n"/>
      <c r="I41" s="15" t="n"/>
      <c r="J41" s="15" t="n"/>
      <c r="K41" s="285" t="n"/>
      <c r="L41" s="15" t="n"/>
      <c r="M41" s="15" t="n"/>
      <c r="N41" s="285" t="n"/>
      <c r="O41" s="15" t="n"/>
      <c r="P41" s="15" t="n"/>
      <c r="Q41" s="285" t="n"/>
      <c r="R41" s="15" t="n"/>
      <c r="S41" s="15" t="n"/>
      <c r="T41" s="291" t="n"/>
      <c r="U41" s="15" t="n"/>
      <c r="V41" s="15" t="n"/>
      <c r="W41" s="291" t="n"/>
      <c r="X41" s="15" t="n"/>
      <c r="Y41" s="15" t="n"/>
      <c r="Z41" s="285" t="n"/>
      <c r="AA41" s="15" t="n"/>
      <c r="AB41" s="15" t="n"/>
      <c r="AC41" s="285" t="n"/>
      <c r="AD41" s="15" t="n"/>
      <c r="AE41" s="15" t="n"/>
      <c r="AF41" s="285" t="n"/>
      <c r="AG41" s="15" t="n"/>
      <c r="AH41" s="15" t="n"/>
      <c r="AI41" s="285" t="n"/>
      <c r="AJ41" s="15" t="n"/>
      <c r="AK41" s="15" t="n"/>
      <c r="AL41" s="285" t="n"/>
      <c r="AM41" s="327" t="n"/>
      <c r="AN41" s="15" t="n"/>
      <c r="AO41" s="285" t="n"/>
      <c r="AP41" s="327" t="n"/>
      <c r="AQ41" s="15" t="n"/>
      <c r="AR41" s="285" t="n"/>
      <c r="AS41" s="327" t="n"/>
      <c r="AT41" s="15" t="n"/>
      <c r="AU41" s="285" t="n"/>
      <c r="AV41" s="327" t="n"/>
      <c r="AW41" s="15" t="n"/>
      <c r="AX41" s="285" t="n"/>
      <c r="AY41" s="15" t="n"/>
      <c r="AZ41" s="15" t="n"/>
      <c r="BA41" s="287" t="n"/>
      <c r="BB41" s="37" t="n"/>
      <c r="BC41" s="287" t="n"/>
      <c r="BD41" s="37" t="n"/>
      <c r="BE41" s="287" t="n"/>
      <c r="BF41" s="37" t="n"/>
      <c r="BG41" s="287" t="n"/>
      <c r="BH41" s="37" t="n"/>
      <c r="BI41" s="288" t="n"/>
      <c r="BJ41" s="37" t="n"/>
      <c r="BK41" s="288" t="n"/>
      <c r="BL41" s="37" t="n"/>
      <c r="BM41" s="288" t="n"/>
      <c r="BN41" s="37" t="n"/>
      <c r="BO41" s="288" t="n"/>
      <c r="BP41" s="288" t="n"/>
      <c r="BQ41" s="37" t="n"/>
      <c r="BR41" s="288" t="n"/>
      <c r="BS41" s="37" t="n"/>
      <c r="BT41" s="288" t="n"/>
      <c r="BU41" s="37" t="n"/>
      <c r="BV41" s="288" t="n"/>
      <c r="BW41" s="37" t="n"/>
      <c r="BX41" s="288" t="n"/>
      <c r="BY41" s="37" t="n"/>
      <c r="BZ41" s="288" t="n"/>
      <c r="CA41" s="37" t="n"/>
      <c r="CB41" s="288" t="n"/>
      <c r="CC41" s="37" t="n"/>
      <c r="CD41" s="288" t="n"/>
      <c r="CE41" s="37" t="n"/>
      <c r="CF41" s="288" t="n"/>
      <c r="CG41" s="291" t="n"/>
      <c r="CH41" s="288" t="n"/>
      <c r="CI41" s="291" t="n"/>
      <c r="CJ41" s="288" t="n"/>
      <c r="CK41" s="291" t="n"/>
      <c r="CL41" s="288" t="n"/>
      <c r="CM41" s="291" t="n"/>
      <c r="CN41" s="288" t="n"/>
      <c r="CO41" s="80" t="n"/>
      <c r="CP41" s="288" t="n"/>
      <c r="CQ41" s="80" t="n"/>
      <c r="CR41" s="288" t="n"/>
      <c r="CS41" s="80" t="n"/>
      <c r="CT41" s="288" t="n"/>
      <c r="CU41" s="80" t="n"/>
      <c r="CV41" s="269" t="n"/>
      <c r="CW41" s="288" t="n"/>
      <c r="CX41" s="37" t="n"/>
      <c r="CY41" s="288" t="n"/>
      <c r="CZ41" s="37" t="n"/>
      <c r="DA41" s="288" t="n"/>
      <c r="DB41" s="37" t="n"/>
      <c r="DC41" s="288" t="n"/>
      <c r="DD41" s="37" t="n"/>
      <c r="DE41" s="289" t="n"/>
      <c r="DF41" s="289" t="n"/>
      <c r="DG41" s="79" t="n"/>
    </row>
    <row r="42">
      <c r="A42" s="428" t="n"/>
      <c r="B42" s="285" t="n"/>
      <c r="C42" s="15" t="n"/>
      <c r="D42" s="15" t="n"/>
      <c r="E42" s="285" t="n"/>
      <c r="F42" s="15" t="n"/>
      <c r="G42" s="15" t="n"/>
      <c r="H42" s="285" t="n"/>
      <c r="I42" s="15" t="n"/>
      <c r="J42" s="15" t="n"/>
      <c r="K42" s="285" t="n"/>
      <c r="L42" s="15" t="n"/>
      <c r="M42" s="15" t="n"/>
      <c r="N42" s="285" t="n"/>
      <c r="O42" s="15" t="n"/>
      <c r="P42" s="15" t="n"/>
      <c r="Q42" s="285" t="n"/>
      <c r="R42" s="15" t="n"/>
      <c r="S42" s="15" t="n"/>
      <c r="T42" s="291" t="n"/>
      <c r="U42" s="15" t="n"/>
      <c r="V42" s="15" t="n"/>
      <c r="W42" s="291" t="n"/>
      <c r="X42" s="15" t="n"/>
      <c r="Y42" s="15" t="n"/>
      <c r="Z42" s="285" t="n"/>
      <c r="AA42" s="15" t="n"/>
      <c r="AB42" s="15" t="n"/>
      <c r="AC42" s="285" t="n"/>
      <c r="AD42" s="15" t="n"/>
      <c r="AE42" s="15" t="n"/>
      <c r="AF42" s="285" t="n"/>
      <c r="AG42" s="15" t="n"/>
      <c r="AH42" s="15" t="n"/>
      <c r="AI42" s="285" t="n"/>
      <c r="AJ42" s="15" t="n"/>
      <c r="AK42" s="15" t="n"/>
      <c r="AL42" s="285" t="n"/>
      <c r="AM42" s="327" t="n"/>
      <c r="AN42" s="15" t="n"/>
      <c r="AO42" s="285" t="n"/>
      <c r="AP42" s="327" t="n"/>
      <c r="AQ42" s="15" t="n"/>
      <c r="AR42" s="285" t="n"/>
      <c r="AS42" s="327" t="n"/>
      <c r="AT42" s="15" t="n"/>
      <c r="AU42" s="285" t="n"/>
      <c r="AV42" s="327" t="n"/>
      <c r="AW42" s="15" t="n"/>
      <c r="AX42" s="285" t="n"/>
      <c r="AY42" s="15" t="n"/>
      <c r="AZ42" s="15" t="n"/>
      <c r="BA42" s="287" t="n"/>
      <c r="BB42" s="37" t="n"/>
      <c r="BC42" s="287" t="n"/>
      <c r="BD42" s="37" t="n"/>
      <c r="BE42" s="287" t="n"/>
      <c r="BF42" s="37" t="n"/>
      <c r="BG42" s="287" t="n"/>
      <c r="BH42" s="37" t="n"/>
      <c r="BI42" s="288" t="n"/>
      <c r="BJ42" s="37" t="n"/>
      <c r="BK42" s="288" t="n"/>
      <c r="BL42" s="37" t="n"/>
      <c r="BM42" s="288" t="n"/>
      <c r="BN42" s="37" t="n"/>
      <c r="BO42" s="288" t="n"/>
      <c r="BP42" s="288" t="n"/>
      <c r="BQ42" s="37" t="n"/>
      <c r="BR42" s="288" t="n"/>
      <c r="BS42" s="37" t="n"/>
      <c r="BT42" s="288" t="n"/>
      <c r="BU42" s="37" t="n"/>
      <c r="BV42" s="288" t="n"/>
      <c r="BW42" s="37" t="n"/>
      <c r="BX42" s="288" t="n"/>
      <c r="BY42" s="37" t="n"/>
      <c r="BZ42" s="288" t="n"/>
      <c r="CA42" s="37" t="n"/>
      <c r="CB42" s="288" t="n"/>
      <c r="CC42" s="37" t="n"/>
      <c r="CD42" s="288" t="n"/>
      <c r="CE42" s="37" t="n"/>
      <c r="CF42" s="288" t="n"/>
      <c r="CG42" s="291" t="n"/>
      <c r="CH42" s="288" t="n"/>
      <c r="CI42" s="291" t="n"/>
      <c r="CJ42" s="288" t="n"/>
      <c r="CK42" s="291" t="n"/>
      <c r="CL42" s="288" t="n"/>
      <c r="CM42" s="291" t="n"/>
      <c r="CN42" s="288" t="n"/>
      <c r="CO42" s="80" t="n"/>
      <c r="CP42" s="288" t="n"/>
      <c r="CQ42" s="80" t="n"/>
      <c r="CR42" s="288" t="n"/>
      <c r="CS42" s="80" t="n"/>
      <c r="CT42" s="288" t="n"/>
      <c r="CU42" s="80" t="n"/>
      <c r="CV42" s="269" t="n"/>
      <c r="CW42" s="288" t="n"/>
      <c r="CX42" s="37" t="n"/>
      <c r="CY42" s="288" t="n"/>
      <c r="CZ42" s="37" t="n"/>
      <c r="DA42" s="288" t="n"/>
      <c r="DB42" s="37" t="n"/>
      <c r="DC42" s="288" t="n"/>
      <c r="DD42" s="37" t="n"/>
      <c r="DE42" s="289" t="n"/>
      <c r="DF42" s="289" t="n"/>
      <c r="DG42" s="79" t="n"/>
    </row>
    <row r="43">
      <c r="A43" s="428" t="n"/>
      <c r="B43" s="285" t="n"/>
      <c r="C43" s="15" t="n"/>
      <c r="D43" s="15" t="n"/>
      <c r="E43" s="285" t="n"/>
      <c r="F43" s="15" t="n"/>
      <c r="G43" s="15" t="n"/>
      <c r="H43" s="285" t="n"/>
      <c r="I43" s="15" t="n"/>
      <c r="J43" s="15" t="n"/>
      <c r="K43" s="285" t="n"/>
      <c r="L43" s="15" t="n"/>
      <c r="M43" s="15" t="n"/>
      <c r="N43" s="285" t="n"/>
      <c r="O43" s="15" t="n"/>
      <c r="P43" s="15" t="n"/>
      <c r="Q43" s="285" t="n"/>
      <c r="R43" s="15" t="n"/>
      <c r="S43" s="15" t="n"/>
      <c r="T43" s="291" t="n"/>
      <c r="U43" s="15" t="n"/>
      <c r="V43" s="15" t="n"/>
      <c r="W43" s="291" t="n"/>
      <c r="X43" s="15" t="n"/>
      <c r="Y43" s="15" t="n"/>
      <c r="Z43" s="285" t="n"/>
      <c r="AA43" s="15" t="n"/>
      <c r="AB43" s="15" t="n"/>
      <c r="AC43" s="285" t="n"/>
      <c r="AD43" s="15" t="n"/>
      <c r="AE43" s="15" t="n"/>
      <c r="AF43" s="285" t="n"/>
      <c r="AG43" s="15" t="n"/>
      <c r="AH43" s="15" t="n"/>
      <c r="AI43" s="285" t="n"/>
      <c r="AJ43" s="15" t="n"/>
      <c r="AK43" s="15" t="n"/>
      <c r="AL43" s="285" t="n"/>
      <c r="AM43" s="327" t="n"/>
      <c r="AN43" s="15" t="n"/>
      <c r="AO43" s="285" t="n"/>
      <c r="AP43" s="327" t="n"/>
      <c r="AQ43" s="15" t="n"/>
      <c r="AR43" s="285" t="n"/>
      <c r="AS43" s="327" t="n"/>
      <c r="AT43" s="15" t="n"/>
      <c r="AU43" s="285" t="n"/>
      <c r="AV43" s="327" t="n"/>
      <c r="AW43" s="15" t="n"/>
      <c r="AX43" s="285" t="n"/>
      <c r="AY43" s="15" t="n"/>
      <c r="AZ43" s="15" t="n"/>
      <c r="BA43" s="287" t="n"/>
      <c r="BB43" s="37" t="n"/>
      <c r="BC43" s="287" t="n"/>
      <c r="BD43" s="37" t="n"/>
      <c r="BE43" s="287" t="n"/>
      <c r="BF43" s="37" t="n"/>
      <c r="BG43" s="287" t="n"/>
      <c r="BH43" s="37" t="n"/>
      <c r="BI43" s="288" t="n"/>
      <c r="BJ43" s="37" t="n"/>
      <c r="BK43" s="288" t="n"/>
      <c r="BL43" s="37" t="n"/>
      <c r="BM43" s="288" t="n"/>
      <c r="BN43" s="37" t="n"/>
      <c r="BO43" s="288" t="n"/>
      <c r="BP43" s="288" t="n"/>
      <c r="BQ43" s="37" t="n"/>
      <c r="BR43" s="288" t="n"/>
      <c r="BS43" s="37" t="n"/>
      <c r="BT43" s="288" t="n"/>
      <c r="BU43" s="37" t="n"/>
      <c r="BV43" s="288" t="n"/>
      <c r="BW43" s="37" t="n"/>
      <c r="BX43" s="288" t="n"/>
      <c r="BY43" s="37" t="n"/>
      <c r="BZ43" s="288" t="n"/>
      <c r="CA43" s="37" t="n"/>
      <c r="CB43" s="288" t="n"/>
      <c r="CC43" s="37" t="n"/>
      <c r="CD43" s="288" t="n"/>
      <c r="CE43" s="37" t="n"/>
      <c r="CF43" s="288" t="n"/>
      <c r="CG43" s="291" t="n"/>
      <c r="CH43" s="288" t="n"/>
      <c r="CI43" s="291" t="n"/>
      <c r="CJ43" s="288" t="n"/>
      <c r="CK43" s="291" t="n"/>
      <c r="CL43" s="288" t="n"/>
      <c r="CM43" s="291" t="n"/>
      <c r="CN43" s="288" t="n"/>
      <c r="CO43" s="80" t="n"/>
      <c r="CP43" s="288" t="n"/>
      <c r="CQ43" s="80" t="n"/>
      <c r="CR43" s="288" t="n"/>
      <c r="CS43" s="80" t="n"/>
      <c r="CT43" s="288" t="n"/>
      <c r="CU43" s="80" t="n"/>
      <c r="CV43" s="269" t="n"/>
      <c r="CW43" s="288" t="n"/>
      <c r="CX43" s="37" t="n"/>
      <c r="CY43" s="288" t="n"/>
      <c r="CZ43" s="37" t="n"/>
      <c r="DA43" s="288" t="n"/>
      <c r="DB43" s="37" t="n"/>
      <c r="DC43" s="288" t="n"/>
      <c r="DD43" s="37" t="n"/>
      <c r="DE43" s="289" t="n"/>
      <c r="DF43" s="289" t="n"/>
      <c r="DG43" s="79" t="n"/>
    </row>
    <row r="44">
      <c r="A44" s="428" t="n"/>
      <c r="B44" s="285" t="n"/>
      <c r="C44" s="15" t="n"/>
      <c r="D44" s="15" t="n"/>
      <c r="E44" s="285" t="n"/>
      <c r="F44" s="15" t="n"/>
      <c r="G44" s="15" t="n"/>
      <c r="H44" s="285" t="n"/>
      <c r="I44" s="15" t="n"/>
      <c r="J44" s="15" t="n"/>
      <c r="K44" s="285" t="n"/>
      <c r="L44" s="15" t="n"/>
      <c r="M44" s="15" t="n"/>
      <c r="N44" s="285" t="n"/>
      <c r="O44" s="15" t="n"/>
      <c r="P44" s="15" t="n"/>
      <c r="Q44" s="285" t="n"/>
      <c r="R44" s="15" t="n"/>
      <c r="S44" s="15" t="n"/>
      <c r="T44" s="291" t="n"/>
      <c r="U44" s="15" t="n"/>
      <c r="V44" s="15" t="n"/>
      <c r="W44" s="291" t="n"/>
      <c r="X44" s="15" t="n"/>
      <c r="Y44" s="15" t="n"/>
      <c r="Z44" s="285" t="n"/>
      <c r="AA44" s="15" t="n"/>
      <c r="AB44" s="15" t="n"/>
      <c r="AC44" s="285" t="n"/>
      <c r="AD44" s="15" t="n"/>
      <c r="AE44" s="15" t="n"/>
      <c r="AF44" s="285" t="n"/>
      <c r="AG44" s="15" t="n"/>
      <c r="AH44" s="15" t="n"/>
      <c r="AI44" s="285" t="n"/>
      <c r="AJ44" s="15" t="n"/>
      <c r="AK44" s="15" t="n"/>
      <c r="AL44" s="285" t="n"/>
      <c r="AM44" s="327" t="n"/>
      <c r="AN44" s="15" t="n"/>
      <c r="AO44" s="285" t="n"/>
      <c r="AP44" s="327" t="n"/>
      <c r="AQ44" s="15" t="n"/>
      <c r="AR44" s="285" t="n"/>
      <c r="AS44" s="327" t="n"/>
      <c r="AT44" s="15" t="n"/>
      <c r="AU44" s="285" t="n"/>
      <c r="AV44" s="327" t="n"/>
      <c r="AW44" s="15" t="n"/>
      <c r="AX44" s="285" t="n"/>
      <c r="AY44" s="15" t="n"/>
      <c r="AZ44" s="15" t="n"/>
      <c r="BA44" s="287" t="n"/>
      <c r="BB44" s="37" t="n"/>
      <c r="BC44" s="287" t="n"/>
      <c r="BD44" s="37" t="n"/>
      <c r="BE44" s="287" t="n"/>
      <c r="BF44" s="37" t="n"/>
      <c r="BG44" s="287" t="n"/>
      <c r="BH44" s="37" t="n"/>
      <c r="BI44" s="288" t="n"/>
      <c r="BJ44" s="37" t="n"/>
      <c r="BK44" s="288" t="n"/>
      <c r="BL44" s="37" t="n"/>
      <c r="BM44" s="288" t="n"/>
      <c r="BN44" s="37" t="n"/>
      <c r="BO44" s="288" t="n"/>
      <c r="BP44" s="288" t="n"/>
      <c r="BQ44" s="37" t="n"/>
      <c r="BR44" s="288" t="n"/>
      <c r="BS44" s="37" t="n"/>
      <c r="BT44" s="288" t="n"/>
      <c r="BU44" s="37" t="n"/>
      <c r="BV44" s="288" t="n"/>
      <c r="BW44" s="37" t="n"/>
      <c r="BX44" s="288" t="n"/>
      <c r="BY44" s="37" t="n"/>
      <c r="BZ44" s="288" t="n"/>
      <c r="CA44" s="37" t="n"/>
      <c r="CB44" s="288" t="n"/>
      <c r="CC44" s="37" t="n"/>
      <c r="CD44" s="288" t="n"/>
      <c r="CE44" s="37" t="n"/>
      <c r="CF44" s="288" t="n"/>
      <c r="CG44" s="291" t="n"/>
      <c r="CH44" s="288" t="n"/>
      <c r="CI44" s="291" t="n"/>
      <c r="CJ44" s="288" t="n"/>
      <c r="CK44" s="291" t="n"/>
      <c r="CL44" s="288" t="n"/>
      <c r="CM44" s="291" t="n"/>
      <c r="CN44" s="288" t="n"/>
      <c r="CO44" s="80" t="n"/>
      <c r="CP44" s="288" t="n"/>
      <c r="CQ44" s="80" t="n"/>
      <c r="CR44" s="288" t="n"/>
      <c r="CS44" s="80" t="n"/>
      <c r="CT44" s="288" t="n"/>
      <c r="CU44" s="80" t="n"/>
      <c r="CV44" s="269" t="n"/>
      <c r="CW44" s="288" t="n"/>
      <c r="CX44" s="37" t="n"/>
      <c r="CY44" s="288" t="n"/>
      <c r="CZ44" s="37" t="n"/>
      <c r="DA44" s="288" t="n"/>
      <c r="DB44" s="37" t="n"/>
      <c r="DC44" s="288" t="n"/>
      <c r="DD44" s="37" t="n"/>
      <c r="DE44" s="289" t="n"/>
      <c r="DF44" s="289" t="n"/>
      <c r="DG44" s="79" t="n"/>
    </row>
    <row r="45">
      <c r="A45" s="428" t="n"/>
      <c r="B45" s="285" t="n"/>
      <c r="C45" s="15" t="n"/>
      <c r="D45" s="15" t="n"/>
      <c r="E45" s="285" t="n"/>
      <c r="F45" s="15" t="n"/>
      <c r="G45" s="15" t="n"/>
      <c r="H45" s="285" t="n"/>
      <c r="I45" s="15" t="n"/>
      <c r="J45" s="15" t="n"/>
      <c r="K45" s="285" t="n"/>
      <c r="L45" s="15" t="n"/>
      <c r="M45" s="15" t="n"/>
      <c r="N45" s="285" t="n"/>
      <c r="O45" s="15" t="n"/>
      <c r="P45" s="15" t="n"/>
      <c r="Q45" s="285" t="n"/>
      <c r="R45" s="15" t="n"/>
      <c r="S45" s="15" t="n"/>
      <c r="T45" s="291" t="n"/>
      <c r="U45" s="15" t="n"/>
      <c r="V45" s="15" t="n"/>
      <c r="W45" s="291" t="n"/>
      <c r="X45" s="15" t="n"/>
      <c r="Y45" s="15" t="n"/>
      <c r="Z45" s="285" t="n"/>
      <c r="AA45" s="15" t="n"/>
      <c r="AB45" s="15" t="n"/>
      <c r="AC45" s="285" t="n"/>
      <c r="AD45" s="15" t="n"/>
      <c r="AE45" s="15" t="n"/>
      <c r="AF45" s="285" t="n"/>
      <c r="AG45" s="15" t="n"/>
      <c r="AH45" s="15" t="n"/>
      <c r="AI45" s="285" t="n"/>
      <c r="AJ45" s="15" t="n"/>
      <c r="AK45" s="15" t="n"/>
      <c r="AL45" s="285" t="n"/>
      <c r="AM45" s="327" t="n"/>
      <c r="AN45" s="15" t="n"/>
      <c r="AO45" s="285" t="n"/>
      <c r="AP45" s="327" t="n"/>
      <c r="AQ45" s="15" t="n"/>
      <c r="AR45" s="285" t="n"/>
      <c r="AS45" s="327" t="n"/>
      <c r="AT45" s="15" t="n"/>
      <c r="AU45" s="285" t="n"/>
      <c r="AV45" s="327" t="n"/>
      <c r="AW45" s="15" t="n"/>
      <c r="AX45" s="285" t="n"/>
      <c r="AY45" s="15" t="n"/>
      <c r="AZ45" s="15" t="n"/>
      <c r="BA45" s="287" t="n"/>
      <c r="BB45" s="37" t="n"/>
      <c r="BC45" s="287" t="n"/>
      <c r="BD45" s="37" t="n"/>
      <c r="BE45" s="287" t="n"/>
      <c r="BF45" s="37" t="n"/>
      <c r="BG45" s="287" t="n"/>
      <c r="BH45" s="37" t="n"/>
      <c r="BI45" s="288" t="n"/>
      <c r="BJ45" s="37" t="n"/>
      <c r="BK45" s="288" t="n"/>
      <c r="BL45" s="37" t="n"/>
      <c r="BM45" s="288" t="n"/>
      <c r="BN45" s="37" t="n"/>
      <c r="BO45" s="288" t="n"/>
      <c r="BP45" s="288" t="n"/>
      <c r="BQ45" s="37" t="n"/>
      <c r="BR45" s="288" t="n"/>
      <c r="BS45" s="37" t="n"/>
      <c r="BT45" s="288" t="n"/>
      <c r="BU45" s="37" t="n"/>
      <c r="BV45" s="288" t="n"/>
      <c r="BW45" s="37" t="n"/>
      <c r="BX45" s="288" t="n"/>
      <c r="BY45" s="37" t="n"/>
      <c r="BZ45" s="288" t="n"/>
      <c r="CA45" s="37" t="n"/>
      <c r="CB45" s="288" t="n"/>
      <c r="CC45" s="37" t="n"/>
      <c r="CD45" s="288" t="n"/>
      <c r="CE45" s="37" t="n"/>
      <c r="CF45" s="288" t="n"/>
      <c r="CG45" s="291" t="n"/>
      <c r="CH45" s="288" t="n"/>
      <c r="CI45" s="291" t="n"/>
      <c r="CJ45" s="288" t="n"/>
      <c r="CK45" s="291" t="n"/>
      <c r="CL45" s="288" t="n"/>
      <c r="CM45" s="291" t="n"/>
      <c r="CN45" s="288" t="n"/>
      <c r="CO45" s="80" t="n"/>
      <c r="CP45" s="288" t="n"/>
      <c r="CQ45" s="80" t="n"/>
      <c r="CR45" s="288" t="n"/>
      <c r="CS45" s="80" t="n"/>
      <c r="CT45" s="288" t="n"/>
      <c r="CU45" s="80" t="n"/>
      <c r="CV45" s="269" t="n"/>
      <c r="CW45" s="288" t="n"/>
      <c r="CX45" s="37" t="n"/>
      <c r="CY45" s="288" t="n"/>
      <c r="CZ45" s="37" t="n"/>
      <c r="DA45" s="288" t="n"/>
      <c r="DB45" s="37" t="n"/>
      <c r="DC45" s="288" t="n"/>
      <c r="DD45" s="37" t="n"/>
      <c r="DE45" s="289" t="n"/>
      <c r="DF45" s="289" t="n"/>
      <c r="DG45" s="79" t="n"/>
    </row>
    <row r="46">
      <c r="A46" s="428" t="n"/>
      <c r="B46" s="285" t="n"/>
      <c r="C46" s="15" t="n"/>
      <c r="D46" s="15" t="n"/>
      <c r="E46" s="285" t="n"/>
      <c r="F46" s="15" t="n"/>
      <c r="G46" s="15" t="n"/>
      <c r="H46" s="285" t="n"/>
      <c r="I46" s="15" t="n"/>
      <c r="J46" s="15" t="n"/>
      <c r="K46" s="285" t="n"/>
      <c r="L46" s="15" t="n"/>
      <c r="M46" s="15" t="n"/>
      <c r="N46" s="285" t="n"/>
      <c r="O46" s="15" t="n"/>
      <c r="P46" s="15" t="n"/>
      <c r="Q46" s="285" t="n"/>
      <c r="R46" s="15" t="n"/>
      <c r="S46" s="15" t="n"/>
      <c r="T46" s="291" t="n"/>
      <c r="U46" s="15" t="n"/>
      <c r="V46" s="15" t="n"/>
      <c r="W46" s="291" t="n"/>
      <c r="X46" s="15" t="n"/>
      <c r="Y46" s="15" t="n"/>
      <c r="Z46" s="285" t="n"/>
      <c r="AA46" s="15" t="n"/>
      <c r="AB46" s="15" t="n"/>
      <c r="AC46" s="285" t="n"/>
      <c r="AD46" s="15" t="n"/>
      <c r="AE46" s="15" t="n"/>
      <c r="AF46" s="285" t="n"/>
      <c r="AG46" s="15" t="n"/>
      <c r="AH46" s="15" t="n"/>
      <c r="AI46" s="285" t="n"/>
      <c r="AJ46" s="15" t="n"/>
      <c r="AK46" s="15" t="n"/>
      <c r="AL46" s="285" t="n"/>
      <c r="AM46" s="327" t="n"/>
      <c r="AN46" s="15" t="n"/>
      <c r="AO46" s="285" t="n"/>
      <c r="AP46" s="327" t="n"/>
      <c r="AQ46" s="15" t="n"/>
      <c r="AR46" s="285" t="n"/>
      <c r="AS46" s="327" t="n"/>
      <c r="AT46" s="15" t="n"/>
      <c r="AU46" s="285" t="n"/>
      <c r="AV46" s="327" t="n"/>
      <c r="AW46" s="15" t="n"/>
      <c r="AX46" s="285" t="n"/>
      <c r="AY46" s="15" t="n"/>
      <c r="AZ46" s="15" t="n"/>
      <c r="BA46" s="287" t="n"/>
      <c r="BB46" s="37" t="n"/>
      <c r="BC46" s="287" t="n"/>
      <c r="BD46" s="37" t="n"/>
      <c r="BE46" s="287" t="n"/>
      <c r="BF46" s="37" t="n"/>
      <c r="BG46" s="287" t="n"/>
      <c r="BH46" s="37" t="n"/>
      <c r="BI46" s="288" t="n"/>
      <c r="BJ46" s="37" t="n"/>
      <c r="BK46" s="288" t="n"/>
      <c r="BL46" s="37" t="n"/>
      <c r="BM46" s="288" t="n"/>
      <c r="BN46" s="37" t="n"/>
      <c r="BO46" s="288" t="n"/>
      <c r="BP46" s="288" t="n"/>
      <c r="BQ46" s="37" t="n"/>
      <c r="BR46" s="288" t="n"/>
      <c r="BS46" s="37" t="n"/>
      <c r="BT46" s="288" t="n"/>
      <c r="BU46" s="37" t="n"/>
      <c r="BV46" s="288" t="n"/>
      <c r="BW46" s="37" t="n"/>
      <c r="BX46" s="288" t="n"/>
      <c r="BY46" s="37" t="n"/>
      <c r="BZ46" s="288" t="n"/>
      <c r="CA46" s="37" t="n"/>
      <c r="CB46" s="288" t="n"/>
      <c r="CC46" s="37" t="n"/>
      <c r="CD46" s="288" t="n"/>
      <c r="CE46" s="37" t="n"/>
      <c r="CF46" s="288" t="n"/>
      <c r="CG46" s="291" t="n"/>
      <c r="CH46" s="288" t="n"/>
      <c r="CI46" s="291" t="n"/>
      <c r="CJ46" s="288" t="n"/>
      <c r="CK46" s="291" t="n"/>
      <c r="CL46" s="288" t="n"/>
      <c r="CM46" s="291" t="n"/>
      <c r="CN46" s="288" t="n"/>
      <c r="CO46" s="80" t="n"/>
      <c r="CP46" s="288" t="n"/>
      <c r="CQ46" s="80" t="n"/>
      <c r="CR46" s="288" t="n"/>
      <c r="CS46" s="80" t="n"/>
      <c r="CT46" s="288" t="n"/>
      <c r="CU46" s="80" t="n"/>
      <c r="CV46" s="269" t="n"/>
      <c r="CW46" s="288" t="n"/>
      <c r="CX46" s="37" t="n"/>
      <c r="CY46" s="288" t="n"/>
      <c r="CZ46" s="37" t="n"/>
      <c r="DA46" s="288" t="n"/>
      <c r="DB46" s="37" t="n"/>
      <c r="DC46" s="288" t="n"/>
      <c r="DD46" s="37" t="n"/>
      <c r="DE46" s="289" t="n"/>
      <c r="DF46" s="289" t="n"/>
      <c r="DG46" s="79" t="n"/>
    </row>
    <row r="47">
      <c r="A47" s="428" t="n"/>
      <c r="B47" s="285" t="n"/>
      <c r="C47" s="15" t="n"/>
      <c r="D47" s="15" t="n"/>
      <c r="E47" s="285" t="n"/>
      <c r="F47" s="15" t="n"/>
      <c r="G47" s="15" t="n"/>
      <c r="H47" s="285" t="n"/>
      <c r="I47" s="15" t="n"/>
      <c r="J47" s="15" t="n"/>
      <c r="K47" s="285" t="n"/>
      <c r="L47" s="15" t="n"/>
      <c r="M47" s="15" t="n"/>
      <c r="N47" s="285" t="n"/>
      <c r="O47" s="15" t="n"/>
      <c r="P47" s="15" t="n"/>
      <c r="Q47" s="285" t="n"/>
      <c r="R47" s="15" t="n"/>
      <c r="S47" s="15" t="n"/>
      <c r="T47" s="291" t="n"/>
      <c r="U47" s="15" t="n"/>
      <c r="V47" s="15" t="n"/>
      <c r="W47" s="291" t="n"/>
      <c r="X47" s="15" t="n"/>
      <c r="Y47" s="15" t="n"/>
      <c r="Z47" s="285" t="n"/>
      <c r="AA47" s="15" t="n"/>
      <c r="AB47" s="15" t="n"/>
      <c r="AC47" s="285" t="n"/>
      <c r="AD47" s="15" t="n"/>
      <c r="AE47" s="15" t="n"/>
      <c r="AF47" s="285" t="n"/>
      <c r="AG47" s="15" t="n"/>
      <c r="AH47" s="15" t="n"/>
      <c r="AI47" s="285" t="n"/>
      <c r="AJ47" s="15" t="n"/>
      <c r="AK47" s="15" t="n"/>
      <c r="AL47" s="285" t="n"/>
      <c r="AM47" s="327" t="n"/>
      <c r="AN47" s="15" t="n"/>
      <c r="AO47" s="285" t="n"/>
      <c r="AP47" s="327" t="n"/>
      <c r="AQ47" s="15" t="n"/>
      <c r="AR47" s="285" t="n"/>
      <c r="AS47" s="327" t="n"/>
      <c r="AT47" s="15" t="n"/>
      <c r="AU47" s="285" t="n"/>
      <c r="AV47" s="327" t="n"/>
      <c r="AW47" s="15" t="n"/>
      <c r="AX47" s="285" t="n"/>
      <c r="AY47" s="15" t="n"/>
      <c r="AZ47" s="15" t="n"/>
      <c r="BA47" s="287" t="n"/>
      <c r="BB47" s="37" t="n"/>
      <c r="BC47" s="287" t="n"/>
      <c r="BD47" s="37" t="n"/>
      <c r="BE47" s="287" t="n"/>
      <c r="BF47" s="37" t="n"/>
      <c r="BG47" s="287" t="n"/>
      <c r="BH47" s="37" t="n"/>
      <c r="BI47" s="288" t="n"/>
      <c r="BJ47" s="37" t="n"/>
      <c r="BK47" s="288" t="n"/>
      <c r="BL47" s="37" t="n"/>
      <c r="BM47" s="288" t="n"/>
      <c r="BN47" s="37" t="n"/>
      <c r="BO47" s="288" t="n"/>
      <c r="BP47" s="288" t="n"/>
      <c r="BQ47" s="37" t="n"/>
      <c r="BR47" s="288" t="n"/>
      <c r="BS47" s="37" t="n"/>
      <c r="BT47" s="288" t="n"/>
      <c r="BU47" s="37" t="n"/>
      <c r="BV47" s="288" t="n"/>
      <c r="BW47" s="37" t="n"/>
      <c r="BX47" s="288" t="n"/>
      <c r="BY47" s="37" t="n"/>
      <c r="BZ47" s="288" t="n"/>
      <c r="CA47" s="37" t="n"/>
      <c r="CB47" s="288" t="n"/>
      <c r="CC47" s="37" t="n"/>
      <c r="CD47" s="288" t="n"/>
      <c r="CE47" s="37" t="n"/>
      <c r="CF47" s="288" t="n"/>
      <c r="CG47" s="291" t="n"/>
      <c r="CH47" s="288" t="n"/>
      <c r="CI47" s="291" t="n"/>
      <c r="CJ47" s="288" t="n"/>
      <c r="CK47" s="291" t="n"/>
      <c r="CL47" s="288" t="n"/>
      <c r="CM47" s="291" t="n"/>
      <c r="CN47" s="288" t="n"/>
      <c r="CO47" s="80" t="n"/>
      <c r="CP47" s="288" t="n"/>
      <c r="CQ47" s="80" t="n"/>
      <c r="CR47" s="288" t="n"/>
      <c r="CS47" s="80" t="n"/>
      <c r="CT47" s="288" t="n"/>
      <c r="CU47" s="80" t="n"/>
      <c r="CV47" s="269" t="n"/>
      <c r="CW47" s="288" t="n"/>
      <c r="CX47" s="37" t="n"/>
      <c r="CY47" s="288" t="n"/>
      <c r="CZ47" s="37" t="n"/>
      <c r="DA47" s="288" t="n"/>
      <c r="DB47" s="37" t="n"/>
      <c r="DC47" s="288" t="n"/>
      <c r="DD47" s="37" t="n"/>
      <c r="DE47" s="289" t="n"/>
      <c r="DF47" s="289" t="n"/>
      <c r="DG47" s="79" t="n"/>
    </row>
    <row r="48">
      <c r="A48" s="428" t="n"/>
      <c r="B48" s="285" t="n"/>
      <c r="C48" s="15" t="n"/>
      <c r="D48" s="15" t="n"/>
      <c r="E48" s="285" t="n"/>
      <c r="F48" s="15" t="n"/>
      <c r="G48" s="15" t="n"/>
      <c r="H48" s="285" t="n"/>
      <c r="I48" s="15" t="n"/>
      <c r="J48" s="15" t="n"/>
      <c r="K48" s="285" t="n"/>
      <c r="L48" s="15" t="n"/>
      <c r="M48" s="15" t="n"/>
      <c r="N48" s="285" t="n"/>
      <c r="O48" s="15" t="n"/>
      <c r="P48" s="15" t="n"/>
      <c r="Q48" s="285" t="n"/>
      <c r="R48" s="15" t="n"/>
      <c r="S48" s="15" t="n"/>
      <c r="T48" s="291" t="n"/>
      <c r="U48" s="15" t="n"/>
      <c r="V48" s="15" t="n"/>
      <c r="W48" s="291" t="n"/>
      <c r="X48" s="15" t="n"/>
      <c r="Y48" s="15" t="n"/>
      <c r="Z48" s="285" t="n"/>
      <c r="AA48" s="15" t="n"/>
      <c r="AB48" s="15" t="n"/>
      <c r="AC48" s="285" t="n"/>
      <c r="AD48" s="15" t="n"/>
      <c r="AE48" s="15" t="n"/>
      <c r="AF48" s="285" t="n"/>
      <c r="AG48" s="15" t="n"/>
      <c r="AH48" s="15" t="n"/>
      <c r="AI48" s="285" t="n"/>
      <c r="AJ48" s="15" t="n"/>
      <c r="AK48" s="15" t="n"/>
      <c r="AL48" s="285" t="n"/>
      <c r="AM48" s="327" t="n"/>
      <c r="AN48" s="15" t="n"/>
      <c r="AO48" s="285" t="n"/>
      <c r="AP48" s="327" t="n"/>
      <c r="AQ48" s="15" t="n"/>
      <c r="AR48" s="285" t="n"/>
      <c r="AS48" s="327" t="n"/>
      <c r="AT48" s="15" t="n"/>
      <c r="AU48" s="285" t="n"/>
      <c r="AV48" s="327" t="n"/>
      <c r="AW48" s="15" t="n"/>
      <c r="AX48" s="285" t="n"/>
      <c r="AY48" s="15" t="n"/>
      <c r="AZ48" s="15" t="n"/>
      <c r="BA48" s="287" t="n"/>
      <c r="BB48" s="37" t="n"/>
      <c r="BC48" s="287" t="n"/>
      <c r="BD48" s="37" t="n"/>
      <c r="BE48" s="287" t="n"/>
      <c r="BF48" s="37" t="n"/>
      <c r="BG48" s="287" t="n"/>
      <c r="BH48" s="37" t="n"/>
      <c r="BI48" s="288" t="n"/>
      <c r="BJ48" s="37" t="n"/>
      <c r="BK48" s="288" t="n"/>
      <c r="BL48" s="37" t="n"/>
      <c r="BM48" s="288" t="n"/>
      <c r="BN48" s="37" t="n"/>
      <c r="BO48" s="288" t="n"/>
      <c r="BP48" s="288" t="n"/>
      <c r="BQ48" s="37" t="n"/>
      <c r="BR48" s="288" t="n"/>
      <c r="BS48" s="37" t="n"/>
      <c r="BT48" s="288" t="n"/>
      <c r="BU48" s="37" t="n"/>
      <c r="BV48" s="288" t="n"/>
      <c r="BW48" s="37" t="n"/>
      <c r="BX48" s="288" t="n"/>
      <c r="BY48" s="37" t="n"/>
      <c r="BZ48" s="288" t="n"/>
      <c r="CA48" s="37" t="n"/>
      <c r="CB48" s="288" t="n"/>
      <c r="CC48" s="37" t="n"/>
      <c r="CD48" s="288" t="n"/>
      <c r="CE48" s="37" t="n"/>
      <c r="CF48" s="288" t="n"/>
      <c r="CG48" s="291" t="n"/>
      <c r="CH48" s="288" t="n"/>
      <c r="CI48" s="291" t="n"/>
      <c r="CJ48" s="288" t="n"/>
      <c r="CK48" s="291" t="n"/>
      <c r="CL48" s="288" t="n"/>
      <c r="CM48" s="291" t="n"/>
      <c r="CN48" s="288" t="n"/>
      <c r="CO48" s="80" t="n"/>
      <c r="CP48" s="288" t="n"/>
      <c r="CQ48" s="80" t="n"/>
      <c r="CR48" s="288" t="n"/>
      <c r="CS48" s="80" t="n"/>
      <c r="CT48" s="288" t="n"/>
      <c r="CU48" s="80" t="n"/>
      <c r="CV48" s="269" t="n"/>
      <c r="CW48" s="288" t="n"/>
      <c r="CX48" s="37" t="n"/>
      <c r="CY48" s="288" t="n"/>
      <c r="CZ48" s="37" t="n"/>
      <c r="DA48" s="288" t="n"/>
      <c r="DB48" s="37" t="n"/>
      <c r="DC48" s="288" t="n"/>
      <c r="DD48" s="37" t="n"/>
      <c r="DE48" s="295" t="n"/>
      <c r="DF48" s="295" t="n"/>
      <c r="DG48" s="79" t="n"/>
    </row>
    <row r="49">
      <c r="A49" s="428" t="n"/>
      <c r="B49" s="285" t="n"/>
      <c r="C49" s="15" t="n"/>
      <c r="D49" s="15" t="n"/>
      <c r="E49" s="285" t="n"/>
      <c r="F49" s="15" t="n"/>
      <c r="G49" s="15" t="n"/>
      <c r="H49" s="285" t="n"/>
      <c r="I49" s="15" t="n"/>
      <c r="J49" s="15" t="n"/>
      <c r="K49" s="285" t="n"/>
      <c r="L49" s="15" t="n"/>
      <c r="M49" s="15" t="n"/>
      <c r="N49" s="285" t="n"/>
      <c r="O49" s="15" t="n"/>
      <c r="P49" s="15" t="n"/>
      <c r="Q49" s="285" t="n"/>
      <c r="R49" s="15" t="n"/>
      <c r="S49" s="15" t="n"/>
      <c r="T49" s="291" t="n"/>
      <c r="U49" s="15" t="n"/>
      <c r="V49" s="15" t="n"/>
      <c r="W49" s="291" t="n"/>
      <c r="X49" s="15" t="n"/>
      <c r="Y49" s="15" t="n"/>
      <c r="Z49" s="285" t="n"/>
      <c r="AA49" s="15" t="n"/>
      <c r="AB49" s="15" t="n"/>
      <c r="AC49" s="285" t="n"/>
      <c r="AD49" s="15" t="n"/>
      <c r="AE49" s="15" t="n"/>
      <c r="AF49" s="285" t="n"/>
      <c r="AG49" s="15" t="n"/>
      <c r="AH49" s="15" t="n"/>
      <c r="AI49" s="285" t="n"/>
      <c r="AJ49" s="15" t="n"/>
      <c r="AK49" s="15" t="n"/>
      <c r="AL49" s="285" t="n"/>
      <c r="AM49" s="327" t="n"/>
      <c r="AN49" s="15" t="n"/>
      <c r="AO49" s="285" t="n"/>
      <c r="AP49" s="327" t="n"/>
      <c r="AQ49" s="15" t="n"/>
      <c r="AR49" s="285" t="n"/>
      <c r="AS49" s="327" t="n"/>
      <c r="AT49" s="15" t="n"/>
      <c r="AU49" s="285" t="n"/>
      <c r="AV49" s="327" t="n"/>
      <c r="AW49" s="15" t="n"/>
      <c r="AX49" s="285" t="n"/>
      <c r="AY49" s="15" t="n"/>
      <c r="AZ49" s="15" t="n"/>
      <c r="BA49" s="287" t="n"/>
      <c r="BB49" s="37" t="n"/>
      <c r="BC49" s="287" t="n"/>
      <c r="BD49" s="37" t="n"/>
      <c r="BE49" s="287" t="n"/>
      <c r="BF49" s="37" t="n"/>
      <c r="BG49" s="287" t="n"/>
      <c r="BH49" s="37" t="n"/>
      <c r="BI49" s="288" t="n"/>
      <c r="BJ49" s="37" t="n"/>
      <c r="BK49" s="288" t="n"/>
      <c r="BL49" s="37" t="n"/>
      <c r="BM49" s="288" t="n"/>
      <c r="BN49" s="37" t="n"/>
      <c r="BO49" s="288" t="n"/>
      <c r="BP49" s="288" t="n"/>
      <c r="BQ49" s="37" t="n"/>
      <c r="BR49" s="288" t="n"/>
      <c r="BS49" s="37" t="n"/>
      <c r="BT49" s="288" t="n"/>
      <c r="BU49" s="37" t="n"/>
      <c r="BV49" s="288" t="n"/>
      <c r="BW49" s="37" t="n"/>
      <c r="BX49" s="288" t="n"/>
      <c r="BY49" s="37" t="n"/>
      <c r="BZ49" s="288" t="n"/>
      <c r="CA49" s="37" t="n"/>
      <c r="CB49" s="288" t="n"/>
      <c r="CC49" s="37" t="n"/>
      <c r="CD49" s="288" t="n"/>
      <c r="CE49" s="37" t="n"/>
      <c r="CF49" s="288" t="n"/>
      <c r="CG49" s="291" t="n"/>
      <c r="CH49" s="288" t="n"/>
      <c r="CI49" s="291" t="n"/>
      <c r="CJ49" s="288" t="n"/>
      <c r="CK49" s="291" t="n"/>
      <c r="CL49" s="288" t="n"/>
      <c r="CM49" s="291" t="n"/>
      <c r="CN49" s="288" t="n"/>
      <c r="CO49" s="80" t="n"/>
      <c r="CP49" s="288" t="n"/>
      <c r="CQ49" s="80" t="n"/>
      <c r="CR49" s="288" t="n"/>
      <c r="CS49" s="80" t="n"/>
      <c r="CT49" s="288" t="n"/>
      <c r="CU49" s="80" t="n"/>
      <c r="CV49" s="269" t="n"/>
      <c r="CW49" s="288" t="n"/>
      <c r="CX49" s="37" t="n"/>
      <c r="CY49" s="288" t="n"/>
      <c r="CZ49" s="37" t="n"/>
      <c r="DA49" s="288" t="n"/>
      <c r="DB49" s="37" t="n"/>
      <c r="DC49" s="288" t="n"/>
      <c r="DD49" s="37" t="n"/>
      <c r="DE49" s="295" t="n"/>
      <c r="DF49" s="295" t="n"/>
      <c r="DG49" s="79" t="n"/>
    </row>
    <row r="50">
      <c r="A50" s="428" t="n"/>
      <c r="B50" s="285" t="n"/>
      <c r="C50" s="15" t="n"/>
      <c r="D50" s="15" t="n"/>
      <c r="E50" s="285" t="n"/>
      <c r="F50" s="15" t="n"/>
      <c r="G50" s="15" t="n"/>
      <c r="H50" s="285" t="n"/>
      <c r="I50" s="15" t="n"/>
      <c r="J50" s="15" t="n"/>
      <c r="K50" s="285" t="n"/>
      <c r="L50" s="15" t="n"/>
      <c r="M50" s="15" t="n"/>
      <c r="N50" s="285" t="n"/>
      <c r="O50" s="15" t="n"/>
      <c r="P50" s="15" t="n"/>
      <c r="Q50" s="285" t="n"/>
      <c r="R50" s="15" t="n"/>
      <c r="S50" s="15" t="n"/>
      <c r="T50" s="291" t="n"/>
      <c r="U50" s="15" t="n"/>
      <c r="V50" s="15" t="n"/>
      <c r="W50" s="291" t="n"/>
      <c r="X50" s="15" t="n"/>
      <c r="Y50" s="15" t="n"/>
      <c r="Z50" s="285" t="n"/>
      <c r="AA50" s="15" t="n"/>
      <c r="AB50" s="15" t="n"/>
      <c r="AC50" s="285" t="n"/>
      <c r="AD50" s="15" t="n"/>
      <c r="AE50" s="15" t="n"/>
      <c r="AF50" s="285" t="n"/>
      <c r="AG50" s="15" t="n"/>
      <c r="AH50" s="15" t="n"/>
      <c r="AI50" s="285" t="n"/>
      <c r="AJ50" s="15" t="n"/>
      <c r="AK50" s="15" t="n"/>
      <c r="AL50" s="285" t="n"/>
      <c r="AM50" s="327" t="n"/>
      <c r="AN50" s="15" t="n"/>
      <c r="AO50" s="285" t="n"/>
      <c r="AP50" s="327" t="n"/>
      <c r="AQ50" s="15" t="n"/>
      <c r="AR50" s="285" t="n"/>
      <c r="AS50" s="327" t="n"/>
      <c r="AT50" s="15" t="n"/>
      <c r="AU50" s="285" t="n"/>
      <c r="AV50" s="327" t="n"/>
      <c r="AW50" s="15" t="n"/>
      <c r="AX50" s="285" t="n"/>
      <c r="AY50" s="15" t="n"/>
      <c r="AZ50" s="15" t="n"/>
      <c r="BA50" s="287" t="n"/>
      <c r="BB50" s="37" t="n"/>
      <c r="BC50" s="287" t="n"/>
      <c r="BD50" s="37" t="n"/>
      <c r="BE50" s="287" t="n"/>
      <c r="BF50" s="37" t="n"/>
      <c r="BG50" s="287" t="n"/>
      <c r="BH50" s="37" t="n"/>
      <c r="BI50" s="288" t="n"/>
      <c r="BJ50" s="37" t="n"/>
      <c r="BK50" s="288" t="n"/>
      <c r="BL50" s="37" t="n"/>
      <c r="BM50" s="288" t="n"/>
      <c r="BN50" s="37" t="n"/>
      <c r="BO50" s="288" t="n"/>
      <c r="BP50" s="288" t="n"/>
      <c r="BQ50" s="37" t="n"/>
      <c r="BR50" s="288" t="n"/>
      <c r="BS50" s="37" t="n"/>
      <c r="BT50" s="288" t="n"/>
      <c r="BU50" s="37" t="n"/>
      <c r="BV50" s="288" t="n"/>
      <c r="BW50" s="37" t="n"/>
      <c r="BX50" s="288" t="n"/>
      <c r="BY50" s="37" t="n"/>
      <c r="BZ50" s="288" t="n"/>
      <c r="CA50" s="37" t="n"/>
      <c r="CB50" s="288" t="n"/>
      <c r="CC50" s="37" t="n"/>
      <c r="CD50" s="288" t="n"/>
      <c r="CE50" s="37" t="n"/>
      <c r="CF50" s="288" t="n"/>
      <c r="CG50" s="291" t="n"/>
      <c r="CH50" s="288" t="n"/>
      <c r="CI50" s="291" t="n"/>
      <c r="CJ50" s="288" t="n"/>
      <c r="CK50" s="291" t="n"/>
      <c r="CL50" s="288" t="n"/>
      <c r="CM50" s="291" t="n"/>
      <c r="CN50" s="288" t="n"/>
      <c r="CO50" s="80" t="n"/>
      <c r="CP50" s="288" t="n"/>
      <c r="CQ50" s="80" t="n"/>
      <c r="CR50" s="288" t="n"/>
      <c r="CS50" s="80" t="n"/>
      <c r="CT50" s="288" t="n"/>
      <c r="CU50" s="80" t="n"/>
      <c r="CV50" s="269" t="n"/>
      <c r="CW50" s="288" t="n"/>
      <c r="CX50" s="37" t="n"/>
      <c r="CY50" s="288" t="n"/>
      <c r="CZ50" s="37" t="n"/>
      <c r="DA50" s="288" t="n"/>
      <c r="DB50" s="37" t="n"/>
      <c r="DC50" s="288" t="n"/>
      <c r="DD50" s="37" t="n"/>
      <c r="DE50" s="295" t="n"/>
      <c r="DF50" s="295" t="n"/>
      <c r="DG50" s="79" t="n"/>
    </row>
    <row r="51">
      <c r="A51" s="428" t="n"/>
      <c r="B51" s="285" t="n"/>
      <c r="C51" s="15" t="n"/>
      <c r="D51" s="15" t="n"/>
      <c r="E51" s="285" t="n"/>
      <c r="F51" s="15" t="n"/>
      <c r="G51" s="15" t="n"/>
      <c r="H51" s="285" t="n"/>
      <c r="I51" s="15" t="n"/>
      <c r="J51" s="15" t="n"/>
      <c r="K51" s="285" t="n"/>
      <c r="L51" s="15" t="n"/>
      <c r="M51" s="15" t="n"/>
      <c r="N51" s="285" t="n"/>
      <c r="O51" s="15" t="n"/>
      <c r="P51" s="15" t="n"/>
      <c r="Q51" s="285" t="n"/>
      <c r="R51" s="15" t="n"/>
      <c r="S51" s="15" t="n"/>
      <c r="T51" s="291" t="n"/>
      <c r="U51" s="15" t="n"/>
      <c r="V51" s="15" t="n"/>
      <c r="W51" s="291" t="n"/>
      <c r="X51" s="15" t="n"/>
      <c r="Y51" s="15" t="n"/>
      <c r="Z51" s="285" t="n"/>
      <c r="AA51" s="15" t="n"/>
      <c r="AB51" s="15" t="n"/>
      <c r="AC51" s="285" t="n"/>
      <c r="AD51" s="15" t="n"/>
      <c r="AE51" s="15" t="n"/>
      <c r="AF51" s="285" t="n"/>
      <c r="AG51" s="15" t="n"/>
      <c r="AH51" s="15" t="n"/>
      <c r="AI51" s="285" t="n"/>
      <c r="AJ51" s="15" t="n"/>
      <c r="AK51" s="15" t="n"/>
      <c r="AL51" s="285" t="n"/>
      <c r="AM51" s="327" t="n"/>
      <c r="AN51" s="15" t="n"/>
      <c r="AO51" s="285" t="n"/>
      <c r="AP51" s="327" t="n"/>
      <c r="AQ51" s="15" t="n"/>
      <c r="AR51" s="285" t="n"/>
      <c r="AS51" s="327" t="n"/>
      <c r="AT51" s="15" t="n"/>
      <c r="AU51" s="285" t="n"/>
      <c r="AV51" s="327" t="n"/>
      <c r="AW51" s="15" t="n"/>
      <c r="AX51" s="285" t="n"/>
      <c r="AY51" s="15" t="n"/>
      <c r="AZ51" s="15" t="n"/>
      <c r="BA51" s="287" t="n"/>
      <c r="BB51" s="37" t="n"/>
      <c r="BC51" s="287" t="n"/>
      <c r="BD51" s="37" t="n"/>
      <c r="BE51" s="287" t="n"/>
      <c r="BF51" s="37" t="n"/>
      <c r="BG51" s="287" t="n"/>
      <c r="BH51" s="37" t="n"/>
      <c r="BI51" s="288" t="n"/>
      <c r="BJ51" s="37" t="n"/>
      <c r="BK51" s="288" t="n"/>
      <c r="BL51" s="37" t="n"/>
      <c r="BM51" s="288" t="n"/>
      <c r="BN51" s="37" t="n"/>
      <c r="BO51" s="288" t="n"/>
      <c r="BP51" s="288" t="n"/>
      <c r="BQ51" s="37" t="n"/>
      <c r="BR51" s="288" t="n"/>
      <c r="BS51" s="37" t="n"/>
      <c r="BT51" s="288" t="n"/>
      <c r="BU51" s="37" t="n"/>
      <c r="BV51" s="288" t="n"/>
      <c r="BW51" s="37" t="n"/>
      <c r="BX51" s="288" t="n"/>
      <c r="BY51" s="37" t="n"/>
      <c r="BZ51" s="288" t="n"/>
      <c r="CA51" s="37" t="n"/>
      <c r="CB51" s="288" t="n"/>
      <c r="CC51" s="37" t="n"/>
      <c r="CD51" s="288" t="n"/>
      <c r="CE51" s="37" t="n"/>
      <c r="CF51" s="288" t="n"/>
      <c r="CG51" s="291" t="n"/>
      <c r="CH51" s="288" t="n"/>
      <c r="CI51" s="291" t="n"/>
      <c r="CJ51" s="288" t="n"/>
      <c r="CK51" s="291" t="n"/>
      <c r="CL51" s="288" t="n"/>
      <c r="CM51" s="291" t="n"/>
      <c r="CN51" s="288" t="n"/>
      <c r="CO51" s="80" t="n"/>
      <c r="CP51" s="288" t="n"/>
      <c r="CQ51" s="80" t="n"/>
      <c r="CR51" s="288" t="n"/>
      <c r="CS51" s="80" t="n"/>
      <c r="CT51" s="288" t="n"/>
      <c r="CU51" s="80" t="n"/>
      <c r="CV51" s="269" t="n"/>
      <c r="CW51" s="288" t="n"/>
      <c r="CX51" s="37" t="n"/>
      <c r="CY51" s="288" t="n"/>
      <c r="CZ51" s="37" t="n"/>
      <c r="DA51" s="288" t="n"/>
      <c r="DB51" s="37" t="n"/>
      <c r="DC51" s="288" t="n"/>
      <c r="DD51" s="37" t="n"/>
      <c r="DE51" s="295" t="n"/>
      <c r="DF51" s="295" t="n"/>
      <c r="DG51" s="79" t="n"/>
    </row>
    <row r="52" ht="13" customFormat="1" customHeight="1" s="40">
      <c r="A52" s="330" t="n"/>
      <c r="B52" s="292" t="n"/>
      <c r="C52" s="15" t="n"/>
      <c r="D52" s="15" t="n"/>
      <c r="E52" s="292" t="n"/>
      <c r="F52" s="15" t="n"/>
      <c r="G52" s="15" t="n"/>
      <c r="H52" s="292" t="n"/>
      <c r="I52" s="15" t="n"/>
      <c r="J52" s="15" t="n"/>
      <c r="K52" s="292" t="n"/>
      <c r="L52" s="15" t="n"/>
      <c r="M52" s="15" t="n"/>
      <c r="N52" s="292" t="n"/>
      <c r="O52" s="15" t="n"/>
      <c r="P52" s="15" t="n"/>
      <c r="Q52" s="292" t="n"/>
      <c r="R52" s="15" t="n"/>
      <c r="S52" s="15" t="n"/>
      <c r="T52" s="291" t="n"/>
      <c r="U52" s="15" t="n"/>
      <c r="V52" s="15" t="n"/>
      <c r="W52" s="291" t="n"/>
      <c r="X52" s="15" t="n"/>
      <c r="Y52" s="15" t="n"/>
      <c r="Z52" s="292" t="n"/>
      <c r="AA52" s="15" t="n"/>
      <c r="AB52" s="15" t="n"/>
      <c r="AC52" s="292" t="n"/>
      <c r="AD52" s="15" t="n"/>
      <c r="AE52" s="15" t="n"/>
      <c r="AF52" s="292" t="n"/>
      <c r="AG52" s="15" t="n"/>
      <c r="AH52" s="15" t="n"/>
      <c r="AI52" s="292" t="n"/>
      <c r="AJ52" s="15" t="n"/>
      <c r="AK52" s="15" t="n"/>
      <c r="AL52" s="292" t="n"/>
      <c r="AM52" s="327" t="n"/>
      <c r="AN52" s="15" t="n"/>
      <c r="AO52" s="292" t="n"/>
      <c r="AP52" s="327" t="n"/>
      <c r="AQ52" s="15" t="n"/>
      <c r="AR52" s="292" t="n"/>
      <c r="AS52" s="327" t="n"/>
      <c r="AT52" s="15" t="n"/>
      <c r="AU52" s="292" t="n"/>
      <c r="AV52" s="327" t="n"/>
      <c r="AW52" s="15" t="n"/>
      <c r="AX52" s="292" t="n"/>
      <c r="AY52" s="15" t="n"/>
      <c r="AZ52" s="15" t="n"/>
      <c r="BA52" s="291" t="n"/>
      <c r="BB52" s="37" t="n"/>
      <c r="BC52" s="291" t="n"/>
      <c r="BD52" s="37" t="n"/>
      <c r="BE52" s="291" t="n"/>
      <c r="BF52" s="37" t="n"/>
      <c r="BG52" s="291" t="n"/>
      <c r="BH52" s="37" t="n"/>
      <c r="BI52" s="291" t="n"/>
      <c r="BJ52" s="37" t="n"/>
      <c r="BK52" s="291" t="n"/>
      <c r="BL52" s="37" t="n"/>
      <c r="BM52" s="291" t="n"/>
      <c r="BN52" s="37" t="n"/>
      <c r="BO52" s="291" t="n"/>
      <c r="BP52" s="291" t="n"/>
      <c r="BQ52" s="37" t="n"/>
      <c r="BR52" s="291" t="n"/>
      <c r="BS52" s="37" t="n"/>
      <c r="BT52" s="291" t="n"/>
      <c r="BU52" s="37" t="n"/>
      <c r="BV52" s="291" t="n"/>
      <c r="BW52" s="37" t="n"/>
      <c r="BX52" s="291" t="n"/>
      <c r="BY52" s="37" t="n"/>
      <c r="BZ52" s="291" t="n"/>
      <c r="CA52" s="37" t="n"/>
      <c r="CB52" s="291" t="n"/>
      <c r="CC52" s="37" t="n"/>
      <c r="CD52" s="291" t="n"/>
      <c r="CE52" s="37" t="n"/>
      <c r="CF52" s="291" t="n"/>
      <c r="CG52" s="291" t="n"/>
      <c r="CH52" s="291" t="n"/>
      <c r="CI52" s="291" t="n"/>
      <c r="CJ52" s="291" t="n"/>
      <c r="CK52" s="291" t="n"/>
      <c r="CL52" s="291" t="n"/>
      <c r="CM52" s="291" t="n"/>
      <c r="CN52" s="291" t="n"/>
      <c r="CO52" s="80" t="n"/>
      <c r="CP52" s="291" t="n"/>
      <c r="CQ52" s="80" t="n"/>
      <c r="CR52" s="291" t="n"/>
      <c r="CS52" s="80" t="n"/>
      <c r="CT52" s="291" t="n"/>
      <c r="CU52" s="80" t="n"/>
      <c r="CW52" s="291" t="n"/>
      <c r="CX52" s="37" t="n"/>
      <c r="CY52" s="291" t="n"/>
      <c r="CZ52" s="37" t="n"/>
      <c r="DA52" s="291" t="n"/>
      <c r="DB52" s="37" t="n"/>
      <c r="DC52" s="291" t="n"/>
      <c r="DD52" s="37" t="n"/>
      <c r="DE52" s="311" t="n"/>
      <c r="DF52" s="311" t="n"/>
    </row>
    <row r="53">
      <c r="A53" s="428" t="n"/>
      <c r="B53" s="285" t="n"/>
      <c r="C53" s="15" t="n"/>
      <c r="D53" s="15" t="n"/>
      <c r="E53" s="285" t="n"/>
      <c r="F53" s="15" t="n"/>
      <c r="G53" s="15" t="n"/>
      <c r="H53" s="285" t="n"/>
      <c r="I53" s="15" t="n"/>
      <c r="J53" s="15" t="n"/>
      <c r="K53" s="285" t="n"/>
      <c r="L53" s="15" t="n"/>
      <c r="M53" s="15" t="n"/>
      <c r="N53" s="285" t="n"/>
      <c r="O53" s="15" t="n"/>
      <c r="P53" s="15" t="n"/>
      <c r="Q53" s="285" t="n"/>
      <c r="R53" s="15" t="n"/>
      <c r="S53" s="15" t="n"/>
      <c r="T53" s="291" t="n"/>
      <c r="U53" s="15" t="n"/>
      <c r="V53" s="15" t="n"/>
      <c r="W53" s="291" t="n"/>
      <c r="X53" s="15" t="n"/>
      <c r="Y53" s="15" t="n"/>
      <c r="Z53" s="285" t="n"/>
      <c r="AA53" s="15" t="n"/>
      <c r="AB53" s="15" t="n"/>
      <c r="AC53" s="285" t="n"/>
      <c r="AD53" s="15" t="n"/>
      <c r="AE53" s="15" t="n"/>
      <c r="AF53" s="285" t="n"/>
      <c r="AG53" s="15" t="n"/>
      <c r="AH53" s="15" t="n"/>
      <c r="AI53" s="285" t="n"/>
      <c r="AJ53" s="15" t="n"/>
      <c r="AK53" s="15" t="n"/>
      <c r="AL53" s="285" t="n"/>
      <c r="AM53" s="327" t="n"/>
      <c r="AN53" s="15" t="n"/>
      <c r="AO53" s="285" t="n"/>
      <c r="AP53" s="327" t="n"/>
      <c r="AQ53" s="15" t="n"/>
      <c r="AR53" s="285" t="n"/>
      <c r="AS53" s="327" t="n"/>
      <c r="AT53" s="15" t="n"/>
      <c r="AU53" s="285" t="n"/>
      <c r="AV53" s="327" t="n"/>
      <c r="AW53" s="15" t="n"/>
      <c r="AX53" s="285" t="n"/>
      <c r="AY53" s="15" t="n"/>
      <c r="AZ53" s="15" t="n"/>
      <c r="BA53" s="287" t="n"/>
      <c r="BB53" s="37" t="n"/>
      <c r="BC53" s="287" t="n"/>
      <c r="BD53" s="37" t="n"/>
      <c r="BE53" s="287" t="n"/>
      <c r="BF53" s="37" t="n"/>
      <c r="BG53" s="287" t="n"/>
      <c r="BH53" s="37" t="n"/>
      <c r="BI53" s="288" t="n"/>
      <c r="BJ53" s="37" t="n"/>
      <c r="BK53" s="288" t="n"/>
      <c r="BL53" s="37" t="n"/>
      <c r="BM53" s="288" t="n"/>
      <c r="BN53" s="37" t="n"/>
      <c r="BO53" s="288" t="n"/>
      <c r="BP53" s="288" t="n"/>
      <c r="BQ53" s="37" t="n"/>
      <c r="BR53" s="288" t="n"/>
      <c r="BS53" s="37" t="n"/>
      <c r="BT53" s="288" t="n"/>
      <c r="BU53" s="37" t="n"/>
      <c r="BV53" s="288" t="n"/>
      <c r="BW53" s="37" t="n"/>
      <c r="BX53" s="288" t="n"/>
      <c r="BY53" s="37" t="n"/>
      <c r="BZ53" s="288" t="n"/>
      <c r="CA53" s="37" t="n"/>
      <c r="CB53" s="288" t="n"/>
      <c r="CC53" s="37" t="n"/>
      <c r="CD53" s="288" t="n"/>
      <c r="CE53" s="37" t="n"/>
      <c r="CF53" s="288" t="n"/>
      <c r="CG53" s="291" t="n"/>
      <c r="CH53" s="288" t="n"/>
      <c r="CI53" s="291" t="n"/>
      <c r="CJ53" s="288" t="n"/>
      <c r="CK53" s="291" t="n"/>
      <c r="CL53" s="288" t="n"/>
      <c r="CM53" s="291" t="n"/>
      <c r="CN53" s="288" t="n"/>
      <c r="CO53" s="80" t="n"/>
      <c r="CP53" s="288" t="n"/>
      <c r="CQ53" s="80" t="n"/>
      <c r="CR53" s="288" t="n"/>
      <c r="CS53" s="80" t="n"/>
      <c r="CT53" s="288" t="n"/>
      <c r="CU53" s="80" t="n"/>
      <c r="CV53" s="269" t="n"/>
      <c r="CW53" s="288" t="n"/>
      <c r="CX53" s="37" t="n"/>
      <c r="CY53" s="288" t="n"/>
      <c r="CZ53" s="37" t="n"/>
      <c r="DA53" s="288" t="n"/>
      <c r="DB53" s="37" t="n"/>
      <c r="DC53" s="288" t="n"/>
      <c r="DD53" s="37" t="n"/>
      <c r="DE53" s="295" t="n"/>
      <c r="DF53" s="295" t="n"/>
      <c r="DG53" s="79" t="n"/>
    </row>
    <row r="54">
      <c r="A54" s="428" t="n"/>
      <c r="B54" s="285" t="n"/>
      <c r="C54" s="15" t="n"/>
      <c r="D54" s="15" t="n"/>
      <c r="E54" s="285" t="n"/>
      <c r="F54" s="15" t="n"/>
      <c r="G54" s="15" t="n"/>
      <c r="H54" s="285" t="n"/>
      <c r="I54" s="15" t="n"/>
      <c r="J54" s="15" t="n"/>
      <c r="K54" s="285" t="n"/>
      <c r="L54" s="15" t="n"/>
      <c r="M54" s="15" t="n"/>
      <c r="N54" s="285" t="n"/>
      <c r="O54" s="15" t="n"/>
      <c r="P54" s="15" t="n"/>
      <c r="Q54" s="285" t="n"/>
      <c r="R54" s="15" t="n"/>
      <c r="S54" s="15" t="n"/>
      <c r="T54" s="291" t="n"/>
      <c r="U54" s="15" t="n"/>
      <c r="V54" s="15" t="n"/>
      <c r="W54" s="291" t="n"/>
      <c r="X54" s="15" t="n"/>
      <c r="Y54" s="15" t="n"/>
      <c r="Z54" s="285" t="n"/>
      <c r="AA54" s="15" t="n"/>
      <c r="AB54" s="15" t="n"/>
      <c r="AC54" s="285" t="n"/>
      <c r="AD54" s="15" t="n"/>
      <c r="AE54" s="15" t="n"/>
      <c r="AF54" s="285" t="n"/>
      <c r="AG54" s="15" t="n"/>
      <c r="AH54" s="15" t="n"/>
      <c r="AI54" s="285" t="n"/>
      <c r="AJ54" s="15" t="n"/>
      <c r="AK54" s="15" t="n"/>
      <c r="AL54" s="285" t="n"/>
      <c r="AM54" s="327" t="n"/>
      <c r="AN54" s="15" t="n"/>
      <c r="AO54" s="285" t="n"/>
      <c r="AP54" s="327" t="n"/>
      <c r="AQ54" s="15" t="n"/>
      <c r="AR54" s="285" t="n"/>
      <c r="AS54" s="327" t="n"/>
      <c r="AT54" s="15" t="n"/>
      <c r="AU54" s="285" t="n"/>
      <c r="AV54" s="327" t="n"/>
      <c r="AW54" s="15" t="n"/>
      <c r="AX54" s="285" t="n"/>
      <c r="AY54" s="15" t="n"/>
      <c r="AZ54" s="15" t="n"/>
      <c r="BA54" s="287" t="n"/>
      <c r="BB54" s="37" t="n"/>
      <c r="BC54" s="287" t="n"/>
      <c r="BD54" s="37" t="n"/>
      <c r="BE54" s="287" t="n"/>
      <c r="BF54" s="37" t="n"/>
      <c r="BG54" s="287" t="n"/>
      <c r="BH54" s="37" t="n"/>
      <c r="BI54" s="288" t="n"/>
      <c r="BJ54" s="37" t="n"/>
      <c r="BK54" s="288" t="n"/>
      <c r="BL54" s="37" t="n"/>
      <c r="BM54" s="288" t="n"/>
      <c r="BN54" s="37" t="n"/>
      <c r="BO54" s="288" t="n"/>
      <c r="BP54" s="288" t="n"/>
      <c r="BQ54" s="37" t="n"/>
      <c r="BR54" s="288" t="n"/>
      <c r="BS54" s="37" t="n"/>
      <c r="BT54" s="288" t="n"/>
      <c r="BU54" s="37" t="n"/>
      <c r="BV54" s="288" t="n"/>
      <c r="BW54" s="37" t="n"/>
      <c r="BX54" s="288" t="n"/>
      <c r="BY54" s="37" t="n"/>
      <c r="BZ54" s="288" t="n"/>
      <c r="CA54" s="37" t="n"/>
      <c r="CB54" s="288" t="n"/>
      <c r="CC54" s="37" t="n"/>
      <c r="CD54" s="288" t="n"/>
      <c r="CE54" s="37" t="n"/>
      <c r="CF54" s="288" t="n"/>
      <c r="CG54" s="291" t="n"/>
      <c r="CH54" s="288" t="n"/>
      <c r="CI54" s="291" t="n"/>
      <c r="CJ54" s="288" t="n"/>
      <c r="CK54" s="291" t="n"/>
      <c r="CL54" s="288" t="n"/>
      <c r="CM54" s="291" t="n"/>
      <c r="CN54" s="288" t="n"/>
      <c r="CO54" s="80" t="n"/>
      <c r="CP54" s="288" t="n"/>
      <c r="CQ54" s="80" t="n"/>
      <c r="CR54" s="288" t="n"/>
      <c r="CS54" s="80" t="n"/>
      <c r="CT54" s="288" t="n"/>
      <c r="CU54" s="80" t="n"/>
      <c r="CV54" s="269" t="n"/>
      <c r="CW54" s="288" t="n"/>
      <c r="CX54" s="37" t="n"/>
      <c r="CY54" s="288" t="n"/>
      <c r="CZ54" s="37" t="n"/>
      <c r="DA54" s="288" t="n"/>
      <c r="DB54" s="37" t="n"/>
      <c r="DC54" s="288" t="n"/>
      <c r="DD54" s="37" t="n"/>
      <c r="DE54" s="295" t="n"/>
      <c r="DF54" s="295" t="n"/>
      <c r="DG54" s="79" t="n"/>
    </row>
    <row r="55">
      <c r="A55" s="428" t="n"/>
      <c r="B55" s="285" t="n"/>
      <c r="C55" s="15" t="n"/>
      <c r="D55" s="15" t="n"/>
      <c r="E55" s="285" t="n"/>
      <c r="F55" s="15" t="n"/>
      <c r="G55" s="15" t="n"/>
      <c r="H55" s="285" t="n"/>
      <c r="I55" s="15" t="n"/>
      <c r="J55" s="15" t="n"/>
      <c r="K55" s="285" t="n"/>
      <c r="L55" s="15" t="n"/>
      <c r="M55" s="15" t="n"/>
      <c r="N55" s="285" t="n"/>
      <c r="O55" s="15" t="n"/>
      <c r="P55" s="15" t="n"/>
      <c r="Q55" s="285" t="n"/>
      <c r="R55" s="15" t="n"/>
      <c r="S55" s="15" t="n"/>
      <c r="T55" s="291" t="n"/>
      <c r="U55" s="15" t="n"/>
      <c r="V55" s="15" t="n"/>
      <c r="W55" s="291" t="n"/>
      <c r="X55" s="15" t="n"/>
      <c r="Y55" s="15" t="n"/>
      <c r="Z55" s="285" t="n"/>
      <c r="AA55" s="15" t="n"/>
      <c r="AB55" s="15" t="n"/>
      <c r="AC55" s="285" t="n"/>
      <c r="AD55" s="15" t="n"/>
      <c r="AE55" s="15" t="n"/>
      <c r="AF55" s="285" t="n"/>
      <c r="AG55" s="15" t="n"/>
      <c r="AH55" s="15" t="n"/>
      <c r="AI55" s="285" t="n"/>
      <c r="AJ55" s="15" t="n"/>
      <c r="AK55" s="15" t="n"/>
      <c r="AL55" s="285" t="n"/>
      <c r="AM55" s="327" t="n"/>
      <c r="AN55" s="15" t="n"/>
      <c r="AO55" s="285" t="n"/>
      <c r="AP55" s="327" t="n"/>
      <c r="AQ55" s="15" t="n"/>
      <c r="AR55" s="285" t="n"/>
      <c r="AS55" s="327" t="n"/>
      <c r="AT55" s="15" t="n"/>
      <c r="AU55" s="285" t="n"/>
      <c r="AV55" s="327" t="n"/>
      <c r="AW55" s="15" t="n"/>
      <c r="AX55" s="285" t="n"/>
      <c r="AY55" s="15" t="n"/>
      <c r="AZ55" s="15" t="n"/>
      <c r="BA55" s="287" t="n"/>
      <c r="BB55" s="37" t="n"/>
      <c r="BC55" s="287" t="n"/>
      <c r="BD55" s="37" t="n"/>
      <c r="BE55" s="287" t="n"/>
      <c r="BF55" s="37" t="n"/>
      <c r="BG55" s="287" t="n"/>
      <c r="BH55" s="37" t="n"/>
      <c r="BI55" s="288" t="n"/>
      <c r="BJ55" s="37" t="n"/>
      <c r="BK55" s="288" t="n"/>
      <c r="BL55" s="37" t="n"/>
      <c r="BM55" s="288" t="n"/>
      <c r="BN55" s="37" t="n"/>
      <c r="BO55" s="288" t="n"/>
      <c r="BP55" s="288" t="n"/>
      <c r="BQ55" s="37" t="n"/>
      <c r="BR55" s="288" t="n"/>
      <c r="BS55" s="37" t="n"/>
      <c r="BT55" s="288" t="n"/>
      <c r="BU55" s="37" t="n"/>
      <c r="BV55" s="288" t="n"/>
      <c r="BW55" s="37" t="n"/>
      <c r="BX55" s="288" t="n"/>
      <c r="BY55" s="37" t="n"/>
      <c r="BZ55" s="288" t="n"/>
      <c r="CA55" s="37" t="n"/>
      <c r="CB55" s="288" t="n"/>
      <c r="CC55" s="37" t="n"/>
      <c r="CD55" s="288" t="n"/>
      <c r="CE55" s="37" t="n"/>
      <c r="CF55" s="288" t="n"/>
      <c r="CG55" s="291" t="n"/>
      <c r="CH55" s="288" t="n"/>
      <c r="CI55" s="291" t="n"/>
      <c r="CJ55" s="288" t="n"/>
      <c r="CK55" s="291" t="n"/>
      <c r="CL55" s="288" t="n"/>
      <c r="CM55" s="291" t="n"/>
      <c r="CN55" s="288" t="n"/>
      <c r="CO55" s="80" t="n"/>
      <c r="CP55" s="288" t="n"/>
      <c r="CQ55" s="80" t="n"/>
      <c r="CR55" s="288" t="n"/>
      <c r="CS55" s="80" t="n"/>
      <c r="CT55" s="288" t="n"/>
      <c r="CU55" s="80" t="n"/>
      <c r="CV55" s="269" t="n"/>
      <c r="CW55" s="288" t="n"/>
      <c r="CX55" s="37" t="n"/>
      <c r="CY55" s="288" t="n"/>
      <c r="CZ55" s="37" t="n"/>
      <c r="DA55" s="288" t="n"/>
      <c r="DB55" s="37" t="n"/>
      <c r="DC55" s="288" t="n"/>
      <c r="DD55" s="37" t="n"/>
      <c r="DE55" s="295" t="n"/>
      <c r="DF55" s="295" t="n"/>
      <c r="DG55" s="79" t="n"/>
    </row>
    <row r="56">
      <c r="A56" s="428" t="n"/>
      <c r="B56" s="285" t="n"/>
      <c r="C56" s="15" t="n"/>
      <c r="D56" s="15" t="n"/>
      <c r="E56" s="285" t="n"/>
      <c r="F56" s="15" t="n"/>
      <c r="G56" s="15" t="n"/>
      <c r="H56" s="285" t="n"/>
      <c r="I56" s="15" t="n"/>
      <c r="J56" s="15" t="n"/>
      <c r="K56" s="285" t="n"/>
      <c r="L56" s="15" t="n"/>
      <c r="M56" s="15" t="n"/>
      <c r="N56" s="285" t="n"/>
      <c r="O56" s="15" t="n"/>
      <c r="P56" s="15" t="n"/>
      <c r="Q56" s="285" t="n"/>
      <c r="R56" s="15" t="n"/>
      <c r="S56" s="15" t="n"/>
      <c r="T56" s="291" t="n"/>
      <c r="U56" s="15" t="n"/>
      <c r="V56" s="15" t="n"/>
      <c r="W56" s="291" t="n"/>
      <c r="X56" s="15" t="n"/>
      <c r="Y56" s="15" t="n"/>
      <c r="Z56" s="285" t="n"/>
      <c r="AA56" s="15" t="n"/>
      <c r="AB56" s="15" t="n"/>
      <c r="AC56" s="285" t="n"/>
      <c r="AD56" s="15" t="n"/>
      <c r="AE56" s="15" t="n"/>
      <c r="AF56" s="285" t="n"/>
      <c r="AG56" s="15" t="n"/>
      <c r="AH56" s="15" t="n"/>
      <c r="AI56" s="285" t="n"/>
      <c r="AJ56" s="15" t="n"/>
      <c r="AK56" s="15" t="n"/>
      <c r="AL56" s="285" t="n"/>
      <c r="AM56" s="327" t="n"/>
      <c r="AN56" s="15" t="n"/>
      <c r="AO56" s="285" t="n"/>
      <c r="AP56" s="327" t="n"/>
      <c r="AQ56" s="15" t="n"/>
      <c r="AR56" s="285" t="n"/>
      <c r="AS56" s="327" t="n"/>
      <c r="AT56" s="15" t="n"/>
      <c r="AU56" s="285" t="n"/>
      <c r="AV56" s="327" t="n"/>
      <c r="AW56" s="15" t="n"/>
      <c r="AX56" s="285" t="n"/>
      <c r="AY56" s="15" t="n"/>
      <c r="AZ56" s="15" t="n"/>
      <c r="BA56" s="287" t="n"/>
      <c r="BB56" s="37" t="n"/>
      <c r="BC56" s="287" t="n"/>
      <c r="BD56" s="37" t="n"/>
      <c r="BE56" s="287" t="n"/>
      <c r="BF56" s="37" t="n"/>
      <c r="BG56" s="287" t="n"/>
      <c r="BH56" s="37" t="n"/>
      <c r="BI56" s="288" t="n"/>
      <c r="BJ56" s="37" t="n"/>
      <c r="BK56" s="288" t="n"/>
      <c r="BL56" s="37" t="n"/>
      <c r="BM56" s="288" t="n"/>
      <c r="BN56" s="37" t="n"/>
      <c r="BO56" s="288" t="n"/>
      <c r="BP56" s="288" t="n"/>
      <c r="BQ56" s="37" t="n"/>
      <c r="BR56" s="288" t="n"/>
      <c r="BS56" s="37" t="n"/>
      <c r="BT56" s="288" t="n"/>
      <c r="BU56" s="37" t="n"/>
      <c r="BV56" s="288" t="n"/>
      <c r="BW56" s="37" t="n"/>
      <c r="BX56" s="288" t="n"/>
      <c r="BY56" s="37" t="n"/>
      <c r="BZ56" s="288" t="n"/>
      <c r="CA56" s="37" t="n"/>
      <c r="CB56" s="288" t="n"/>
      <c r="CC56" s="37" t="n"/>
      <c r="CD56" s="288" t="n"/>
      <c r="CE56" s="37" t="n"/>
      <c r="CF56" s="288" t="n"/>
      <c r="CG56" s="291" t="n"/>
      <c r="CH56" s="288" t="n"/>
      <c r="CI56" s="291" t="n"/>
      <c r="CJ56" s="288" t="n"/>
      <c r="CK56" s="291" t="n"/>
      <c r="CL56" s="288" t="n"/>
      <c r="CM56" s="291" t="n"/>
      <c r="CN56" s="288" t="n"/>
      <c r="CO56" s="80" t="n"/>
      <c r="CP56" s="288" t="n"/>
      <c r="CQ56" s="80" t="n"/>
      <c r="CR56" s="288" t="n"/>
      <c r="CS56" s="80" t="n"/>
      <c r="CT56" s="288" t="n"/>
      <c r="CU56" s="80" t="n"/>
      <c r="CV56" s="269" t="n"/>
      <c r="CW56" s="288" t="n"/>
      <c r="CX56" s="37" t="n"/>
      <c r="CY56" s="288" t="n"/>
      <c r="CZ56" s="37" t="n"/>
      <c r="DA56" s="288" t="n"/>
      <c r="DB56" s="37" t="n"/>
      <c r="DC56" s="288" t="n"/>
      <c r="DD56" s="37" t="n"/>
      <c r="DE56" s="295" t="n"/>
      <c r="DF56" s="295" t="n"/>
      <c r="DG56" s="79" t="n"/>
    </row>
    <row r="57">
      <c r="A57" s="428" t="n"/>
      <c r="B57" s="285" t="n"/>
      <c r="C57" s="15" t="n"/>
      <c r="D57" s="15" t="n"/>
      <c r="E57" s="285" t="n"/>
      <c r="F57" s="15" t="n"/>
      <c r="G57" s="15" t="n"/>
      <c r="H57" s="285" t="n"/>
      <c r="I57" s="15" t="n"/>
      <c r="J57" s="15" t="n"/>
      <c r="K57" s="285" t="n"/>
      <c r="L57" s="15" t="n"/>
      <c r="M57" s="15" t="n"/>
      <c r="N57" s="285" t="n"/>
      <c r="O57" s="15" t="n"/>
      <c r="P57" s="15" t="n"/>
      <c r="Q57" s="285" t="n"/>
      <c r="R57" s="15" t="n"/>
      <c r="S57" s="15" t="n"/>
      <c r="T57" s="291" t="n"/>
      <c r="U57" s="15" t="n"/>
      <c r="V57" s="15" t="n"/>
      <c r="W57" s="291" t="n"/>
      <c r="X57" s="15" t="n"/>
      <c r="Y57" s="15" t="n"/>
      <c r="Z57" s="285" t="n"/>
      <c r="AA57" s="15" t="n"/>
      <c r="AB57" s="15" t="n"/>
      <c r="AC57" s="285" t="n"/>
      <c r="AD57" s="15" t="n"/>
      <c r="AE57" s="15" t="n"/>
      <c r="AF57" s="285" t="n"/>
      <c r="AG57" s="15" t="n"/>
      <c r="AH57" s="15" t="n"/>
      <c r="AI57" s="285" t="n"/>
      <c r="AJ57" s="15" t="n"/>
      <c r="AK57" s="15" t="n"/>
      <c r="AL57" s="285" t="n"/>
      <c r="AM57" s="327" t="n"/>
      <c r="AN57" s="15" t="n"/>
      <c r="AO57" s="285" t="n"/>
      <c r="AP57" s="327" t="n"/>
      <c r="AQ57" s="15" t="n"/>
      <c r="AR57" s="285" t="n"/>
      <c r="AS57" s="327" t="n"/>
      <c r="AT57" s="15" t="n"/>
      <c r="AU57" s="285" t="n"/>
      <c r="AV57" s="327" t="n"/>
      <c r="AW57" s="15" t="n"/>
      <c r="AX57" s="285" t="n"/>
      <c r="AY57" s="15" t="n"/>
      <c r="AZ57" s="15" t="n"/>
      <c r="BA57" s="287" t="n"/>
      <c r="BB57" s="37" t="n"/>
      <c r="BC57" s="287" t="n"/>
      <c r="BD57" s="37" t="n"/>
      <c r="BE57" s="287" t="n"/>
      <c r="BF57" s="37" t="n"/>
      <c r="BG57" s="287" t="n"/>
      <c r="BH57" s="37" t="n"/>
      <c r="BI57" s="288" t="n"/>
      <c r="BJ57" s="37" t="n"/>
      <c r="BK57" s="288" t="n"/>
      <c r="BL57" s="37" t="n"/>
      <c r="BM57" s="288" t="n"/>
      <c r="BN57" s="37" t="n"/>
      <c r="BO57" s="288" t="n"/>
      <c r="BP57" s="288" t="n"/>
      <c r="BQ57" s="37" t="n"/>
      <c r="BR57" s="288" t="n"/>
      <c r="BS57" s="37" t="n"/>
      <c r="BT57" s="288" t="n"/>
      <c r="BU57" s="37" t="n"/>
      <c r="BV57" s="288" t="n"/>
      <c r="BW57" s="37" t="n"/>
      <c r="BX57" s="288" t="n"/>
      <c r="BY57" s="37" t="n"/>
      <c r="BZ57" s="288" t="n"/>
      <c r="CA57" s="37" t="n"/>
      <c r="CB57" s="288" t="n"/>
      <c r="CC57" s="37" t="n"/>
      <c r="CD57" s="288" t="n"/>
      <c r="CE57" s="37" t="n"/>
      <c r="CF57" s="288" t="n"/>
      <c r="CG57" s="291" t="n"/>
      <c r="CH57" s="288" t="n"/>
      <c r="CI57" s="291" t="n"/>
      <c r="CJ57" s="288" t="n"/>
      <c r="CK57" s="291" t="n"/>
      <c r="CL57" s="288" t="n"/>
      <c r="CM57" s="291" t="n"/>
      <c r="CN57" s="288" t="n"/>
      <c r="CO57" s="80" t="n"/>
      <c r="CP57" s="288" t="n"/>
      <c r="CQ57" s="80" t="n"/>
      <c r="CR57" s="288" t="n"/>
      <c r="CS57" s="80" t="n"/>
      <c r="CT57" s="288" t="n"/>
      <c r="CU57" s="80" t="n"/>
      <c r="CV57" s="269" t="n"/>
      <c r="CW57" s="288" t="n"/>
      <c r="CX57" s="37" t="n"/>
      <c r="CY57" s="288" t="n"/>
      <c r="CZ57" s="37" t="n"/>
      <c r="DA57" s="288" t="n"/>
      <c r="DB57" s="37" t="n"/>
      <c r="DC57" s="288" t="n"/>
      <c r="DD57" s="37" t="n"/>
      <c r="DE57" s="295" t="n"/>
      <c r="DF57" s="295" t="n"/>
      <c r="DG57" s="79" t="n"/>
    </row>
    <row r="58">
      <c r="A58" s="428" t="n"/>
      <c r="B58" s="285" t="n"/>
      <c r="C58" s="15" t="n"/>
      <c r="D58" s="15" t="n"/>
      <c r="E58" s="285" t="n"/>
      <c r="F58" s="15" t="n"/>
      <c r="G58" s="15" t="n"/>
      <c r="H58" s="285" t="n"/>
      <c r="I58" s="15" t="n"/>
      <c r="J58" s="15" t="n"/>
      <c r="K58" s="285" t="n"/>
      <c r="L58" s="15" t="n"/>
      <c r="M58" s="15" t="n"/>
      <c r="N58" s="285" t="n"/>
      <c r="O58" s="15" t="n"/>
      <c r="P58" s="15" t="n"/>
      <c r="Q58" s="285" t="n"/>
      <c r="R58" s="15" t="n"/>
      <c r="S58" s="15" t="n"/>
      <c r="T58" s="291" t="n"/>
      <c r="U58" s="15" t="n"/>
      <c r="V58" s="15" t="n"/>
      <c r="W58" s="291" t="n"/>
      <c r="X58" s="15" t="n"/>
      <c r="Y58" s="15" t="n"/>
      <c r="Z58" s="285" t="n"/>
      <c r="AA58" s="15" t="n"/>
      <c r="AB58" s="15" t="n"/>
      <c r="AC58" s="285" t="n"/>
      <c r="AD58" s="15" t="n"/>
      <c r="AE58" s="15" t="n"/>
      <c r="AF58" s="285" t="n"/>
      <c r="AG58" s="15" t="n"/>
      <c r="AH58" s="15" t="n"/>
      <c r="AI58" s="285" t="n"/>
      <c r="AJ58" s="15" t="n"/>
      <c r="AK58" s="15" t="n"/>
      <c r="AL58" s="285" t="n"/>
      <c r="AM58" s="327" t="n"/>
      <c r="AN58" s="15" t="n"/>
      <c r="AO58" s="285" t="n"/>
      <c r="AP58" s="327" t="n"/>
      <c r="AQ58" s="15" t="n"/>
      <c r="AR58" s="285" t="n"/>
      <c r="AS58" s="327" t="n"/>
      <c r="AT58" s="15" t="n"/>
      <c r="AU58" s="285" t="n"/>
      <c r="AV58" s="327" t="n"/>
      <c r="AW58" s="15" t="n"/>
      <c r="AX58" s="285" t="n"/>
      <c r="AY58" s="15" t="n"/>
      <c r="AZ58" s="15" t="n"/>
      <c r="BA58" s="287" t="n"/>
      <c r="BB58" s="37" t="n"/>
      <c r="BC58" s="287" t="n"/>
      <c r="BD58" s="37" t="n"/>
      <c r="BE58" s="287" t="n"/>
      <c r="BF58" s="37" t="n"/>
      <c r="BG58" s="287" t="n"/>
      <c r="BH58" s="37" t="n"/>
      <c r="BI58" s="288" t="n"/>
      <c r="BJ58" s="37" t="n"/>
      <c r="BK58" s="288" t="n"/>
      <c r="BL58" s="37" t="n"/>
      <c r="BM58" s="288" t="n"/>
      <c r="BN58" s="37" t="n"/>
      <c r="BO58" s="288" t="n"/>
      <c r="BP58" s="288" t="n"/>
      <c r="BQ58" s="37" t="n"/>
      <c r="BR58" s="288" t="n"/>
      <c r="BS58" s="37" t="n"/>
      <c r="BT58" s="288" t="n"/>
      <c r="BU58" s="37" t="n"/>
      <c r="BV58" s="288" t="n"/>
      <c r="BW58" s="37" t="n"/>
      <c r="BX58" s="288" t="n"/>
      <c r="BY58" s="37" t="n"/>
      <c r="BZ58" s="288" t="n"/>
      <c r="CA58" s="37" t="n"/>
      <c r="CB58" s="288" t="n"/>
      <c r="CC58" s="37" t="n"/>
      <c r="CD58" s="288" t="n"/>
      <c r="CE58" s="37" t="n"/>
      <c r="CF58" s="288" t="n"/>
      <c r="CG58" s="291" t="n"/>
      <c r="CH58" s="288" t="n"/>
      <c r="CI58" s="291" t="n"/>
      <c r="CJ58" s="288" t="n"/>
      <c r="CK58" s="291" t="n"/>
      <c r="CL58" s="288" t="n"/>
      <c r="CM58" s="291" t="n"/>
      <c r="CN58" s="288" t="n"/>
      <c r="CO58" s="80" t="n"/>
      <c r="CP58" s="288" t="n"/>
      <c r="CQ58" s="80" t="n"/>
      <c r="CR58" s="288" t="n"/>
      <c r="CS58" s="80" t="n"/>
      <c r="CT58" s="288" t="n"/>
      <c r="CU58" s="80" t="n"/>
      <c r="CV58" s="269" t="n"/>
      <c r="CW58" s="288" t="n"/>
      <c r="CX58" s="37" t="n"/>
      <c r="CY58" s="288" t="n"/>
      <c r="CZ58" s="37" t="n"/>
      <c r="DA58" s="288" t="n"/>
      <c r="DB58" s="37" t="n"/>
      <c r="DC58" s="288" t="n"/>
      <c r="DD58" s="37" t="n"/>
      <c r="DE58" s="295" t="n"/>
      <c r="DF58" s="295" t="n"/>
      <c r="DG58" s="79" t="n"/>
    </row>
    <row r="59">
      <c r="A59" s="428" t="n"/>
      <c r="B59" s="285" t="n"/>
      <c r="C59" s="15" t="n"/>
      <c r="D59" s="15" t="n"/>
      <c r="E59" s="285" t="n"/>
      <c r="F59" s="15" t="n"/>
      <c r="G59" s="15" t="n"/>
      <c r="H59" s="285" t="n"/>
      <c r="I59" s="15" t="n"/>
      <c r="J59" s="15" t="n"/>
      <c r="K59" s="285" t="n"/>
      <c r="L59" s="15" t="n"/>
      <c r="M59" s="15" t="n"/>
      <c r="N59" s="285" t="n"/>
      <c r="O59" s="15" t="n"/>
      <c r="P59" s="15" t="n"/>
      <c r="Q59" s="285" t="n"/>
      <c r="R59" s="15" t="n"/>
      <c r="S59" s="15" t="n"/>
      <c r="T59" s="291" t="n"/>
      <c r="U59" s="15" t="n"/>
      <c r="V59" s="15" t="n"/>
      <c r="W59" s="291" t="n"/>
      <c r="X59" s="15" t="n"/>
      <c r="Y59" s="15" t="n"/>
      <c r="Z59" s="285" t="n"/>
      <c r="AA59" s="15" t="n"/>
      <c r="AB59" s="15" t="n"/>
      <c r="AC59" s="285" t="n"/>
      <c r="AD59" s="15" t="n"/>
      <c r="AE59" s="15" t="n"/>
      <c r="AF59" s="285" t="n"/>
      <c r="AG59" s="15" t="n"/>
      <c r="AH59" s="15" t="n"/>
      <c r="AI59" s="285" t="n"/>
      <c r="AJ59" s="15" t="n"/>
      <c r="AK59" s="15" t="n"/>
      <c r="AL59" s="285" t="n"/>
      <c r="AM59" s="327" t="n"/>
      <c r="AN59" s="15" t="n"/>
      <c r="AO59" s="285" t="n"/>
      <c r="AP59" s="327" t="n"/>
      <c r="AQ59" s="15" t="n"/>
      <c r="AR59" s="285" t="n"/>
      <c r="AS59" s="327" t="n"/>
      <c r="AT59" s="15" t="n"/>
      <c r="AU59" s="285" t="n"/>
      <c r="AV59" s="327" t="n"/>
      <c r="AW59" s="15" t="n"/>
      <c r="AX59" s="285" t="n"/>
      <c r="AY59" s="15" t="n"/>
      <c r="AZ59" s="15" t="n"/>
      <c r="BA59" s="287" t="n"/>
      <c r="BB59" s="37" t="n"/>
      <c r="BC59" s="287" t="n"/>
      <c r="BD59" s="37" t="n"/>
      <c r="BE59" s="287" t="n"/>
      <c r="BF59" s="37" t="n"/>
      <c r="BG59" s="287" t="n"/>
      <c r="BH59" s="37" t="n"/>
      <c r="BI59" s="288" t="n"/>
      <c r="BJ59" s="37" t="n"/>
      <c r="BK59" s="288" t="n"/>
      <c r="BL59" s="37" t="n"/>
      <c r="BM59" s="288" t="n"/>
      <c r="BN59" s="37" t="n"/>
      <c r="BO59" s="288" t="n"/>
      <c r="BP59" s="288" t="n"/>
      <c r="BQ59" s="37" t="n"/>
      <c r="BR59" s="288" t="n"/>
      <c r="BS59" s="37" t="n"/>
      <c r="BT59" s="288" t="n"/>
      <c r="BU59" s="37" t="n"/>
      <c r="BV59" s="288" t="n"/>
      <c r="BW59" s="37" t="n"/>
      <c r="BX59" s="288" t="n"/>
      <c r="BY59" s="37" t="n"/>
      <c r="BZ59" s="288" t="n"/>
      <c r="CA59" s="37" t="n"/>
      <c r="CB59" s="288" t="n"/>
      <c r="CC59" s="37" t="n"/>
      <c r="CD59" s="288" t="n"/>
      <c r="CE59" s="37" t="n"/>
      <c r="CF59" s="288" t="n"/>
      <c r="CG59" s="291" t="n"/>
      <c r="CH59" s="288" t="n"/>
      <c r="CI59" s="291" t="n"/>
      <c r="CJ59" s="288" t="n"/>
      <c r="CK59" s="291" t="n"/>
      <c r="CL59" s="288" t="n"/>
      <c r="CM59" s="291" t="n"/>
      <c r="CN59" s="288" t="n"/>
      <c r="CO59" s="80" t="n"/>
      <c r="CP59" s="288" t="n"/>
      <c r="CQ59" s="80" t="n"/>
      <c r="CR59" s="288" t="n"/>
      <c r="CS59" s="80" t="n"/>
      <c r="CT59" s="288" t="n"/>
      <c r="CU59" s="80" t="n"/>
      <c r="CV59" s="269" t="n"/>
      <c r="CW59" s="288" t="n"/>
      <c r="CX59" s="37" t="n"/>
      <c r="CY59" s="288" t="n"/>
      <c r="CZ59" s="37" t="n"/>
      <c r="DA59" s="288" t="n"/>
      <c r="DB59" s="37" t="n"/>
      <c r="DC59" s="288" t="n"/>
      <c r="DD59" s="37" t="n"/>
      <c r="DE59" s="295" t="n"/>
      <c r="DF59" s="295" t="n"/>
      <c r="DG59" s="296" t="n"/>
    </row>
    <row r="60">
      <c r="A60" s="428" t="n"/>
      <c r="B60" s="285" t="n"/>
      <c r="C60" s="15" t="n"/>
      <c r="D60" s="15" t="n"/>
      <c r="E60" s="285" t="n"/>
      <c r="F60" s="15" t="n"/>
      <c r="G60" s="15" t="n"/>
      <c r="H60" s="285" t="n"/>
      <c r="I60" s="15" t="n"/>
      <c r="J60" s="15" t="n"/>
      <c r="K60" s="285" t="n"/>
      <c r="L60" s="15" t="n"/>
      <c r="M60" s="15" t="n"/>
      <c r="N60" s="285" t="n"/>
      <c r="O60" s="15" t="n"/>
      <c r="P60" s="15" t="n"/>
      <c r="Q60" s="285" t="n"/>
      <c r="R60" s="15" t="n"/>
      <c r="S60" s="15" t="n"/>
      <c r="T60" s="291" t="n"/>
      <c r="U60" s="15" t="n"/>
      <c r="V60" s="15" t="n"/>
      <c r="W60" s="291" t="n"/>
      <c r="X60" s="15" t="n"/>
      <c r="Y60" s="15" t="n"/>
      <c r="Z60" s="285" t="n"/>
      <c r="AA60" s="15" t="n"/>
      <c r="AB60" s="15" t="n"/>
      <c r="AC60" s="285" t="n"/>
      <c r="AD60" s="15" t="n"/>
      <c r="AE60" s="15" t="n"/>
      <c r="AF60" s="285" t="n"/>
      <c r="AG60" s="15" t="n"/>
      <c r="AH60" s="15" t="n"/>
      <c r="AI60" s="285" t="n"/>
      <c r="AJ60" s="15" t="n"/>
      <c r="AK60" s="15" t="n"/>
      <c r="AL60" s="285" t="n"/>
      <c r="AM60" s="327" t="n"/>
      <c r="AN60" s="15" t="n"/>
      <c r="AO60" s="285" t="n"/>
      <c r="AP60" s="327" t="n"/>
      <c r="AQ60" s="15" t="n"/>
      <c r="AR60" s="285" t="n"/>
      <c r="AS60" s="327" t="n"/>
      <c r="AT60" s="15" t="n"/>
      <c r="AU60" s="285" t="n"/>
      <c r="AV60" s="327" t="n"/>
      <c r="AW60" s="15" t="n"/>
      <c r="AX60" s="285" t="n"/>
      <c r="AY60" s="15" t="n"/>
      <c r="AZ60" s="15" t="n"/>
      <c r="BA60" s="287" t="n"/>
      <c r="BB60" s="37" t="n"/>
      <c r="BC60" s="287" t="n"/>
      <c r="BD60" s="37" t="n"/>
      <c r="BE60" s="287" t="n"/>
      <c r="BF60" s="37" t="n"/>
      <c r="BG60" s="287" t="n"/>
      <c r="BH60" s="37" t="n"/>
      <c r="BI60" s="288" t="n"/>
      <c r="BJ60" s="37" t="n"/>
      <c r="BK60" s="288" t="n"/>
      <c r="BL60" s="37" t="n"/>
      <c r="BM60" s="288" t="n"/>
      <c r="BN60" s="37" t="n"/>
      <c r="BO60" s="288" t="n"/>
      <c r="BP60" s="288" t="n"/>
      <c r="BQ60" s="37" t="n"/>
      <c r="BR60" s="288" t="n"/>
      <c r="BS60" s="37" t="n"/>
      <c r="BT60" s="288" t="n"/>
      <c r="BU60" s="37" t="n"/>
      <c r="BV60" s="288" t="n"/>
      <c r="BW60" s="37" t="n"/>
      <c r="BX60" s="288" t="n"/>
      <c r="BY60" s="37" t="n"/>
      <c r="BZ60" s="288" t="n"/>
      <c r="CA60" s="37" t="n"/>
      <c r="CB60" s="288" t="n"/>
      <c r="CC60" s="37" t="n"/>
      <c r="CD60" s="288" t="n"/>
      <c r="CE60" s="37" t="n"/>
      <c r="CF60" s="288" t="n"/>
      <c r="CG60" s="291" t="n"/>
      <c r="CH60" s="288" t="n"/>
      <c r="CI60" s="291" t="n"/>
      <c r="CJ60" s="288" t="n"/>
      <c r="CK60" s="291" t="n"/>
      <c r="CL60" s="288" t="n"/>
      <c r="CM60" s="291" t="n"/>
      <c r="CN60" s="288" t="n"/>
      <c r="CO60" s="80" t="n"/>
      <c r="CP60" s="288" t="n"/>
      <c r="CQ60" s="80" t="n"/>
      <c r="CR60" s="288" t="n"/>
      <c r="CS60" s="80" t="n"/>
      <c r="CT60" s="288" t="n"/>
      <c r="CU60" s="80" t="n"/>
      <c r="CV60" s="269" t="n"/>
      <c r="CW60" s="288" t="n"/>
      <c r="CX60" s="37" t="n"/>
      <c r="CY60" s="288" t="n"/>
      <c r="CZ60" s="37" t="n"/>
      <c r="DA60" s="288" t="n"/>
      <c r="DB60" s="37" t="n"/>
      <c r="DC60" s="288" t="n"/>
      <c r="DD60" s="37" t="n"/>
      <c r="DE60" s="295" t="n"/>
      <c r="DF60" s="295" t="n"/>
      <c r="DG60" s="288" t="n"/>
    </row>
    <row r="61">
      <c r="A61" s="428" t="n"/>
      <c r="B61" s="285" t="n"/>
      <c r="C61" s="15" t="n"/>
      <c r="D61" s="15" t="n"/>
      <c r="E61" s="285" t="n"/>
      <c r="F61" s="15" t="n"/>
      <c r="G61" s="15" t="n"/>
      <c r="H61" s="285" t="n"/>
      <c r="I61" s="15" t="n"/>
      <c r="J61" s="15" t="n"/>
      <c r="K61" s="285" t="n"/>
      <c r="L61" s="15" t="n"/>
      <c r="M61" s="15" t="n"/>
      <c r="N61" s="285" t="n"/>
      <c r="O61" s="15" t="n"/>
      <c r="P61" s="15" t="n"/>
      <c r="Q61" s="285" t="n"/>
      <c r="R61" s="15" t="n"/>
      <c r="S61" s="15" t="n"/>
      <c r="T61" s="291" t="n"/>
      <c r="U61" s="15" t="n"/>
      <c r="V61" s="15" t="n"/>
      <c r="W61" s="291" t="n"/>
      <c r="X61" s="15" t="n"/>
      <c r="Y61" s="15" t="n"/>
      <c r="Z61" s="285" t="n"/>
      <c r="AA61" s="15" t="n"/>
      <c r="AB61" s="15" t="n"/>
      <c r="AC61" s="285" t="n"/>
      <c r="AD61" s="15" t="n"/>
      <c r="AE61" s="15" t="n"/>
      <c r="AF61" s="285" t="n"/>
      <c r="AG61" s="15" t="n"/>
      <c r="AH61" s="15" t="n"/>
      <c r="AI61" s="285" t="n"/>
      <c r="AJ61" s="15" t="n"/>
      <c r="AK61" s="15" t="n"/>
      <c r="AL61" s="285" t="n"/>
      <c r="AM61" s="327" t="n"/>
      <c r="AN61" s="15" t="n"/>
      <c r="AO61" s="285" t="n"/>
      <c r="AP61" s="327" t="n"/>
      <c r="AQ61" s="15" t="n"/>
      <c r="AR61" s="285" t="n"/>
      <c r="AS61" s="327" t="n"/>
      <c r="AT61" s="15" t="n"/>
      <c r="AU61" s="285" t="n"/>
      <c r="AV61" s="327" t="n"/>
      <c r="AW61" s="15" t="n"/>
      <c r="AX61" s="285" t="n"/>
      <c r="AY61" s="15" t="n"/>
      <c r="AZ61" s="15" t="n"/>
      <c r="BA61" s="287" t="n"/>
      <c r="BB61" s="37" t="n"/>
      <c r="BC61" s="287" t="n"/>
      <c r="BD61" s="37" t="n"/>
      <c r="BE61" s="287" t="n"/>
      <c r="BF61" s="37" t="n"/>
      <c r="BG61" s="287" t="n"/>
      <c r="BH61" s="37" t="n"/>
      <c r="BI61" s="288" t="n"/>
      <c r="BJ61" s="37" t="n"/>
      <c r="BK61" s="288" t="n"/>
      <c r="BL61" s="37" t="n"/>
      <c r="BM61" s="288" t="n"/>
      <c r="BN61" s="37" t="n"/>
      <c r="BO61" s="288" t="n"/>
      <c r="BP61" s="288" t="n"/>
      <c r="BQ61" s="37" t="n"/>
      <c r="BR61" s="288" t="n"/>
      <c r="BS61" s="37" t="n"/>
      <c r="BT61" s="288" t="n"/>
      <c r="BU61" s="37" t="n"/>
      <c r="BV61" s="288" t="n"/>
      <c r="BW61" s="37" t="n"/>
      <c r="BX61" s="288" t="n"/>
      <c r="BY61" s="37" t="n"/>
      <c r="BZ61" s="288" t="n"/>
      <c r="CA61" s="37" t="n"/>
      <c r="CB61" s="288" t="n"/>
      <c r="CC61" s="37" t="n"/>
      <c r="CD61" s="288" t="n"/>
      <c r="CE61" s="37" t="n"/>
      <c r="CF61" s="288" t="n"/>
      <c r="CG61" s="291" t="n"/>
      <c r="CH61" s="288" t="n"/>
      <c r="CI61" s="291" t="n"/>
      <c r="CJ61" s="288" t="n"/>
      <c r="CK61" s="291" t="n"/>
      <c r="CL61" s="288" t="n"/>
      <c r="CM61" s="291" t="n"/>
      <c r="CN61" s="288" t="n"/>
      <c r="CO61" s="80" t="n"/>
      <c r="CP61" s="288" t="n"/>
      <c r="CQ61" s="80" t="n"/>
      <c r="CR61" s="288" t="n"/>
      <c r="CS61" s="80" t="n"/>
      <c r="CT61" s="288" t="n"/>
      <c r="CU61" s="80" t="n"/>
      <c r="CV61" s="269" t="n"/>
      <c r="CW61" s="288" t="n"/>
      <c r="CX61" s="37" t="n"/>
      <c r="CY61" s="288" t="n"/>
      <c r="CZ61" s="37" t="n"/>
      <c r="DA61" s="288" t="n"/>
      <c r="DB61" s="37" t="n"/>
      <c r="DC61" s="288" t="n"/>
      <c r="DD61" s="37" t="n"/>
      <c r="DE61" s="295" t="n"/>
      <c r="DF61" s="295" t="n"/>
      <c r="DG61" s="296" t="n"/>
    </row>
    <row r="62">
      <c r="A62" s="428" t="n"/>
      <c r="B62" s="285" t="n"/>
      <c r="C62" s="15" t="n"/>
      <c r="D62" s="15" t="n"/>
      <c r="E62" s="285" t="n"/>
      <c r="F62" s="15" t="n"/>
      <c r="G62" s="15" t="n"/>
      <c r="H62" s="285" t="n"/>
      <c r="I62" s="15" t="n"/>
      <c r="J62" s="15" t="n"/>
      <c r="K62" s="285" t="n"/>
      <c r="L62" s="15" t="n"/>
      <c r="M62" s="15" t="n"/>
      <c r="N62" s="285" t="n"/>
      <c r="O62" s="15" t="n"/>
      <c r="P62" s="15" t="n"/>
      <c r="Q62" s="285" t="n"/>
      <c r="R62" s="15" t="n"/>
      <c r="S62" s="15" t="n"/>
      <c r="T62" s="291" t="n"/>
      <c r="U62" s="15" t="n"/>
      <c r="V62" s="15" t="n"/>
      <c r="W62" s="291" t="n"/>
      <c r="X62" s="15" t="n"/>
      <c r="Y62" s="15" t="n"/>
      <c r="Z62" s="285" t="n"/>
      <c r="AA62" s="15" t="n"/>
      <c r="AB62" s="15" t="n"/>
      <c r="AC62" s="285" t="n"/>
      <c r="AD62" s="15" t="n"/>
      <c r="AE62" s="15" t="n"/>
      <c r="AF62" s="285" t="n"/>
      <c r="AG62" s="15" t="n"/>
      <c r="AH62" s="15" t="n"/>
      <c r="AI62" s="285" t="n"/>
      <c r="AJ62" s="15" t="n"/>
      <c r="AK62" s="15" t="n"/>
      <c r="AL62" s="285" t="n"/>
      <c r="AM62" s="327" t="n"/>
      <c r="AN62" s="15" t="n"/>
      <c r="AO62" s="285" t="n"/>
      <c r="AP62" s="327" t="n"/>
      <c r="AQ62" s="15" t="n"/>
      <c r="AR62" s="285" t="n"/>
      <c r="AS62" s="327" t="n"/>
      <c r="AT62" s="15" t="n"/>
      <c r="AU62" s="285" t="n"/>
      <c r="AV62" s="327" t="n"/>
      <c r="AW62" s="15" t="n"/>
      <c r="AX62" s="285" t="n"/>
      <c r="AY62" s="15" t="n"/>
      <c r="AZ62" s="15" t="n"/>
      <c r="BA62" s="287" t="n"/>
      <c r="BB62" s="37" t="n"/>
      <c r="BC62" s="287" t="n"/>
      <c r="BD62" s="37" t="n"/>
      <c r="BE62" s="287" t="n"/>
      <c r="BF62" s="37" t="n"/>
      <c r="BG62" s="287" t="n"/>
      <c r="BH62" s="37" t="n"/>
      <c r="BI62" s="288" t="n"/>
      <c r="BJ62" s="37" t="n"/>
      <c r="BK62" s="288" t="n"/>
      <c r="BL62" s="37" t="n"/>
      <c r="BM62" s="288" t="n"/>
      <c r="BN62" s="37" t="n"/>
      <c r="BO62" s="288" t="n"/>
      <c r="BP62" s="288" t="n"/>
      <c r="BQ62" s="37" t="n"/>
      <c r="BR62" s="288" t="n"/>
      <c r="BS62" s="37" t="n"/>
      <c r="BT62" s="288" t="n"/>
      <c r="BU62" s="37" t="n"/>
      <c r="BV62" s="288" t="n"/>
      <c r="BW62" s="37" t="n"/>
      <c r="BX62" s="288" t="n"/>
      <c r="BY62" s="37" t="n"/>
      <c r="BZ62" s="288" t="n"/>
      <c r="CA62" s="37" t="n"/>
      <c r="CB62" s="288" t="n"/>
      <c r="CC62" s="37" t="n"/>
      <c r="CD62" s="288" t="n"/>
      <c r="CE62" s="37" t="n"/>
      <c r="CF62" s="288" t="n"/>
      <c r="CG62" s="291" t="n"/>
      <c r="CH62" s="288" t="n"/>
      <c r="CI62" s="291" t="n"/>
      <c r="CJ62" s="288" t="n"/>
      <c r="CK62" s="291" t="n"/>
      <c r="CL62" s="288" t="n"/>
      <c r="CM62" s="291" t="n"/>
      <c r="CN62" s="288" t="n"/>
      <c r="CO62" s="80" t="n"/>
      <c r="CP62" s="288" t="n"/>
      <c r="CQ62" s="80" t="n"/>
      <c r="CR62" s="288" t="n"/>
      <c r="CS62" s="80" t="n"/>
      <c r="CT62" s="288" t="n"/>
      <c r="CU62" s="80" t="n"/>
      <c r="CV62" s="269" t="n"/>
      <c r="CW62" s="288" t="n"/>
      <c r="CX62" s="37" t="n"/>
      <c r="CY62" s="288" t="n"/>
      <c r="CZ62" s="37" t="n"/>
      <c r="DA62" s="288" t="n"/>
      <c r="DB62" s="37" t="n"/>
      <c r="DC62" s="288" t="n"/>
      <c r="DD62" s="37" t="n"/>
      <c r="DE62" s="295" t="n"/>
      <c r="DF62" s="295" t="n"/>
      <c r="DG62" s="288" t="n"/>
    </row>
    <row r="63">
      <c r="A63" s="428" t="n"/>
      <c r="B63" s="285" t="n"/>
      <c r="C63" s="15" t="n"/>
      <c r="D63" s="15" t="n"/>
      <c r="E63" s="285" t="n"/>
      <c r="F63" s="15" t="n"/>
      <c r="G63" s="15" t="n"/>
      <c r="H63" s="285" t="n"/>
      <c r="I63" s="15" t="n"/>
      <c r="J63" s="15" t="n"/>
      <c r="K63" s="285" t="n"/>
      <c r="L63" s="15" t="n"/>
      <c r="M63" s="15" t="n"/>
      <c r="N63" s="285" t="n"/>
      <c r="O63" s="15" t="n"/>
      <c r="P63" s="15" t="n"/>
      <c r="Q63" s="285" t="n"/>
      <c r="R63" s="15" t="n"/>
      <c r="S63" s="15" t="n"/>
      <c r="T63" s="291" t="n"/>
      <c r="U63" s="15" t="n"/>
      <c r="V63" s="15" t="n"/>
      <c r="W63" s="291" t="n"/>
      <c r="X63" s="15" t="n"/>
      <c r="Y63" s="15" t="n"/>
      <c r="Z63" s="285" t="n"/>
      <c r="AA63" s="15" t="n"/>
      <c r="AB63" s="15" t="n"/>
      <c r="AC63" s="285" t="n"/>
      <c r="AD63" s="15" t="n"/>
      <c r="AE63" s="15" t="n"/>
      <c r="AF63" s="285" t="n"/>
      <c r="AG63" s="15" t="n"/>
      <c r="AH63" s="15" t="n"/>
      <c r="AI63" s="285" t="n"/>
      <c r="AJ63" s="15" t="n"/>
      <c r="AK63" s="15" t="n"/>
      <c r="AL63" s="285" t="n"/>
      <c r="AM63" s="327" t="n"/>
      <c r="AN63" s="15" t="n"/>
      <c r="AO63" s="285" t="n"/>
      <c r="AP63" s="327" t="n"/>
      <c r="AQ63" s="15" t="n"/>
      <c r="AR63" s="285" t="n"/>
      <c r="AS63" s="327" t="n"/>
      <c r="AT63" s="15" t="n"/>
      <c r="AU63" s="285" t="n"/>
      <c r="AV63" s="327" t="n"/>
      <c r="AW63" s="15" t="n"/>
      <c r="AX63" s="285" t="n"/>
      <c r="AY63" s="15" t="n"/>
      <c r="AZ63" s="15" t="n"/>
      <c r="BA63" s="287" t="n"/>
      <c r="BB63" s="37" t="n"/>
      <c r="BC63" s="287" t="n"/>
      <c r="BD63" s="37" t="n"/>
      <c r="BE63" s="287" t="n"/>
      <c r="BF63" s="37" t="n"/>
      <c r="BG63" s="287" t="n"/>
      <c r="BH63" s="37" t="n"/>
      <c r="BI63" s="288" t="n"/>
      <c r="BJ63" s="37" t="n"/>
      <c r="BK63" s="288" t="n"/>
      <c r="BL63" s="37" t="n"/>
      <c r="BM63" s="288" t="n"/>
      <c r="BN63" s="37" t="n"/>
      <c r="BO63" s="288" t="n"/>
      <c r="BP63" s="288" t="n"/>
      <c r="BQ63" s="37" t="n"/>
      <c r="BR63" s="288" t="n"/>
      <c r="BS63" s="37" t="n"/>
      <c r="BT63" s="288" t="n"/>
      <c r="BU63" s="37" t="n"/>
      <c r="BV63" s="288" t="n"/>
      <c r="BW63" s="37" t="n"/>
      <c r="BX63" s="288" t="n"/>
      <c r="BY63" s="37" t="n"/>
      <c r="BZ63" s="288" t="n"/>
      <c r="CA63" s="37" t="n"/>
      <c r="CB63" s="288" t="n"/>
      <c r="CC63" s="37" t="n"/>
      <c r="CD63" s="288" t="n"/>
      <c r="CE63" s="37" t="n"/>
      <c r="CF63" s="288" t="n"/>
      <c r="CG63" s="291" t="n"/>
      <c r="CH63" s="288" t="n"/>
      <c r="CI63" s="291" t="n"/>
      <c r="CJ63" s="288" t="n"/>
      <c r="CK63" s="291" t="n"/>
      <c r="CL63" s="288" t="n"/>
      <c r="CM63" s="291" t="n"/>
      <c r="CN63" s="288" t="n"/>
      <c r="CO63" s="80" t="n"/>
      <c r="CP63" s="288" t="n"/>
      <c r="CQ63" s="80" t="n"/>
      <c r="CR63" s="288" t="n"/>
      <c r="CS63" s="80" t="n"/>
      <c r="CT63" s="288" t="n"/>
      <c r="CU63" s="80" t="n"/>
      <c r="CV63" s="269" t="n"/>
      <c r="CW63" s="288" t="n"/>
      <c r="CX63" s="37" t="n"/>
      <c r="CY63" s="288" t="n"/>
      <c r="CZ63" s="37" t="n"/>
      <c r="DA63" s="288" t="n"/>
      <c r="DB63" s="37" t="n"/>
      <c r="DC63" s="288" t="n"/>
      <c r="DD63" s="37" t="n"/>
      <c r="DE63" s="295" t="n"/>
      <c r="DF63" s="295" t="n"/>
      <c r="DG63" s="288" t="n"/>
    </row>
    <row r="64" ht="13" customFormat="1" customHeight="1" s="40">
      <c r="A64" s="330" t="n"/>
      <c r="B64" s="292" t="n"/>
      <c r="C64" s="15" t="n"/>
      <c r="D64" s="15" t="n"/>
      <c r="E64" s="292" t="n"/>
      <c r="F64" s="15" t="n"/>
      <c r="G64" s="15" t="n"/>
      <c r="H64" s="292" t="n"/>
      <c r="I64" s="15" t="n"/>
      <c r="J64" s="15" t="n"/>
      <c r="K64" s="292" t="n"/>
      <c r="L64" s="15" t="n"/>
      <c r="M64" s="15" t="n"/>
      <c r="N64" s="292" t="n"/>
      <c r="O64" s="15" t="n"/>
      <c r="P64" s="15" t="n"/>
      <c r="Q64" s="292" t="n"/>
      <c r="R64" s="15" t="n"/>
      <c r="S64" s="15" t="n"/>
      <c r="T64" s="291" t="n"/>
      <c r="U64" s="15" t="n"/>
      <c r="V64" s="15" t="n"/>
      <c r="W64" s="291" t="n"/>
      <c r="X64" s="15" t="n"/>
      <c r="Y64" s="15" t="n"/>
      <c r="Z64" s="292" t="n"/>
      <c r="AA64" s="15" t="n"/>
      <c r="AB64" s="15" t="n"/>
      <c r="AC64" s="292" t="n"/>
      <c r="AD64" s="15" t="n"/>
      <c r="AE64" s="15" t="n"/>
      <c r="AF64" s="292" t="n"/>
      <c r="AG64" s="15" t="n"/>
      <c r="AH64" s="15" t="n"/>
      <c r="AI64" s="292" t="n"/>
      <c r="AJ64" s="15" t="n"/>
      <c r="AK64" s="15" t="n"/>
      <c r="AL64" s="292" t="n"/>
      <c r="AM64" s="327" t="n"/>
      <c r="AN64" s="15" t="n"/>
      <c r="AO64" s="292" t="n"/>
      <c r="AP64" s="327" t="n"/>
      <c r="AQ64" s="15" t="n"/>
      <c r="AR64" s="292" t="n"/>
      <c r="AS64" s="327" t="n"/>
      <c r="AT64" s="15" t="n"/>
      <c r="AU64" s="292" t="n"/>
      <c r="AV64" s="327" t="n"/>
      <c r="AW64" s="15" t="n"/>
      <c r="AX64" s="292" t="n"/>
      <c r="AY64" s="15" t="n"/>
      <c r="AZ64" s="15" t="n"/>
      <c r="BA64" s="291" t="n"/>
      <c r="BB64" s="37" t="n"/>
      <c r="BC64" s="291" t="n"/>
      <c r="BD64" s="37" t="n"/>
      <c r="BE64" s="291" t="n"/>
      <c r="BF64" s="37" t="n"/>
      <c r="BG64" s="291" t="n"/>
      <c r="BH64" s="37" t="n"/>
      <c r="BI64" s="291" t="n"/>
      <c r="BJ64" s="37" t="n"/>
      <c r="BK64" s="291" t="n"/>
      <c r="BL64" s="37" t="n"/>
      <c r="BM64" s="291" t="n"/>
      <c r="BN64" s="37" t="n"/>
      <c r="BO64" s="291" t="n"/>
      <c r="BP64" s="291" t="n"/>
      <c r="BQ64" s="37" t="n"/>
      <c r="BR64" s="291" t="n"/>
      <c r="BS64" s="37" t="n"/>
      <c r="BT64" s="291" t="n"/>
      <c r="BU64" s="37" t="n"/>
      <c r="BV64" s="291" t="n"/>
      <c r="BW64" s="37" t="n"/>
      <c r="BX64" s="291" t="n"/>
      <c r="BY64" s="37" t="n"/>
      <c r="BZ64" s="291" t="n"/>
      <c r="CA64" s="37" t="n"/>
      <c r="CB64" s="291" t="n"/>
      <c r="CC64" s="37" t="n"/>
      <c r="CD64" s="291" t="n"/>
      <c r="CE64" s="37" t="n"/>
      <c r="CF64" s="291" t="n"/>
      <c r="CG64" s="291" t="n"/>
      <c r="CH64" s="291" t="n"/>
      <c r="CI64" s="291" t="n"/>
      <c r="CJ64" s="291" t="n"/>
      <c r="CK64" s="291" t="n"/>
      <c r="CL64" s="291" t="n"/>
      <c r="CM64" s="291" t="n"/>
      <c r="CN64" s="291" t="n"/>
      <c r="CO64" s="80" t="n"/>
      <c r="CP64" s="291" t="n"/>
      <c r="CQ64" s="80" t="n"/>
      <c r="CR64" s="291" t="n"/>
      <c r="CS64" s="80" t="n"/>
      <c r="CT64" s="291" t="n"/>
      <c r="CU64" s="80" t="n"/>
      <c r="CW64" s="291" t="n"/>
      <c r="CX64" s="37" t="n"/>
      <c r="CY64" s="291" t="n"/>
      <c r="CZ64" s="37" t="n"/>
      <c r="DA64" s="291" t="n"/>
      <c r="DB64" s="37" t="n"/>
      <c r="DC64" s="291" t="n"/>
      <c r="DD64" s="37" t="n"/>
      <c r="DE64" s="311" t="n"/>
      <c r="DF64" s="311" t="n"/>
    </row>
    <row r="65">
      <c r="A65" s="428" t="n"/>
      <c r="B65" s="285" t="n"/>
      <c r="C65" s="15" t="n"/>
      <c r="D65" s="15" t="n"/>
      <c r="E65" s="285" t="n"/>
      <c r="F65" s="15" t="n"/>
      <c r="G65" s="15" t="n"/>
      <c r="H65" s="285" t="n"/>
      <c r="I65" s="15" t="n"/>
      <c r="J65" s="15" t="n"/>
      <c r="K65" s="285" t="n"/>
      <c r="L65" s="15" t="n"/>
      <c r="M65" s="15" t="n"/>
      <c r="N65" s="285" t="n"/>
      <c r="O65" s="15" t="n"/>
      <c r="P65" s="15" t="n"/>
      <c r="Q65" s="285" t="n"/>
      <c r="R65" s="15" t="n"/>
      <c r="S65" s="15" t="n"/>
      <c r="T65" s="291" t="n"/>
      <c r="U65" s="15" t="n"/>
      <c r="V65" s="15" t="n"/>
      <c r="W65" s="291" t="n"/>
      <c r="X65" s="15" t="n"/>
      <c r="Y65" s="15" t="n"/>
      <c r="Z65" s="285" t="n"/>
      <c r="AA65" s="15" t="n"/>
      <c r="AB65" s="15" t="n"/>
      <c r="AC65" s="285" t="n"/>
      <c r="AD65" s="15" t="n"/>
      <c r="AE65" s="15" t="n"/>
      <c r="AF65" s="285" t="n"/>
      <c r="AG65" s="15" t="n"/>
      <c r="AH65" s="15" t="n"/>
      <c r="AI65" s="285" t="n"/>
      <c r="AJ65" s="15" t="n"/>
      <c r="AK65" s="15" t="n"/>
      <c r="AL65" s="285" t="n"/>
      <c r="AM65" s="327" t="n"/>
      <c r="AN65" s="15" t="n"/>
      <c r="AO65" s="285" t="n"/>
      <c r="AP65" s="327" t="n"/>
      <c r="AQ65" s="15" t="n"/>
      <c r="AR65" s="285" t="n"/>
      <c r="AS65" s="327" t="n"/>
      <c r="AT65" s="15" t="n"/>
      <c r="AU65" s="285" t="n"/>
      <c r="AV65" s="327" t="n"/>
      <c r="AW65" s="15" t="n"/>
      <c r="AX65" s="285" t="n"/>
      <c r="AY65" s="15" t="n"/>
      <c r="AZ65" s="15" t="n"/>
      <c r="BA65" s="287" t="n"/>
      <c r="BB65" s="37" t="n"/>
      <c r="BC65" s="287" t="n"/>
      <c r="BD65" s="37" t="n"/>
      <c r="BE65" s="287" t="n"/>
      <c r="BF65" s="37" t="n"/>
      <c r="BG65" s="287" t="n"/>
      <c r="BH65" s="37" t="n"/>
      <c r="BI65" s="288" t="n"/>
      <c r="BJ65" s="37" t="n"/>
      <c r="BK65" s="288" t="n"/>
      <c r="BL65" s="37" t="n"/>
      <c r="BM65" s="288" t="n"/>
      <c r="BN65" s="37" t="n"/>
      <c r="BO65" s="288" t="n"/>
      <c r="BP65" s="288" t="n"/>
      <c r="BQ65" s="37" t="n"/>
      <c r="BR65" s="288" t="n"/>
      <c r="BS65" s="37" t="n"/>
      <c r="BT65" s="288" t="n"/>
      <c r="BU65" s="37" t="n"/>
      <c r="BV65" s="288" t="n"/>
      <c r="BW65" s="37" t="n"/>
      <c r="BX65" s="288" t="n"/>
      <c r="BY65" s="37" t="n"/>
      <c r="BZ65" s="288" t="n"/>
      <c r="CA65" s="37" t="n"/>
      <c r="CB65" s="288" t="n"/>
      <c r="CC65" s="37" t="n"/>
      <c r="CD65" s="288" t="n"/>
      <c r="CE65" s="37" t="n"/>
      <c r="CF65" s="288" t="n"/>
      <c r="CG65" s="291" t="n"/>
      <c r="CH65" s="288" t="n"/>
      <c r="CI65" s="291" t="n"/>
      <c r="CJ65" s="288" t="n"/>
      <c r="CK65" s="291" t="n"/>
      <c r="CL65" s="288" t="n"/>
      <c r="CM65" s="291" t="n"/>
      <c r="CN65" s="288" t="n"/>
      <c r="CO65" s="80" t="n"/>
      <c r="CP65" s="288" t="n"/>
      <c r="CQ65" s="80" t="n"/>
      <c r="CR65" s="288" t="n"/>
      <c r="CS65" s="80" t="n"/>
      <c r="CT65" s="288" t="n"/>
      <c r="CU65" s="80" t="n"/>
      <c r="CV65" s="269" t="n"/>
      <c r="CW65" s="288" t="n"/>
      <c r="CX65" s="37" t="n"/>
      <c r="CY65" s="288" t="n"/>
      <c r="CZ65" s="37" t="n"/>
      <c r="DA65" s="288" t="n"/>
      <c r="DB65" s="37" t="n"/>
      <c r="DC65" s="288" t="n"/>
      <c r="DD65" s="37" t="n"/>
      <c r="DE65" s="295" t="n"/>
      <c r="DF65" s="295" t="n"/>
      <c r="DG65" s="288" t="n"/>
    </row>
    <row r="66">
      <c r="A66" s="428" t="n"/>
      <c r="B66" s="285" t="n"/>
      <c r="C66" s="15" t="n"/>
      <c r="D66" s="15" t="n"/>
      <c r="E66" s="285" t="n"/>
      <c r="F66" s="15" t="n"/>
      <c r="G66" s="15" t="n"/>
      <c r="H66" s="285" t="n"/>
      <c r="I66" s="15" t="n"/>
      <c r="J66" s="15" t="n"/>
      <c r="K66" s="285" t="n"/>
      <c r="L66" s="15" t="n"/>
      <c r="M66" s="15" t="n"/>
      <c r="N66" s="285" t="n"/>
      <c r="O66" s="15" t="n"/>
      <c r="P66" s="15" t="n"/>
      <c r="Q66" s="285" t="n"/>
      <c r="R66" s="15" t="n"/>
      <c r="S66" s="15" t="n"/>
      <c r="T66" s="291" t="n"/>
      <c r="U66" s="15" t="n"/>
      <c r="V66" s="15" t="n"/>
      <c r="W66" s="291" t="n"/>
      <c r="X66" s="15" t="n"/>
      <c r="Y66" s="15" t="n"/>
      <c r="Z66" s="285" t="n"/>
      <c r="AA66" s="15" t="n"/>
      <c r="AB66" s="15" t="n"/>
      <c r="AC66" s="285" t="n"/>
      <c r="AD66" s="15" t="n"/>
      <c r="AE66" s="15" t="n"/>
      <c r="AF66" s="285" t="n"/>
      <c r="AG66" s="15" t="n"/>
      <c r="AH66" s="15" t="n"/>
      <c r="AI66" s="285" t="n"/>
      <c r="AJ66" s="15" t="n"/>
      <c r="AK66" s="15" t="n"/>
      <c r="AL66" s="285" t="n"/>
      <c r="AM66" s="327" t="n"/>
      <c r="AN66" s="15" t="n"/>
      <c r="AO66" s="285" t="n"/>
      <c r="AP66" s="327" t="n"/>
      <c r="AQ66" s="15" t="n"/>
      <c r="AR66" s="285" t="n"/>
      <c r="AS66" s="327" t="n"/>
      <c r="AT66" s="15" t="n"/>
      <c r="AU66" s="285" t="n"/>
      <c r="AV66" s="327" t="n"/>
      <c r="AW66" s="15" t="n"/>
      <c r="AX66" s="285" t="n"/>
      <c r="AY66" s="15" t="n"/>
      <c r="AZ66" s="15" t="n"/>
      <c r="BA66" s="287" t="n"/>
      <c r="BB66" s="37" t="n"/>
      <c r="BC66" s="287" t="n"/>
      <c r="BD66" s="37" t="n"/>
      <c r="BE66" s="287" t="n"/>
      <c r="BF66" s="37" t="n"/>
      <c r="BG66" s="287" t="n"/>
      <c r="BH66" s="37" t="n"/>
      <c r="BI66" s="288" t="n"/>
      <c r="BJ66" s="37" t="n"/>
      <c r="BK66" s="288" t="n"/>
      <c r="BL66" s="37" t="n"/>
      <c r="BM66" s="288" t="n"/>
      <c r="BN66" s="37" t="n"/>
      <c r="BO66" s="288" t="n"/>
      <c r="BP66" s="288" t="n"/>
      <c r="BQ66" s="37" t="n"/>
      <c r="BR66" s="288" t="n"/>
      <c r="BS66" s="37" t="n"/>
      <c r="BT66" s="288" t="n"/>
      <c r="BU66" s="37" t="n"/>
      <c r="BV66" s="288" t="n"/>
      <c r="BW66" s="37" t="n"/>
      <c r="BX66" s="288" t="n"/>
      <c r="BY66" s="37" t="n"/>
      <c r="BZ66" s="288" t="n"/>
      <c r="CA66" s="37" t="n"/>
      <c r="CB66" s="288" t="n"/>
      <c r="CC66" s="37" t="n"/>
      <c r="CD66" s="288" t="n"/>
      <c r="CE66" s="37" t="n"/>
      <c r="CF66" s="288" t="n"/>
      <c r="CG66" s="291" t="n"/>
      <c r="CH66" s="288" t="n"/>
      <c r="CI66" s="291" t="n"/>
      <c r="CJ66" s="288" t="n"/>
      <c r="CK66" s="291" t="n"/>
      <c r="CL66" s="288" t="n"/>
      <c r="CM66" s="291" t="n"/>
      <c r="CN66" s="288" t="n"/>
      <c r="CO66" s="80" t="n"/>
      <c r="CP66" s="288" t="n"/>
      <c r="CQ66" s="80" t="n"/>
      <c r="CR66" s="288" t="n"/>
      <c r="CS66" s="80" t="n"/>
      <c r="CT66" s="288" t="n"/>
      <c r="CU66" s="80" t="n"/>
      <c r="CV66" s="269" t="n"/>
      <c r="CW66" s="288" t="n"/>
      <c r="CX66" s="37" t="n"/>
      <c r="CY66" s="288" t="n"/>
      <c r="CZ66" s="37" t="n"/>
      <c r="DA66" s="288" t="n"/>
      <c r="DB66" s="37" t="n"/>
      <c r="DC66" s="288" t="n"/>
      <c r="DD66" s="37" t="n"/>
      <c r="DE66" s="295" t="n"/>
      <c r="DF66" s="295" t="n"/>
      <c r="DG66" s="288" t="n"/>
    </row>
    <row r="67">
      <c r="A67" s="428" t="n"/>
      <c r="B67" s="285" t="n"/>
      <c r="C67" s="15" t="n"/>
      <c r="D67" s="15" t="n"/>
      <c r="E67" s="285" t="n"/>
      <c r="F67" s="15" t="n"/>
      <c r="G67" s="15" t="n"/>
      <c r="H67" s="285" t="n"/>
      <c r="I67" s="15" t="n"/>
      <c r="J67" s="15" t="n"/>
      <c r="K67" s="285" t="n"/>
      <c r="L67" s="15" t="n"/>
      <c r="M67" s="15" t="n"/>
      <c r="N67" s="285" t="n"/>
      <c r="O67" s="15" t="n"/>
      <c r="P67" s="15" t="n"/>
      <c r="Q67" s="285" t="n"/>
      <c r="R67" s="15" t="n"/>
      <c r="S67" s="15" t="n"/>
      <c r="T67" s="291" t="n"/>
      <c r="U67" s="15" t="n"/>
      <c r="V67" s="15" t="n"/>
      <c r="W67" s="291" t="n"/>
      <c r="X67" s="15" t="n"/>
      <c r="Y67" s="15" t="n"/>
      <c r="Z67" s="285" t="n"/>
      <c r="AA67" s="15" t="n"/>
      <c r="AB67" s="15" t="n"/>
      <c r="AC67" s="285" t="n"/>
      <c r="AD67" s="15" t="n"/>
      <c r="AE67" s="15" t="n"/>
      <c r="AF67" s="285" t="n"/>
      <c r="AG67" s="15" t="n"/>
      <c r="AH67" s="15" t="n"/>
      <c r="AI67" s="285" t="n"/>
      <c r="AJ67" s="15" t="n"/>
      <c r="AK67" s="15" t="n"/>
      <c r="AL67" s="285" t="n"/>
      <c r="AM67" s="327" t="n"/>
      <c r="AN67" s="15" t="n"/>
      <c r="AO67" s="285" t="n"/>
      <c r="AP67" s="327" t="n"/>
      <c r="AQ67" s="15" t="n"/>
      <c r="AR67" s="285" t="n"/>
      <c r="AS67" s="327" t="n"/>
      <c r="AT67" s="15" t="n"/>
      <c r="AU67" s="285" t="n"/>
      <c r="AV67" s="327" t="n"/>
      <c r="AW67" s="15" t="n"/>
      <c r="AX67" s="285" t="n"/>
      <c r="AY67" s="15" t="n"/>
      <c r="AZ67" s="15" t="n"/>
      <c r="BA67" s="287" t="n"/>
      <c r="BB67" s="37" t="n"/>
      <c r="BC67" s="287" t="n"/>
      <c r="BD67" s="37" t="n"/>
      <c r="BE67" s="287" t="n"/>
      <c r="BF67" s="37" t="n"/>
      <c r="BG67" s="287" t="n"/>
      <c r="BH67" s="37" t="n"/>
      <c r="BI67" s="288" t="n"/>
      <c r="BJ67" s="37" t="n"/>
      <c r="BK67" s="288" t="n"/>
      <c r="BL67" s="37" t="n"/>
      <c r="BM67" s="288" t="n"/>
      <c r="BN67" s="37" t="n"/>
      <c r="BO67" s="288" t="n"/>
      <c r="BP67" s="288" t="n"/>
      <c r="BQ67" s="37" t="n"/>
      <c r="BR67" s="288" t="n"/>
      <c r="BS67" s="37" t="n"/>
      <c r="BT67" s="288" t="n"/>
      <c r="BU67" s="37" t="n"/>
      <c r="BV67" s="288" t="n"/>
      <c r="BW67" s="37" t="n"/>
      <c r="BX67" s="288" t="n"/>
      <c r="BY67" s="37" t="n"/>
      <c r="BZ67" s="288" t="n"/>
      <c r="CA67" s="37" t="n"/>
      <c r="CB67" s="288" t="n"/>
      <c r="CC67" s="37" t="n"/>
      <c r="CD67" s="288" t="n"/>
      <c r="CE67" s="37" t="n"/>
      <c r="CF67" s="288" t="n"/>
      <c r="CG67" s="291" t="n"/>
      <c r="CH67" s="288" t="n"/>
      <c r="CI67" s="291" t="n"/>
      <c r="CJ67" s="288" t="n"/>
      <c r="CK67" s="291" t="n"/>
      <c r="CL67" s="288" t="n"/>
      <c r="CM67" s="291" t="n"/>
      <c r="CN67" s="288" t="n"/>
      <c r="CO67" s="80" t="n"/>
      <c r="CP67" s="288" t="n"/>
      <c r="CQ67" s="80" t="n"/>
      <c r="CR67" s="288" t="n"/>
      <c r="CS67" s="80" t="n"/>
      <c r="CT67" s="288" t="n"/>
      <c r="CU67" s="80" t="n"/>
      <c r="CV67" s="269" t="n"/>
      <c r="CW67" s="288" t="n"/>
      <c r="CX67" s="37" t="n"/>
      <c r="CY67" s="288" t="n"/>
      <c r="CZ67" s="37" t="n"/>
      <c r="DA67" s="288" t="n"/>
      <c r="DB67" s="37" t="n"/>
      <c r="DC67" s="288" t="n"/>
      <c r="DD67" s="37" t="n"/>
      <c r="DE67" s="295" t="n"/>
      <c r="DF67" s="295" t="n"/>
      <c r="DG67" s="288" t="n"/>
    </row>
    <row r="68">
      <c r="A68" s="428" t="n"/>
      <c r="B68" s="285" t="n"/>
      <c r="C68" s="15" t="n"/>
      <c r="D68" s="15" t="n"/>
      <c r="E68" s="285" t="n"/>
      <c r="F68" s="15" t="n"/>
      <c r="G68" s="15" t="n"/>
      <c r="H68" s="285" t="n"/>
      <c r="I68" s="15" t="n"/>
      <c r="J68" s="15" t="n"/>
      <c r="K68" s="285" t="n"/>
      <c r="L68" s="15" t="n"/>
      <c r="M68" s="15" t="n"/>
      <c r="N68" s="285" t="n"/>
      <c r="O68" s="15" t="n"/>
      <c r="P68" s="15" t="n"/>
      <c r="Q68" s="285" t="n"/>
      <c r="R68" s="15" t="n"/>
      <c r="S68" s="15" t="n"/>
      <c r="T68" s="291" t="n"/>
      <c r="U68" s="15" t="n"/>
      <c r="V68" s="15" t="n"/>
      <c r="W68" s="291" t="n"/>
      <c r="X68" s="15" t="n"/>
      <c r="Y68" s="15" t="n"/>
      <c r="Z68" s="285" t="n"/>
      <c r="AA68" s="15" t="n"/>
      <c r="AB68" s="15" t="n"/>
      <c r="AC68" s="285" t="n"/>
      <c r="AD68" s="15" t="n"/>
      <c r="AE68" s="15" t="n"/>
      <c r="AF68" s="285" t="n"/>
      <c r="AG68" s="15" t="n"/>
      <c r="AH68" s="15" t="n"/>
      <c r="AI68" s="285" t="n"/>
      <c r="AJ68" s="15" t="n"/>
      <c r="AK68" s="15" t="n"/>
      <c r="AL68" s="285" t="n"/>
      <c r="AM68" s="327" t="n"/>
      <c r="AN68" s="15" t="n"/>
      <c r="AO68" s="285" t="n"/>
      <c r="AP68" s="327" t="n"/>
      <c r="AQ68" s="15" t="n"/>
      <c r="AR68" s="285" t="n"/>
      <c r="AS68" s="327" t="n"/>
      <c r="AT68" s="15" t="n"/>
      <c r="AU68" s="285" t="n"/>
      <c r="AV68" s="327" t="n"/>
      <c r="AW68" s="15" t="n"/>
      <c r="AX68" s="285" t="n"/>
      <c r="AY68" s="15" t="n"/>
      <c r="AZ68" s="15" t="n"/>
      <c r="BA68" s="287" t="n"/>
      <c r="BB68" s="37" t="n"/>
      <c r="BC68" s="287" t="n"/>
      <c r="BD68" s="37" t="n"/>
      <c r="BE68" s="287" t="n"/>
      <c r="BF68" s="37" t="n"/>
      <c r="BG68" s="287" t="n"/>
      <c r="BH68" s="37" t="n"/>
      <c r="BI68" s="288" t="n"/>
      <c r="BJ68" s="37" t="n"/>
      <c r="BK68" s="288" t="n"/>
      <c r="BL68" s="37" t="n"/>
      <c r="BM68" s="288" t="n"/>
      <c r="BN68" s="37" t="n"/>
      <c r="BO68" s="288" t="n"/>
      <c r="BP68" s="288" t="n"/>
      <c r="BQ68" s="37" t="n"/>
      <c r="BR68" s="288" t="n"/>
      <c r="BS68" s="37" t="n"/>
      <c r="BT68" s="288" t="n"/>
      <c r="BU68" s="37" t="n"/>
      <c r="BV68" s="288" t="n"/>
      <c r="BW68" s="37" t="n"/>
      <c r="BX68" s="288" t="n"/>
      <c r="BY68" s="37" t="n"/>
      <c r="BZ68" s="288" t="n"/>
      <c r="CA68" s="37" t="n"/>
      <c r="CB68" s="288" t="n"/>
      <c r="CC68" s="37" t="n"/>
      <c r="CD68" s="288" t="n"/>
      <c r="CE68" s="37" t="n"/>
      <c r="CF68" s="288" t="n"/>
      <c r="CG68" s="291" t="n"/>
      <c r="CH68" s="288" t="n"/>
      <c r="CI68" s="291" t="n"/>
      <c r="CJ68" s="288" t="n"/>
      <c r="CK68" s="291" t="n"/>
      <c r="CL68" s="288" t="n"/>
      <c r="CM68" s="291" t="n"/>
      <c r="CN68" s="288" t="n"/>
      <c r="CO68" s="80" t="n"/>
      <c r="CP68" s="288" t="n"/>
      <c r="CQ68" s="80" t="n"/>
      <c r="CR68" s="288" t="n"/>
      <c r="CS68" s="80" t="n"/>
      <c r="CT68" s="288" t="n"/>
      <c r="CU68" s="80" t="n"/>
      <c r="CV68" s="269" t="n"/>
      <c r="CW68" s="288" t="n"/>
      <c r="CX68" s="37" t="n"/>
      <c r="CY68" s="288" t="n"/>
      <c r="CZ68" s="37" t="n"/>
      <c r="DA68" s="288" t="n"/>
      <c r="DB68" s="37" t="n"/>
      <c r="DC68" s="288" t="n"/>
      <c r="DD68" s="37" t="n"/>
      <c r="DE68" s="295" t="n"/>
      <c r="DF68" s="295" t="n"/>
      <c r="DG68" s="288" t="n"/>
    </row>
    <row r="69">
      <c r="A69" s="428" t="n"/>
      <c r="B69" s="285" t="n"/>
      <c r="C69" s="15" t="n"/>
      <c r="D69" s="15" t="n"/>
      <c r="E69" s="285" t="n"/>
      <c r="F69" s="15" t="n"/>
      <c r="G69" s="15" t="n"/>
      <c r="H69" s="285" t="n"/>
      <c r="I69" s="15" t="n"/>
      <c r="J69" s="15" t="n"/>
      <c r="K69" s="285" t="n"/>
      <c r="L69" s="15" t="n"/>
      <c r="M69" s="15" t="n"/>
      <c r="N69" s="285" t="n"/>
      <c r="O69" s="15" t="n"/>
      <c r="P69" s="15" t="n"/>
      <c r="Q69" s="285" t="n"/>
      <c r="R69" s="15" t="n"/>
      <c r="S69" s="15" t="n"/>
      <c r="T69" s="291" t="n"/>
      <c r="U69" s="15" t="n"/>
      <c r="V69" s="15" t="n"/>
      <c r="W69" s="291" t="n"/>
      <c r="X69" s="15" t="n"/>
      <c r="Y69" s="15" t="n"/>
      <c r="Z69" s="285" t="n"/>
      <c r="AA69" s="15" t="n"/>
      <c r="AB69" s="15" t="n"/>
      <c r="AC69" s="285" t="n"/>
      <c r="AD69" s="15" t="n"/>
      <c r="AE69" s="15" t="n"/>
      <c r="AF69" s="285" t="n"/>
      <c r="AG69" s="15" t="n"/>
      <c r="AH69" s="15" t="n"/>
      <c r="AI69" s="285" t="n"/>
      <c r="AJ69" s="15" t="n"/>
      <c r="AK69" s="15" t="n"/>
      <c r="AL69" s="285" t="n"/>
      <c r="AM69" s="327" t="n"/>
      <c r="AN69" s="15" t="n"/>
      <c r="AO69" s="285" t="n"/>
      <c r="AP69" s="327" t="n"/>
      <c r="AQ69" s="15" t="n"/>
      <c r="AR69" s="285" t="n"/>
      <c r="AS69" s="327" t="n"/>
      <c r="AT69" s="15" t="n"/>
      <c r="AU69" s="285" t="n"/>
      <c r="AV69" s="327" t="n"/>
      <c r="AW69" s="15" t="n"/>
      <c r="AX69" s="285" t="n"/>
      <c r="AY69" s="15" t="n"/>
      <c r="AZ69" s="15" t="n"/>
      <c r="BA69" s="287" t="n"/>
      <c r="BB69" s="37" t="n"/>
      <c r="BC69" s="287" t="n"/>
      <c r="BD69" s="37" t="n"/>
      <c r="BE69" s="287" t="n"/>
      <c r="BF69" s="37" t="n"/>
      <c r="BG69" s="287" t="n"/>
      <c r="BH69" s="37" t="n"/>
      <c r="BI69" s="288" t="n"/>
      <c r="BJ69" s="37" t="n"/>
      <c r="BK69" s="288" t="n"/>
      <c r="BL69" s="37" t="n"/>
      <c r="BM69" s="288" t="n"/>
      <c r="BN69" s="37" t="n"/>
      <c r="BO69" s="288" t="n"/>
      <c r="BP69" s="288" t="n"/>
      <c r="BQ69" s="37" t="n"/>
      <c r="BR69" s="288" t="n"/>
      <c r="BS69" s="37" t="n"/>
      <c r="BT69" s="288" t="n"/>
      <c r="BU69" s="37" t="n"/>
      <c r="BV69" s="288" t="n"/>
      <c r="BW69" s="37" t="n"/>
      <c r="BX69" s="288" t="n"/>
      <c r="BY69" s="37" t="n"/>
      <c r="BZ69" s="288" t="n"/>
      <c r="CA69" s="37" t="n"/>
      <c r="CB69" s="288" t="n"/>
      <c r="CC69" s="37" t="n"/>
      <c r="CD69" s="288" t="n"/>
      <c r="CE69" s="37" t="n"/>
      <c r="CF69" s="288" t="n"/>
      <c r="CG69" s="291" t="n"/>
      <c r="CH69" s="288" t="n"/>
      <c r="CI69" s="291" t="n"/>
      <c r="CJ69" s="288" t="n"/>
      <c r="CK69" s="291" t="n"/>
      <c r="CL69" s="288" t="n"/>
      <c r="CM69" s="291" t="n"/>
      <c r="CN69" s="288" t="n"/>
      <c r="CO69" s="80" t="n"/>
      <c r="CP69" s="288" t="n"/>
      <c r="CQ69" s="80" t="n"/>
      <c r="CR69" s="288" t="n"/>
      <c r="CS69" s="80" t="n"/>
      <c r="CT69" s="288" t="n"/>
      <c r="CU69" s="80" t="n"/>
      <c r="CV69" s="269" t="n"/>
      <c r="CW69" s="288" t="n"/>
      <c r="CX69" s="37" t="n"/>
      <c r="CY69" s="288" t="n"/>
      <c r="CZ69" s="37" t="n"/>
      <c r="DA69" s="288" t="n"/>
      <c r="DB69" s="37" t="n"/>
      <c r="DC69" s="288" t="n"/>
      <c r="DD69" s="37" t="n"/>
      <c r="DE69" s="295" t="n"/>
      <c r="DF69" s="295" t="n"/>
      <c r="DG69" s="288" t="n"/>
    </row>
    <row r="70" ht="15" customHeight="1">
      <c r="A70" s="428" t="n"/>
      <c r="B70" s="285" t="n"/>
      <c r="C70" s="15" t="n"/>
      <c r="D70" s="15" t="n"/>
      <c r="E70" s="285" t="n"/>
      <c r="F70" s="15" t="n"/>
      <c r="G70" s="15" t="n"/>
      <c r="H70" s="285" t="n"/>
      <c r="I70" s="15" t="n"/>
      <c r="J70" s="15" t="n"/>
      <c r="K70" s="285" t="n"/>
      <c r="L70" s="15" t="n"/>
      <c r="M70" s="15" t="n"/>
      <c r="N70" s="285" t="n"/>
      <c r="O70" s="15" t="n"/>
      <c r="P70" s="15" t="n"/>
      <c r="Q70" s="285" t="n"/>
      <c r="R70" s="15" t="n"/>
      <c r="S70" s="15" t="n"/>
      <c r="T70" s="291" t="n"/>
      <c r="U70" s="15" t="n"/>
      <c r="V70" s="15" t="n"/>
      <c r="W70" s="291" t="n"/>
      <c r="X70" s="15" t="n"/>
      <c r="Y70" s="15" t="n"/>
      <c r="Z70" s="285" t="n"/>
      <c r="AA70" s="15" t="n"/>
      <c r="AB70" s="15" t="n"/>
      <c r="AC70" s="285" t="n"/>
      <c r="AD70" s="15" t="n"/>
      <c r="AE70" s="15" t="n"/>
      <c r="AF70" s="285" t="n"/>
      <c r="AG70" s="15" t="n"/>
      <c r="AH70" s="15" t="n"/>
      <c r="AI70" s="285" t="n"/>
      <c r="AJ70" s="15" t="n"/>
      <c r="AK70" s="15" t="n"/>
      <c r="AL70" s="285" t="n"/>
      <c r="AM70" s="327" t="n"/>
      <c r="AN70" s="15" t="n"/>
      <c r="AO70" s="285" t="n"/>
      <c r="AP70" s="327" t="n"/>
      <c r="AQ70" s="15" t="n"/>
      <c r="AR70" s="285" t="n"/>
      <c r="AS70" s="327" t="n"/>
      <c r="AT70" s="15" t="n"/>
      <c r="AU70" s="285" t="n"/>
      <c r="AV70" s="327" t="n"/>
      <c r="AW70" s="15" t="n"/>
      <c r="AX70" s="285" t="n"/>
      <c r="AY70" s="15" t="n"/>
      <c r="AZ70" s="15" t="n"/>
      <c r="BA70" s="287" t="n"/>
      <c r="BB70" s="37" t="n"/>
      <c r="BC70" s="287" t="n"/>
      <c r="BD70" s="37" t="n"/>
      <c r="BE70" s="287" t="n"/>
      <c r="BF70" s="37" t="n"/>
      <c r="BG70" s="287" t="n"/>
      <c r="BH70" s="37" t="n"/>
      <c r="BI70" s="288" t="n"/>
      <c r="BJ70" s="37" t="n"/>
      <c r="BK70" s="288" t="n"/>
      <c r="BL70" s="37" t="n"/>
      <c r="BM70" s="288" t="n"/>
      <c r="BN70" s="37" t="n"/>
      <c r="BO70" s="288" t="n"/>
      <c r="BP70" s="288" t="n"/>
      <c r="BQ70" s="37" t="n"/>
      <c r="BR70" s="288" t="n"/>
      <c r="BS70" s="37" t="n"/>
      <c r="BT70" s="288" t="n"/>
      <c r="BU70" s="37" t="n"/>
      <c r="BV70" s="288" t="n"/>
      <c r="BW70" s="37" t="n"/>
      <c r="BX70" s="288" t="n"/>
      <c r="BY70" s="37" t="n"/>
      <c r="BZ70" s="288" t="n"/>
      <c r="CA70" s="37" t="n"/>
      <c r="CB70" s="288" t="n"/>
      <c r="CC70" s="37" t="n"/>
      <c r="CD70" s="288" t="n"/>
      <c r="CE70" s="37" t="n"/>
      <c r="CF70" s="288" t="n"/>
      <c r="CG70" s="291" t="n"/>
      <c r="CH70" s="288" t="n"/>
      <c r="CI70" s="291" t="n"/>
      <c r="CJ70" s="288" t="n"/>
      <c r="CK70" s="291" t="n"/>
      <c r="CL70" s="288" t="n"/>
      <c r="CM70" s="291" t="n"/>
      <c r="CN70" s="288" t="n"/>
      <c r="CO70" s="80" t="n"/>
      <c r="CP70" s="288" t="n"/>
      <c r="CQ70" s="80" t="n"/>
      <c r="CR70" s="288" t="n"/>
      <c r="CS70" s="80" t="n"/>
      <c r="CT70" s="288" t="n"/>
      <c r="CU70" s="80" t="n"/>
      <c r="CV70" s="269" t="n"/>
      <c r="CW70" s="288" t="n"/>
      <c r="CX70" s="37" t="n"/>
      <c r="CY70" s="288" t="n"/>
      <c r="CZ70" s="37" t="n"/>
      <c r="DA70" s="288" t="n"/>
      <c r="DB70" s="37" t="n"/>
      <c r="DC70" s="288" t="n"/>
      <c r="DD70" s="37" t="n"/>
      <c r="DE70" s="295" t="n"/>
      <c r="DF70" s="295" t="n"/>
      <c r="DG70" s="288" t="n"/>
    </row>
    <row r="71">
      <c r="A71" s="428" t="n"/>
      <c r="B71" s="285" t="n"/>
      <c r="C71" s="15" t="n"/>
      <c r="D71" s="15" t="n"/>
      <c r="E71" s="285" t="n"/>
      <c r="F71" s="15" t="n"/>
      <c r="G71" s="15" t="n"/>
      <c r="H71" s="285" t="n"/>
      <c r="I71" s="15" t="n"/>
      <c r="J71" s="15" t="n"/>
      <c r="K71" s="285" t="n"/>
      <c r="L71" s="15" t="n"/>
      <c r="M71" s="15" t="n"/>
      <c r="N71" s="285" t="n"/>
      <c r="O71" s="15" t="n"/>
      <c r="P71" s="15" t="n"/>
      <c r="Q71" s="285" t="n"/>
      <c r="R71" s="15" t="n"/>
      <c r="S71" s="15" t="n"/>
      <c r="T71" s="291" t="n"/>
      <c r="U71" s="15" t="n"/>
      <c r="V71" s="15" t="n"/>
      <c r="W71" s="291" t="n"/>
      <c r="X71" s="15" t="n"/>
      <c r="Y71" s="15" t="n"/>
      <c r="Z71" s="285" t="n"/>
      <c r="AA71" s="15" t="n"/>
      <c r="AB71" s="15" t="n"/>
      <c r="AC71" s="285" t="n"/>
      <c r="AD71" s="15" t="n"/>
      <c r="AE71" s="15" t="n"/>
      <c r="AF71" s="285" t="n"/>
      <c r="AG71" s="15" t="n"/>
      <c r="AH71" s="15" t="n"/>
      <c r="AI71" s="285" t="n"/>
      <c r="AJ71" s="15" t="n"/>
      <c r="AK71" s="15" t="n"/>
      <c r="AL71" s="285" t="n"/>
      <c r="AM71" s="327" t="n"/>
      <c r="AN71" s="15" t="n"/>
      <c r="AO71" s="285" t="n"/>
      <c r="AP71" s="327" t="n"/>
      <c r="AQ71" s="15" t="n"/>
      <c r="AR71" s="285" t="n"/>
      <c r="AS71" s="327" t="n"/>
      <c r="AT71" s="15" t="n"/>
      <c r="AU71" s="285" t="n"/>
      <c r="AV71" s="327" t="n"/>
      <c r="AW71" s="15" t="n"/>
      <c r="AX71" s="285" t="n"/>
      <c r="AY71" s="15" t="n"/>
      <c r="AZ71" s="15" t="n"/>
      <c r="BA71" s="287" t="n"/>
      <c r="BB71" s="37" t="n"/>
      <c r="BC71" s="287" t="n"/>
      <c r="BD71" s="37" t="n"/>
      <c r="BE71" s="287" t="n"/>
      <c r="BF71" s="37" t="n"/>
      <c r="BG71" s="287" t="n"/>
      <c r="BH71" s="37" t="n"/>
      <c r="BI71" s="288" t="n"/>
      <c r="BJ71" s="37" t="n"/>
      <c r="BK71" s="288" t="n"/>
      <c r="BL71" s="37" t="n"/>
      <c r="BM71" s="288" t="n"/>
      <c r="BN71" s="37" t="n"/>
      <c r="BO71" s="288" t="n"/>
      <c r="BP71" s="288" t="n"/>
      <c r="BQ71" s="37" t="n"/>
      <c r="BR71" s="288" t="n"/>
      <c r="BS71" s="37" t="n"/>
      <c r="BT71" s="288" t="n"/>
      <c r="BU71" s="37" t="n"/>
      <c r="BV71" s="288" t="n"/>
      <c r="BW71" s="37" t="n"/>
      <c r="BX71" s="288" t="n"/>
      <c r="BY71" s="37" t="n"/>
      <c r="BZ71" s="288" t="n"/>
      <c r="CA71" s="37" t="n"/>
      <c r="CB71" s="288" t="n"/>
      <c r="CC71" s="37" t="n"/>
      <c r="CD71" s="288" t="n"/>
      <c r="CE71" s="37" t="n"/>
      <c r="CF71" s="288" t="n"/>
      <c r="CG71" s="291" t="n"/>
      <c r="CH71" s="288" t="n"/>
      <c r="CI71" s="291" t="n"/>
      <c r="CJ71" s="288" t="n"/>
      <c r="CK71" s="291" t="n"/>
      <c r="CL71" s="288" t="n"/>
      <c r="CM71" s="291" t="n"/>
      <c r="CN71" s="288" t="n"/>
      <c r="CO71" s="80" t="n"/>
      <c r="CP71" s="288" t="n"/>
      <c r="CQ71" s="80" t="n"/>
      <c r="CR71" s="288" t="n"/>
      <c r="CS71" s="80" t="n"/>
      <c r="CT71" s="288" t="n"/>
      <c r="CU71" s="80" t="n"/>
      <c r="CV71" s="269" t="n"/>
      <c r="CW71" s="288" t="n"/>
      <c r="CX71" s="37" t="n"/>
      <c r="CY71" s="288" t="n"/>
      <c r="CZ71" s="37" t="n"/>
      <c r="DA71" s="288" t="n"/>
      <c r="DB71" s="37" t="n"/>
      <c r="DC71" s="288" t="n"/>
      <c r="DD71" s="37" t="n"/>
      <c r="DE71" s="295" t="n"/>
      <c r="DF71" s="295" t="n"/>
      <c r="DG71" s="288" t="n"/>
    </row>
    <row r="72">
      <c r="A72" s="428" t="n"/>
      <c r="B72" s="285" t="n"/>
      <c r="C72" s="15" t="n"/>
      <c r="D72" s="15" t="n"/>
      <c r="E72" s="285" t="n"/>
      <c r="F72" s="15" t="n"/>
      <c r="G72" s="15" t="n"/>
      <c r="H72" s="285" t="n"/>
      <c r="I72" s="15" t="n"/>
      <c r="J72" s="15" t="n"/>
      <c r="K72" s="285" t="n"/>
      <c r="L72" s="15" t="n"/>
      <c r="M72" s="15" t="n"/>
      <c r="N72" s="285" t="n"/>
      <c r="O72" s="15" t="n"/>
      <c r="P72" s="15" t="n"/>
      <c r="Q72" s="285" t="n"/>
      <c r="R72" s="15" t="n"/>
      <c r="S72" s="15" t="n"/>
      <c r="T72" s="291" t="n"/>
      <c r="U72" s="15" t="n"/>
      <c r="V72" s="15" t="n"/>
      <c r="W72" s="291" t="n"/>
      <c r="X72" s="15" t="n"/>
      <c r="Y72" s="15" t="n"/>
      <c r="Z72" s="285" t="n"/>
      <c r="AA72" s="15" t="n"/>
      <c r="AB72" s="15" t="n"/>
      <c r="AC72" s="285" t="n"/>
      <c r="AD72" s="15" t="n"/>
      <c r="AE72" s="15" t="n"/>
      <c r="AF72" s="285" t="n"/>
      <c r="AG72" s="15" t="n"/>
      <c r="AH72" s="15" t="n"/>
      <c r="AI72" s="285" t="n"/>
      <c r="AJ72" s="15" t="n"/>
      <c r="AK72" s="15" t="n"/>
      <c r="AL72" s="285" t="n"/>
      <c r="AM72" s="327" t="n"/>
      <c r="AN72" s="15" t="n"/>
      <c r="AO72" s="285" t="n"/>
      <c r="AP72" s="327" t="n"/>
      <c r="AQ72" s="15" t="n"/>
      <c r="AR72" s="285" t="n"/>
      <c r="AS72" s="327" t="n"/>
      <c r="AT72" s="15" t="n"/>
      <c r="AU72" s="285" t="n"/>
      <c r="AV72" s="327" t="n"/>
      <c r="AW72" s="15" t="n"/>
      <c r="AX72" s="285" t="n"/>
      <c r="AY72" s="15" t="n"/>
      <c r="AZ72" s="15" t="n"/>
      <c r="BA72" s="287" t="n"/>
      <c r="BB72" s="37" t="n"/>
      <c r="BC72" s="287" t="n"/>
      <c r="BD72" s="37" t="n"/>
      <c r="BE72" s="287" t="n"/>
      <c r="BF72" s="37" t="n"/>
      <c r="BG72" s="287" t="n"/>
      <c r="BH72" s="37" t="n"/>
      <c r="BI72" s="288" t="n"/>
      <c r="BJ72" s="37" t="n"/>
      <c r="BK72" s="288" t="n"/>
      <c r="BL72" s="37" t="n"/>
      <c r="BM72" s="288" t="n"/>
      <c r="BN72" s="37" t="n"/>
      <c r="BO72" s="288" t="n"/>
      <c r="BP72" s="288" t="n"/>
      <c r="BQ72" s="37" t="n"/>
      <c r="BR72" s="288" t="n"/>
      <c r="BS72" s="37" t="n"/>
      <c r="BT72" s="288" t="n"/>
      <c r="BU72" s="37" t="n"/>
      <c r="BV72" s="288" t="n"/>
      <c r="BW72" s="37" t="n"/>
      <c r="BX72" s="288" t="n"/>
      <c r="BY72" s="37" t="n"/>
      <c r="BZ72" s="288" t="n"/>
      <c r="CA72" s="37" t="n"/>
      <c r="CB72" s="288" t="n"/>
      <c r="CC72" s="37" t="n"/>
      <c r="CD72" s="288" t="n"/>
      <c r="CE72" s="37" t="n"/>
      <c r="CF72" s="288" t="n"/>
      <c r="CG72" s="291" t="n"/>
      <c r="CH72" s="288" t="n"/>
      <c r="CI72" s="291" t="n"/>
      <c r="CJ72" s="288" t="n"/>
      <c r="CK72" s="291" t="n"/>
      <c r="CL72" s="288" t="n"/>
      <c r="CM72" s="291" t="n"/>
      <c r="CN72" s="288" t="n"/>
      <c r="CO72" s="80" t="n"/>
      <c r="CP72" s="288" t="n"/>
      <c r="CQ72" s="80" t="n"/>
      <c r="CR72" s="288" t="n"/>
      <c r="CS72" s="80" t="n"/>
      <c r="CT72" s="288" t="n"/>
      <c r="CU72" s="80" t="n"/>
      <c r="CV72" s="269" t="n"/>
      <c r="CW72" s="288" t="n"/>
      <c r="CX72" s="37" t="n"/>
      <c r="CY72" s="288" t="n"/>
      <c r="CZ72" s="37" t="n"/>
      <c r="DA72" s="288" t="n"/>
      <c r="DB72" s="37" t="n"/>
      <c r="DC72" s="288" t="n"/>
      <c r="DD72" s="37" t="n"/>
      <c r="DE72" s="295" t="n"/>
      <c r="DF72" s="295" t="n"/>
      <c r="DG72" s="288" t="n"/>
    </row>
    <row r="73">
      <c r="A73" s="428" t="n"/>
      <c r="B73" s="285" t="n"/>
      <c r="C73" s="15" t="n"/>
      <c r="D73" s="15" t="n"/>
      <c r="E73" s="285" t="n"/>
      <c r="F73" s="15" t="n"/>
      <c r="G73" s="15" t="n"/>
      <c r="H73" s="285" t="n"/>
      <c r="I73" s="15" t="n"/>
      <c r="J73" s="15" t="n"/>
      <c r="K73" s="285" t="n"/>
      <c r="L73" s="15" t="n"/>
      <c r="M73" s="15" t="n"/>
      <c r="N73" s="285" t="n"/>
      <c r="O73" s="15" t="n"/>
      <c r="P73" s="15" t="n"/>
      <c r="Q73" s="285" t="n"/>
      <c r="R73" s="15" t="n"/>
      <c r="S73" s="15" t="n"/>
      <c r="T73" s="291" t="n"/>
      <c r="U73" s="15" t="n"/>
      <c r="V73" s="15" t="n"/>
      <c r="W73" s="291" t="n"/>
      <c r="X73" s="15" t="n"/>
      <c r="Y73" s="15" t="n"/>
      <c r="Z73" s="285" t="n"/>
      <c r="AA73" s="15" t="n"/>
      <c r="AB73" s="15" t="n"/>
      <c r="AC73" s="285" t="n"/>
      <c r="AD73" s="15" t="n"/>
      <c r="AE73" s="15" t="n"/>
      <c r="AF73" s="285" t="n"/>
      <c r="AG73" s="15" t="n"/>
      <c r="AH73" s="15" t="n"/>
      <c r="AI73" s="285" t="n"/>
      <c r="AJ73" s="15" t="n"/>
      <c r="AK73" s="15" t="n"/>
      <c r="AL73" s="285" t="n"/>
      <c r="AM73" s="327" t="n"/>
      <c r="AN73" s="15" t="n"/>
      <c r="AO73" s="285" t="n"/>
      <c r="AP73" s="327" t="n"/>
      <c r="AQ73" s="15" t="n"/>
      <c r="AR73" s="285" t="n"/>
      <c r="AS73" s="327" t="n"/>
      <c r="AT73" s="15" t="n"/>
      <c r="AU73" s="285" t="n"/>
      <c r="AV73" s="327" t="n"/>
      <c r="AW73" s="15" t="n"/>
      <c r="AX73" s="285" t="n"/>
      <c r="AY73" s="15" t="n"/>
      <c r="AZ73" s="15" t="n"/>
      <c r="BA73" s="287" t="n"/>
      <c r="BB73" s="37" t="n"/>
      <c r="BC73" s="287" t="n"/>
      <c r="BD73" s="37" t="n"/>
      <c r="BE73" s="287" t="n"/>
      <c r="BF73" s="37" t="n"/>
      <c r="BG73" s="287" t="n"/>
      <c r="BH73" s="37" t="n"/>
      <c r="BI73" s="288" t="n"/>
      <c r="BJ73" s="37" t="n"/>
      <c r="BK73" s="288" t="n"/>
      <c r="BL73" s="37" t="n"/>
      <c r="BM73" s="288" t="n"/>
      <c r="BN73" s="37" t="n"/>
      <c r="BO73" s="288" t="n"/>
      <c r="BP73" s="288" t="n"/>
      <c r="BQ73" s="37" t="n"/>
      <c r="BR73" s="288" t="n"/>
      <c r="BS73" s="37" t="n"/>
      <c r="BT73" s="288" t="n"/>
      <c r="BU73" s="37" t="n"/>
      <c r="BV73" s="288" t="n"/>
      <c r="BW73" s="37" t="n"/>
      <c r="BX73" s="288" t="n"/>
      <c r="BY73" s="37" t="n"/>
      <c r="BZ73" s="288" t="n"/>
      <c r="CA73" s="37" t="n"/>
      <c r="CB73" s="288" t="n"/>
      <c r="CC73" s="37" t="n"/>
      <c r="CD73" s="288" t="n"/>
      <c r="CE73" s="37" t="n"/>
      <c r="CF73" s="288" t="n"/>
      <c r="CG73" s="291" t="n"/>
      <c r="CH73" s="288" t="n"/>
      <c r="CI73" s="291" t="n"/>
      <c r="CJ73" s="288" t="n"/>
      <c r="CK73" s="291" t="n"/>
      <c r="CL73" s="288" t="n"/>
      <c r="CM73" s="291" t="n"/>
      <c r="CN73" s="288" t="n"/>
      <c r="CO73" s="80" t="n"/>
      <c r="CP73" s="288" t="n"/>
      <c r="CQ73" s="80" t="n"/>
      <c r="CR73" s="288" t="n"/>
      <c r="CS73" s="80" t="n"/>
      <c r="CT73" s="288" t="n"/>
      <c r="CU73" s="80" t="n"/>
      <c r="CV73" s="269" t="n"/>
      <c r="CW73" s="288" t="n"/>
      <c r="CX73" s="37" t="n"/>
      <c r="CY73" s="288" t="n"/>
      <c r="CZ73" s="37" t="n"/>
      <c r="DA73" s="288" t="n"/>
      <c r="DB73" s="37" t="n"/>
      <c r="DC73" s="288" t="n"/>
      <c r="DD73" s="37" t="n"/>
      <c r="DE73" s="295" t="n"/>
      <c r="DF73" s="295" t="n"/>
      <c r="DG73" s="288" t="n"/>
    </row>
    <row r="74">
      <c r="A74" s="428" t="n"/>
      <c r="B74" s="285" t="n"/>
      <c r="C74" s="15" t="n"/>
      <c r="D74" s="15" t="n"/>
      <c r="E74" s="285" t="n"/>
      <c r="F74" s="15" t="n"/>
      <c r="G74" s="15" t="n"/>
      <c r="H74" s="285" t="n"/>
      <c r="I74" s="15" t="n"/>
      <c r="J74" s="15" t="n"/>
      <c r="K74" s="285" t="n"/>
      <c r="L74" s="15" t="n"/>
      <c r="M74" s="15" t="n"/>
      <c r="N74" s="285" t="n"/>
      <c r="O74" s="15" t="n"/>
      <c r="P74" s="15" t="n"/>
      <c r="Q74" s="285" t="n"/>
      <c r="R74" s="15" t="n"/>
      <c r="S74" s="15" t="n"/>
      <c r="T74" s="291" t="n"/>
      <c r="U74" s="15" t="n"/>
      <c r="V74" s="15" t="n"/>
      <c r="W74" s="291" t="n"/>
      <c r="X74" s="15" t="n"/>
      <c r="Y74" s="15" t="n"/>
      <c r="Z74" s="285" t="n"/>
      <c r="AA74" s="15" t="n"/>
      <c r="AB74" s="15" t="n"/>
      <c r="AC74" s="285" t="n"/>
      <c r="AD74" s="15" t="n"/>
      <c r="AE74" s="15" t="n"/>
      <c r="AF74" s="285" t="n"/>
      <c r="AG74" s="15" t="n"/>
      <c r="AH74" s="15" t="n"/>
      <c r="AI74" s="285" t="n"/>
      <c r="AJ74" s="15" t="n"/>
      <c r="AK74" s="15" t="n"/>
      <c r="AL74" s="285" t="n"/>
      <c r="AM74" s="327" t="n"/>
      <c r="AN74" s="15" t="n"/>
      <c r="AO74" s="285" t="n"/>
      <c r="AP74" s="327" t="n"/>
      <c r="AQ74" s="15" t="n"/>
      <c r="AR74" s="285" t="n"/>
      <c r="AS74" s="327" t="n"/>
      <c r="AT74" s="15" t="n"/>
      <c r="AU74" s="285" t="n"/>
      <c r="AV74" s="327" t="n"/>
      <c r="AW74" s="15" t="n"/>
      <c r="AX74" s="285" t="n"/>
      <c r="AY74" s="15" t="n"/>
      <c r="AZ74" s="15" t="n"/>
      <c r="BA74" s="287" t="n"/>
      <c r="BB74" s="37" t="n"/>
      <c r="BC74" s="287" t="n"/>
      <c r="BD74" s="37" t="n"/>
      <c r="BE74" s="287" t="n"/>
      <c r="BF74" s="37" t="n"/>
      <c r="BG74" s="287" t="n"/>
      <c r="BH74" s="37" t="n"/>
      <c r="BI74" s="288" t="n"/>
      <c r="BJ74" s="37" t="n"/>
      <c r="BK74" s="288" t="n"/>
      <c r="BL74" s="37" t="n"/>
      <c r="BM74" s="288" t="n"/>
      <c r="BN74" s="37" t="n"/>
      <c r="BO74" s="288" t="n"/>
      <c r="BP74" s="288" t="n"/>
      <c r="BQ74" s="37" t="n"/>
      <c r="BR74" s="288" t="n"/>
      <c r="BS74" s="37" t="n"/>
      <c r="BT74" s="288" t="n"/>
      <c r="BU74" s="37" t="n"/>
      <c r="BV74" s="288" t="n"/>
      <c r="BW74" s="37" t="n"/>
      <c r="BX74" s="288" t="n"/>
      <c r="BY74" s="37" t="n"/>
      <c r="BZ74" s="288" t="n"/>
      <c r="CA74" s="37" t="n"/>
      <c r="CB74" s="288" t="n"/>
      <c r="CC74" s="37" t="n"/>
      <c r="CD74" s="288" t="n"/>
      <c r="CE74" s="37" t="n"/>
      <c r="CF74" s="288" t="n"/>
      <c r="CG74" s="291" t="n"/>
      <c r="CH74" s="288" t="n"/>
      <c r="CI74" s="291" t="n"/>
      <c r="CJ74" s="288" t="n"/>
      <c r="CK74" s="291" t="n"/>
      <c r="CL74" s="288" t="n"/>
      <c r="CM74" s="291" t="n"/>
      <c r="CN74" s="288" t="n"/>
      <c r="CO74" s="80" t="n"/>
      <c r="CP74" s="288" t="n"/>
      <c r="CQ74" s="80" t="n"/>
      <c r="CR74" s="288" t="n"/>
      <c r="CS74" s="80" t="n"/>
      <c r="CT74" s="288" t="n"/>
      <c r="CU74" s="80" t="n"/>
      <c r="CV74" s="269" t="n"/>
      <c r="CW74" s="288" t="n"/>
      <c r="CX74" s="37" t="n"/>
      <c r="CY74" s="288" t="n"/>
      <c r="CZ74" s="37" t="n"/>
      <c r="DA74" s="288" t="n"/>
      <c r="DB74" s="37" t="n"/>
      <c r="DC74" s="288" t="n"/>
      <c r="DD74" s="37" t="n"/>
      <c r="DE74" s="295" t="n"/>
      <c r="DF74" s="295" t="n"/>
      <c r="DG74" s="288" t="n"/>
    </row>
    <row r="75">
      <c r="A75" s="428" t="n"/>
      <c r="B75" s="285" t="n"/>
      <c r="C75" s="15" t="n"/>
      <c r="D75" s="15" t="n"/>
      <c r="E75" s="285" t="n"/>
      <c r="F75" s="15" t="n"/>
      <c r="G75" s="15" t="n"/>
      <c r="H75" s="285" t="n"/>
      <c r="I75" s="15" t="n"/>
      <c r="J75" s="15" t="n"/>
      <c r="K75" s="285" t="n"/>
      <c r="L75" s="15" t="n"/>
      <c r="M75" s="15" t="n"/>
      <c r="N75" s="285" t="n"/>
      <c r="O75" s="15" t="n"/>
      <c r="P75" s="15" t="n"/>
      <c r="Q75" s="285" t="n"/>
      <c r="R75" s="15" t="n"/>
      <c r="S75" s="15" t="n"/>
      <c r="T75" s="291" t="n"/>
      <c r="U75" s="15" t="n"/>
      <c r="V75" s="15" t="n"/>
      <c r="W75" s="291" t="n"/>
      <c r="X75" s="15" t="n"/>
      <c r="Y75" s="15" t="n"/>
      <c r="Z75" s="285" t="n"/>
      <c r="AA75" s="15" t="n"/>
      <c r="AB75" s="15" t="n"/>
      <c r="AC75" s="285" t="n"/>
      <c r="AD75" s="15" t="n"/>
      <c r="AE75" s="15" t="n"/>
      <c r="AF75" s="285" t="n"/>
      <c r="AG75" s="15" t="n"/>
      <c r="AH75" s="15" t="n"/>
      <c r="AI75" s="285" t="n"/>
      <c r="AJ75" s="15" t="n"/>
      <c r="AK75" s="15" t="n"/>
      <c r="AL75" s="285" t="n"/>
      <c r="AM75" s="327" t="n"/>
      <c r="AN75" s="15" t="n"/>
      <c r="AO75" s="285" t="n"/>
      <c r="AP75" s="327" t="n"/>
      <c r="AQ75" s="15" t="n"/>
      <c r="AR75" s="285" t="n"/>
      <c r="AS75" s="327" t="n"/>
      <c r="AT75" s="15" t="n"/>
      <c r="AU75" s="285" t="n"/>
      <c r="AV75" s="327" t="n"/>
      <c r="AW75" s="15" t="n"/>
      <c r="AX75" s="285" t="n"/>
      <c r="AY75" s="15" t="n"/>
      <c r="AZ75" s="15" t="n"/>
      <c r="BA75" s="287" t="n"/>
      <c r="BB75" s="37" t="n"/>
      <c r="BC75" s="287" t="n"/>
      <c r="BD75" s="37" t="n"/>
      <c r="BE75" s="287" t="n"/>
      <c r="BF75" s="37" t="n"/>
      <c r="BG75" s="287" t="n"/>
      <c r="BH75" s="37" t="n"/>
      <c r="BI75" s="288" t="n"/>
      <c r="BJ75" s="37" t="n"/>
      <c r="BK75" s="288" t="n"/>
      <c r="BL75" s="37" t="n"/>
      <c r="BM75" s="288" t="n"/>
      <c r="BN75" s="37" t="n"/>
      <c r="BO75" s="288" t="n"/>
      <c r="BP75" s="288" t="n"/>
      <c r="BQ75" s="37" t="n"/>
      <c r="BR75" s="288" t="n"/>
      <c r="BS75" s="37" t="n"/>
      <c r="BT75" s="288" t="n"/>
      <c r="BU75" s="37" t="n"/>
      <c r="BV75" s="288" t="n"/>
      <c r="BW75" s="37" t="n"/>
      <c r="BX75" s="288" t="n"/>
      <c r="BY75" s="37" t="n"/>
      <c r="BZ75" s="288" t="n"/>
      <c r="CA75" s="37" t="n"/>
      <c r="CB75" s="288" t="n"/>
      <c r="CC75" s="37" t="n"/>
      <c r="CD75" s="288" t="n"/>
      <c r="CE75" s="37" t="n"/>
      <c r="CF75" s="288" t="n"/>
      <c r="CG75" s="291" t="n"/>
      <c r="CH75" s="288" t="n"/>
      <c r="CI75" s="291" t="n"/>
      <c r="CJ75" s="288" t="n"/>
      <c r="CK75" s="291" t="n"/>
      <c r="CL75" s="288" t="n"/>
      <c r="CM75" s="291" t="n"/>
      <c r="CN75" s="288" t="n"/>
      <c r="CO75" s="80" t="n"/>
      <c r="CP75" s="288" t="n"/>
      <c r="CQ75" s="80" t="n"/>
      <c r="CR75" s="288" t="n"/>
      <c r="CS75" s="80" t="n"/>
      <c r="CT75" s="288" t="n"/>
      <c r="CU75" s="80" t="n"/>
      <c r="CV75" s="269" t="n"/>
      <c r="CW75" s="288" t="n"/>
      <c r="CX75" s="37" t="n"/>
      <c r="CY75" s="288" t="n"/>
      <c r="CZ75" s="37" t="n"/>
      <c r="DA75" s="288" t="n"/>
      <c r="DB75" s="37" t="n"/>
      <c r="DC75" s="288" t="n"/>
      <c r="DD75" s="37" t="n"/>
      <c r="DE75" s="295" t="n"/>
      <c r="DF75" s="295" t="n"/>
      <c r="DG75" s="288" t="n"/>
    </row>
    <row r="76" ht="13" customFormat="1" customHeight="1" s="40">
      <c r="A76" s="330" t="n"/>
      <c r="B76" s="292" t="n"/>
      <c r="C76" s="15" t="n"/>
      <c r="D76" s="15" t="n"/>
      <c r="E76" s="292" t="n"/>
      <c r="F76" s="15" t="n"/>
      <c r="G76" s="15" t="n"/>
      <c r="H76" s="292" t="n"/>
      <c r="I76" s="15" t="n"/>
      <c r="J76" s="15" t="n"/>
      <c r="K76" s="292" t="n"/>
      <c r="L76" s="15" t="n"/>
      <c r="M76" s="15" t="n"/>
      <c r="N76" s="292" t="n"/>
      <c r="O76" s="15" t="n"/>
      <c r="P76" s="15" t="n"/>
      <c r="Q76" s="292" t="n"/>
      <c r="R76" s="15" t="n"/>
      <c r="S76" s="15" t="n"/>
      <c r="T76" s="291" t="n"/>
      <c r="U76" s="15" t="n"/>
      <c r="V76" s="15" t="n"/>
      <c r="W76" s="291" t="n"/>
      <c r="X76" s="15" t="n"/>
      <c r="Y76" s="15" t="n"/>
      <c r="Z76" s="292" t="n"/>
      <c r="AA76" s="15" t="n"/>
      <c r="AB76" s="15" t="n"/>
      <c r="AC76" s="292" t="n"/>
      <c r="AD76" s="15" t="n"/>
      <c r="AE76" s="15" t="n"/>
      <c r="AF76" s="292" t="n"/>
      <c r="AG76" s="15" t="n"/>
      <c r="AH76" s="15" t="n"/>
      <c r="AI76" s="292" t="n"/>
      <c r="AJ76" s="15" t="n"/>
      <c r="AK76" s="15" t="n"/>
      <c r="AL76" s="292" t="n"/>
      <c r="AM76" s="327" t="n"/>
      <c r="AN76" s="15" t="n"/>
      <c r="AO76" s="292" t="n"/>
      <c r="AP76" s="327" t="n"/>
      <c r="AQ76" s="15" t="n"/>
      <c r="AR76" s="292" t="n"/>
      <c r="AS76" s="327" t="n"/>
      <c r="AT76" s="15" t="n"/>
      <c r="AU76" s="292" t="n"/>
      <c r="AV76" s="327" t="n"/>
      <c r="AW76" s="15" t="n"/>
      <c r="AX76" s="292" t="n"/>
      <c r="AY76" s="15" t="n"/>
      <c r="AZ76" s="15" t="n"/>
      <c r="BA76" s="291" t="n"/>
      <c r="BB76" s="37" t="n"/>
      <c r="BC76" s="291" t="n"/>
      <c r="BD76" s="37" t="n"/>
      <c r="BE76" s="291" t="n"/>
      <c r="BF76" s="37" t="n"/>
      <c r="BG76" s="291" t="n"/>
      <c r="BH76" s="37" t="n"/>
      <c r="BI76" s="291" t="n"/>
      <c r="BJ76" s="37" t="n"/>
      <c r="BK76" s="291" t="n"/>
      <c r="BL76" s="37" t="n"/>
      <c r="BM76" s="291" t="n"/>
      <c r="BN76" s="37" t="n"/>
      <c r="BO76" s="291" t="n"/>
      <c r="BP76" s="291" t="n"/>
      <c r="BQ76" s="37" t="n"/>
      <c r="BR76" s="291" t="n"/>
      <c r="BS76" s="37" t="n"/>
      <c r="BT76" s="291" t="n"/>
      <c r="BU76" s="37" t="n"/>
      <c r="BV76" s="291" t="n"/>
      <c r="BW76" s="37" t="n"/>
      <c r="BX76" s="291" t="n"/>
      <c r="BY76" s="37" t="n"/>
      <c r="BZ76" s="291" t="n"/>
      <c r="CA76" s="37" t="n"/>
      <c r="CB76" s="291" t="n"/>
      <c r="CC76" s="37" t="n"/>
      <c r="CD76" s="291" t="n"/>
      <c r="CE76" s="37" t="n"/>
      <c r="CF76" s="291" t="n"/>
      <c r="CG76" s="291" t="n"/>
      <c r="CH76" s="291" t="n"/>
      <c r="CI76" s="291" t="n"/>
      <c r="CJ76" s="291" t="n"/>
      <c r="CK76" s="291" t="n"/>
      <c r="CL76" s="291" t="n"/>
      <c r="CM76" s="291" t="n"/>
      <c r="CN76" s="291" t="n"/>
      <c r="CO76" s="80" t="n"/>
      <c r="CP76" s="291" t="n"/>
      <c r="CQ76" s="80" t="n"/>
      <c r="CR76" s="291" t="n"/>
      <c r="CS76" s="80" t="n"/>
      <c r="CT76" s="291" t="n"/>
      <c r="CU76" s="80" t="n"/>
      <c r="CW76" s="291" t="n"/>
      <c r="CX76" s="37" t="n"/>
      <c r="CY76" s="291" t="n"/>
      <c r="CZ76" s="37" t="n"/>
      <c r="DA76" s="291" t="n"/>
      <c r="DB76" s="37" t="n"/>
      <c r="DC76" s="291" t="n"/>
      <c r="DD76" s="37" t="n"/>
      <c r="DE76" s="311" t="n"/>
      <c r="DF76" s="311" t="n"/>
    </row>
    <row r="77">
      <c r="A77" s="428" t="n"/>
      <c r="B77" s="285" t="n"/>
      <c r="C77" s="15" t="n"/>
      <c r="D77" s="15" t="n"/>
      <c r="E77" s="285" t="n"/>
      <c r="F77" s="15" t="n"/>
      <c r="G77" s="15" t="n"/>
      <c r="H77" s="285" t="n"/>
      <c r="I77" s="15" t="n"/>
      <c r="J77" s="15" t="n"/>
      <c r="K77" s="285" t="n"/>
      <c r="L77" s="15" t="n"/>
      <c r="M77" s="15" t="n"/>
      <c r="N77" s="285" t="n"/>
      <c r="O77" s="15" t="n"/>
      <c r="P77" s="15" t="n"/>
      <c r="Q77" s="285" t="n"/>
      <c r="R77" s="15" t="n"/>
      <c r="S77" s="15" t="n"/>
      <c r="T77" s="291" t="n"/>
      <c r="U77" s="15" t="n"/>
      <c r="V77" s="15" t="n"/>
      <c r="W77" s="291" t="n"/>
      <c r="X77" s="15" t="n"/>
      <c r="Y77" s="15" t="n"/>
      <c r="Z77" s="285" t="n"/>
      <c r="AA77" s="15" t="n"/>
      <c r="AB77" s="15" t="n"/>
      <c r="AC77" s="285" t="n"/>
      <c r="AD77" s="15" t="n"/>
      <c r="AE77" s="15" t="n"/>
      <c r="AF77" s="285" t="n"/>
      <c r="AG77" s="15" t="n"/>
      <c r="AH77" s="15" t="n"/>
      <c r="AI77" s="285" t="n"/>
      <c r="AJ77" s="15" t="n"/>
      <c r="AK77" s="15" t="n"/>
      <c r="AL77" s="285" t="n"/>
      <c r="AM77" s="327" t="n"/>
      <c r="AN77" s="15" t="n"/>
      <c r="AO77" s="285" t="n"/>
      <c r="AP77" s="327" t="n"/>
      <c r="AQ77" s="15" t="n"/>
      <c r="AR77" s="285" t="n"/>
      <c r="AS77" s="327" t="n"/>
      <c r="AT77" s="15" t="n"/>
      <c r="AU77" s="285" t="n"/>
      <c r="AV77" s="327" t="n"/>
      <c r="AW77" s="15" t="n"/>
      <c r="AX77" s="285" t="n"/>
      <c r="AY77" s="15" t="n"/>
      <c r="AZ77" s="15" t="n"/>
      <c r="BA77" s="287" t="n"/>
      <c r="BB77" s="37" t="n"/>
      <c r="BC77" s="287" t="n"/>
      <c r="BD77" s="37" t="n"/>
      <c r="BE77" s="287" t="n"/>
      <c r="BF77" s="37" t="n"/>
      <c r="BG77" s="287" t="n"/>
      <c r="BH77" s="37" t="n"/>
      <c r="BI77" s="288" t="n"/>
      <c r="BJ77" s="37" t="n"/>
      <c r="BK77" s="288" t="n"/>
      <c r="BL77" s="37" t="n"/>
      <c r="BM77" s="288" t="n"/>
      <c r="BN77" s="37" t="n"/>
      <c r="BO77" s="288" t="n"/>
      <c r="BP77" s="288" t="n"/>
      <c r="BQ77" s="37" t="n"/>
      <c r="BR77" s="288" t="n"/>
      <c r="BS77" s="37" t="n"/>
      <c r="BT77" s="288" t="n"/>
      <c r="BU77" s="37" t="n"/>
      <c r="BV77" s="288" t="n"/>
      <c r="BW77" s="37" t="n"/>
      <c r="BX77" s="288" t="n"/>
      <c r="BY77" s="37" t="n"/>
      <c r="BZ77" s="288" t="n"/>
      <c r="CA77" s="37" t="n"/>
      <c r="CB77" s="288" t="n"/>
      <c r="CC77" s="37" t="n"/>
      <c r="CD77" s="288" t="n"/>
      <c r="CE77" s="37" t="n"/>
      <c r="CF77" s="288" t="n"/>
      <c r="CG77" s="291" t="n"/>
      <c r="CH77" s="288" t="n"/>
      <c r="CI77" s="291" t="n"/>
      <c r="CJ77" s="288" t="n"/>
      <c r="CK77" s="291" t="n"/>
      <c r="CL77" s="288" t="n"/>
      <c r="CM77" s="291" t="n"/>
      <c r="CN77" s="288" t="n"/>
      <c r="CO77" s="80" t="n"/>
      <c r="CP77" s="288" t="n"/>
      <c r="CQ77" s="80" t="n"/>
      <c r="CR77" s="288" t="n"/>
      <c r="CS77" s="80" t="n"/>
      <c r="CT77" s="288" t="n"/>
      <c r="CU77" s="80" t="n"/>
      <c r="CV77" s="269" t="n"/>
      <c r="CW77" s="288" t="n"/>
      <c r="CX77" s="37" t="n"/>
      <c r="CY77" s="288" t="n"/>
      <c r="CZ77" s="37" t="n"/>
      <c r="DA77" s="288" t="n"/>
      <c r="DB77" s="37" t="n"/>
      <c r="DC77" s="288" t="n"/>
      <c r="DD77" s="37" t="n"/>
      <c r="DE77" s="295" t="n"/>
      <c r="DF77" s="295" t="n"/>
      <c r="DG77" s="288" t="n"/>
    </row>
    <row r="78">
      <c r="A78" s="428" t="n"/>
      <c r="B78" s="285" t="n"/>
      <c r="C78" s="15" t="n"/>
      <c r="D78" s="15" t="n"/>
      <c r="E78" s="285" t="n"/>
      <c r="F78" s="15" t="n"/>
      <c r="G78" s="15" t="n"/>
      <c r="H78" s="285" t="n"/>
      <c r="I78" s="15" t="n"/>
      <c r="J78" s="15" t="n"/>
      <c r="K78" s="285" t="n"/>
      <c r="L78" s="15" t="n"/>
      <c r="M78" s="15" t="n"/>
      <c r="N78" s="285" t="n"/>
      <c r="O78" s="15" t="n"/>
      <c r="P78" s="15" t="n"/>
      <c r="Q78" s="285" t="n"/>
      <c r="R78" s="15" t="n"/>
      <c r="S78" s="15" t="n"/>
      <c r="T78" s="291" t="n"/>
      <c r="U78" s="15" t="n"/>
      <c r="V78" s="15" t="n"/>
      <c r="W78" s="291" t="n"/>
      <c r="X78" s="15" t="n"/>
      <c r="Y78" s="15" t="n"/>
      <c r="Z78" s="285" t="n"/>
      <c r="AA78" s="15" t="n"/>
      <c r="AB78" s="15" t="n"/>
      <c r="AC78" s="285" t="n"/>
      <c r="AD78" s="15" t="n"/>
      <c r="AE78" s="15" t="n"/>
      <c r="AF78" s="285" t="n"/>
      <c r="AG78" s="15" t="n"/>
      <c r="AH78" s="15" t="n"/>
      <c r="AI78" s="285" t="n"/>
      <c r="AJ78" s="15" t="n"/>
      <c r="AK78" s="15" t="n"/>
      <c r="AL78" s="285" t="n"/>
      <c r="AM78" s="327" t="n"/>
      <c r="AN78" s="15" t="n"/>
      <c r="AO78" s="285" t="n"/>
      <c r="AP78" s="327" t="n"/>
      <c r="AQ78" s="15" t="n"/>
      <c r="AR78" s="285" t="n"/>
      <c r="AS78" s="327" t="n"/>
      <c r="AT78" s="15" t="n"/>
      <c r="AU78" s="285" t="n"/>
      <c r="AV78" s="327" t="n"/>
      <c r="AW78" s="15" t="n"/>
      <c r="AX78" s="285" t="n"/>
      <c r="AY78" s="15" t="n"/>
      <c r="AZ78" s="15" t="n"/>
      <c r="BA78" s="287" t="n"/>
      <c r="BB78" s="37" t="n"/>
      <c r="BC78" s="287" t="n"/>
      <c r="BD78" s="37" t="n"/>
      <c r="BE78" s="287" t="n"/>
      <c r="BF78" s="37" t="n"/>
      <c r="BG78" s="287" t="n"/>
      <c r="BH78" s="37" t="n"/>
      <c r="BI78" s="288" t="n"/>
      <c r="BJ78" s="37" t="n"/>
      <c r="BK78" s="288" t="n"/>
      <c r="BL78" s="37" t="n"/>
      <c r="BM78" s="288" t="n"/>
      <c r="BN78" s="37" t="n"/>
      <c r="BO78" s="288" t="n"/>
      <c r="BP78" s="288" t="n"/>
      <c r="BQ78" s="37" t="n"/>
      <c r="BR78" s="288" t="n"/>
      <c r="BS78" s="37" t="n"/>
      <c r="BT78" s="288" t="n"/>
      <c r="BU78" s="37" t="n"/>
      <c r="BV78" s="288" t="n"/>
      <c r="BW78" s="37" t="n"/>
      <c r="BX78" s="288" t="n"/>
      <c r="BY78" s="37" t="n"/>
      <c r="BZ78" s="288" t="n"/>
      <c r="CA78" s="37" t="n"/>
      <c r="CB78" s="288" t="n"/>
      <c r="CC78" s="37" t="n"/>
      <c r="CD78" s="288" t="n"/>
      <c r="CE78" s="37" t="n"/>
      <c r="CF78" s="288" t="n"/>
      <c r="CG78" s="291" t="n"/>
      <c r="CH78" s="288" t="n"/>
      <c r="CI78" s="291" t="n"/>
      <c r="CJ78" s="288" t="n"/>
      <c r="CK78" s="291" t="n"/>
      <c r="CL78" s="288" t="n"/>
      <c r="CM78" s="291" t="n"/>
      <c r="CN78" s="288" t="n"/>
      <c r="CO78" s="80" t="n"/>
      <c r="CP78" s="288" t="n"/>
      <c r="CQ78" s="80" t="n"/>
      <c r="CR78" s="288" t="n"/>
      <c r="CS78" s="80" t="n"/>
      <c r="CT78" s="288" t="n"/>
      <c r="CU78" s="80" t="n"/>
      <c r="CV78" s="269" t="n"/>
      <c r="CW78" s="288" t="n"/>
      <c r="CX78" s="37" t="n"/>
      <c r="CY78" s="288" t="n"/>
      <c r="CZ78" s="37" t="n"/>
      <c r="DA78" s="288" t="n"/>
      <c r="DB78" s="37" t="n"/>
      <c r="DC78" s="288" t="n"/>
      <c r="DD78" s="37" t="n"/>
      <c r="DE78" s="295" t="n"/>
      <c r="DF78" s="295" t="n"/>
      <c r="DG78" s="288" t="n"/>
    </row>
    <row r="79">
      <c r="A79" s="428" t="n"/>
      <c r="B79" s="285" t="n"/>
      <c r="C79" s="15" t="n"/>
      <c r="D79" s="15" t="n"/>
      <c r="E79" s="285" t="n"/>
      <c r="F79" s="15" t="n"/>
      <c r="G79" s="15" t="n"/>
      <c r="H79" s="285" t="n"/>
      <c r="I79" s="15" t="n"/>
      <c r="J79" s="15" t="n"/>
      <c r="K79" s="285" t="n"/>
      <c r="L79" s="15" t="n"/>
      <c r="M79" s="15" t="n"/>
      <c r="N79" s="285" t="n"/>
      <c r="O79" s="15" t="n"/>
      <c r="P79" s="15" t="n"/>
      <c r="Q79" s="285" t="n"/>
      <c r="R79" s="15" t="n"/>
      <c r="S79" s="15" t="n"/>
      <c r="T79" s="291" t="n"/>
      <c r="U79" s="15" t="n"/>
      <c r="V79" s="15" t="n"/>
      <c r="W79" s="291" t="n"/>
      <c r="X79" s="15" t="n"/>
      <c r="Y79" s="15" t="n"/>
      <c r="Z79" s="285" t="n"/>
      <c r="AA79" s="15" t="n"/>
      <c r="AB79" s="15" t="n"/>
      <c r="AC79" s="285" t="n"/>
      <c r="AD79" s="15" t="n"/>
      <c r="AE79" s="15" t="n"/>
      <c r="AF79" s="285" t="n"/>
      <c r="AG79" s="15" t="n"/>
      <c r="AH79" s="15" t="n"/>
      <c r="AI79" s="285" t="n"/>
      <c r="AJ79" s="15" t="n"/>
      <c r="AK79" s="15" t="n"/>
      <c r="AL79" s="285" t="n"/>
      <c r="AM79" s="327" t="n"/>
      <c r="AN79" s="15" t="n"/>
      <c r="AO79" s="285" t="n"/>
      <c r="AP79" s="327" t="n"/>
      <c r="AQ79" s="15" t="n"/>
      <c r="AR79" s="285" t="n"/>
      <c r="AS79" s="327" t="n"/>
      <c r="AT79" s="15" t="n"/>
      <c r="AU79" s="285" t="n"/>
      <c r="AV79" s="327" t="n"/>
      <c r="AW79" s="15" t="n"/>
      <c r="AX79" s="285" t="n"/>
      <c r="AY79" s="15" t="n"/>
      <c r="AZ79" s="15" t="n"/>
      <c r="BA79" s="287" t="n"/>
      <c r="BB79" s="37" t="n"/>
      <c r="BC79" s="287" t="n"/>
      <c r="BD79" s="37" t="n"/>
      <c r="BE79" s="287" t="n"/>
      <c r="BF79" s="37" t="n"/>
      <c r="BG79" s="287" t="n"/>
      <c r="BH79" s="37" t="n"/>
      <c r="BI79" s="288" t="n"/>
      <c r="BJ79" s="37" t="n"/>
      <c r="BK79" s="288" t="n"/>
      <c r="BL79" s="37" t="n"/>
      <c r="BM79" s="288" t="n"/>
      <c r="BN79" s="37" t="n"/>
      <c r="BO79" s="288" t="n"/>
      <c r="BP79" s="288" t="n"/>
      <c r="BQ79" s="37" t="n"/>
      <c r="BR79" s="288" t="n"/>
      <c r="BS79" s="37" t="n"/>
      <c r="BT79" s="288" t="n"/>
      <c r="BU79" s="37" t="n"/>
      <c r="BV79" s="288" t="n"/>
      <c r="BW79" s="37" t="n"/>
      <c r="BX79" s="288" t="n"/>
      <c r="BY79" s="37" t="n"/>
      <c r="BZ79" s="288" t="n"/>
      <c r="CA79" s="37" t="n"/>
      <c r="CB79" s="288" t="n"/>
      <c r="CC79" s="37" t="n"/>
      <c r="CD79" s="288" t="n"/>
      <c r="CE79" s="37" t="n"/>
      <c r="CF79" s="288" t="n"/>
      <c r="CG79" s="291" t="n"/>
      <c r="CH79" s="288" t="n"/>
      <c r="CI79" s="291" t="n"/>
      <c r="CJ79" s="288" t="n"/>
      <c r="CK79" s="291" t="n"/>
      <c r="CL79" s="288" t="n"/>
      <c r="CM79" s="291" t="n"/>
      <c r="CN79" s="288" t="n"/>
      <c r="CO79" s="80" t="n"/>
      <c r="CP79" s="288" t="n"/>
      <c r="CQ79" s="80" t="n"/>
      <c r="CR79" s="288" t="n"/>
      <c r="CS79" s="80" t="n"/>
      <c r="CT79" s="288" t="n"/>
      <c r="CU79" s="80" t="n"/>
      <c r="CV79" s="269" t="n"/>
      <c r="CW79" s="288" t="n"/>
      <c r="CX79" s="37" t="n"/>
      <c r="CY79" s="288" t="n"/>
      <c r="CZ79" s="37" t="n"/>
      <c r="DA79" s="288" t="n"/>
      <c r="DB79" s="37" t="n"/>
      <c r="DC79" s="288" t="n"/>
      <c r="DD79" s="37" t="n"/>
      <c r="DE79" s="295" t="n"/>
      <c r="DF79" s="295" t="n"/>
      <c r="DG79" s="288" t="n"/>
    </row>
    <row r="80">
      <c r="A80" s="428" t="n"/>
      <c r="B80" s="285" t="n"/>
      <c r="C80" s="15" t="n"/>
      <c r="D80" s="15" t="n"/>
      <c r="E80" s="285" t="n"/>
      <c r="F80" s="15" t="n"/>
      <c r="G80" s="15" t="n"/>
      <c r="H80" s="285" t="n"/>
      <c r="I80" s="15" t="n"/>
      <c r="J80" s="15" t="n"/>
      <c r="K80" s="285" t="n"/>
      <c r="L80" s="15" t="n"/>
      <c r="M80" s="15" t="n"/>
      <c r="N80" s="285" t="n"/>
      <c r="O80" s="15" t="n"/>
      <c r="P80" s="15" t="n"/>
      <c r="Q80" s="285" t="n"/>
      <c r="R80" s="15" t="n"/>
      <c r="S80" s="15" t="n"/>
      <c r="T80" s="291" t="n"/>
      <c r="U80" s="15" t="n"/>
      <c r="V80" s="15" t="n"/>
      <c r="W80" s="291" t="n"/>
      <c r="X80" s="15" t="n"/>
      <c r="Y80" s="15" t="n"/>
      <c r="Z80" s="285" t="n"/>
      <c r="AA80" s="15" t="n"/>
      <c r="AB80" s="15" t="n"/>
      <c r="AC80" s="285" t="n"/>
      <c r="AD80" s="15" t="n"/>
      <c r="AE80" s="15" t="n"/>
      <c r="AF80" s="285" t="n"/>
      <c r="AG80" s="15" t="n"/>
      <c r="AH80" s="15" t="n"/>
      <c r="AI80" s="285" t="n"/>
      <c r="AJ80" s="15" t="n"/>
      <c r="AK80" s="15" t="n"/>
      <c r="AL80" s="285" t="n"/>
      <c r="AM80" s="327" t="n"/>
      <c r="AN80" s="15" t="n"/>
      <c r="AO80" s="285" t="n"/>
      <c r="AP80" s="327" t="n"/>
      <c r="AQ80" s="15" t="n"/>
      <c r="AR80" s="285" t="n"/>
      <c r="AS80" s="327" t="n"/>
      <c r="AT80" s="15" t="n"/>
      <c r="AU80" s="285" t="n"/>
      <c r="AV80" s="327" t="n"/>
      <c r="AW80" s="15" t="n"/>
      <c r="AX80" s="285" t="n"/>
      <c r="AY80" s="15" t="n"/>
      <c r="AZ80" s="15" t="n"/>
      <c r="BA80" s="287" t="n"/>
      <c r="BB80" s="37" t="n"/>
      <c r="BC80" s="287" t="n"/>
      <c r="BD80" s="37" t="n"/>
      <c r="BE80" s="287" t="n"/>
      <c r="BF80" s="37" t="n"/>
      <c r="BG80" s="287" t="n"/>
      <c r="BH80" s="37" t="n"/>
      <c r="BI80" s="288" t="n"/>
      <c r="BJ80" s="37" t="n"/>
      <c r="BK80" s="288" t="n"/>
      <c r="BL80" s="37" t="n"/>
      <c r="BM80" s="288" t="n"/>
      <c r="BN80" s="37" t="n"/>
      <c r="BO80" s="288" t="n"/>
      <c r="BP80" s="288" t="n"/>
      <c r="BQ80" s="37" t="n"/>
      <c r="BR80" s="288" t="n"/>
      <c r="BS80" s="37" t="n"/>
      <c r="BT80" s="288" t="n"/>
      <c r="BU80" s="37" t="n"/>
      <c r="BV80" s="288" t="n"/>
      <c r="BW80" s="37" t="n"/>
      <c r="BX80" s="288" t="n"/>
      <c r="BY80" s="37" t="n"/>
      <c r="BZ80" s="288" t="n"/>
      <c r="CA80" s="37" t="n"/>
      <c r="CB80" s="288" t="n"/>
      <c r="CC80" s="37" t="n"/>
      <c r="CD80" s="288" t="n"/>
      <c r="CE80" s="37" t="n"/>
      <c r="CF80" s="288" t="n"/>
      <c r="CG80" s="291" t="n"/>
      <c r="CH80" s="288" t="n"/>
      <c r="CI80" s="291" t="n"/>
      <c r="CJ80" s="288" t="n"/>
      <c r="CK80" s="291" t="n"/>
      <c r="CL80" s="288" t="n"/>
      <c r="CM80" s="291" t="n"/>
      <c r="CN80" s="288" t="n"/>
      <c r="CO80" s="80" t="n"/>
      <c r="CP80" s="288" t="n"/>
      <c r="CQ80" s="80" t="n"/>
      <c r="CR80" s="288" t="n"/>
      <c r="CS80" s="80" t="n"/>
      <c r="CT80" s="288" t="n"/>
      <c r="CU80" s="80" t="n"/>
      <c r="CV80" s="269" t="n"/>
      <c r="CW80" s="288" t="n"/>
      <c r="CX80" s="37" t="n"/>
      <c r="CY80" s="288" t="n"/>
      <c r="CZ80" s="37" t="n"/>
      <c r="DA80" s="288" t="n"/>
      <c r="DB80" s="37" t="n"/>
      <c r="DC80" s="288" t="n"/>
      <c r="DD80" s="37" t="n"/>
      <c r="DE80" s="295" t="n"/>
      <c r="DF80" s="295" t="n"/>
      <c r="DG80" s="288" t="n"/>
    </row>
    <row r="81">
      <c r="A81" s="428" t="n"/>
      <c r="B81" s="285" t="n"/>
      <c r="C81" s="15" t="n"/>
      <c r="D81" s="15" t="n"/>
      <c r="E81" s="285" t="n"/>
      <c r="F81" s="15" t="n"/>
      <c r="G81" s="15" t="n"/>
      <c r="H81" s="285" t="n"/>
      <c r="I81" s="15" t="n"/>
      <c r="J81" s="15" t="n"/>
      <c r="K81" s="285" t="n"/>
      <c r="L81" s="15" t="n"/>
      <c r="M81" s="15" t="n"/>
      <c r="N81" s="285" t="n"/>
      <c r="O81" s="15" t="n"/>
      <c r="P81" s="15" t="n"/>
      <c r="Q81" s="285" t="n"/>
      <c r="R81" s="15" t="n"/>
      <c r="S81" s="15" t="n"/>
      <c r="T81" s="291" t="n"/>
      <c r="U81" s="15" t="n"/>
      <c r="V81" s="15" t="n"/>
      <c r="W81" s="291" t="n"/>
      <c r="X81" s="15" t="n"/>
      <c r="Y81" s="15" t="n"/>
      <c r="Z81" s="285" t="n"/>
      <c r="AA81" s="15" t="n"/>
      <c r="AB81" s="15" t="n"/>
      <c r="AC81" s="285" t="n"/>
      <c r="AD81" s="15" t="n"/>
      <c r="AE81" s="15" t="n"/>
      <c r="AF81" s="285" t="n"/>
      <c r="AG81" s="15" t="n"/>
      <c r="AH81" s="15" t="n"/>
      <c r="AI81" s="285" t="n"/>
      <c r="AJ81" s="15" t="n"/>
      <c r="AK81" s="15" t="n"/>
      <c r="AL81" s="285" t="n"/>
      <c r="AM81" s="327" t="n"/>
      <c r="AN81" s="15" t="n"/>
      <c r="AO81" s="285" t="n"/>
      <c r="AP81" s="327" t="n"/>
      <c r="AQ81" s="15" t="n"/>
      <c r="AR81" s="285" t="n"/>
      <c r="AS81" s="327" t="n"/>
      <c r="AT81" s="15" t="n"/>
      <c r="AU81" s="285" t="n"/>
      <c r="AV81" s="327" t="n"/>
      <c r="AW81" s="15" t="n"/>
      <c r="AX81" s="285" t="n"/>
      <c r="AY81" s="15" t="n"/>
      <c r="AZ81" s="15" t="n"/>
      <c r="BA81" s="287" t="n"/>
      <c r="BB81" s="37" t="n"/>
      <c r="BC81" s="287" t="n"/>
      <c r="BD81" s="37" t="n"/>
      <c r="BE81" s="287" t="n"/>
      <c r="BF81" s="37" t="n"/>
      <c r="BG81" s="287" t="n"/>
      <c r="BH81" s="37" t="n"/>
      <c r="BI81" s="288" t="n"/>
      <c r="BJ81" s="37" t="n"/>
      <c r="BK81" s="288" t="n"/>
      <c r="BL81" s="37" t="n"/>
      <c r="BM81" s="288" t="n"/>
      <c r="BN81" s="37" t="n"/>
      <c r="BO81" s="288" t="n"/>
      <c r="BP81" s="288" t="n"/>
      <c r="BQ81" s="37" t="n"/>
      <c r="BR81" s="288" t="n"/>
      <c r="BS81" s="37" t="n"/>
      <c r="BT81" s="288" t="n"/>
      <c r="BU81" s="37" t="n"/>
      <c r="BV81" s="288" t="n"/>
      <c r="BW81" s="37" t="n"/>
      <c r="BX81" s="288" t="n"/>
      <c r="BY81" s="37" t="n"/>
      <c r="BZ81" s="288" t="n"/>
      <c r="CA81" s="37" t="n"/>
      <c r="CB81" s="288" t="n"/>
      <c r="CC81" s="37" t="n"/>
      <c r="CD81" s="288" t="n"/>
      <c r="CE81" s="37" t="n"/>
      <c r="CF81" s="288" t="n"/>
      <c r="CG81" s="291" t="n"/>
      <c r="CH81" s="288" t="n"/>
      <c r="CI81" s="291" t="n"/>
      <c r="CJ81" s="288" t="n"/>
      <c r="CK81" s="291" t="n"/>
      <c r="CL81" s="288" t="n"/>
      <c r="CM81" s="291" t="n"/>
      <c r="CN81" s="288" t="n"/>
      <c r="CO81" s="80" t="n"/>
      <c r="CP81" s="288" t="n"/>
      <c r="CQ81" s="80" t="n"/>
      <c r="CR81" s="288" t="n"/>
      <c r="CS81" s="80" t="n"/>
      <c r="CT81" s="288" t="n"/>
      <c r="CU81" s="80" t="n"/>
      <c r="CV81" s="269" t="n"/>
      <c r="CW81" s="288" t="n"/>
      <c r="CX81" s="37" t="n"/>
      <c r="CY81" s="288" t="n"/>
      <c r="CZ81" s="37" t="n"/>
      <c r="DA81" s="288" t="n"/>
      <c r="DB81" s="37" t="n"/>
      <c r="DC81" s="288" t="n"/>
      <c r="DD81" s="37" t="n"/>
      <c r="DE81" s="295" t="n"/>
      <c r="DF81" s="295" t="n"/>
      <c r="DG81" s="288" t="n"/>
    </row>
    <row r="82">
      <c r="A82" s="428" t="n"/>
      <c r="B82" s="285" t="n"/>
      <c r="C82" s="15" t="n"/>
      <c r="D82" s="15" t="n"/>
      <c r="E82" s="285" t="n"/>
      <c r="F82" s="15" t="n"/>
      <c r="G82" s="15" t="n"/>
      <c r="H82" s="285" t="n"/>
      <c r="I82" s="15" t="n"/>
      <c r="J82" s="15" t="n"/>
      <c r="K82" s="285" t="n"/>
      <c r="L82" s="15" t="n"/>
      <c r="M82" s="15" t="n"/>
      <c r="N82" s="285" t="n"/>
      <c r="O82" s="15" t="n"/>
      <c r="P82" s="15" t="n"/>
      <c r="Q82" s="285" t="n"/>
      <c r="R82" s="15" t="n"/>
      <c r="S82" s="15" t="n"/>
      <c r="T82" s="291" t="n"/>
      <c r="U82" s="15" t="n"/>
      <c r="V82" s="15" t="n"/>
      <c r="W82" s="291" t="n"/>
      <c r="X82" s="15" t="n"/>
      <c r="Y82" s="15" t="n"/>
      <c r="Z82" s="285" t="n"/>
      <c r="AA82" s="15" t="n"/>
      <c r="AB82" s="15" t="n"/>
      <c r="AC82" s="285" t="n"/>
      <c r="AD82" s="15" t="n"/>
      <c r="AE82" s="15" t="n"/>
      <c r="AF82" s="285" t="n"/>
      <c r="AG82" s="15" t="n"/>
      <c r="AH82" s="15" t="n"/>
      <c r="AI82" s="285" t="n"/>
      <c r="AJ82" s="15" t="n"/>
      <c r="AK82" s="15" t="n"/>
      <c r="AL82" s="285" t="n"/>
      <c r="AM82" s="327" t="n"/>
      <c r="AN82" s="15" t="n"/>
      <c r="AO82" s="285" t="n"/>
      <c r="AP82" s="327" t="n"/>
      <c r="AQ82" s="15" t="n"/>
      <c r="AR82" s="285" t="n"/>
      <c r="AS82" s="327" t="n"/>
      <c r="AT82" s="15" t="n"/>
      <c r="AU82" s="285" t="n"/>
      <c r="AV82" s="327" t="n"/>
      <c r="AW82" s="15" t="n"/>
      <c r="AX82" s="285" t="n"/>
      <c r="AY82" s="15" t="n"/>
      <c r="AZ82" s="15" t="n"/>
      <c r="BA82" s="287" t="n"/>
      <c r="BB82" s="37" t="n"/>
      <c r="BC82" s="287" t="n"/>
      <c r="BD82" s="37" t="n"/>
      <c r="BE82" s="287" t="n"/>
      <c r="BF82" s="37" t="n"/>
      <c r="BG82" s="287" t="n"/>
      <c r="BH82" s="37" t="n"/>
      <c r="BI82" s="288" t="n"/>
      <c r="BJ82" s="37" t="n"/>
      <c r="BK82" s="288" t="n"/>
      <c r="BL82" s="37" t="n"/>
      <c r="BM82" s="288" t="n"/>
      <c r="BN82" s="37" t="n"/>
      <c r="BO82" s="288" t="n"/>
      <c r="BP82" s="288" t="n"/>
      <c r="BQ82" s="37" t="n"/>
      <c r="BR82" s="288" t="n"/>
      <c r="BS82" s="37" t="n"/>
      <c r="BT82" s="288" t="n"/>
      <c r="BU82" s="37" t="n"/>
      <c r="BV82" s="288" t="n"/>
      <c r="BW82" s="37" t="n"/>
      <c r="BX82" s="288" t="n"/>
      <c r="BY82" s="37" t="n"/>
      <c r="BZ82" s="288" t="n"/>
      <c r="CA82" s="37" t="n"/>
      <c r="CB82" s="288" t="n"/>
      <c r="CC82" s="37" t="n"/>
      <c r="CD82" s="288" t="n"/>
      <c r="CE82" s="37" t="n"/>
      <c r="CF82" s="288" t="n"/>
      <c r="CG82" s="291" t="n"/>
      <c r="CH82" s="288" t="n"/>
      <c r="CI82" s="291" t="n"/>
      <c r="CJ82" s="288" t="n"/>
      <c r="CK82" s="291" t="n"/>
      <c r="CL82" s="288" t="n"/>
      <c r="CM82" s="291" t="n"/>
      <c r="CN82" s="288" t="n"/>
      <c r="CO82" s="80" t="n"/>
      <c r="CP82" s="288" t="n"/>
      <c r="CQ82" s="80" t="n"/>
      <c r="CR82" s="288" t="n"/>
      <c r="CS82" s="80" t="n"/>
      <c r="CT82" s="288" t="n"/>
      <c r="CU82" s="80" t="n"/>
      <c r="CV82" s="269" t="n"/>
      <c r="CW82" s="288" t="n"/>
      <c r="CX82" s="37" t="n"/>
      <c r="CY82" s="288" t="n"/>
      <c r="CZ82" s="37" t="n"/>
      <c r="DA82" s="288" t="n"/>
      <c r="DB82" s="37" t="n"/>
      <c r="DC82" s="288" t="n"/>
      <c r="DD82" s="37" t="n"/>
      <c r="DE82" s="295" t="n"/>
      <c r="DF82" s="295" t="n"/>
      <c r="DG82" s="288" t="n"/>
    </row>
    <row r="83">
      <c r="A83" s="428" t="n"/>
      <c r="B83" s="285" t="n"/>
      <c r="C83" s="15" t="n"/>
      <c r="D83" s="15" t="n"/>
      <c r="E83" s="285" t="n"/>
      <c r="F83" s="15" t="n"/>
      <c r="G83" s="15" t="n"/>
      <c r="H83" s="285" t="n"/>
      <c r="I83" s="15" t="n"/>
      <c r="J83" s="15" t="n"/>
      <c r="K83" s="285" t="n"/>
      <c r="L83" s="15" t="n"/>
      <c r="M83" s="15" t="n"/>
      <c r="N83" s="285" t="n"/>
      <c r="O83" s="15" t="n"/>
      <c r="P83" s="15" t="n"/>
      <c r="Q83" s="285" t="n"/>
      <c r="R83" s="15" t="n"/>
      <c r="S83" s="15" t="n"/>
      <c r="T83" s="291" t="n"/>
      <c r="U83" s="15" t="n"/>
      <c r="V83" s="15" t="n"/>
      <c r="W83" s="291" t="n"/>
      <c r="X83" s="15" t="n"/>
      <c r="Y83" s="15" t="n"/>
      <c r="Z83" s="285" t="n"/>
      <c r="AA83" s="15" t="n"/>
      <c r="AB83" s="15" t="n"/>
      <c r="AC83" s="285" t="n"/>
      <c r="AD83" s="15" t="n"/>
      <c r="AE83" s="15" t="n"/>
      <c r="AF83" s="285" t="n"/>
      <c r="AG83" s="15" t="n"/>
      <c r="AH83" s="15" t="n"/>
      <c r="AI83" s="285" t="n"/>
      <c r="AJ83" s="15" t="n"/>
      <c r="AK83" s="15" t="n"/>
      <c r="AL83" s="285" t="n"/>
      <c r="AM83" s="327" t="n"/>
      <c r="AN83" s="15" t="n"/>
      <c r="AO83" s="285" t="n"/>
      <c r="AP83" s="327" t="n"/>
      <c r="AQ83" s="15" t="n"/>
      <c r="AR83" s="285" t="n"/>
      <c r="AS83" s="327" t="n"/>
      <c r="AT83" s="15" t="n"/>
      <c r="AU83" s="285" t="n"/>
      <c r="AV83" s="327" t="n"/>
      <c r="AW83" s="15" t="n"/>
      <c r="AX83" s="285" t="n"/>
      <c r="AY83" s="15" t="n"/>
      <c r="AZ83" s="15" t="n"/>
      <c r="BA83" s="287" t="n"/>
      <c r="BB83" s="37" t="n"/>
      <c r="BC83" s="287" t="n"/>
      <c r="BD83" s="37" t="n"/>
      <c r="BE83" s="287" t="n"/>
      <c r="BF83" s="37" t="n"/>
      <c r="BG83" s="287" t="n"/>
      <c r="BH83" s="37" t="n"/>
      <c r="BI83" s="288" t="n"/>
      <c r="BJ83" s="37" t="n"/>
      <c r="BK83" s="288" t="n"/>
      <c r="BL83" s="37" t="n"/>
      <c r="BM83" s="288" t="n"/>
      <c r="BN83" s="37" t="n"/>
      <c r="BO83" s="288" t="n"/>
      <c r="BP83" s="288" t="n"/>
      <c r="BQ83" s="37" t="n"/>
      <c r="BR83" s="288" t="n"/>
      <c r="BS83" s="37" t="n"/>
      <c r="BT83" s="288" t="n"/>
      <c r="BU83" s="37" t="n"/>
      <c r="BV83" s="288" t="n"/>
      <c r="BW83" s="37" t="n"/>
      <c r="BX83" s="288" t="n"/>
      <c r="BY83" s="37" t="n"/>
      <c r="BZ83" s="288" t="n"/>
      <c r="CA83" s="37" t="n"/>
      <c r="CB83" s="288" t="n"/>
      <c r="CC83" s="37" t="n"/>
      <c r="CD83" s="288" t="n"/>
      <c r="CE83" s="37" t="n"/>
      <c r="CF83" s="288" t="n"/>
      <c r="CG83" s="291" t="n"/>
      <c r="CH83" s="288" t="n"/>
      <c r="CI83" s="291" t="n"/>
      <c r="CJ83" s="288" t="n"/>
      <c r="CK83" s="291" t="n"/>
      <c r="CL83" s="288" t="n"/>
      <c r="CM83" s="291" t="n"/>
      <c r="CN83" s="288" t="n"/>
      <c r="CO83" s="80" t="n"/>
      <c r="CP83" s="288" t="n"/>
      <c r="CQ83" s="80" t="n"/>
      <c r="CR83" s="288" t="n"/>
      <c r="CS83" s="80" t="n"/>
      <c r="CT83" s="288" t="n"/>
      <c r="CU83" s="80" t="n"/>
      <c r="CV83" s="269" t="n"/>
      <c r="CW83" s="288" t="n"/>
      <c r="CX83" s="37" t="n"/>
      <c r="CY83" s="288" t="n"/>
      <c r="CZ83" s="37" t="n"/>
      <c r="DA83" s="288" t="n"/>
      <c r="DB83" s="37" t="n"/>
      <c r="DC83" s="288" t="n"/>
      <c r="DD83" s="37" t="n"/>
      <c r="DE83" s="295" t="n"/>
      <c r="DF83" s="295" t="n"/>
      <c r="DG83" s="288" t="n"/>
    </row>
    <row r="84">
      <c r="A84" s="428" t="n"/>
      <c r="B84" s="285" t="n"/>
      <c r="C84" s="15" t="n"/>
      <c r="D84" s="15" t="n"/>
      <c r="E84" s="285" t="n"/>
      <c r="F84" s="15" t="n"/>
      <c r="G84" s="15" t="n"/>
      <c r="H84" s="285" t="n"/>
      <c r="I84" s="15" t="n"/>
      <c r="J84" s="15" t="n"/>
      <c r="K84" s="285" t="n"/>
      <c r="L84" s="15" t="n"/>
      <c r="M84" s="15" t="n"/>
      <c r="N84" s="285" t="n"/>
      <c r="O84" s="15" t="n"/>
      <c r="P84" s="15" t="n"/>
      <c r="Q84" s="285" t="n"/>
      <c r="R84" s="15" t="n"/>
      <c r="S84" s="15" t="n"/>
      <c r="T84" s="291" t="n"/>
      <c r="U84" s="15" t="n"/>
      <c r="V84" s="15" t="n"/>
      <c r="W84" s="291" t="n"/>
      <c r="X84" s="15" t="n"/>
      <c r="Y84" s="15" t="n"/>
      <c r="Z84" s="285" t="n"/>
      <c r="AA84" s="15" t="n"/>
      <c r="AB84" s="15" t="n"/>
      <c r="AC84" s="285" t="n"/>
      <c r="AD84" s="15" t="n"/>
      <c r="AE84" s="15" t="n"/>
      <c r="AF84" s="285" t="n"/>
      <c r="AG84" s="15" t="n"/>
      <c r="AH84" s="15" t="n"/>
      <c r="AI84" s="285" t="n"/>
      <c r="AJ84" s="15" t="n"/>
      <c r="AK84" s="15" t="n"/>
      <c r="AL84" s="285" t="n"/>
      <c r="AM84" s="327" t="n"/>
      <c r="AN84" s="15" t="n"/>
      <c r="AO84" s="285" t="n"/>
      <c r="AP84" s="327" t="n"/>
      <c r="AQ84" s="15" t="n"/>
      <c r="AR84" s="285" t="n"/>
      <c r="AS84" s="327" t="n"/>
      <c r="AT84" s="15" t="n"/>
      <c r="AU84" s="285" t="n"/>
      <c r="AV84" s="327" t="n"/>
      <c r="AW84" s="15" t="n"/>
      <c r="AX84" s="285" t="n"/>
      <c r="AY84" s="15" t="n"/>
      <c r="AZ84" s="15" t="n"/>
      <c r="BA84" s="287" t="n"/>
      <c r="BB84" s="37" t="n"/>
      <c r="BC84" s="287" t="n"/>
      <c r="BD84" s="37" t="n"/>
      <c r="BE84" s="287" t="n"/>
      <c r="BF84" s="37" t="n"/>
      <c r="BG84" s="287" t="n"/>
      <c r="BH84" s="37" t="n"/>
      <c r="BI84" s="288" t="n"/>
      <c r="BJ84" s="37" t="n"/>
      <c r="BK84" s="288" t="n"/>
      <c r="BL84" s="37" t="n"/>
      <c r="BM84" s="288" t="n"/>
      <c r="BN84" s="37" t="n"/>
      <c r="BO84" s="288" t="n"/>
      <c r="BP84" s="288" t="n"/>
      <c r="BQ84" s="37" t="n"/>
      <c r="BR84" s="288" t="n"/>
      <c r="BS84" s="37" t="n"/>
      <c r="BT84" s="288" t="n"/>
      <c r="BU84" s="37" t="n"/>
      <c r="BV84" s="288" t="n"/>
      <c r="BW84" s="37" t="n"/>
      <c r="BX84" s="288" t="n"/>
      <c r="BY84" s="37" t="n"/>
      <c r="BZ84" s="288" t="n"/>
      <c r="CA84" s="37" t="n"/>
      <c r="CB84" s="288" t="n"/>
      <c r="CC84" s="37" t="n"/>
      <c r="CD84" s="288" t="n"/>
      <c r="CE84" s="37" t="n"/>
      <c r="CF84" s="288" t="n"/>
      <c r="CG84" s="291" t="n"/>
      <c r="CH84" s="288" t="n"/>
      <c r="CI84" s="291" t="n"/>
      <c r="CJ84" s="288" t="n"/>
      <c r="CK84" s="291" t="n"/>
      <c r="CL84" s="288" t="n"/>
      <c r="CM84" s="291" t="n"/>
      <c r="CN84" s="288" t="n"/>
      <c r="CO84" s="80" t="n"/>
      <c r="CP84" s="288" t="n"/>
      <c r="CQ84" s="80" t="n"/>
      <c r="CR84" s="288" t="n"/>
      <c r="CS84" s="80" t="n"/>
      <c r="CT84" s="288" t="n"/>
      <c r="CU84" s="80" t="n"/>
      <c r="CV84" s="269" t="n"/>
      <c r="CW84" s="288" t="n"/>
      <c r="CX84" s="37" t="n"/>
      <c r="CY84" s="288" t="n"/>
      <c r="CZ84" s="37" t="n"/>
      <c r="DA84" s="288" t="n"/>
      <c r="DB84" s="37" t="n"/>
      <c r="DC84" s="288" t="n"/>
      <c r="DD84" s="37" t="n"/>
      <c r="DE84" s="295" t="n"/>
      <c r="DF84" s="295" t="n"/>
      <c r="DG84" s="288" t="n"/>
    </row>
    <row r="85">
      <c r="A85" s="428" t="n"/>
      <c r="B85" s="285" t="n"/>
      <c r="C85" s="15" t="n"/>
      <c r="D85" s="15" t="n"/>
      <c r="E85" s="285" t="n"/>
      <c r="F85" s="15" t="n"/>
      <c r="G85" s="15" t="n"/>
      <c r="H85" s="285" t="n"/>
      <c r="I85" s="15" t="n"/>
      <c r="J85" s="15" t="n"/>
      <c r="K85" s="285" t="n"/>
      <c r="L85" s="15" t="n"/>
      <c r="M85" s="15" t="n"/>
      <c r="N85" s="285" t="n"/>
      <c r="O85" s="15" t="n"/>
      <c r="P85" s="15" t="n"/>
      <c r="Q85" s="285" t="n"/>
      <c r="R85" s="15" t="n"/>
      <c r="S85" s="15" t="n"/>
      <c r="T85" s="291" t="n"/>
      <c r="U85" s="15" t="n"/>
      <c r="V85" s="15" t="n"/>
      <c r="W85" s="291" t="n"/>
      <c r="X85" s="15" t="n"/>
      <c r="Y85" s="15" t="n"/>
      <c r="Z85" s="285" t="n"/>
      <c r="AA85" s="15" t="n"/>
      <c r="AB85" s="15" t="n"/>
      <c r="AC85" s="285" t="n"/>
      <c r="AD85" s="15" t="n"/>
      <c r="AE85" s="15" t="n"/>
      <c r="AF85" s="285" t="n"/>
      <c r="AG85" s="15" t="n"/>
      <c r="AH85" s="15" t="n"/>
      <c r="AI85" s="285" t="n"/>
      <c r="AJ85" s="15" t="n"/>
      <c r="AK85" s="15" t="n"/>
      <c r="AL85" s="285" t="n"/>
      <c r="AM85" s="327" t="n"/>
      <c r="AN85" s="15" t="n"/>
      <c r="AO85" s="285" t="n"/>
      <c r="AP85" s="327" t="n"/>
      <c r="AQ85" s="15" t="n"/>
      <c r="AR85" s="285" t="n"/>
      <c r="AS85" s="327" t="n"/>
      <c r="AT85" s="15" t="n"/>
      <c r="AU85" s="285" t="n"/>
      <c r="AV85" s="327" t="n"/>
      <c r="AW85" s="15" t="n"/>
      <c r="AX85" s="285" t="n"/>
      <c r="AY85" s="15" t="n"/>
      <c r="AZ85" s="15" t="n"/>
      <c r="BA85" s="287" t="n"/>
      <c r="BB85" s="37" t="n"/>
      <c r="BC85" s="287" t="n"/>
      <c r="BD85" s="37" t="n"/>
      <c r="BE85" s="287" t="n"/>
      <c r="BF85" s="37" t="n"/>
      <c r="BG85" s="287" t="n"/>
      <c r="BH85" s="37" t="n"/>
      <c r="BI85" s="288" t="n"/>
      <c r="BJ85" s="37" t="n"/>
      <c r="BK85" s="288" t="n"/>
      <c r="BL85" s="37" t="n"/>
      <c r="BM85" s="288" t="n"/>
      <c r="BN85" s="37" t="n"/>
      <c r="BO85" s="288" t="n"/>
      <c r="BP85" s="288" t="n"/>
      <c r="BQ85" s="37" t="n"/>
      <c r="BR85" s="288" t="n"/>
      <c r="BS85" s="37" t="n"/>
      <c r="BT85" s="288" t="n"/>
      <c r="BU85" s="37" t="n"/>
      <c r="BV85" s="288" t="n"/>
      <c r="BW85" s="37" t="n"/>
      <c r="BX85" s="288" t="n"/>
      <c r="BY85" s="37" t="n"/>
      <c r="BZ85" s="288" t="n"/>
      <c r="CA85" s="37" t="n"/>
      <c r="CB85" s="288" t="n"/>
      <c r="CC85" s="37" t="n"/>
      <c r="CD85" s="288" t="n"/>
      <c r="CE85" s="37" t="n"/>
      <c r="CF85" s="288" t="n"/>
      <c r="CG85" s="291" t="n"/>
      <c r="CH85" s="288" t="n"/>
      <c r="CI85" s="291" t="n"/>
      <c r="CJ85" s="288" t="n"/>
      <c r="CK85" s="291" t="n"/>
      <c r="CL85" s="288" t="n"/>
      <c r="CM85" s="291" t="n"/>
      <c r="CN85" s="288" t="n"/>
      <c r="CO85" s="80" t="n"/>
      <c r="CP85" s="288" t="n"/>
      <c r="CQ85" s="80" t="n"/>
      <c r="CR85" s="288" t="n"/>
      <c r="CS85" s="80" t="n"/>
      <c r="CT85" s="288" t="n"/>
      <c r="CU85" s="80" t="n"/>
      <c r="CV85" s="269" t="n"/>
      <c r="CW85" s="288" t="n"/>
      <c r="CX85" s="37" t="n"/>
      <c r="CY85" s="288" t="n"/>
      <c r="CZ85" s="37" t="n"/>
      <c r="DA85" s="288" t="n"/>
      <c r="DB85" s="37" t="n"/>
      <c r="DC85" s="288" t="n"/>
      <c r="DD85" s="37" t="n"/>
      <c r="DE85" s="295" t="n"/>
      <c r="DF85" s="295" t="n"/>
      <c r="DG85" s="296" t="n"/>
    </row>
    <row r="86">
      <c r="A86" s="428" t="n"/>
      <c r="B86" s="285" t="n"/>
      <c r="C86" s="15" t="n"/>
      <c r="D86" s="15" t="n"/>
      <c r="E86" s="285" t="n"/>
      <c r="F86" s="15" t="n"/>
      <c r="G86" s="15" t="n"/>
      <c r="H86" s="285" t="n"/>
      <c r="I86" s="15" t="n"/>
      <c r="J86" s="15" t="n"/>
      <c r="K86" s="285" t="n"/>
      <c r="L86" s="15" t="n"/>
      <c r="M86" s="15" t="n"/>
      <c r="N86" s="285" t="n"/>
      <c r="O86" s="15" t="n"/>
      <c r="P86" s="15" t="n"/>
      <c r="Q86" s="285" t="n"/>
      <c r="R86" s="15" t="n"/>
      <c r="S86" s="15" t="n"/>
      <c r="T86" s="291" t="n"/>
      <c r="U86" s="15" t="n"/>
      <c r="V86" s="15" t="n"/>
      <c r="W86" s="291" t="n"/>
      <c r="X86" s="15" t="n"/>
      <c r="Y86" s="15" t="n"/>
      <c r="Z86" s="285" t="n"/>
      <c r="AA86" s="15" t="n"/>
      <c r="AB86" s="15" t="n"/>
      <c r="AC86" s="285" t="n"/>
      <c r="AD86" s="15" t="n"/>
      <c r="AE86" s="15" t="n"/>
      <c r="AF86" s="285" t="n"/>
      <c r="AG86" s="15" t="n"/>
      <c r="AH86" s="15" t="n"/>
      <c r="AI86" s="285" t="n"/>
      <c r="AJ86" s="15" t="n"/>
      <c r="AK86" s="15" t="n"/>
      <c r="AL86" s="285" t="n"/>
      <c r="AM86" s="327" t="n"/>
      <c r="AN86" s="15" t="n"/>
      <c r="AO86" s="285" t="n"/>
      <c r="AP86" s="327" t="n"/>
      <c r="AQ86" s="15" t="n"/>
      <c r="AR86" s="285" t="n"/>
      <c r="AS86" s="327" t="n"/>
      <c r="AT86" s="15" t="n"/>
      <c r="AU86" s="285" t="n"/>
      <c r="AV86" s="327" t="n"/>
      <c r="AW86" s="15" t="n"/>
      <c r="AX86" s="285" t="n"/>
      <c r="AY86" s="15" t="n"/>
      <c r="AZ86" s="15" t="n"/>
      <c r="BA86" s="287" t="n"/>
      <c r="BB86" s="37" t="n"/>
      <c r="BC86" s="287" t="n"/>
      <c r="BD86" s="37" t="n"/>
      <c r="BE86" s="287" t="n"/>
      <c r="BF86" s="37" t="n"/>
      <c r="BG86" s="287" t="n"/>
      <c r="BH86" s="37" t="n"/>
      <c r="BI86" s="288" t="n"/>
      <c r="BJ86" s="37" t="n"/>
      <c r="BK86" s="288" t="n"/>
      <c r="BL86" s="37" t="n"/>
      <c r="BM86" s="288" t="n"/>
      <c r="BN86" s="37" t="n"/>
      <c r="BO86" s="288" t="n"/>
      <c r="BP86" s="288" t="n"/>
      <c r="BQ86" s="37" t="n"/>
      <c r="BR86" s="288" t="n"/>
      <c r="BS86" s="37" t="n"/>
      <c r="BT86" s="288" t="n"/>
      <c r="BU86" s="37" t="n"/>
      <c r="BV86" s="288" t="n"/>
      <c r="BW86" s="37" t="n"/>
      <c r="BX86" s="288" t="n"/>
      <c r="BY86" s="37" t="n"/>
      <c r="BZ86" s="288" t="n"/>
      <c r="CA86" s="37" t="n"/>
      <c r="CB86" s="288" t="n"/>
      <c r="CC86" s="37" t="n"/>
      <c r="CD86" s="288" t="n"/>
      <c r="CE86" s="37" t="n"/>
      <c r="CF86" s="288" t="n"/>
      <c r="CG86" s="291" t="n"/>
      <c r="CH86" s="288" t="n"/>
      <c r="CI86" s="291" t="n"/>
      <c r="CJ86" s="288" t="n"/>
      <c r="CK86" s="291" t="n"/>
      <c r="CL86" s="288" t="n"/>
      <c r="CM86" s="291" t="n"/>
      <c r="CN86" s="288" t="n"/>
      <c r="CO86" s="80" t="n"/>
      <c r="CP86" s="288" t="n"/>
      <c r="CQ86" s="80" t="n"/>
      <c r="CR86" s="288" t="n"/>
      <c r="CS86" s="80" t="n"/>
      <c r="CT86" s="288" t="n"/>
      <c r="CU86" s="80" t="n"/>
      <c r="CV86" s="269" t="n"/>
      <c r="CW86" s="288" t="n"/>
      <c r="CX86" s="37" t="n"/>
      <c r="CY86" s="288" t="n"/>
      <c r="CZ86" s="37" t="n"/>
      <c r="DA86" s="288" t="n"/>
      <c r="DB86" s="37" t="n"/>
      <c r="DC86" s="288" t="n"/>
      <c r="DD86" s="37" t="n"/>
      <c r="DE86" s="295" t="n"/>
      <c r="DF86" s="295" t="n"/>
      <c r="DG86" s="288" t="n"/>
    </row>
    <row r="87">
      <c r="A87" s="428" t="n"/>
      <c r="B87" s="285" t="n"/>
      <c r="C87" s="15" t="n"/>
      <c r="D87" s="15" t="n"/>
      <c r="E87" s="285" t="n"/>
      <c r="F87" s="15" t="n"/>
      <c r="G87" s="15" t="n"/>
      <c r="H87" s="285" t="n"/>
      <c r="I87" s="15" t="n"/>
      <c r="J87" s="15" t="n"/>
      <c r="K87" s="285" t="n"/>
      <c r="L87" s="15" t="n"/>
      <c r="M87" s="15" t="n"/>
      <c r="N87" s="285" t="n"/>
      <c r="O87" s="15" t="n"/>
      <c r="P87" s="15" t="n"/>
      <c r="Q87" s="285" t="n"/>
      <c r="R87" s="15" t="n"/>
      <c r="S87" s="15" t="n"/>
      <c r="T87" s="291" t="n"/>
      <c r="U87" s="15" t="n"/>
      <c r="V87" s="15" t="n"/>
      <c r="W87" s="291" t="n"/>
      <c r="X87" s="15" t="n"/>
      <c r="Y87" s="15" t="n"/>
      <c r="Z87" s="285" t="n"/>
      <c r="AA87" s="15" t="n"/>
      <c r="AB87" s="15" t="n"/>
      <c r="AC87" s="285" t="n"/>
      <c r="AD87" s="15" t="n"/>
      <c r="AE87" s="15" t="n"/>
      <c r="AF87" s="285" t="n"/>
      <c r="AG87" s="15" t="n"/>
      <c r="AH87" s="15" t="n"/>
      <c r="AI87" s="285" t="n"/>
      <c r="AJ87" s="15" t="n"/>
      <c r="AK87" s="15" t="n"/>
      <c r="AL87" s="285" t="n"/>
      <c r="AM87" s="327" t="n"/>
      <c r="AN87" s="15" t="n"/>
      <c r="AO87" s="285" t="n"/>
      <c r="AP87" s="327" t="n"/>
      <c r="AQ87" s="15" t="n"/>
      <c r="AR87" s="285" t="n"/>
      <c r="AS87" s="327" t="n"/>
      <c r="AT87" s="15" t="n"/>
      <c r="AU87" s="285" t="n"/>
      <c r="AV87" s="327" t="n"/>
      <c r="AW87" s="15" t="n"/>
      <c r="AX87" s="285" t="n"/>
      <c r="AY87" s="15" t="n"/>
      <c r="AZ87" s="15" t="n"/>
      <c r="BA87" s="287" t="n"/>
      <c r="BB87" s="37" t="n"/>
      <c r="BC87" s="287" t="n"/>
      <c r="BD87" s="37" t="n"/>
      <c r="BE87" s="287" t="n"/>
      <c r="BF87" s="37" t="n"/>
      <c r="BG87" s="287" t="n"/>
      <c r="BH87" s="37" t="n"/>
      <c r="BI87" s="288" t="n"/>
      <c r="BJ87" s="37" t="n"/>
      <c r="BK87" s="288" t="n"/>
      <c r="BL87" s="37" t="n"/>
      <c r="BM87" s="288" t="n"/>
      <c r="BN87" s="37" t="n"/>
      <c r="BO87" s="288" t="n"/>
      <c r="BP87" s="288" t="n"/>
      <c r="BQ87" s="37" t="n"/>
      <c r="BR87" s="288" t="n"/>
      <c r="BS87" s="37" t="n"/>
      <c r="BT87" s="288" t="n"/>
      <c r="BU87" s="37" t="n"/>
      <c r="BV87" s="288" t="n"/>
      <c r="BW87" s="37" t="n"/>
      <c r="BX87" s="288" t="n"/>
      <c r="BY87" s="37" t="n"/>
      <c r="BZ87" s="288" t="n"/>
      <c r="CA87" s="37" t="n"/>
      <c r="CB87" s="288" t="n"/>
      <c r="CC87" s="37" t="n"/>
      <c r="CD87" s="288" t="n"/>
      <c r="CE87" s="37" t="n"/>
      <c r="CF87" s="288" t="n"/>
      <c r="CG87" s="291" t="n"/>
      <c r="CH87" s="288" t="n"/>
      <c r="CI87" s="291" t="n"/>
      <c r="CJ87" s="288" t="n"/>
      <c r="CK87" s="291" t="n"/>
      <c r="CL87" s="288" t="n"/>
      <c r="CM87" s="291" t="n"/>
      <c r="CN87" s="288" t="n"/>
      <c r="CO87" s="80" t="n"/>
      <c r="CP87" s="288" t="n"/>
      <c r="CQ87" s="80" t="n"/>
      <c r="CR87" s="288" t="n"/>
      <c r="CS87" s="80" t="n"/>
      <c r="CT87" s="288" t="n"/>
      <c r="CU87" s="80" t="n"/>
      <c r="CV87" s="269" t="n"/>
      <c r="CW87" s="288" t="n"/>
      <c r="CX87" s="37" t="n"/>
      <c r="CY87" s="288" t="n"/>
      <c r="CZ87" s="37" t="n"/>
      <c r="DA87" s="288" t="n"/>
      <c r="DB87" s="37" t="n"/>
      <c r="DC87" s="288" t="n"/>
      <c r="DD87" s="37" t="n"/>
      <c r="DE87" s="295" t="n"/>
      <c r="DF87" s="295" t="n"/>
      <c r="DG87" s="288" t="n"/>
    </row>
    <row r="88" customFormat="1" s="40">
      <c r="A88" s="330" t="n"/>
      <c r="B88" s="292" t="n"/>
      <c r="C88" s="15" t="n"/>
      <c r="D88" s="15" t="n"/>
      <c r="E88" s="292" t="n"/>
      <c r="F88" s="15" t="n"/>
      <c r="G88" s="15" t="n"/>
      <c r="H88" s="292" t="n"/>
      <c r="I88" s="15" t="n"/>
      <c r="J88" s="15" t="n"/>
      <c r="K88" s="292" t="n"/>
      <c r="L88" s="15" t="n"/>
      <c r="M88" s="15" t="n"/>
      <c r="N88" s="292" t="n"/>
      <c r="O88" s="15" t="n"/>
      <c r="P88" s="15" t="n"/>
      <c r="Q88" s="292" t="n"/>
      <c r="R88" s="15" t="n"/>
      <c r="S88" s="15" t="n"/>
      <c r="T88" s="291" t="n"/>
      <c r="U88" s="15" t="n"/>
      <c r="V88" s="15" t="n"/>
      <c r="W88" s="291" t="n"/>
      <c r="X88" s="15" t="n"/>
      <c r="Y88" s="15" t="n"/>
      <c r="Z88" s="292" t="n"/>
      <c r="AA88" s="15" t="n"/>
      <c r="AB88" s="15" t="n"/>
      <c r="AC88" s="292" t="n"/>
      <c r="AD88" s="15" t="n"/>
      <c r="AE88" s="15" t="n"/>
      <c r="AF88" s="292" t="n"/>
      <c r="AG88" s="15" t="n"/>
      <c r="AH88" s="15" t="n"/>
      <c r="AI88" s="292" t="n"/>
      <c r="AJ88" s="15" t="n"/>
      <c r="AK88" s="15" t="n"/>
      <c r="AL88" s="292" t="n"/>
      <c r="AM88" s="327" t="n"/>
      <c r="AN88" s="15" t="n"/>
      <c r="AO88" s="292" t="n"/>
      <c r="AP88" s="327" t="n"/>
      <c r="AQ88" s="15" t="n"/>
      <c r="AR88" s="292" t="n"/>
      <c r="AS88" s="327" t="n"/>
      <c r="AT88" s="15" t="n"/>
      <c r="AU88" s="292" t="n"/>
      <c r="AV88" s="327" t="n"/>
      <c r="AW88" s="15" t="n"/>
      <c r="AX88" s="292" t="n"/>
      <c r="AY88" s="15" t="n"/>
      <c r="AZ88" s="15" t="n"/>
      <c r="BA88" s="291" t="n"/>
      <c r="BB88" s="37" t="n"/>
      <c r="BC88" s="291" t="n"/>
      <c r="BD88" s="37" t="n"/>
      <c r="BE88" s="291" t="n"/>
      <c r="BF88" s="37" t="n"/>
      <c r="BG88" s="291" t="n"/>
      <c r="BH88" s="37" t="n"/>
      <c r="BI88" s="291" t="n"/>
      <c r="BJ88" s="37" t="n"/>
      <c r="BK88" s="291" t="n"/>
      <c r="BL88" s="37" t="n"/>
      <c r="BM88" s="291" t="n"/>
      <c r="BN88" s="37" t="n"/>
      <c r="BO88" s="291" t="n"/>
      <c r="BP88" s="291" t="n"/>
      <c r="BQ88" s="37" t="n"/>
      <c r="BR88" s="291" t="n"/>
      <c r="BS88" s="37" t="n"/>
      <c r="BT88" s="291" t="n"/>
      <c r="BU88" s="37" t="n"/>
      <c r="BV88" s="291" t="n"/>
      <c r="BW88" s="37" t="n"/>
      <c r="BX88" s="291" t="n"/>
      <c r="BY88" s="37" t="n"/>
      <c r="BZ88" s="291" t="n"/>
      <c r="CA88" s="37" t="n"/>
      <c r="CB88" s="291" t="n"/>
      <c r="CC88" s="37" t="n"/>
      <c r="CD88" s="291" t="n"/>
      <c r="CE88" s="37" t="n"/>
      <c r="CF88" s="291" t="n"/>
      <c r="CG88" s="291" t="n"/>
      <c r="CH88" s="291" t="n"/>
      <c r="CI88" s="291" t="n"/>
      <c r="CJ88" s="291" t="n"/>
      <c r="CK88" s="291" t="n"/>
      <c r="CL88" s="291" t="n"/>
      <c r="CM88" s="291" t="n"/>
      <c r="CN88" s="291" t="n"/>
      <c r="CO88" s="80" t="n"/>
      <c r="CP88" s="291" t="n"/>
      <c r="CQ88" s="80" t="n"/>
      <c r="CR88" s="288" t="n"/>
      <c r="CS88" s="80" t="n"/>
      <c r="CT88" s="291" t="n"/>
      <c r="CU88" s="80" t="n"/>
      <c r="CW88" s="291" t="n"/>
      <c r="CX88" s="37" t="n"/>
      <c r="CY88" s="291" t="n"/>
      <c r="CZ88" s="37" t="n"/>
      <c r="DA88" s="291" t="n"/>
      <c r="DB88" s="37" t="n"/>
      <c r="DC88" s="291" t="n"/>
      <c r="DD88" s="37" t="n"/>
      <c r="DE88" s="311" t="n"/>
      <c r="DF88" s="311" t="n"/>
    </row>
    <row r="89">
      <c r="A89" s="428" t="n"/>
      <c r="B89" s="285" t="n"/>
      <c r="C89" s="15" t="n"/>
      <c r="D89" s="15" t="n"/>
      <c r="E89" s="285" t="n"/>
      <c r="F89" s="15" t="n"/>
      <c r="G89" s="15" t="n"/>
      <c r="H89" s="285" t="n"/>
      <c r="I89" s="15" t="n"/>
      <c r="J89" s="15" t="n"/>
      <c r="K89" s="285" t="n"/>
      <c r="L89" s="15" t="n"/>
      <c r="M89" s="15" t="n"/>
      <c r="N89" s="285" t="n"/>
      <c r="O89" s="15" t="n"/>
      <c r="P89" s="15" t="n"/>
      <c r="Q89" s="285" t="n"/>
      <c r="R89" s="15" t="n"/>
      <c r="S89" s="15" t="n"/>
      <c r="T89" s="291" t="n"/>
      <c r="U89" s="15" t="n"/>
      <c r="V89" s="15" t="n"/>
      <c r="W89" s="291" t="n"/>
      <c r="X89" s="15" t="n"/>
      <c r="Y89" s="15" t="n"/>
      <c r="Z89" s="285" t="n"/>
      <c r="AA89" s="15" t="n"/>
      <c r="AB89" s="15" t="n"/>
      <c r="AC89" s="285" t="n"/>
      <c r="AD89" s="15" t="n"/>
      <c r="AE89" s="15" t="n"/>
      <c r="AF89" s="285" t="n"/>
      <c r="AG89" s="15" t="n"/>
      <c r="AH89" s="15" t="n"/>
      <c r="AI89" s="285" t="n"/>
      <c r="AJ89" s="15" t="n"/>
      <c r="AK89" s="15" t="n"/>
      <c r="AL89" s="285" t="n"/>
      <c r="AM89" s="327" t="n"/>
      <c r="AN89" s="15" t="n"/>
      <c r="AO89" s="285" t="n"/>
      <c r="AP89" s="327" t="n"/>
      <c r="AQ89" s="15" t="n"/>
      <c r="AR89" s="285" t="n"/>
      <c r="AS89" s="327" t="n"/>
      <c r="AT89" s="15" t="n"/>
      <c r="AU89" s="285" t="n"/>
      <c r="AV89" s="327" t="n"/>
      <c r="AW89" s="15" t="n"/>
      <c r="AX89" s="285" t="n"/>
      <c r="AY89" s="15" t="n"/>
      <c r="AZ89" s="15" t="n"/>
      <c r="BA89" s="287" t="n"/>
      <c r="BB89" s="37" t="n"/>
      <c r="BC89" s="287" t="n"/>
      <c r="BD89" s="37" t="n"/>
      <c r="BE89" s="287" t="n"/>
      <c r="BF89" s="37" t="n"/>
      <c r="BG89" s="287" t="n"/>
      <c r="BH89" s="37" t="n"/>
      <c r="BI89" s="288" t="n"/>
      <c r="BJ89" s="37" t="n"/>
      <c r="BK89" s="288" t="n"/>
      <c r="BL89" s="37" t="n"/>
      <c r="BM89" s="288" t="n"/>
      <c r="BN89" s="37" t="n"/>
      <c r="BO89" s="288" t="n"/>
      <c r="BP89" s="288" t="n"/>
      <c r="BQ89" s="37" t="n"/>
      <c r="BR89" s="288" t="n"/>
      <c r="BS89" s="37" t="n"/>
      <c r="BT89" s="288" t="n"/>
      <c r="BU89" s="37" t="n"/>
      <c r="BV89" s="288" t="n"/>
      <c r="BW89" s="37" t="n"/>
      <c r="BX89" s="288" t="n"/>
      <c r="BY89" s="37" t="n"/>
      <c r="BZ89" s="288" t="n"/>
      <c r="CA89" s="37" t="n"/>
      <c r="CB89" s="288" t="n"/>
      <c r="CC89" s="37" t="n"/>
      <c r="CD89" s="288" t="n"/>
      <c r="CE89" s="37" t="n"/>
      <c r="CF89" s="288" t="n"/>
      <c r="CG89" s="291" t="n"/>
      <c r="CH89" s="288" t="n"/>
      <c r="CI89" s="291" t="n"/>
      <c r="CJ89" s="288" t="n"/>
      <c r="CK89" s="291" t="n"/>
      <c r="CL89" s="288" t="n"/>
      <c r="CM89" s="291" t="n"/>
      <c r="CN89" s="288" t="n"/>
      <c r="CO89" s="80" t="n"/>
      <c r="CP89" s="288" t="n"/>
      <c r="CQ89" s="80" t="n"/>
      <c r="CR89" s="288" t="n"/>
      <c r="CS89" s="80" t="n"/>
      <c r="CT89" s="288" t="n"/>
      <c r="CU89" s="80" t="n"/>
      <c r="CV89" s="269" t="n"/>
      <c r="CW89" s="288" t="n"/>
      <c r="CX89" s="37" t="n"/>
      <c r="CY89" s="288" t="n"/>
      <c r="CZ89" s="37" t="n"/>
      <c r="DA89" s="288" t="n"/>
      <c r="DB89" s="37" t="n"/>
      <c r="DC89" s="288" t="n"/>
      <c r="DD89" s="37" t="n"/>
      <c r="DE89" s="295" t="n"/>
      <c r="DF89" s="295" t="n"/>
      <c r="DG89" s="288" t="n"/>
    </row>
    <row r="90">
      <c r="A90" s="428" t="n"/>
      <c r="B90" s="285" t="n"/>
      <c r="C90" s="15" t="n"/>
      <c r="D90" s="15" t="n"/>
      <c r="E90" s="285" t="n"/>
      <c r="F90" s="15" t="n"/>
      <c r="G90" s="15" t="n"/>
      <c r="H90" s="285" t="n"/>
      <c r="I90" s="15" t="n"/>
      <c r="J90" s="15" t="n"/>
      <c r="K90" s="285" t="n"/>
      <c r="L90" s="15" t="n"/>
      <c r="M90" s="15" t="n"/>
      <c r="N90" s="285" t="n"/>
      <c r="O90" s="15" t="n"/>
      <c r="P90" s="15" t="n"/>
      <c r="Q90" s="285" t="n"/>
      <c r="R90" s="15" t="n"/>
      <c r="S90" s="15" t="n"/>
      <c r="T90" s="291" t="n"/>
      <c r="U90" s="15" t="n"/>
      <c r="V90" s="15" t="n"/>
      <c r="W90" s="291" t="n"/>
      <c r="X90" s="15" t="n"/>
      <c r="Y90" s="15" t="n"/>
      <c r="Z90" s="285" t="n"/>
      <c r="AA90" s="15" t="n"/>
      <c r="AB90" s="15" t="n"/>
      <c r="AC90" s="285" t="n"/>
      <c r="AD90" s="15" t="n"/>
      <c r="AE90" s="15" t="n"/>
      <c r="AF90" s="285" t="n"/>
      <c r="AG90" s="15" t="n"/>
      <c r="AH90" s="15" t="n"/>
      <c r="AI90" s="285" t="n"/>
      <c r="AJ90" s="15" t="n"/>
      <c r="AK90" s="15" t="n"/>
      <c r="AL90" s="285" t="n"/>
      <c r="AM90" s="327" t="n"/>
      <c r="AN90" s="15" t="n"/>
      <c r="AO90" s="285" t="n"/>
      <c r="AP90" s="327" t="n"/>
      <c r="AQ90" s="15" t="n"/>
      <c r="AR90" s="285" t="n"/>
      <c r="AS90" s="327" t="n"/>
      <c r="AT90" s="15" t="n"/>
      <c r="AU90" s="285" t="n"/>
      <c r="AV90" s="327" t="n"/>
      <c r="AW90" s="15" t="n"/>
      <c r="AX90" s="285" t="n"/>
      <c r="AY90" s="15" t="n"/>
      <c r="AZ90" s="15" t="n"/>
      <c r="BA90" s="287" t="n"/>
      <c r="BB90" s="37" t="n"/>
      <c r="BC90" s="287" t="n"/>
      <c r="BD90" s="37" t="n"/>
      <c r="BE90" s="287" t="n"/>
      <c r="BF90" s="37" t="n"/>
      <c r="BG90" s="287" t="n"/>
      <c r="BH90" s="37" t="n"/>
      <c r="BI90" s="288" t="n"/>
      <c r="BJ90" s="37" t="n"/>
      <c r="BK90" s="288" t="n"/>
      <c r="BL90" s="37" t="n"/>
      <c r="BM90" s="288" t="n"/>
      <c r="BN90" s="37" t="n"/>
      <c r="BO90" s="288" t="n"/>
      <c r="BP90" s="288" t="n"/>
      <c r="BQ90" s="37" t="n"/>
      <c r="BR90" s="288" t="n"/>
      <c r="BS90" s="37" t="n"/>
      <c r="BT90" s="288" t="n"/>
      <c r="BU90" s="37" t="n"/>
      <c r="BV90" s="288" t="n"/>
      <c r="BW90" s="37" t="n"/>
      <c r="BX90" s="288" t="n"/>
      <c r="BY90" s="37" t="n"/>
      <c r="BZ90" s="288" t="n"/>
      <c r="CA90" s="37" t="n"/>
      <c r="CB90" s="288" t="n"/>
      <c r="CC90" s="37" t="n"/>
      <c r="CD90" s="288" t="n"/>
      <c r="CE90" s="37" t="n"/>
      <c r="CF90" s="288" t="n"/>
      <c r="CG90" s="291" t="n"/>
      <c r="CH90" s="288" t="n"/>
      <c r="CI90" s="291" t="n"/>
      <c r="CJ90" s="288" t="n"/>
      <c r="CK90" s="291" t="n"/>
      <c r="CL90" s="288" t="n"/>
      <c r="CM90" s="291" t="n"/>
      <c r="CN90" s="288" t="n"/>
      <c r="CO90" s="80" t="n"/>
      <c r="CP90" s="288" t="n"/>
      <c r="CQ90" s="80" t="n"/>
      <c r="CR90" s="288" t="n"/>
      <c r="CS90" s="80" t="n"/>
      <c r="CT90" s="288" t="n"/>
      <c r="CU90" s="80" t="n"/>
      <c r="CV90" s="269" t="n"/>
      <c r="CW90" s="288" t="n"/>
      <c r="CX90" s="37" t="n"/>
      <c r="CY90" s="288" t="n"/>
      <c r="CZ90" s="37" t="n"/>
      <c r="DA90" s="288" t="n"/>
      <c r="DB90" s="37" t="n"/>
      <c r="DC90" s="288" t="n"/>
      <c r="DD90" s="37" t="n"/>
      <c r="DE90" s="295" t="n"/>
      <c r="DF90" s="295" t="n"/>
      <c r="DG90" s="296" t="n"/>
    </row>
    <row r="91">
      <c r="A91" s="428" t="n"/>
      <c r="B91" s="285" t="n"/>
      <c r="C91" s="15" t="n"/>
      <c r="D91" s="15" t="n"/>
      <c r="E91" s="285" t="n"/>
      <c r="F91" s="15" t="n"/>
      <c r="G91" s="15" t="n"/>
      <c r="H91" s="285" t="n"/>
      <c r="I91" s="15" t="n"/>
      <c r="J91" s="15" t="n"/>
      <c r="K91" s="285" t="n"/>
      <c r="L91" s="15" t="n"/>
      <c r="M91" s="15" t="n"/>
      <c r="N91" s="285" t="n"/>
      <c r="O91" s="15" t="n"/>
      <c r="P91" s="15" t="n"/>
      <c r="Q91" s="285" t="n"/>
      <c r="R91" s="15" t="n"/>
      <c r="S91" s="15" t="n"/>
      <c r="T91" s="291" t="n"/>
      <c r="U91" s="15" t="n"/>
      <c r="V91" s="15" t="n"/>
      <c r="W91" s="291" t="n"/>
      <c r="X91" s="15" t="n"/>
      <c r="Y91" s="15" t="n"/>
      <c r="Z91" s="285" t="n"/>
      <c r="AA91" s="15" t="n"/>
      <c r="AB91" s="15" t="n"/>
      <c r="AC91" s="285" t="n"/>
      <c r="AD91" s="15" t="n"/>
      <c r="AE91" s="15" t="n"/>
      <c r="AF91" s="285" t="n"/>
      <c r="AG91" s="15" t="n"/>
      <c r="AH91" s="15" t="n"/>
      <c r="AI91" s="285" t="n"/>
      <c r="AJ91" s="15" t="n"/>
      <c r="AK91" s="15" t="n"/>
      <c r="AL91" s="285" t="n"/>
      <c r="AM91" s="327" t="n"/>
      <c r="AN91" s="15" t="n"/>
      <c r="AO91" s="285" t="n"/>
      <c r="AP91" s="327" t="n"/>
      <c r="AQ91" s="15" t="n"/>
      <c r="AR91" s="285" t="n"/>
      <c r="AS91" s="327" t="n"/>
      <c r="AT91" s="15" t="n"/>
      <c r="AU91" s="285" t="n"/>
      <c r="AV91" s="327" t="n"/>
      <c r="AW91" s="15" t="n"/>
      <c r="AX91" s="285" t="n"/>
      <c r="AY91" s="15" t="n"/>
      <c r="AZ91" s="15" t="n"/>
      <c r="BA91" s="287" t="n"/>
      <c r="BB91" s="37" t="n"/>
      <c r="BC91" s="287" t="n"/>
      <c r="BD91" s="37" t="n"/>
      <c r="BE91" s="287" t="n"/>
      <c r="BF91" s="37" t="n"/>
      <c r="BG91" s="287" t="n"/>
      <c r="BH91" s="37" t="n"/>
      <c r="BI91" s="288" t="n"/>
      <c r="BJ91" s="37" t="n"/>
      <c r="BK91" s="288" t="n"/>
      <c r="BL91" s="37" t="n"/>
      <c r="BM91" s="288" t="n"/>
      <c r="BN91" s="37" t="n"/>
      <c r="BO91" s="288" t="n"/>
      <c r="BP91" s="288" t="n"/>
      <c r="BQ91" s="37" t="n"/>
      <c r="BR91" s="288" t="n"/>
      <c r="BS91" s="37" t="n"/>
      <c r="BT91" s="288" t="n"/>
      <c r="BU91" s="37" t="n"/>
      <c r="BV91" s="288" t="n"/>
      <c r="BW91" s="37" t="n"/>
      <c r="BX91" s="288" t="n"/>
      <c r="BY91" s="37" t="n"/>
      <c r="BZ91" s="288" t="n"/>
      <c r="CA91" s="37" t="n"/>
      <c r="CB91" s="288" t="n"/>
      <c r="CC91" s="37" t="n"/>
      <c r="CD91" s="288" t="n"/>
      <c r="CE91" s="37" t="n"/>
      <c r="CF91" s="288" t="n"/>
      <c r="CG91" s="291" t="n"/>
      <c r="CH91" s="288" t="n"/>
      <c r="CI91" s="291" t="n"/>
      <c r="CJ91" s="288" t="n"/>
      <c r="CK91" s="291" t="n"/>
      <c r="CL91" s="288" t="n"/>
      <c r="CM91" s="291" t="n"/>
      <c r="CN91" s="288" t="n"/>
      <c r="CO91" s="80" t="n"/>
      <c r="CP91" s="288" t="n"/>
      <c r="CQ91" s="80" t="n"/>
      <c r="CR91" s="288" t="n"/>
      <c r="CS91" s="80" t="n"/>
      <c r="CT91" s="288" t="n"/>
      <c r="CU91" s="80" t="n"/>
      <c r="CV91" s="269" t="n"/>
      <c r="CW91" s="288" t="n"/>
      <c r="CX91" s="37" t="n"/>
      <c r="CY91" s="288" t="n"/>
      <c r="CZ91" s="37" t="n"/>
      <c r="DA91" s="288" t="n"/>
      <c r="DB91" s="37" t="n"/>
      <c r="DC91" s="288" t="n"/>
      <c r="DD91" s="37" t="n"/>
      <c r="DE91" s="295" t="n"/>
      <c r="DF91" s="295" t="n"/>
      <c r="DG91" s="296" t="n"/>
    </row>
    <row r="92">
      <c r="A92" s="428" t="n"/>
      <c r="B92" s="285" t="n"/>
      <c r="C92" s="15" t="n"/>
      <c r="D92" s="15" t="n"/>
      <c r="E92" s="285" t="n"/>
      <c r="F92" s="15" t="n"/>
      <c r="G92" s="15" t="n"/>
      <c r="H92" s="285" t="n"/>
      <c r="I92" s="15" t="n"/>
      <c r="J92" s="15" t="n"/>
      <c r="K92" s="285" t="n"/>
      <c r="L92" s="15" t="n"/>
      <c r="M92" s="15" t="n"/>
      <c r="N92" s="285" t="n"/>
      <c r="O92" s="15" t="n"/>
      <c r="P92" s="15" t="n"/>
      <c r="Q92" s="285" t="n"/>
      <c r="R92" s="15" t="n"/>
      <c r="S92" s="15" t="n"/>
      <c r="T92" s="291" t="n"/>
      <c r="U92" s="15" t="n"/>
      <c r="V92" s="15" t="n"/>
      <c r="W92" s="291" t="n"/>
      <c r="X92" s="15" t="n"/>
      <c r="Y92" s="15" t="n"/>
      <c r="Z92" s="285" t="n"/>
      <c r="AA92" s="15" t="n"/>
      <c r="AB92" s="15" t="n"/>
      <c r="AC92" s="285" t="n"/>
      <c r="AD92" s="15" t="n"/>
      <c r="AE92" s="15" t="n"/>
      <c r="AF92" s="285" t="n"/>
      <c r="AG92" s="15" t="n"/>
      <c r="AH92" s="15" t="n"/>
      <c r="AI92" s="285" t="n"/>
      <c r="AJ92" s="15" t="n"/>
      <c r="AK92" s="15" t="n"/>
      <c r="AL92" s="285" t="n"/>
      <c r="AM92" s="327" t="n"/>
      <c r="AN92" s="15" t="n"/>
      <c r="AO92" s="285" t="n"/>
      <c r="AP92" s="327" t="n"/>
      <c r="AQ92" s="15" t="n"/>
      <c r="AR92" s="285" t="n"/>
      <c r="AS92" s="327" t="n"/>
      <c r="AT92" s="15" t="n"/>
      <c r="AU92" s="285" t="n"/>
      <c r="AV92" s="327" t="n"/>
      <c r="AW92" s="15" t="n"/>
      <c r="AX92" s="285" t="n"/>
      <c r="AY92" s="15" t="n"/>
      <c r="AZ92" s="15" t="n"/>
      <c r="BA92" s="287" t="n"/>
      <c r="BB92" s="37" t="n"/>
      <c r="BC92" s="287" t="n"/>
      <c r="BD92" s="37" t="n"/>
      <c r="BE92" s="287" t="n"/>
      <c r="BF92" s="37" t="n"/>
      <c r="BG92" s="287" t="n"/>
      <c r="BH92" s="37" t="n"/>
      <c r="BI92" s="288" t="n"/>
      <c r="BJ92" s="37" t="n"/>
      <c r="BK92" s="288" t="n"/>
      <c r="BL92" s="37" t="n"/>
      <c r="BM92" s="288" t="n"/>
      <c r="BN92" s="37" t="n"/>
      <c r="BO92" s="288" t="n"/>
      <c r="BP92" s="288" t="n"/>
      <c r="BQ92" s="37" t="n"/>
      <c r="BR92" s="288" t="n"/>
      <c r="BS92" s="37" t="n"/>
      <c r="BT92" s="288" t="n"/>
      <c r="BU92" s="37" t="n"/>
      <c r="BV92" s="288" t="n"/>
      <c r="BW92" s="37" t="n"/>
      <c r="BX92" s="288" t="n"/>
      <c r="BY92" s="37" t="n"/>
      <c r="BZ92" s="288" t="n"/>
      <c r="CA92" s="37" t="n"/>
      <c r="CB92" s="288" t="n"/>
      <c r="CC92" s="37" t="n"/>
      <c r="CD92" s="288" t="n"/>
      <c r="CE92" s="37" t="n"/>
      <c r="CF92" s="288" t="n"/>
      <c r="CG92" s="291" t="n"/>
      <c r="CH92" s="288" t="n"/>
      <c r="CI92" s="291" t="n"/>
      <c r="CJ92" s="288" t="n"/>
      <c r="CK92" s="291" t="n"/>
      <c r="CL92" s="288" t="n"/>
      <c r="CM92" s="291" t="n"/>
      <c r="CN92" s="288" t="n"/>
      <c r="CO92" s="80" t="n"/>
      <c r="CP92" s="288" t="n"/>
      <c r="CQ92" s="80" t="n"/>
      <c r="CR92" s="288" t="n"/>
      <c r="CS92" s="80" t="n"/>
      <c r="CT92" s="288" t="n"/>
      <c r="CU92" s="80" t="n"/>
      <c r="CV92" s="269" t="n"/>
      <c r="CW92" s="288" t="n"/>
      <c r="CX92" s="37" t="n"/>
      <c r="CY92" s="288" t="n"/>
      <c r="CZ92" s="37" t="n"/>
      <c r="DA92" s="288" t="n"/>
      <c r="DB92" s="37" t="n"/>
      <c r="DC92" s="288" t="n"/>
      <c r="DD92" s="37" t="n"/>
      <c r="DE92" s="295" t="n"/>
      <c r="DF92" s="295" t="n"/>
      <c r="DG92" s="296" t="n"/>
    </row>
    <row r="93">
      <c r="A93" s="428" t="n"/>
      <c r="B93" s="285" t="n"/>
      <c r="C93" s="15" t="n"/>
      <c r="D93" s="15" t="n"/>
      <c r="E93" s="285" t="n"/>
      <c r="F93" s="15" t="n"/>
      <c r="G93" s="15" t="n"/>
      <c r="H93" s="285" t="n"/>
      <c r="I93" s="15" t="n"/>
      <c r="J93" s="15" t="n"/>
      <c r="K93" s="285" t="n"/>
      <c r="L93" s="15" t="n"/>
      <c r="M93" s="15" t="n"/>
      <c r="N93" s="285" t="n"/>
      <c r="O93" s="15" t="n"/>
      <c r="P93" s="15" t="n"/>
      <c r="Q93" s="285" t="n"/>
      <c r="R93" s="15" t="n"/>
      <c r="S93" s="15" t="n"/>
      <c r="T93" s="291" t="n"/>
      <c r="U93" s="15" t="n"/>
      <c r="V93" s="15" t="n"/>
      <c r="W93" s="291" t="n"/>
      <c r="X93" s="15" t="n"/>
      <c r="Y93" s="15" t="n"/>
      <c r="Z93" s="285" t="n"/>
      <c r="AA93" s="15" t="n"/>
      <c r="AB93" s="15" t="n"/>
      <c r="AC93" s="285" t="n"/>
      <c r="AD93" s="15" t="n"/>
      <c r="AE93" s="15" t="n"/>
      <c r="AF93" s="285" t="n"/>
      <c r="AG93" s="15" t="n"/>
      <c r="AH93" s="15" t="n"/>
      <c r="AI93" s="285" t="n"/>
      <c r="AJ93" s="15" t="n"/>
      <c r="AK93" s="15" t="n"/>
      <c r="AL93" s="285" t="n"/>
      <c r="AM93" s="327" t="n"/>
      <c r="AN93" s="15" t="n"/>
      <c r="AO93" s="285" t="n"/>
      <c r="AP93" s="327" t="n"/>
      <c r="AQ93" s="15" t="n"/>
      <c r="AR93" s="285" t="n"/>
      <c r="AS93" s="327" t="n"/>
      <c r="AT93" s="15" t="n"/>
      <c r="AU93" s="285" t="n"/>
      <c r="AV93" s="327" t="n"/>
      <c r="AW93" s="15" t="n"/>
      <c r="AX93" s="285" t="n"/>
      <c r="AY93" s="15" t="n"/>
      <c r="AZ93" s="15" t="n"/>
      <c r="BA93" s="287" t="n"/>
      <c r="BB93" s="37" t="n"/>
      <c r="BC93" s="287" t="n"/>
      <c r="BD93" s="37" t="n"/>
      <c r="BE93" s="287" t="n"/>
      <c r="BF93" s="37" t="n"/>
      <c r="BG93" s="287" t="n"/>
      <c r="BH93" s="37" t="n"/>
      <c r="BI93" s="288" t="n"/>
      <c r="BJ93" s="37" t="n"/>
      <c r="BK93" s="288" t="n"/>
      <c r="BL93" s="37" t="n"/>
      <c r="BM93" s="288" t="n"/>
      <c r="BN93" s="37" t="n"/>
      <c r="BO93" s="288" t="n"/>
      <c r="BP93" s="288" t="n"/>
      <c r="BQ93" s="37" t="n"/>
      <c r="BR93" s="288" t="n"/>
      <c r="BS93" s="37" t="n"/>
      <c r="BT93" s="288" t="n"/>
      <c r="BU93" s="37" t="n"/>
      <c r="BV93" s="288" t="n"/>
      <c r="BW93" s="37" t="n"/>
      <c r="BX93" s="288" t="n"/>
      <c r="BY93" s="37" t="n"/>
      <c r="BZ93" s="288" t="n"/>
      <c r="CA93" s="37" t="n"/>
      <c r="CB93" s="288" t="n"/>
      <c r="CC93" s="37" t="n"/>
      <c r="CD93" s="288" t="n"/>
      <c r="CE93" s="37" t="n"/>
      <c r="CF93" s="288" t="n"/>
      <c r="CG93" s="291" t="n"/>
      <c r="CH93" s="288" t="n"/>
      <c r="CI93" s="291" t="n"/>
      <c r="CJ93" s="288" t="n"/>
      <c r="CK93" s="291" t="n"/>
      <c r="CL93" s="288" t="n"/>
      <c r="CM93" s="291" t="n"/>
      <c r="CN93" s="288" t="n"/>
      <c r="CO93" s="80" t="n"/>
      <c r="CP93" s="288" t="n"/>
      <c r="CQ93" s="80" t="n"/>
      <c r="CR93" s="288" t="n"/>
      <c r="CS93" s="80" t="n"/>
      <c r="CT93" s="288" t="n"/>
      <c r="CU93" s="80" t="n"/>
      <c r="CV93" s="269" t="n"/>
      <c r="CW93" s="288" t="n"/>
      <c r="CX93" s="37" t="n"/>
      <c r="CY93" s="288" t="n"/>
      <c r="CZ93" s="37" t="n"/>
      <c r="DA93" s="288" t="n"/>
      <c r="DB93" s="37" t="n"/>
      <c r="DC93" s="288" t="n"/>
      <c r="DD93" s="37" t="n"/>
      <c r="DE93" s="295" t="n"/>
      <c r="DF93" s="295" t="n"/>
      <c r="DG93" s="288" t="n"/>
    </row>
    <row r="94">
      <c r="A94" s="428" t="n"/>
      <c r="B94" s="285" t="n"/>
      <c r="C94" s="15" t="n"/>
      <c r="D94" s="15" t="n"/>
      <c r="E94" s="285" t="n"/>
      <c r="F94" s="15" t="n"/>
      <c r="G94" s="15" t="n"/>
      <c r="H94" s="285" t="n"/>
      <c r="I94" s="15" t="n"/>
      <c r="J94" s="15" t="n"/>
      <c r="K94" s="285" t="n"/>
      <c r="L94" s="15" t="n"/>
      <c r="M94" s="15" t="n"/>
      <c r="N94" s="285" t="n"/>
      <c r="O94" s="15" t="n"/>
      <c r="P94" s="15" t="n"/>
      <c r="Q94" s="285" t="n"/>
      <c r="R94" s="15" t="n"/>
      <c r="S94" s="15" t="n"/>
      <c r="T94" s="291" t="n"/>
      <c r="U94" s="15" t="n"/>
      <c r="V94" s="15" t="n"/>
      <c r="W94" s="291" t="n"/>
      <c r="X94" s="15" t="n"/>
      <c r="Y94" s="15" t="n"/>
      <c r="Z94" s="285" t="n"/>
      <c r="AA94" s="15" t="n"/>
      <c r="AB94" s="15" t="n"/>
      <c r="AC94" s="285" t="n"/>
      <c r="AD94" s="15" t="n"/>
      <c r="AE94" s="15" t="n"/>
      <c r="AF94" s="285" t="n"/>
      <c r="AG94" s="15" t="n"/>
      <c r="AH94" s="15" t="n"/>
      <c r="AI94" s="285" t="n"/>
      <c r="AJ94" s="15" t="n"/>
      <c r="AK94" s="15" t="n"/>
      <c r="AL94" s="285" t="n"/>
      <c r="AM94" s="327" t="n"/>
      <c r="AN94" s="15" t="n"/>
      <c r="AO94" s="285" t="n"/>
      <c r="AP94" s="327" t="n"/>
      <c r="AQ94" s="15" t="n"/>
      <c r="AR94" s="285" t="n"/>
      <c r="AS94" s="327" t="n"/>
      <c r="AT94" s="15" t="n"/>
      <c r="AU94" s="285" t="n"/>
      <c r="AV94" s="327" t="n"/>
      <c r="AW94" s="15" t="n"/>
      <c r="AX94" s="285" t="n"/>
      <c r="AY94" s="15" t="n"/>
      <c r="AZ94" s="15" t="n"/>
      <c r="BA94" s="287" t="n"/>
      <c r="BB94" s="37" t="n"/>
      <c r="BC94" s="287" t="n"/>
      <c r="BD94" s="37" t="n"/>
      <c r="BE94" s="287" t="n"/>
      <c r="BF94" s="37" t="n"/>
      <c r="BG94" s="287" t="n"/>
      <c r="BH94" s="37" t="n"/>
      <c r="BI94" s="288" t="n"/>
      <c r="BJ94" s="37" t="n"/>
      <c r="BK94" s="288" t="n"/>
      <c r="BL94" s="37" t="n"/>
      <c r="BM94" s="288" t="n"/>
      <c r="BN94" s="37" t="n"/>
      <c r="BO94" s="288" t="n"/>
      <c r="BP94" s="288" t="n"/>
      <c r="BQ94" s="37" t="n"/>
      <c r="BR94" s="288" t="n"/>
      <c r="BS94" s="37" t="n"/>
      <c r="BT94" s="288" t="n"/>
      <c r="BU94" s="37" t="n"/>
      <c r="BV94" s="288" t="n"/>
      <c r="BW94" s="37" t="n"/>
      <c r="BX94" s="288" t="n"/>
      <c r="BY94" s="37" t="n"/>
      <c r="BZ94" s="288" t="n"/>
      <c r="CA94" s="37" t="n"/>
      <c r="CB94" s="288" t="n"/>
      <c r="CC94" s="37" t="n"/>
      <c r="CD94" s="288" t="n"/>
      <c r="CE94" s="37" t="n"/>
      <c r="CF94" s="288" t="n"/>
      <c r="CG94" s="291" t="n"/>
      <c r="CH94" s="288" t="n"/>
      <c r="CI94" s="291" t="n"/>
      <c r="CJ94" s="288" t="n"/>
      <c r="CK94" s="291" t="n"/>
      <c r="CL94" s="288" t="n"/>
      <c r="CM94" s="291" t="n"/>
      <c r="CN94" s="288" t="n"/>
      <c r="CO94" s="80" t="n"/>
      <c r="CP94" s="288" t="n"/>
      <c r="CQ94" s="80" t="n"/>
      <c r="CR94" s="288" t="n"/>
      <c r="CS94" s="80" t="n"/>
      <c r="CT94" s="288" t="n"/>
      <c r="CU94" s="80" t="n"/>
      <c r="CV94" s="269" t="n"/>
      <c r="CW94" s="288" t="n"/>
      <c r="CX94" s="37" t="n"/>
      <c r="CY94" s="288" t="n"/>
      <c r="CZ94" s="37" t="n"/>
      <c r="DA94" s="288" t="n"/>
      <c r="DB94" s="37" t="n"/>
      <c r="DC94" s="288" t="n"/>
      <c r="DD94" s="37" t="n"/>
      <c r="DE94" s="295" t="n"/>
      <c r="DF94" s="295" t="n"/>
      <c r="DG94" s="288" t="n"/>
    </row>
    <row r="95">
      <c r="A95" s="428" t="n"/>
      <c r="B95" s="285" t="n"/>
      <c r="C95" s="15" t="n"/>
      <c r="D95" s="15" t="n"/>
      <c r="E95" s="285" t="n"/>
      <c r="F95" s="15" t="n"/>
      <c r="G95" s="15" t="n"/>
      <c r="H95" s="285" t="n"/>
      <c r="I95" s="15" t="n"/>
      <c r="J95" s="15" t="n"/>
      <c r="K95" s="285" t="n"/>
      <c r="L95" s="15" t="n"/>
      <c r="M95" s="15" t="n"/>
      <c r="N95" s="285" t="n"/>
      <c r="O95" s="15" t="n"/>
      <c r="P95" s="15" t="n"/>
      <c r="Q95" s="285" t="n"/>
      <c r="R95" s="15" t="n"/>
      <c r="S95" s="15" t="n"/>
      <c r="T95" s="291" t="n"/>
      <c r="U95" s="15" t="n"/>
      <c r="V95" s="15" t="n"/>
      <c r="W95" s="291" t="n"/>
      <c r="X95" s="15" t="n"/>
      <c r="Y95" s="15" t="n"/>
      <c r="Z95" s="285" t="n"/>
      <c r="AA95" s="15" t="n"/>
      <c r="AB95" s="15" t="n"/>
      <c r="AC95" s="285" t="n"/>
      <c r="AD95" s="15" t="n"/>
      <c r="AE95" s="15" t="n"/>
      <c r="AF95" s="285" t="n"/>
      <c r="AG95" s="15" t="n"/>
      <c r="AH95" s="15" t="n"/>
      <c r="AI95" s="285" t="n"/>
      <c r="AJ95" s="15" t="n"/>
      <c r="AK95" s="15" t="n"/>
      <c r="AL95" s="285" t="n"/>
      <c r="AM95" s="327" t="n"/>
      <c r="AN95" s="15" t="n"/>
      <c r="AO95" s="285" t="n"/>
      <c r="AP95" s="327" t="n"/>
      <c r="AQ95" s="15" t="n"/>
      <c r="AR95" s="285" t="n"/>
      <c r="AS95" s="327" t="n"/>
      <c r="AT95" s="15" t="n"/>
      <c r="AU95" s="285" t="n"/>
      <c r="AV95" s="327" t="n"/>
      <c r="AW95" s="15" t="n"/>
      <c r="AX95" s="285" t="n"/>
      <c r="AY95" s="15" t="n"/>
      <c r="AZ95" s="15" t="n"/>
      <c r="BA95" s="287" t="n"/>
      <c r="BB95" s="37" t="n"/>
      <c r="BC95" s="287" t="n"/>
      <c r="BD95" s="37" t="n"/>
      <c r="BE95" s="287" t="n"/>
      <c r="BF95" s="37" t="n"/>
      <c r="BG95" s="287" t="n"/>
      <c r="BH95" s="37" t="n"/>
      <c r="BI95" s="288" t="n"/>
      <c r="BJ95" s="37" t="n"/>
      <c r="BK95" s="288" t="n"/>
      <c r="BL95" s="37" t="n"/>
      <c r="BM95" s="288" t="n"/>
      <c r="BN95" s="37" t="n"/>
      <c r="BO95" s="288" t="n"/>
      <c r="BP95" s="288" t="n"/>
      <c r="BQ95" s="37" t="n"/>
      <c r="BR95" s="288" t="n"/>
      <c r="BS95" s="37" t="n"/>
      <c r="BT95" s="288" t="n"/>
      <c r="BU95" s="37" t="n"/>
      <c r="BV95" s="288" t="n"/>
      <c r="BW95" s="37" t="n"/>
      <c r="BX95" s="288" t="n"/>
      <c r="BY95" s="37" t="n"/>
      <c r="BZ95" s="288" t="n"/>
      <c r="CA95" s="37" t="n"/>
      <c r="CB95" s="288" t="n"/>
      <c r="CC95" s="37" t="n"/>
      <c r="CD95" s="288" t="n"/>
      <c r="CE95" s="37" t="n"/>
      <c r="CF95" s="288" t="n"/>
      <c r="CG95" s="291" t="n"/>
      <c r="CH95" s="288" t="n"/>
      <c r="CI95" s="291" t="n"/>
      <c r="CJ95" s="288" t="n"/>
      <c r="CK95" s="291" t="n"/>
      <c r="CL95" s="288" t="n"/>
      <c r="CM95" s="291" t="n"/>
      <c r="CN95" s="288" t="n"/>
      <c r="CO95" s="80" t="n"/>
      <c r="CP95" s="288" t="n"/>
      <c r="CQ95" s="80" t="n"/>
      <c r="CR95" s="288" t="n"/>
      <c r="CS95" s="80" t="n"/>
      <c r="CT95" s="288" t="n"/>
      <c r="CU95" s="80" t="n"/>
      <c r="CV95" s="269" t="n"/>
      <c r="CW95" s="288" t="n"/>
      <c r="CX95" s="37" t="n"/>
      <c r="CY95" s="288" t="n"/>
      <c r="CZ95" s="37" t="n"/>
      <c r="DA95" s="288" t="n"/>
      <c r="DB95" s="37" t="n"/>
      <c r="DC95" s="288" t="n"/>
      <c r="DD95" s="37" t="n"/>
      <c r="DE95" s="295" t="n"/>
      <c r="DF95" s="295" t="n"/>
      <c r="DG95" s="288" t="n"/>
    </row>
    <row r="96">
      <c r="A96" s="428" t="n"/>
      <c r="B96" s="285" t="n"/>
      <c r="C96" s="15" t="n"/>
      <c r="D96" s="15" t="n"/>
      <c r="E96" s="285" t="n"/>
      <c r="F96" s="15" t="n"/>
      <c r="G96" s="15" t="n"/>
      <c r="H96" s="285" t="n"/>
      <c r="I96" s="15" t="n"/>
      <c r="J96" s="15" t="n"/>
      <c r="K96" s="285" t="n"/>
      <c r="L96" s="15" t="n"/>
      <c r="M96" s="15" t="n"/>
      <c r="N96" s="285" t="n"/>
      <c r="O96" s="15" t="n"/>
      <c r="P96" s="15" t="n"/>
      <c r="Q96" s="285" t="n"/>
      <c r="R96" s="15" t="n"/>
      <c r="S96" s="15" t="n"/>
      <c r="T96" s="291" t="n"/>
      <c r="U96" s="15" t="n"/>
      <c r="V96" s="15" t="n"/>
      <c r="W96" s="291" t="n"/>
      <c r="X96" s="15" t="n"/>
      <c r="Y96" s="15" t="n"/>
      <c r="Z96" s="285" t="n"/>
      <c r="AA96" s="15" t="n"/>
      <c r="AB96" s="15" t="n"/>
      <c r="AC96" s="285" t="n"/>
      <c r="AD96" s="15" t="n"/>
      <c r="AE96" s="15" t="n"/>
      <c r="AF96" s="285" t="n"/>
      <c r="AG96" s="15" t="n"/>
      <c r="AH96" s="15" t="n"/>
      <c r="AI96" s="285" t="n"/>
      <c r="AJ96" s="15" t="n"/>
      <c r="AK96" s="15" t="n"/>
      <c r="AL96" s="285" t="n"/>
      <c r="AM96" s="327" t="n"/>
      <c r="AN96" s="15" t="n"/>
      <c r="AO96" s="285" t="n"/>
      <c r="AP96" s="327" t="n"/>
      <c r="AQ96" s="15" t="n"/>
      <c r="AR96" s="285" t="n"/>
      <c r="AS96" s="327" t="n"/>
      <c r="AT96" s="15" t="n"/>
      <c r="AU96" s="285" t="n"/>
      <c r="AV96" s="327" t="n"/>
      <c r="AW96" s="15" t="n"/>
      <c r="AX96" s="285" t="n"/>
      <c r="AY96" s="15" t="n"/>
      <c r="AZ96" s="15" t="n"/>
      <c r="BA96" s="287" t="n"/>
      <c r="BB96" s="37" t="n"/>
      <c r="BC96" s="287" t="n"/>
      <c r="BD96" s="37" t="n"/>
      <c r="BE96" s="287" t="n"/>
      <c r="BF96" s="37" t="n"/>
      <c r="BG96" s="287" t="n"/>
      <c r="BH96" s="37" t="n"/>
      <c r="BI96" s="288" t="n"/>
      <c r="BJ96" s="37" t="n"/>
      <c r="BK96" s="288" t="n"/>
      <c r="BL96" s="37" t="n"/>
      <c r="BM96" s="288" t="n"/>
      <c r="BN96" s="37" t="n"/>
      <c r="BO96" s="288" t="n"/>
      <c r="BP96" s="288" t="n"/>
      <c r="BQ96" s="37" t="n"/>
      <c r="BR96" s="288" t="n"/>
      <c r="BS96" s="37" t="n"/>
      <c r="BT96" s="288" t="n"/>
      <c r="BU96" s="37" t="n"/>
      <c r="BV96" s="288" t="n"/>
      <c r="BW96" s="37" t="n"/>
      <c r="BX96" s="288" t="n"/>
      <c r="BY96" s="37" t="n"/>
      <c r="BZ96" s="288" t="n"/>
      <c r="CA96" s="37" t="n"/>
      <c r="CB96" s="288" t="n"/>
      <c r="CC96" s="37" t="n"/>
      <c r="CD96" s="288" t="n"/>
      <c r="CE96" s="37" t="n"/>
      <c r="CF96" s="288" t="n"/>
      <c r="CG96" s="291" t="n"/>
      <c r="CH96" s="288" t="n"/>
      <c r="CI96" s="291" t="n"/>
      <c r="CJ96" s="288" t="n"/>
      <c r="CK96" s="291" t="n"/>
      <c r="CL96" s="288" t="n"/>
      <c r="CM96" s="291" t="n"/>
      <c r="CN96" s="288" t="n"/>
      <c r="CO96" s="80" t="n"/>
      <c r="CP96" s="288" t="n"/>
      <c r="CQ96" s="80" t="n"/>
      <c r="CR96" s="288" t="n"/>
      <c r="CS96" s="80" t="n"/>
      <c r="CT96" s="288" t="n"/>
      <c r="CU96" s="80" t="n"/>
      <c r="CV96" s="269" t="n"/>
      <c r="CW96" s="288" t="n"/>
      <c r="CX96" s="37" t="n"/>
      <c r="CY96" s="288" t="n"/>
      <c r="CZ96" s="37" t="n"/>
      <c r="DA96" s="288" t="n"/>
      <c r="DB96" s="37" t="n"/>
      <c r="DC96" s="288" t="n"/>
      <c r="DD96" s="37" t="n"/>
      <c r="DE96" s="295" t="n"/>
      <c r="DF96" s="295" t="n"/>
      <c r="DG96" s="288" t="n"/>
    </row>
    <row r="97">
      <c r="A97" s="428" t="n"/>
      <c r="B97" s="285" t="n"/>
      <c r="C97" s="15" t="n"/>
      <c r="D97" s="15" t="n"/>
      <c r="E97" s="285" t="n"/>
      <c r="F97" s="15" t="n"/>
      <c r="G97" s="15" t="n"/>
      <c r="H97" s="285" t="n"/>
      <c r="I97" s="15" t="n"/>
      <c r="J97" s="15" t="n"/>
      <c r="K97" s="285" t="n"/>
      <c r="L97" s="15" t="n"/>
      <c r="M97" s="15" t="n"/>
      <c r="N97" s="285" t="n"/>
      <c r="O97" s="15" t="n"/>
      <c r="P97" s="15" t="n"/>
      <c r="Q97" s="285" t="n"/>
      <c r="R97" s="15" t="n"/>
      <c r="S97" s="15" t="n"/>
      <c r="T97" s="291" t="n"/>
      <c r="U97" s="15" t="n"/>
      <c r="V97" s="15" t="n"/>
      <c r="W97" s="291" t="n"/>
      <c r="X97" s="15" t="n"/>
      <c r="Y97" s="15" t="n"/>
      <c r="Z97" s="285" t="n"/>
      <c r="AA97" s="15" t="n"/>
      <c r="AB97" s="15" t="n"/>
      <c r="AC97" s="285" t="n"/>
      <c r="AD97" s="15" t="n"/>
      <c r="AE97" s="15" t="n"/>
      <c r="AF97" s="285" t="n"/>
      <c r="AG97" s="15" t="n"/>
      <c r="AH97" s="15" t="n"/>
      <c r="AI97" s="285" t="n"/>
      <c r="AJ97" s="15" t="n"/>
      <c r="AK97" s="15" t="n"/>
      <c r="AL97" s="285" t="n"/>
      <c r="AM97" s="327" t="n"/>
      <c r="AN97" s="15" t="n"/>
      <c r="AO97" s="285" t="n"/>
      <c r="AP97" s="327" t="n"/>
      <c r="AQ97" s="15" t="n"/>
      <c r="AR97" s="285" t="n"/>
      <c r="AS97" s="327" t="n"/>
      <c r="AT97" s="15" t="n"/>
      <c r="AU97" s="285" t="n"/>
      <c r="AV97" s="327" t="n"/>
      <c r="AW97" s="15" t="n"/>
      <c r="AX97" s="285" t="n"/>
      <c r="AY97" s="15" t="n"/>
      <c r="AZ97" s="15" t="n"/>
      <c r="BA97" s="287" t="n"/>
      <c r="BB97" s="37" t="n"/>
      <c r="BC97" s="287" t="n"/>
      <c r="BD97" s="37" t="n"/>
      <c r="BE97" s="287" t="n"/>
      <c r="BF97" s="37" t="n"/>
      <c r="BG97" s="287" t="n"/>
      <c r="BH97" s="37" t="n"/>
      <c r="BI97" s="288" t="n"/>
      <c r="BJ97" s="37" t="n"/>
      <c r="BK97" s="288" t="n"/>
      <c r="BL97" s="37" t="n"/>
      <c r="BM97" s="288" t="n"/>
      <c r="BN97" s="37" t="n"/>
      <c r="BO97" s="288" t="n"/>
      <c r="BP97" s="288" t="n"/>
      <c r="BQ97" s="37" t="n"/>
      <c r="BR97" s="288" t="n"/>
      <c r="BS97" s="37" t="n"/>
      <c r="BT97" s="288" t="n"/>
      <c r="BU97" s="37" t="n"/>
      <c r="BV97" s="288" t="n"/>
      <c r="BW97" s="37" t="n"/>
      <c r="BX97" s="288" t="n"/>
      <c r="BY97" s="37" t="n"/>
      <c r="BZ97" s="288" t="n"/>
      <c r="CA97" s="37" t="n"/>
      <c r="CB97" s="288" t="n"/>
      <c r="CC97" s="37" t="n"/>
      <c r="CD97" s="288" t="n"/>
      <c r="CE97" s="37" t="n"/>
      <c r="CF97" s="288" t="n"/>
      <c r="CG97" s="291" t="n"/>
      <c r="CH97" s="288" t="n"/>
      <c r="CI97" s="291" t="n"/>
      <c r="CJ97" s="288" t="n"/>
      <c r="CK97" s="291" t="n"/>
      <c r="CL97" s="288" t="n"/>
      <c r="CM97" s="291" t="n"/>
      <c r="CN97" s="288" t="n"/>
      <c r="CO97" s="80" t="n"/>
      <c r="CP97" s="288" t="n"/>
      <c r="CQ97" s="80" t="n"/>
      <c r="CR97" s="288" t="n"/>
      <c r="CS97" s="80" t="n"/>
      <c r="CT97" s="288" t="n"/>
      <c r="CU97" s="80" t="n"/>
      <c r="CV97" s="269" t="n"/>
      <c r="CW97" s="288" t="n"/>
      <c r="CX97" s="37" t="n"/>
      <c r="CY97" s="288" t="n"/>
      <c r="CZ97" s="37" t="n"/>
      <c r="DA97" s="288" t="n"/>
      <c r="DB97" s="37" t="n"/>
      <c r="DC97" s="288" t="n"/>
      <c r="DD97" s="37" t="n"/>
      <c r="DE97" s="295" t="n"/>
      <c r="DF97" s="295" t="n"/>
      <c r="DG97" s="288" t="n"/>
    </row>
    <row r="98">
      <c r="A98" s="428" t="n"/>
      <c r="B98" s="285" t="n"/>
      <c r="C98" s="15" t="n"/>
      <c r="D98" s="15" t="n"/>
      <c r="E98" s="285" t="n"/>
      <c r="F98" s="15" t="n"/>
      <c r="G98" s="15" t="n"/>
      <c r="H98" s="285" t="n"/>
      <c r="I98" s="15" t="n"/>
      <c r="J98" s="15" t="n"/>
      <c r="K98" s="285" t="n"/>
      <c r="L98" s="15" t="n"/>
      <c r="M98" s="15" t="n"/>
      <c r="N98" s="285" t="n"/>
      <c r="O98" s="15" t="n"/>
      <c r="P98" s="15" t="n"/>
      <c r="Q98" s="285" t="n"/>
      <c r="R98" s="15" t="n"/>
      <c r="S98" s="15" t="n"/>
      <c r="T98" s="291" t="n"/>
      <c r="U98" s="15" t="n"/>
      <c r="V98" s="15" t="n"/>
      <c r="W98" s="291" t="n"/>
      <c r="X98" s="15" t="n"/>
      <c r="Y98" s="15" t="n"/>
      <c r="Z98" s="285" t="n"/>
      <c r="AA98" s="15" t="n"/>
      <c r="AB98" s="15" t="n"/>
      <c r="AC98" s="285" t="n"/>
      <c r="AD98" s="15" t="n"/>
      <c r="AE98" s="15" t="n"/>
      <c r="AF98" s="285" t="n"/>
      <c r="AG98" s="15" t="n"/>
      <c r="AH98" s="15" t="n"/>
      <c r="AI98" s="285" t="n"/>
      <c r="AJ98" s="15" t="n"/>
      <c r="AK98" s="15" t="n"/>
      <c r="AL98" s="285" t="n"/>
      <c r="AM98" s="327" t="n"/>
      <c r="AN98" s="15" t="n"/>
      <c r="AO98" s="285" t="n"/>
      <c r="AP98" s="327" t="n"/>
      <c r="AQ98" s="15" t="n"/>
      <c r="AR98" s="285" t="n"/>
      <c r="AS98" s="327" t="n"/>
      <c r="AT98" s="15" t="n"/>
      <c r="AU98" s="285" t="n"/>
      <c r="AV98" s="327" t="n"/>
      <c r="AW98" s="15" t="n"/>
      <c r="AX98" s="285" t="n"/>
      <c r="AY98" s="15" t="n"/>
      <c r="AZ98" s="15" t="n"/>
      <c r="BA98" s="287" t="n"/>
      <c r="BB98" s="37" t="n"/>
      <c r="BC98" s="287" t="n"/>
      <c r="BD98" s="37" t="n"/>
      <c r="BE98" s="287" t="n"/>
      <c r="BF98" s="37" t="n"/>
      <c r="BG98" s="287" t="n"/>
      <c r="BH98" s="37" t="n"/>
      <c r="BI98" s="288" t="n"/>
      <c r="BJ98" s="37" t="n"/>
      <c r="BK98" s="288" t="n"/>
      <c r="BL98" s="37" t="n"/>
      <c r="BM98" s="288" t="n"/>
      <c r="BN98" s="37" t="n"/>
      <c r="BP98" s="298" t="n"/>
      <c r="BQ98" s="37" t="n"/>
      <c r="BR98" s="298" t="n"/>
      <c r="BS98" s="37" t="n"/>
      <c r="BT98" s="298" t="n"/>
      <c r="BU98" s="37" t="n"/>
      <c r="BV98" s="298" t="n"/>
      <c r="BW98" s="37" t="n"/>
      <c r="BX98" s="298" t="n"/>
      <c r="BY98" s="37" t="n"/>
      <c r="BZ98" s="298" t="n"/>
      <c r="CA98" s="37" t="n"/>
      <c r="CB98" s="298" t="n"/>
      <c r="CC98" s="37" t="n"/>
      <c r="CD98" s="298" t="n"/>
      <c r="CE98" s="37" t="n"/>
      <c r="CF98" s="298" t="n"/>
      <c r="CG98" s="291" t="n"/>
      <c r="CH98" s="298" t="n"/>
      <c r="CI98" s="291" t="n"/>
      <c r="CJ98" s="298" t="n"/>
      <c r="CK98" s="291" t="n"/>
      <c r="CL98" s="298" t="n"/>
      <c r="CM98" s="291" t="n"/>
      <c r="CN98" s="288" t="n"/>
      <c r="CO98" s="80" t="n"/>
      <c r="CP98" s="288" t="n"/>
      <c r="CQ98" s="80" t="n"/>
      <c r="CR98" s="288" t="n"/>
      <c r="CS98" s="80" t="n"/>
      <c r="CT98" s="288" t="n"/>
      <c r="CU98" s="80" t="n"/>
      <c r="CV98" s="269" t="n"/>
      <c r="CW98" s="298" t="n"/>
      <c r="CX98" s="37" t="n"/>
      <c r="CY98" s="298" t="n"/>
      <c r="CZ98" s="37" t="n"/>
      <c r="DA98" s="298" t="n"/>
      <c r="DB98" s="37" t="n"/>
      <c r="DC98" s="298" t="n"/>
      <c r="DD98" s="37" t="n"/>
      <c r="DE98" s="295" t="n"/>
      <c r="DF98" s="295" t="n"/>
    </row>
    <row r="99">
      <c r="A99" s="428" t="n"/>
      <c r="B99" s="285" t="n"/>
      <c r="C99" s="15" t="n"/>
      <c r="D99" s="15" t="n"/>
      <c r="E99" s="285" t="n"/>
      <c r="F99" s="15" t="n"/>
      <c r="G99" s="15" t="n"/>
      <c r="H99" s="285" t="n"/>
      <c r="I99" s="15" t="n"/>
      <c r="J99" s="15" t="n"/>
      <c r="K99" s="285" t="n"/>
      <c r="L99" s="15" t="n"/>
      <c r="M99" s="15" t="n"/>
      <c r="N99" s="285" t="n"/>
      <c r="O99" s="15" t="n"/>
      <c r="P99" s="15" t="n"/>
      <c r="Q99" s="285" t="n"/>
      <c r="R99" s="15" t="n"/>
      <c r="S99" s="15" t="n"/>
      <c r="T99" s="291" t="n"/>
      <c r="U99" s="15" t="n"/>
      <c r="V99" s="15" t="n"/>
      <c r="W99" s="291" t="n"/>
      <c r="X99" s="15" t="n"/>
      <c r="Y99" s="15" t="n"/>
      <c r="Z99" s="285" t="n"/>
      <c r="AA99" s="15" t="n"/>
      <c r="AB99" s="15" t="n"/>
      <c r="AC99" s="285" t="n"/>
      <c r="AD99" s="15" t="n"/>
      <c r="AE99" s="15" t="n"/>
      <c r="AF99" s="285" t="n"/>
      <c r="AG99" s="15" t="n"/>
      <c r="AH99" s="15" t="n"/>
      <c r="AI99" s="285" t="n"/>
      <c r="AJ99" s="15" t="n"/>
      <c r="AK99" s="15" t="n"/>
      <c r="AL99" s="285" t="n"/>
      <c r="AM99" s="327" t="n"/>
      <c r="AN99" s="15" t="n"/>
      <c r="AO99" s="285" t="n"/>
      <c r="AP99" s="327" t="n"/>
      <c r="AQ99" s="15" t="n"/>
      <c r="AR99" s="285" t="n"/>
      <c r="AS99" s="327" t="n"/>
      <c r="AT99" s="15" t="n"/>
      <c r="AU99" s="285" t="n"/>
      <c r="AV99" s="327" t="n"/>
      <c r="AW99" s="15" t="n"/>
      <c r="AX99" s="285" t="n"/>
      <c r="AY99" s="15" t="n"/>
      <c r="AZ99" s="15" t="n"/>
      <c r="BA99" s="287" t="n"/>
      <c r="BB99" s="37" t="n"/>
      <c r="BC99" s="287" t="n"/>
      <c r="BD99" s="37" t="n"/>
      <c r="BE99" s="287" t="n"/>
      <c r="BF99" s="37" t="n"/>
      <c r="BG99" s="287" t="n"/>
      <c r="BH99" s="37" t="n"/>
      <c r="BI99" s="288" t="n"/>
      <c r="BJ99" s="37" t="n"/>
      <c r="BK99" s="288" t="n"/>
      <c r="BL99" s="37" t="n"/>
      <c r="BM99" s="288" t="n"/>
      <c r="BN99" s="37" t="n"/>
      <c r="BP99" s="298" t="n"/>
      <c r="BQ99" s="37" t="n"/>
      <c r="BR99" s="298" t="n"/>
      <c r="BS99" s="37" t="n"/>
      <c r="BT99" s="298" t="n"/>
      <c r="BU99" s="37" t="n"/>
      <c r="BV99" s="298" t="n"/>
      <c r="BW99" s="37" t="n"/>
      <c r="BX99" s="298" t="n"/>
      <c r="BY99" s="37" t="n"/>
      <c r="BZ99" s="298" t="n"/>
      <c r="CA99" s="37" t="n"/>
      <c r="CB99" s="298" t="n"/>
      <c r="CC99" s="37" t="n"/>
      <c r="CD99" s="298" t="n"/>
      <c r="CE99" s="37" t="n"/>
      <c r="CF99" s="298" t="n"/>
      <c r="CG99" s="291" t="n"/>
      <c r="CH99" s="298" t="n"/>
      <c r="CI99" s="291" t="n"/>
      <c r="CJ99" s="298" t="n"/>
      <c r="CK99" s="291" t="n"/>
      <c r="CL99" s="298" t="n"/>
      <c r="CM99" s="291" t="n"/>
      <c r="CN99" s="288" t="n"/>
      <c r="CO99" s="80" t="n"/>
      <c r="CP99" s="288" t="n"/>
      <c r="CQ99" s="80" t="n"/>
      <c r="CR99" s="288" t="n"/>
      <c r="CS99" s="80" t="n"/>
      <c r="CT99" s="288" t="n"/>
      <c r="CU99" s="80" t="n"/>
      <c r="CV99" s="269" t="n"/>
      <c r="CW99" s="298" t="n"/>
      <c r="CX99" s="37" t="n"/>
      <c r="CY99" s="298" t="n"/>
      <c r="CZ99" s="37" t="n"/>
      <c r="DA99" s="298" t="n"/>
      <c r="DB99" s="37" t="n"/>
      <c r="DC99" s="298" t="n"/>
      <c r="DD99" s="37" t="n"/>
      <c r="DE99" s="295" t="n"/>
    </row>
    <row r="100">
      <c r="A100" s="330" t="n"/>
      <c r="B100" s="22" t="n"/>
      <c r="C100" s="15" t="n"/>
      <c r="D100" s="15" t="n"/>
      <c r="E100" s="22" t="n"/>
      <c r="F100" s="15" t="n"/>
      <c r="G100" s="15" t="n"/>
      <c r="H100" s="22" t="n"/>
      <c r="I100" s="15" t="n"/>
      <c r="J100" s="15" t="n"/>
      <c r="K100" s="22" t="n"/>
      <c r="L100" s="15" t="n"/>
      <c r="M100" s="15" t="n"/>
      <c r="N100" s="22" t="n"/>
      <c r="O100" s="15" t="n"/>
      <c r="P100" s="15" t="n"/>
      <c r="Q100" s="22" t="n"/>
      <c r="R100" s="15" t="n"/>
      <c r="S100" s="15" t="n"/>
      <c r="T100" s="291" t="n"/>
      <c r="U100" s="15" t="n"/>
      <c r="V100" s="15" t="n"/>
      <c r="W100" s="291" t="n"/>
      <c r="X100" s="15" t="n"/>
      <c r="Y100" s="15" t="n"/>
      <c r="Z100" s="22" t="n"/>
      <c r="AA100" s="15" t="n"/>
      <c r="AB100" s="15" t="n"/>
      <c r="AC100" s="22" t="n"/>
      <c r="AD100" s="15" t="n"/>
      <c r="AE100" s="15" t="n"/>
      <c r="AF100" s="22" t="n"/>
      <c r="AG100" s="15" t="n"/>
      <c r="AH100" s="15" t="n"/>
      <c r="AI100" s="22" t="n"/>
      <c r="AJ100" s="15" t="n"/>
      <c r="AK100" s="15" t="n"/>
      <c r="AL100" s="22" t="n"/>
      <c r="AM100" s="327" t="n"/>
      <c r="AN100" s="15" t="n"/>
      <c r="AO100" s="22" t="n"/>
      <c r="AP100" s="327" t="n"/>
      <c r="AQ100" s="15" t="n"/>
      <c r="AR100" s="22" t="n"/>
      <c r="AS100" s="327" t="n"/>
      <c r="AT100" s="15" t="n"/>
      <c r="AU100" s="22" t="n"/>
      <c r="AV100" s="327" t="n"/>
      <c r="AW100" s="15" t="n"/>
      <c r="AX100" s="22" t="n"/>
      <c r="AY100" s="15" t="n"/>
      <c r="AZ100" s="15" t="n"/>
      <c r="BA100" s="287" t="n"/>
      <c r="BB100" s="37" t="n"/>
      <c r="BC100" s="287" t="n"/>
      <c r="BD100" s="37" t="n"/>
      <c r="BE100" s="287" t="n"/>
      <c r="BF100" s="37" t="n"/>
      <c r="BG100" s="287" t="n"/>
      <c r="BH100" s="37" t="n"/>
      <c r="BI100" s="288" t="n"/>
      <c r="BJ100" s="37" t="n"/>
      <c r="BK100" s="288" t="n"/>
      <c r="BL100" s="37" t="n"/>
      <c r="BM100" s="288" t="n"/>
      <c r="BN100" s="37" t="n"/>
      <c r="BP100" s="298" t="n"/>
      <c r="BQ100" s="37" t="n"/>
      <c r="BR100" s="298" t="n"/>
      <c r="BS100" s="37" t="n"/>
      <c r="BT100" s="298" t="n"/>
      <c r="BU100" s="37" t="n"/>
      <c r="BV100" s="298" t="n"/>
      <c r="BW100" s="37" t="n"/>
      <c r="BX100" s="298" t="n"/>
      <c r="BY100" s="37" t="n"/>
      <c r="BZ100" s="298" t="n"/>
      <c r="CA100" s="37" t="n"/>
      <c r="CB100" s="298" t="n"/>
      <c r="CC100" s="37" t="n"/>
      <c r="CD100" s="298" t="n"/>
      <c r="CE100" s="37" t="n"/>
      <c r="CF100" s="298" t="n"/>
      <c r="CG100" s="291" t="n"/>
      <c r="CH100" s="298" t="n"/>
      <c r="CI100" s="291" t="n"/>
      <c r="CJ100" s="298" t="n"/>
      <c r="CK100" s="291" t="n"/>
      <c r="CL100" s="298" t="n"/>
      <c r="CM100" s="291" t="n"/>
      <c r="CN100" s="288" t="n"/>
      <c r="CO100" s="80" t="n"/>
      <c r="CP100" s="288" t="n"/>
      <c r="CQ100" s="80" t="n"/>
      <c r="CR100" s="288" t="n"/>
      <c r="CS100" s="80" t="n"/>
      <c r="CT100" s="288" t="n"/>
      <c r="CU100" s="80" t="n"/>
      <c r="CV100" s="1" t="n"/>
      <c r="CW100" s="298" t="n"/>
      <c r="CX100" s="37" t="n"/>
      <c r="CY100" s="298" t="n"/>
      <c r="CZ100" s="37" t="n"/>
      <c r="DA100" s="298" t="n"/>
      <c r="DB100" s="37" t="n"/>
      <c r="DC100" s="298" t="n"/>
      <c r="DD100" s="37" t="n"/>
      <c r="DE100" s="295" t="n"/>
    </row>
    <row r="101">
      <c r="A101" s="428" t="n"/>
      <c r="B101" s="285" t="n"/>
      <c r="C101" s="15" t="n"/>
      <c r="D101" s="15" t="n"/>
      <c r="E101" s="285" t="n"/>
      <c r="F101" s="15" t="n"/>
      <c r="G101" s="15" t="n"/>
      <c r="H101" s="285" t="n"/>
      <c r="I101" s="15" t="n"/>
      <c r="J101" s="15" t="n"/>
      <c r="K101" s="285" t="n"/>
      <c r="L101" s="15" t="n"/>
      <c r="M101" s="15" t="n"/>
      <c r="N101" s="285" t="n"/>
      <c r="O101" s="15" t="n"/>
      <c r="P101" s="15" t="n"/>
      <c r="Q101" s="285" t="n"/>
      <c r="R101" s="15" t="n"/>
      <c r="S101" s="15" t="n"/>
      <c r="T101" s="291" t="n"/>
      <c r="U101" s="15" t="n"/>
      <c r="V101" s="15" t="n"/>
      <c r="W101" s="291" t="n"/>
      <c r="X101" s="15" t="n"/>
      <c r="Y101" s="15" t="n"/>
      <c r="Z101" s="285" t="n"/>
      <c r="AA101" s="15" t="n"/>
      <c r="AB101" s="15" t="n"/>
      <c r="AC101" s="285" t="n"/>
      <c r="AD101" s="15" t="n"/>
      <c r="AE101" s="15" t="n"/>
      <c r="AF101" s="285" t="n"/>
      <c r="AG101" s="15" t="n"/>
      <c r="AH101" s="15" t="n"/>
      <c r="AI101" s="285" t="n"/>
      <c r="AJ101" s="15" t="n"/>
      <c r="AK101" s="15" t="n"/>
      <c r="AL101" s="285" t="n"/>
      <c r="AM101" s="327" t="n"/>
      <c r="AN101" s="15" t="n"/>
      <c r="AO101" s="285" t="n"/>
      <c r="AP101" s="327" t="n"/>
      <c r="AQ101" s="15" t="n"/>
      <c r="AR101" s="285" t="n"/>
      <c r="AS101" s="327" t="n"/>
      <c r="AT101" s="15" t="n"/>
      <c r="AU101" s="285" t="n"/>
      <c r="AV101" s="327" t="n"/>
      <c r="AW101" s="15" t="n"/>
      <c r="AX101" s="285" t="n"/>
      <c r="AY101" s="15" t="n"/>
      <c r="AZ101" s="15" t="n"/>
      <c r="BA101" s="287" t="n"/>
      <c r="BB101" s="37" t="n"/>
      <c r="BC101" s="287" t="n"/>
      <c r="BD101" s="37" t="n"/>
      <c r="BE101" s="287" t="n"/>
      <c r="BF101" s="37" t="n"/>
      <c r="BG101" s="287" t="n"/>
      <c r="BH101" s="37" t="n"/>
      <c r="BI101" s="288" t="n"/>
      <c r="BJ101" s="37" t="n"/>
      <c r="BK101" s="288" t="n"/>
      <c r="BL101" s="37" t="n"/>
      <c r="BM101" s="288" t="n"/>
      <c r="BN101" s="37" t="n"/>
      <c r="BP101" s="288" t="n"/>
      <c r="BQ101" s="37" t="n"/>
      <c r="BR101" s="298" t="n"/>
      <c r="BS101" s="37" t="n"/>
      <c r="BT101" s="298" t="n"/>
      <c r="BU101" s="37" t="n"/>
      <c r="BV101" s="288" t="n"/>
      <c r="BW101" s="37" t="n"/>
      <c r="BX101" s="298" t="n"/>
      <c r="BY101" s="37" t="n"/>
      <c r="BZ101" s="288" t="n"/>
      <c r="CA101" s="37" t="n"/>
      <c r="CB101" s="298" t="n"/>
      <c r="CC101" s="37" t="n"/>
      <c r="CD101" s="298" t="n"/>
      <c r="CE101" s="37" t="n"/>
      <c r="CF101" s="298" t="n"/>
      <c r="CG101" s="291" t="n"/>
      <c r="CH101" s="288" t="n"/>
      <c r="CI101" s="291" t="n"/>
      <c r="CJ101" s="288" t="n"/>
      <c r="CK101" s="291" t="n"/>
      <c r="CL101" s="298" t="n"/>
      <c r="CM101" s="291" t="n"/>
      <c r="CN101" s="288" t="n"/>
      <c r="CO101" s="80" t="n"/>
      <c r="CP101" s="288" t="n"/>
      <c r="CQ101" s="80" t="n"/>
      <c r="CR101" s="288" t="n"/>
      <c r="CS101" s="80" t="n"/>
      <c r="CT101" s="288" t="n"/>
      <c r="CU101" s="80" t="n"/>
      <c r="CV101" s="269" t="n"/>
      <c r="CW101" s="288" t="n"/>
      <c r="CX101" s="37" t="n"/>
      <c r="CY101" s="298" t="n"/>
      <c r="CZ101" s="37" t="n"/>
      <c r="DA101" s="298" t="n"/>
      <c r="DB101" s="37" t="n"/>
      <c r="DC101" s="298" t="n"/>
      <c r="DD101" s="37" t="n"/>
      <c r="DE101" s="295" t="n"/>
    </row>
    <row r="102">
      <c r="A102" s="428" t="n"/>
      <c r="B102" s="285" t="n"/>
      <c r="C102" s="15" t="n"/>
      <c r="D102" s="15" t="n"/>
      <c r="E102" s="285" t="n"/>
      <c r="F102" s="15" t="n"/>
      <c r="G102" s="15" t="n"/>
      <c r="H102" s="285" t="n"/>
      <c r="I102" s="15" t="n"/>
      <c r="J102" s="15" t="n"/>
      <c r="K102" s="285" t="n"/>
      <c r="L102" s="15" t="n"/>
      <c r="M102" s="15" t="n"/>
      <c r="N102" s="285" t="n"/>
      <c r="O102" s="15" t="n"/>
      <c r="P102" s="15" t="n"/>
      <c r="Q102" s="285" t="n"/>
      <c r="R102" s="15" t="n"/>
      <c r="S102" s="15" t="n"/>
      <c r="T102" s="291" t="n"/>
      <c r="U102" s="15" t="n"/>
      <c r="V102" s="15" t="n"/>
      <c r="W102" s="291" t="n"/>
      <c r="X102" s="15" t="n"/>
      <c r="Y102" s="15" t="n"/>
      <c r="Z102" s="285" t="n"/>
      <c r="AA102" s="15" t="n"/>
      <c r="AB102" s="15" t="n"/>
      <c r="AC102" s="285" t="n"/>
      <c r="AD102" s="15" t="n"/>
      <c r="AE102" s="15" t="n"/>
      <c r="AF102" s="285" t="n"/>
      <c r="AG102" s="15" t="n"/>
      <c r="AH102" s="15" t="n"/>
      <c r="AI102" s="285" t="n"/>
      <c r="AJ102" s="15" t="n"/>
      <c r="AK102" s="15" t="n"/>
      <c r="AL102" s="285" t="n"/>
      <c r="AM102" s="327" t="n"/>
      <c r="AN102" s="15" t="n"/>
      <c r="AO102" s="285" t="n"/>
      <c r="AP102" s="327" t="n"/>
      <c r="AQ102" s="15" t="n"/>
      <c r="AR102" s="285" t="n"/>
      <c r="AS102" s="327" t="n"/>
      <c r="AT102" s="15" t="n"/>
      <c r="AU102" s="285" t="n"/>
      <c r="AV102" s="327" t="n"/>
      <c r="AW102" s="15" t="n"/>
      <c r="AX102" s="285" t="n"/>
      <c r="AY102" s="15" t="n"/>
      <c r="AZ102" s="15" t="n"/>
      <c r="BA102" s="287" t="n"/>
      <c r="BB102" s="37" t="n"/>
      <c r="BC102" s="287" t="n"/>
      <c r="BD102" s="37" t="n"/>
      <c r="BE102" s="287" t="n"/>
      <c r="BF102" s="37" t="n"/>
      <c r="BG102" s="287" t="n"/>
      <c r="BH102" s="37" t="n"/>
      <c r="BI102" s="288" t="n"/>
      <c r="BJ102" s="37" t="n"/>
      <c r="BK102" s="288" t="n"/>
      <c r="BL102" s="37" t="n"/>
      <c r="BM102" s="288" t="n"/>
      <c r="BN102" s="37" t="n"/>
      <c r="BP102" s="288" t="n"/>
      <c r="BQ102" s="37" t="n"/>
      <c r="BR102" s="288" t="n"/>
      <c r="BS102" s="37" t="n"/>
      <c r="BT102" s="288" t="n"/>
      <c r="BU102" s="37" t="n"/>
      <c r="BV102" s="288" t="n"/>
      <c r="BW102" s="37" t="n"/>
      <c r="BX102" s="298" t="n"/>
      <c r="BY102" s="37" t="n"/>
      <c r="BZ102" s="288" t="n"/>
      <c r="CA102" s="37" t="n"/>
      <c r="CB102" s="288" t="n"/>
      <c r="CC102" s="37" t="n"/>
      <c r="CD102" s="288" t="n"/>
      <c r="CE102" s="37" t="n"/>
      <c r="CF102" s="288" t="n"/>
      <c r="CG102" s="291" t="n"/>
      <c r="CH102" s="288" t="n"/>
      <c r="CI102" s="291" t="n"/>
      <c r="CJ102" s="288" t="n"/>
      <c r="CK102" s="291" t="n"/>
      <c r="CL102" s="288" t="n"/>
      <c r="CM102" s="291" t="n"/>
      <c r="CN102" s="288" t="n"/>
      <c r="CO102" s="80" t="n"/>
      <c r="CP102" s="288" t="n"/>
      <c r="CQ102" s="80" t="n"/>
      <c r="CR102" s="288" t="n"/>
      <c r="CS102" s="80" t="n"/>
      <c r="CT102" s="288" t="n"/>
      <c r="CU102" s="80" t="n"/>
      <c r="CV102" s="269" t="n"/>
      <c r="CW102" s="288" t="n"/>
      <c r="CX102" s="37" t="n"/>
      <c r="CY102" s="288" t="n"/>
      <c r="CZ102" s="37" t="n"/>
      <c r="DA102" s="288" t="n"/>
      <c r="DB102" s="37" t="n"/>
      <c r="DC102" s="288" t="n"/>
      <c r="DD102" s="37" t="n"/>
      <c r="DE102" s="295" t="n"/>
    </row>
    <row r="103">
      <c r="A103" s="428" t="n"/>
      <c r="B103" s="285" t="n"/>
      <c r="C103" s="15" t="n"/>
      <c r="D103" s="15" t="n"/>
      <c r="E103" s="285" t="n"/>
      <c r="F103" s="15" t="n"/>
      <c r="G103" s="15" t="n"/>
      <c r="H103" s="285" t="n"/>
      <c r="I103" s="15" t="n"/>
      <c r="J103" s="15" t="n"/>
      <c r="K103" s="285" t="n"/>
      <c r="L103" s="15" t="n"/>
      <c r="M103" s="15" t="n"/>
      <c r="N103" s="285" t="n"/>
      <c r="O103" s="15" t="n"/>
      <c r="P103" s="15" t="n"/>
      <c r="Q103" s="285" t="n"/>
      <c r="R103" s="15" t="n"/>
      <c r="S103" s="15" t="n"/>
      <c r="T103" s="291" t="n"/>
      <c r="U103" s="15" t="n"/>
      <c r="V103" s="15" t="n"/>
      <c r="W103" s="291" t="n"/>
      <c r="X103" s="15" t="n"/>
      <c r="Y103" s="15" t="n"/>
      <c r="Z103" s="285" t="n"/>
      <c r="AA103" s="15" t="n"/>
      <c r="AB103" s="15" t="n"/>
      <c r="AC103" s="285" t="n"/>
      <c r="AD103" s="15" t="n"/>
      <c r="AE103" s="15" t="n"/>
      <c r="AF103" s="285" t="n"/>
      <c r="AG103" s="15" t="n"/>
      <c r="AH103" s="15" t="n"/>
      <c r="AI103" s="285" t="n"/>
      <c r="AJ103" s="15" t="n"/>
      <c r="AK103" s="15" t="n"/>
      <c r="AL103" s="285" t="n"/>
      <c r="AM103" s="327" t="n"/>
      <c r="AN103" s="15" t="n"/>
      <c r="AO103" s="285" t="n"/>
      <c r="AP103" s="327" t="n"/>
      <c r="AQ103" s="15" t="n"/>
      <c r="AR103" s="285" t="n"/>
      <c r="AS103" s="327" t="n"/>
      <c r="AT103" s="15" t="n"/>
      <c r="AU103" s="285" t="n"/>
      <c r="AV103" s="327" t="n"/>
      <c r="AW103" s="15" t="n"/>
      <c r="AX103" s="285" t="n"/>
      <c r="AY103" s="15" t="n"/>
      <c r="AZ103" s="15" t="n"/>
      <c r="BA103" s="287" t="n"/>
      <c r="BB103" s="37" t="n"/>
      <c r="BC103" s="287" t="n"/>
      <c r="BD103" s="37" t="n"/>
      <c r="BE103" s="287" t="n"/>
      <c r="BF103" s="37" t="n"/>
      <c r="BG103" s="287" t="n"/>
      <c r="BH103" s="37" t="n"/>
      <c r="BI103" s="288" t="n"/>
      <c r="BJ103" s="37" t="n"/>
      <c r="BK103" s="288" t="n"/>
      <c r="BL103" s="37" t="n"/>
      <c r="BM103" s="288" t="n"/>
      <c r="BN103" s="37" t="n"/>
      <c r="BP103" s="288" t="n"/>
      <c r="BQ103" s="37" t="n"/>
      <c r="BR103" s="288" t="n"/>
      <c r="BS103" s="37" t="n"/>
      <c r="BT103" s="288" t="n"/>
      <c r="BU103" s="37" t="n"/>
      <c r="BV103" s="288" t="n"/>
      <c r="BW103" s="37" t="n"/>
      <c r="BX103" s="298" t="n"/>
      <c r="BY103" s="37" t="n"/>
      <c r="BZ103" s="288" t="n"/>
      <c r="CA103" s="37" t="n"/>
      <c r="CB103" s="288" t="n"/>
      <c r="CC103" s="37" t="n"/>
      <c r="CD103" s="288" t="n"/>
      <c r="CE103" s="37" t="n"/>
      <c r="CF103" s="288" t="n"/>
      <c r="CG103" s="291" t="n"/>
      <c r="CH103" s="288" t="n"/>
      <c r="CI103" s="291" t="n"/>
      <c r="CJ103" s="288" t="n"/>
      <c r="CK103" s="291" t="n"/>
      <c r="CL103" s="288" t="n"/>
      <c r="CM103" s="291" t="n"/>
      <c r="CN103" s="288" t="n"/>
      <c r="CO103" s="80" t="n"/>
      <c r="CP103" s="288" t="n"/>
      <c r="CQ103" s="80" t="n"/>
      <c r="CR103" s="288" t="n"/>
      <c r="CS103" s="80" t="n"/>
      <c r="CT103" s="288" t="n"/>
      <c r="CU103" s="80" t="n"/>
      <c r="CV103" s="269" t="n"/>
      <c r="CW103" s="288" t="n"/>
      <c r="CX103" s="37" t="n"/>
      <c r="CY103" s="288" t="n"/>
      <c r="CZ103" s="37" t="n"/>
      <c r="DA103" s="288" t="n"/>
      <c r="DB103" s="37" t="n"/>
      <c r="DC103" s="288" t="n"/>
      <c r="DD103" s="37" t="n"/>
      <c r="DE103" s="295" t="n"/>
    </row>
    <row r="104">
      <c r="A104" s="428" t="n"/>
      <c r="B104" s="285" t="n"/>
      <c r="C104" s="15" t="n"/>
      <c r="D104" s="15" t="n"/>
      <c r="E104" s="285" t="n"/>
      <c r="F104" s="15" t="n"/>
      <c r="G104" s="15" t="n"/>
      <c r="H104" s="285" t="n"/>
      <c r="I104" s="15" t="n"/>
      <c r="J104" s="15" t="n"/>
      <c r="K104" s="285" t="n"/>
      <c r="L104" s="15" t="n"/>
      <c r="M104" s="15" t="n"/>
      <c r="N104" s="285" t="n"/>
      <c r="O104" s="15" t="n"/>
      <c r="P104" s="15" t="n"/>
      <c r="Q104" s="285" t="n"/>
      <c r="R104" s="15" t="n"/>
      <c r="S104" s="15" t="n"/>
      <c r="T104" s="291" t="n"/>
      <c r="U104" s="15" t="n"/>
      <c r="V104" s="15" t="n"/>
      <c r="W104" s="291" t="n"/>
      <c r="X104" s="15" t="n"/>
      <c r="Y104" s="15" t="n"/>
      <c r="Z104" s="285" t="n"/>
      <c r="AA104" s="15" t="n"/>
      <c r="AB104" s="15" t="n"/>
      <c r="AC104" s="285" t="n"/>
      <c r="AD104" s="15" t="n"/>
      <c r="AE104" s="15" t="n"/>
      <c r="AF104" s="285" t="n"/>
      <c r="AG104" s="15" t="n"/>
      <c r="AH104" s="15" t="n"/>
      <c r="AI104" s="285" t="n"/>
      <c r="AJ104" s="15" t="n"/>
      <c r="AK104" s="15" t="n"/>
      <c r="AL104" s="285" t="n"/>
      <c r="AM104" s="327" t="n"/>
      <c r="AN104" s="15" t="n"/>
      <c r="AO104" s="285" t="n"/>
      <c r="AP104" s="327" t="n"/>
      <c r="AQ104" s="15" t="n"/>
      <c r="AR104" s="285" t="n"/>
      <c r="AS104" s="327" t="n"/>
      <c r="AT104" s="15" t="n"/>
      <c r="AU104" s="285" t="n"/>
      <c r="AV104" s="327" t="n"/>
      <c r="AW104" s="15" t="n"/>
      <c r="AX104" s="285" t="n"/>
      <c r="AY104" s="15" t="n"/>
      <c r="AZ104" s="15" t="n"/>
      <c r="BA104" s="287" t="n"/>
      <c r="BB104" s="37" t="n"/>
      <c r="BC104" s="287" t="n"/>
      <c r="BD104" s="37" t="n"/>
      <c r="BE104" s="287" t="n"/>
      <c r="BF104" s="37" t="n"/>
      <c r="BG104" s="287" t="n"/>
      <c r="BH104" s="37" t="n"/>
      <c r="BI104" s="288" t="n"/>
      <c r="BJ104" s="37" t="n"/>
      <c r="BK104" s="288" t="n"/>
      <c r="BL104" s="37" t="n"/>
      <c r="BM104" s="288" t="n"/>
      <c r="BN104" s="37" t="n"/>
      <c r="BP104" s="288" t="n"/>
      <c r="BQ104" s="37" t="n"/>
      <c r="BR104" s="288" t="n"/>
      <c r="BS104" s="37" t="n"/>
      <c r="BT104" s="288" t="n"/>
      <c r="BU104" s="37" t="n"/>
      <c r="BV104" s="288" t="n"/>
      <c r="BW104" s="37" t="n"/>
      <c r="BX104" s="288" t="n"/>
      <c r="BY104" s="37" t="n"/>
      <c r="BZ104" s="288" t="n"/>
      <c r="CA104" s="37" t="n"/>
      <c r="CB104" s="288" t="n"/>
      <c r="CC104" s="37" t="n"/>
      <c r="CD104" s="288" t="n"/>
      <c r="CE104" s="37" t="n"/>
      <c r="CF104" s="288" t="n"/>
      <c r="CG104" s="291" t="n"/>
      <c r="CH104" s="288" t="n"/>
      <c r="CI104" s="291" t="n"/>
      <c r="CJ104" s="288" t="n"/>
      <c r="CK104" s="291" t="n"/>
      <c r="CL104" s="288" t="n"/>
      <c r="CM104" s="291" t="n"/>
      <c r="CN104" s="288" t="n"/>
      <c r="CO104" s="80" t="n"/>
      <c r="CP104" s="288" t="n"/>
      <c r="CQ104" s="80" t="n"/>
      <c r="CR104" s="288" t="n"/>
      <c r="CS104" s="80" t="n"/>
      <c r="CT104" s="288" t="n"/>
      <c r="CU104" s="80" t="n"/>
      <c r="CV104" s="269" t="n"/>
      <c r="CW104" s="288" t="n"/>
      <c r="CX104" s="37" t="n"/>
      <c r="CY104" s="288" t="n"/>
      <c r="CZ104" s="37" t="n"/>
      <c r="DA104" s="288" t="n"/>
      <c r="DB104" s="37" t="n"/>
      <c r="DC104" s="288" t="n"/>
      <c r="DD104" s="37" t="n"/>
    </row>
    <row r="105" customFormat="1" s="40">
      <c r="A105" s="428" t="n"/>
      <c r="B105" s="285" t="n"/>
      <c r="C105" s="15" t="n"/>
      <c r="D105" s="15" t="n"/>
      <c r="E105" s="285" t="n"/>
      <c r="F105" s="15" t="n"/>
      <c r="G105" s="15" t="n"/>
      <c r="H105" s="285" t="n"/>
      <c r="I105" s="15" t="n"/>
      <c r="J105" s="15" t="n"/>
      <c r="K105" s="285" t="n"/>
      <c r="L105" s="15" t="n"/>
      <c r="M105" s="15" t="n"/>
      <c r="N105" s="285" t="n"/>
      <c r="O105" s="15" t="n"/>
      <c r="P105" s="15" t="n"/>
      <c r="Q105" s="285" t="n"/>
      <c r="R105" s="15" t="n"/>
      <c r="S105" s="15" t="n"/>
      <c r="T105" s="291" t="n"/>
      <c r="U105" s="15" t="n"/>
      <c r="V105" s="15" t="n"/>
      <c r="W105" s="291" t="n"/>
      <c r="X105" s="15" t="n"/>
      <c r="Y105" s="15" t="n"/>
      <c r="Z105" s="285" t="n"/>
      <c r="AA105" s="15" t="n"/>
      <c r="AB105" s="15" t="n"/>
      <c r="AC105" s="285" t="n"/>
      <c r="AD105" s="15" t="n"/>
      <c r="AE105" s="15" t="n"/>
      <c r="AF105" s="285" t="n"/>
      <c r="AG105" s="15" t="n"/>
      <c r="AH105" s="15" t="n"/>
      <c r="AI105" s="285" t="n"/>
      <c r="AJ105" s="15" t="n"/>
      <c r="AK105" s="15" t="n"/>
      <c r="AL105" s="285" t="n"/>
      <c r="AM105" s="327" t="n"/>
      <c r="AN105" s="15" t="n"/>
      <c r="AO105" s="285" t="n"/>
      <c r="AP105" s="327" t="n"/>
      <c r="AQ105" s="15" t="n"/>
      <c r="AR105" s="285" t="n"/>
      <c r="AS105" s="327" t="n"/>
      <c r="AT105" s="15" t="n"/>
      <c r="AU105" s="285" t="n"/>
      <c r="AV105" s="327" t="n"/>
      <c r="AW105" s="15" t="n"/>
      <c r="AX105" s="285" t="n"/>
      <c r="AY105" s="15" t="n"/>
      <c r="AZ105" s="15" t="n"/>
      <c r="BA105" s="287" t="n"/>
      <c r="BB105" s="37" t="n"/>
      <c r="BC105" s="287" t="n"/>
      <c r="BD105" s="37" t="n"/>
      <c r="BE105" s="287" t="n"/>
      <c r="BF105" s="37" t="n"/>
      <c r="BG105" s="287" t="n"/>
      <c r="BH105" s="37" t="n"/>
      <c r="BI105" s="288" t="n"/>
      <c r="BJ105" s="37" t="n"/>
      <c r="BK105" s="288" t="n"/>
      <c r="BL105" s="37" t="n"/>
      <c r="BM105" s="288" t="n"/>
      <c r="BN105" s="37" t="n"/>
      <c r="BP105" s="288" t="n"/>
      <c r="BQ105" s="37" t="n"/>
      <c r="BR105" s="288" t="n"/>
      <c r="BS105" s="37" t="n"/>
      <c r="BT105" s="288" t="n"/>
      <c r="BU105" s="37" t="n"/>
      <c r="BV105" s="288" t="n"/>
      <c r="BW105" s="37" t="n"/>
      <c r="BX105" s="288" t="n"/>
      <c r="BY105" s="37" t="n"/>
      <c r="BZ105" s="288" t="n"/>
      <c r="CA105" s="37" t="n"/>
      <c r="CB105" s="288" t="n"/>
      <c r="CC105" s="37" t="n"/>
      <c r="CD105" s="288" t="n"/>
      <c r="CE105" s="37" t="n"/>
      <c r="CF105" s="288" t="n"/>
      <c r="CG105" s="291" t="n"/>
      <c r="CH105" s="288" t="n"/>
      <c r="CI105" s="291" t="n"/>
      <c r="CJ105" s="288" t="n"/>
      <c r="CK105" s="291" t="n"/>
      <c r="CL105" s="288" t="n"/>
      <c r="CM105" s="291" t="n"/>
      <c r="CN105" s="288" t="n"/>
      <c r="CO105" s="80" t="n"/>
      <c r="CP105" s="288" t="n"/>
      <c r="CQ105" s="80" t="n"/>
      <c r="CR105" s="288" t="n"/>
      <c r="CS105" s="80" t="n"/>
      <c r="CT105" s="288" t="n"/>
      <c r="CU105" s="80" t="n"/>
      <c r="CW105" s="288" t="n"/>
      <c r="CX105" s="37" t="n"/>
      <c r="CY105" s="288" t="n"/>
      <c r="CZ105" s="37" t="n"/>
      <c r="DA105" s="288" t="n"/>
      <c r="DB105" s="37" t="n"/>
      <c r="DC105" s="288" t="n"/>
      <c r="DD105" s="37" t="n"/>
      <c r="DE105" s="304" t="n"/>
      <c r="DF105" s="304" t="n"/>
    </row>
    <row r="106" customFormat="1" s="40">
      <c r="A106" s="428" t="n"/>
      <c r="B106" s="285" t="n"/>
      <c r="C106" s="15" t="n"/>
      <c r="D106" s="15" t="n"/>
      <c r="E106" s="285" t="n"/>
      <c r="F106" s="15" t="n"/>
      <c r="G106" s="15" t="n"/>
      <c r="H106" s="285" t="n"/>
      <c r="I106" s="15" t="n"/>
      <c r="J106" s="15" t="n"/>
      <c r="K106" s="285" t="n"/>
      <c r="L106" s="15" t="n"/>
      <c r="M106" s="15" t="n"/>
      <c r="N106" s="285" t="n"/>
      <c r="O106" s="15" t="n"/>
      <c r="P106" s="15" t="n"/>
      <c r="Q106" s="285" t="n"/>
      <c r="R106" s="15" t="n"/>
      <c r="S106" s="15" t="n"/>
      <c r="T106" s="291" t="n"/>
      <c r="U106" s="15" t="n"/>
      <c r="V106" s="15" t="n"/>
      <c r="W106" s="291" t="n"/>
      <c r="X106" s="15" t="n"/>
      <c r="Y106" s="15" t="n"/>
      <c r="Z106" s="285" t="n"/>
      <c r="AA106" s="15" t="n"/>
      <c r="AB106" s="15" t="n"/>
      <c r="AC106" s="285" t="n"/>
      <c r="AD106" s="15" t="n"/>
      <c r="AE106" s="15" t="n"/>
      <c r="AF106" s="285" t="n"/>
      <c r="AG106" s="15" t="n"/>
      <c r="AH106" s="15" t="n"/>
      <c r="AI106" s="285" t="n"/>
      <c r="AJ106" s="15" t="n"/>
      <c r="AK106" s="15" t="n"/>
      <c r="AL106" s="285" t="n"/>
      <c r="AM106" s="327" t="n"/>
      <c r="AN106" s="15" t="n"/>
      <c r="AO106" s="285" t="n"/>
      <c r="AP106" s="327" t="n"/>
      <c r="AQ106" s="15" t="n"/>
      <c r="AR106" s="285" t="n"/>
      <c r="AS106" s="327" t="n"/>
      <c r="AT106" s="15" t="n"/>
      <c r="AU106" s="285" t="n"/>
      <c r="AV106" s="327" t="n"/>
      <c r="AW106" s="15" t="n"/>
      <c r="AX106" s="285" t="n"/>
      <c r="AY106" s="15" t="n"/>
      <c r="AZ106" s="15" t="n"/>
      <c r="BA106" s="287" t="n"/>
      <c r="BB106" s="37" t="n"/>
      <c r="BC106" s="287" t="n"/>
      <c r="BD106" s="37" t="n"/>
      <c r="BE106" s="287" t="n"/>
      <c r="BF106" s="37" t="n"/>
      <c r="BG106" s="287" t="n"/>
      <c r="BH106" s="37" t="n"/>
      <c r="BI106" s="288" t="n"/>
      <c r="BJ106" s="37" t="n"/>
      <c r="BK106" s="288" t="n"/>
      <c r="BL106" s="37" t="n"/>
      <c r="BM106" s="288" t="n"/>
      <c r="BN106" s="37" t="n"/>
      <c r="BO106" s="1" t="n"/>
      <c r="BP106" s="288" t="n"/>
      <c r="BQ106" s="37" t="n"/>
      <c r="BR106" s="288" t="n"/>
      <c r="BS106" s="37" t="n"/>
      <c r="BT106" s="288" t="n"/>
      <c r="BU106" s="37" t="n"/>
      <c r="BV106" s="288" t="n"/>
      <c r="BW106" s="37" t="n"/>
      <c r="BX106" s="288" t="n"/>
      <c r="BY106" s="37" t="n"/>
      <c r="BZ106" s="288" t="n"/>
      <c r="CA106" s="37" t="n"/>
      <c r="CB106" s="288" t="n"/>
      <c r="CC106" s="37" t="n"/>
      <c r="CD106" s="288" t="n"/>
      <c r="CE106" s="37" t="n"/>
      <c r="CF106" s="288" t="n"/>
      <c r="CG106" s="291" t="n"/>
      <c r="CH106" s="288" t="n"/>
      <c r="CI106" s="291" t="n"/>
      <c r="CJ106" s="288" t="n"/>
      <c r="CK106" s="291" t="n"/>
      <c r="CL106" s="288" t="n"/>
      <c r="CM106" s="291" t="n"/>
      <c r="CN106" s="288" t="n"/>
      <c r="CO106" s="80" t="n"/>
      <c r="CP106" s="288" t="n"/>
      <c r="CQ106" s="80" t="n"/>
      <c r="CR106" s="288" t="n"/>
      <c r="CS106" s="80" t="n"/>
      <c r="CT106" s="288" t="n"/>
      <c r="CU106" s="80" t="n"/>
      <c r="CW106" s="288" t="n"/>
      <c r="CX106" s="37" t="n"/>
      <c r="CY106" s="288" t="n"/>
      <c r="CZ106" s="37" t="n"/>
      <c r="DA106" s="288" t="n"/>
      <c r="DB106" s="37" t="n"/>
      <c r="DC106" s="288" t="n"/>
      <c r="DD106" s="37" t="n"/>
      <c r="DE106" s="270" t="n"/>
      <c r="DF106" s="270" t="n"/>
    </row>
    <row r="107" customFormat="1" s="40">
      <c r="A107" s="428" t="n"/>
      <c r="B107" s="285" t="n"/>
      <c r="C107" s="15" t="n"/>
      <c r="D107" s="15" t="n"/>
      <c r="E107" s="285" t="n"/>
      <c r="F107" s="15" t="n"/>
      <c r="G107" s="15" t="n"/>
      <c r="H107" s="285" t="n"/>
      <c r="I107" s="15" t="n"/>
      <c r="J107" s="15" t="n"/>
      <c r="K107" s="285" t="n"/>
      <c r="L107" s="15" t="n"/>
      <c r="M107" s="15" t="n"/>
      <c r="N107" s="285" t="n"/>
      <c r="O107" s="15" t="n"/>
      <c r="P107" s="15" t="n"/>
      <c r="Q107" s="285" t="n"/>
      <c r="R107" s="15" t="n"/>
      <c r="S107" s="15" t="n"/>
      <c r="T107" s="291" t="n"/>
      <c r="U107" s="15" t="n"/>
      <c r="V107" s="15" t="n"/>
      <c r="W107" s="291" t="n"/>
      <c r="X107" s="15" t="n"/>
      <c r="Y107" s="15" t="n"/>
      <c r="Z107" s="285" t="n"/>
      <c r="AA107" s="15" t="n"/>
      <c r="AB107" s="15" t="n"/>
      <c r="AC107" s="285" t="n"/>
      <c r="AD107" s="15" t="n"/>
      <c r="AE107" s="15" t="n"/>
      <c r="AF107" s="285" t="n"/>
      <c r="AG107" s="15" t="n"/>
      <c r="AH107" s="15" t="n"/>
      <c r="AI107" s="285" t="n"/>
      <c r="AJ107" s="15" t="n"/>
      <c r="AK107" s="15" t="n"/>
      <c r="AL107" s="285" t="n"/>
      <c r="AM107" s="327" t="n"/>
      <c r="AN107" s="15" t="n"/>
      <c r="AO107" s="285" t="n"/>
      <c r="AP107" s="327" t="n"/>
      <c r="AQ107" s="15" t="n"/>
      <c r="AR107" s="285" t="n"/>
      <c r="AS107" s="327" t="n"/>
      <c r="AT107" s="15" t="n"/>
      <c r="AU107" s="285" t="n"/>
      <c r="AV107" s="327" t="n"/>
      <c r="AW107" s="15" t="n"/>
      <c r="AX107" s="285" t="n"/>
      <c r="AY107" s="15" t="n"/>
      <c r="AZ107" s="15" t="n"/>
      <c r="BA107" s="287" t="n"/>
      <c r="BB107" s="37" t="n"/>
      <c r="BC107" s="287" t="n"/>
      <c r="BD107" s="37" t="n"/>
      <c r="BE107" s="287" t="n"/>
      <c r="BF107" s="37" t="n"/>
      <c r="BG107" s="287" t="n"/>
      <c r="BH107" s="37" t="n"/>
      <c r="BI107" s="288" t="n"/>
      <c r="BJ107" s="37" t="n"/>
      <c r="BK107" s="288" t="n"/>
      <c r="BL107" s="37" t="n"/>
      <c r="BM107" s="288" t="n"/>
      <c r="BN107" s="37" t="n"/>
      <c r="BO107" s="1" t="n"/>
      <c r="BP107" s="288" t="n"/>
      <c r="BQ107" s="37" t="n"/>
      <c r="BR107" s="288" t="n"/>
      <c r="BS107" s="37" t="n"/>
      <c r="BT107" s="288" t="n"/>
      <c r="BU107" s="37" t="n"/>
      <c r="BV107" s="288" t="n"/>
      <c r="BW107" s="37" t="n"/>
      <c r="BX107" s="288" t="n"/>
      <c r="BY107" s="37" t="n"/>
      <c r="BZ107" s="288" t="n"/>
      <c r="CA107" s="37" t="n"/>
      <c r="CB107" s="288" t="n"/>
      <c r="CC107" s="37" t="n"/>
      <c r="CD107" s="288" t="n"/>
      <c r="CE107" s="37" t="n"/>
      <c r="CF107" s="288" t="n"/>
      <c r="CG107" s="291" t="n"/>
      <c r="CH107" s="288" t="n"/>
      <c r="CI107" s="291" t="n"/>
      <c r="CJ107" s="288" t="n"/>
      <c r="CK107" s="291" t="n"/>
      <c r="CL107" s="288" t="n"/>
      <c r="CM107" s="291" t="n"/>
      <c r="CN107" s="288" t="n"/>
      <c r="CO107" s="80" t="n"/>
      <c r="CP107" s="288" t="n"/>
      <c r="CQ107" s="80" t="n"/>
      <c r="CR107" s="288" t="n"/>
      <c r="CS107" s="80" t="n"/>
      <c r="CT107" s="288" t="n"/>
      <c r="CU107" s="80" t="n"/>
      <c r="CW107" s="288" t="n"/>
      <c r="CX107" s="37" t="n"/>
      <c r="CY107" s="288" t="n"/>
      <c r="CZ107" s="37" t="n"/>
      <c r="DA107" s="288" t="n"/>
      <c r="DB107" s="37" t="n"/>
      <c r="DC107" s="288" t="n"/>
      <c r="DD107" s="37" t="n"/>
      <c r="DE107" s="270" t="n"/>
      <c r="DF107" s="270" t="n"/>
    </row>
    <row r="108" customFormat="1" s="40">
      <c r="A108" s="428" t="n"/>
      <c r="B108" s="285" t="n"/>
      <c r="C108" s="15" t="n"/>
      <c r="D108" s="15" t="n"/>
      <c r="E108" s="285" t="n"/>
      <c r="F108" s="15" t="n"/>
      <c r="G108" s="15" t="n"/>
      <c r="H108" s="285" t="n"/>
      <c r="I108" s="15" t="n"/>
      <c r="J108" s="15" t="n"/>
      <c r="K108" s="285" t="n"/>
      <c r="L108" s="15" t="n"/>
      <c r="M108" s="15" t="n"/>
      <c r="N108" s="285" t="n"/>
      <c r="O108" s="15" t="n"/>
      <c r="P108" s="15" t="n"/>
      <c r="Q108" s="285" t="n"/>
      <c r="R108" s="15" t="n"/>
      <c r="S108" s="15" t="n"/>
      <c r="T108" s="291" t="n"/>
      <c r="U108" s="15" t="n"/>
      <c r="V108" s="15" t="n"/>
      <c r="W108" s="291" t="n"/>
      <c r="X108" s="15" t="n"/>
      <c r="Y108" s="15" t="n"/>
      <c r="Z108" s="285" t="n"/>
      <c r="AA108" s="15" t="n"/>
      <c r="AB108" s="15" t="n"/>
      <c r="AC108" s="285" t="n"/>
      <c r="AD108" s="15" t="n"/>
      <c r="AE108" s="15" t="n"/>
      <c r="AF108" s="285" t="n"/>
      <c r="AG108" s="15" t="n"/>
      <c r="AH108" s="15" t="n"/>
      <c r="AI108" s="285" t="n"/>
      <c r="AJ108" s="15" t="n"/>
      <c r="AK108" s="15" t="n"/>
      <c r="AL108" s="285" t="n"/>
      <c r="AM108" s="327" t="n"/>
      <c r="AN108" s="15" t="n"/>
      <c r="AO108" s="285" t="n"/>
      <c r="AP108" s="327" t="n"/>
      <c r="AQ108" s="15" t="n"/>
      <c r="AR108" s="285" t="n"/>
      <c r="AS108" s="327" t="n"/>
      <c r="AT108" s="15" t="n"/>
      <c r="AU108" s="285" t="n"/>
      <c r="AV108" s="327" t="n"/>
      <c r="AW108" s="15" t="n"/>
      <c r="AX108" s="285" t="n"/>
      <c r="AY108" s="15" t="n"/>
      <c r="AZ108" s="15" t="n"/>
      <c r="BA108" s="287" t="n"/>
      <c r="BB108" s="37" t="n"/>
      <c r="BC108" s="287" t="n"/>
      <c r="BD108" s="37" t="n"/>
      <c r="BE108" s="287" t="n"/>
      <c r="BF108" s="37" t="n"/>
      <c r="BG108" s="287" t="n"/>
      <c r="BH108" s="37" t="n"/>
      <c r="BI108" s="288" t="n"/>
      <c r="BJ108" s="37" t="n"/>
      <c r="BK108" s="288" t="n"/>
      <c r="BL108" s="37" t="n"/>
      <c r="BM108" s="288" t="n"/>
      <c r="BN108" s="37" t="n"/>
      <c r="BO108" s="1" t="n"/>
      <c r="BP108" s="288" t="n"/>
      <c r="BQ108" s="37" t="n"/>
      <c r="BR108" s="288" t="n"/>
      <c r="BS108" s="37" t="n"/>
      <c r="BT108" s="288" t="n"/>
      <c r="BU108" s="37" t="n"/>
      <c r="BV108" s="288" t="n"/>
      <c r="BW108" s="37" t="n"/>
      <c r="BX108" s="288" t="n"/>
      <c r="BY108" s="37" t="n"/>
      <c r="BZ108" s="288" t="n"/>
      <c r="CA108" s="37" t="n"/>
      <c r="CB108" s="288" t="n"/>
      <c r="CC108" s="37" t="n"/>
      <c r="CD108" s="288" t="n"/>
      <c r="CE108" s="37" t="n"/>
      <c r="CF108" s="288" t="n"/>
      <c r="CG108" s="291" t="n"/>
      <c r="CH108" s="288" t="n"/>
      <c r="CI108" s="291" t="n"/>
      <c r="CJ108" s="288" t="n"/>
      <c r="CK108" s="291" t="n"/>
      <c r="CL108" s="288" t="n"/>
      <c r="CM108" s="291" t="n"/>
      <c r="CN108" s="288" t="n"/>
      <c r="CO108" s="80" t="n"/>
      <c r="CP108" s="288" t="n"/>
      <c r="CQ108" s="80" t="n"/>
      <c r="CR108" s="288" t="n"/>
      <c r="CS108" s="80" t="n"/>
      <c r="CT108" s="288" t="n"/>
      <c r="CU108" s="80" t="n"/>
      <c r="CW108" s="288" t="n"/>
      <c r="CX108" s="37" t="n"/>
      <c r="CY108" s="288" t="n"/>
      <c r="CZ108" s="37" t="n"/>
      <c r="DA108" s="288" t="n"/>
      <c r="DB108" s="37" t="n"/>
      <c r="DC108" s="288" t="n"/>
      <c r="DD108" s="37" t="n"/>
      <c r="DE108" s="270" t="n"/>
      <c r="DF108" s="270" t="n"/>
    </row>
    <row r="109" customFormat="1" s="40">
      <c r="A109" s="428" t="n"/>
      <c r="B109" s="285" t="n"/>
      <c r="C109" s="15" t="n"/>
      <c r="D109" s="15" t="n"/>
      <c r="E109" s="285" t="n"/>
      <c r="F109" s="15" t="n"/>
      <c r="G109" s="15" t="n"/>
      <c r="H109" s="285" t="n"/>
      <c r="I109" s="15" t="n"/>
      <c r="J109" s="15" t="n"/>
      <c r="K109" s="285" t="n"/>
      <c r="L109" s="15" t="n"/>
      <c r="M109" s="15" t="n"/>
      <c r="N109" s="285" t="n"/>
      <c r="O109" s="15" t="n"/>
      <c r="P109" s="15" t="n"/>
      <c r="Q109" s="285" t="n"/>
      <c r="R109" s="15" t="n"/>
      <c r="S109" s="15" t="n"/>
      <c r="T109" s="291" t="n"/>
      <c r="U109" s="15" t="n"/>
      <c r="V109" s="15" t="n"/>
      <c r="W109" s="291" t="n"/>
      <c r="X109" s="15" t="n"/>
      <c r="Y109" s="15" t="n"/>
      <c r="Z109" s="285" t="n"/>
      <c r="AA109" s="15" t="n"/>
      <c r="AB109" s="15" t="n"/>
      <c r="AC109" s="285" t="n"/>
      <c r="AD109" s="15" t="n"/>
      <c r="AE109" s="15" t="n"/>
      <c r="AF109" s="285" t="n"/>
      <c r="AG109" s="15" t="n"/>
      <c r="AH109" s="15" t="n"/>
      <c r="AI109" s="285" t="n"/>
      <c r="AJ109" s="15" t="n"/>
      <c r="AK109" s="15" t="n"/>
      <c r="AL109" s="285" t="n"/>
      <c r="AM109" s="327" t="n"/>
      <c r="AN109" s="15" t="n"/>
      <c r="AO109" s="285" t="n"/>
      <c r="AP109" s="327" t="n"/>
      <c r="AQ109" s="15" t="n"/>
      <c r="AR109" s="285" t="n"/>
      <c r="AS109" s="327" t="n"/>
      <c r="AT109" s="15" t="n"/>
      <c r="AU109" s="285" t="n"/>
      <c r="AV109" s="327" t="n"/>
      <c r="AW109" s="15" t="n"/>
      <c r="AX109" s="285" t="n"/>
      <c r="AY109" s="15" t="n"/>
      <c r="AZ109" s="15" t="n"/>
      <c r="BA109" s="287" t="n"/>
      <c r="BB109" s="37" t="n"/>
      <c r="BC109" s="287" t="n"/>
      <c r="BD109" s="37" t="n"/>
      <c r="BE109" s="287" t="n"/>
      <c r="BF109" s="37" t="n"/>
      <c r="BG109" s="287" t="n"/>
      <c r="BH109" s="37" t="n"/>
      <c r="BI109" s="288" t="n"/>
      <c r="BJ109" s="37" t="n"/>
      <c r="BK109" s="288" t="n"/>
      <c r="BL109" s="37" t="n"/>
      <c r="BM109" s="288" t="n"/>
      <c r="BN109" s="37" t="n"/>
      <c r="BP109" s="288" t="n"/>
      <c r="BQ109" s="37" t="n"/>
      <c r="BR109" s="288" t="n"/>
      <c r="BS109" s="37" t="n"/>
      <c r="BT109" s="288" t="n"/>
      <c r="BU109" s="37" t="n"/>
      <c r="BV109" s="288" t="n"/>
      <c r="BW109" s="37" t="n"/>
      <c r="BX109" s="288" t="n"/>
      <c r="BY109" s="37" t="n"/>
      <c r="BZ109" s="288" t="n"/>
      <c r="CA109" s="37" t="n"/>
      <c r="CB109" s="288" t="n"/>
      <c r="CC109" s="37" t="n"/>
      <c r="CD109" s="288" t="n"/>
      <c r="CE109" s="37" t="n"/>
      <c r="CF109" s="288" t="n"/>
      <c r="CG109" s="291" t="n"/>
      <c r="CH109" s="288" t="n"/>
      <c r="CI109" s="291" t="n"/>
      <c r="CJ109" s="288" t="n"/>
      <c r="CK109" s="291" t="n"/>
      <c r="CL109" s="288" t="n"/>
      <c r="CM109" s="291" t="n"/>
      <c r="CN109" s="288" t="n"/>
      <c r="CO109" s="80" t="n"/>
      <c r="CP109" s="288" t="n"/>
      <c r="CQ109" s="80" t="n"/>
      <c r="CR109" s="288" t="n"/>
      <c r="CS109" s="80" t="n"/>
      <c r="CT109" s="288" t="n"/>
      <c r="CU109" s="80" t="n"/>
      <c r="CW109" s="288" t="n"/>
      <c r="CX109" s="37" t="n"/>
      <c r="CY109" s="288" t="n"/>
      <c r="CZ109" s="37" t="n"/>
      <c r="DA109" s="288" t="n"/>
      <c r="DB109" s="37" t="n"/>
      <c r="DC109" s="288" t="n"/>
      <c r="DD109" s="37" t="n"/>
      <c r="DE109" s="304" t="n"/>
      <c r="DF109" s="304" t="n"/>
    </row>
    <row r="110" customFormat="1" s="40">
      <c r="A110" s="428" t="n"/>
      <c r="B110" s="285" t="n"/>
      <c r="C110" s="15" t="n"/>
      <c r="D110" s="15" t="n"/>
      <c r="E110" s="285" t="n"/>
      <c r="F110" s="15" t="n"/>
      <c r="G110" s="15" t="n"/>
      <c r="H110" s="285" t="n"/>
      <c r="I110" s="15" t="n"/>
      <c r="J110" s="15" t="n"/>
      <c r="K110" s="285" t="n"/>
      <c r="L110" s="15" t="n"/>
      <c r="M110" s="15" t="n"/>
      <c r="N110" s="285" t="n"/>
      <c r="O110" s="15" t="n"/>
      <c r="P110" s="15" t="n"/>
      <c r="Q110" s="285" t="n"/>
      <c r="R110" s="15" t="n"/>
      <c r="S110" s="15" t="n"/>
      <c r="T110" s="291" t="n"/>
      <c r="U110" s="15" t="n"/>
      <c r="V110" s="15" t="n"/>
      <c r="W110" s="291" t="n"/>
      <c r="X110" s="15" t="n"/>
      <c r="Y110" s="15" t="n"/>
      <c r="Z110" s="285" t="n"/>
      <c r="AA110" s="15" t="n"/>
      <c r="AB110" s="15" t="n"/>
      <c r="AC110" s="285" t="n"/>
      <c r="AD110" s="15" t="n"/>
      <c r="AE110" s="15" t="n"/>
      <c r="AF110" s="285" t="n"/>
      <c r="AG110" s="15" t="n"/>
      <c r="AH110" s="15" t="n"/>
      <c r="AI110" s="285" t="n"/>
      <c r="AJ110" s="15" t="n"/>
      <c r="AK110" s="15" t="n"/>
      <c r="AL110" s="285" t="n"/>
      <c r="AM110" s="327" t="n"/>
      <c r="AN110" s="15" t="n"/>
      <c r="AO110" s="285" t="n"/>
      <c r="AP110" s="327" t="n"/>
      <c r="AQ110" s="15" t="n"/>
      <c r="AR110" s="285" t="n"/>
      <c r="AS110" s="327" t="n"/>
      <c r="AT110" s="15" t="n"/>
      <c r="AU110" s="285" t="n"/>
      <c r="AV110" s="327" t="n"/>
      <c r="AW110" s="15" t="n"/>
      <c r="AX110" s="285" t="n"/>
      <c r="AY110" s="15" t="n"/>
      <c r="AZ110" s="15" t="n"/>
      <c r="BA110" s="287" t="n"/>
      <c r="BB110" s="37" t="n"/>
      <c r="BC110" s="287" t="n"/>
      <c r="BD110" s="37" t="n"/>
      <c r="BE110" s="287" t="n"/>
      <c r="BF110" s="37" t="n"/>
      <c r="BG110" s="287" t="n"/>
      <c r="BH110" s="37" t="n"/>
      <c r="BI110" s="288" t="n"/>
      <c r="BJ110" s="37" t="n"/>
      <c r="BK110" s="288" t="n"/>
      <c r="BL110" s="37" t="n"/>
      <c r="BM110" s="288" t="n"/>
      <c r="BN110" s="37" t="n"/>
      <c r="BP110" s="288" t="n"/>
      <c r="BQ110" s="37" t="n"/>
      <c r="BR110" s="288" t="n"/>
      <c r="BS110" s="37" t="n"/>
      <c r="BT110" s="288" t="n"/>
      <c r="BU110" s="37" t="n"/>
      <c r="BV110" s="288" t="n"/>
      <c r="BW110" s="37" t="n"/>
      <c r="BX110" s="288" t="n"/>
      <c r="BY110" s="37" t="n"/>
      <c r="BZ110" s="288" t="n"/>
      <c r="CA110" s="37" t="n"/>
      <c r="CB110" s="288" t="n"/>
      <c r="CC110" s="37" t="n"/>
      <c r="CD110" s="288" t="n"/>
      <c r="CE110" s="37" t="n"/>
      <c r="CF110" s="288" t="n"/>
      <c r="CG110" s="291" t="n"/>
      <c r="CH110" s="288" t="n"/>
      <c r="CI110" s="291" t="n"/>
      <c r="CJ110" s="288" t="n"/>
      <c r="CK110" s="291" t="n"/>
      <c r="CL110" s="288" t="n"/>
      <c r="CM110" s="291" t="n"/>
      <c r="CN110" s="288" t="n"/>
      <c r="CO110" s="80" t="n"/>
      <c r="CP110" s="288" t="n"/>
      <c r="CQ110" s="80" t="n"/>
      <c r="CR110" s="288" t="n"/>
      <c r="CS110" s="80" t="n"/>
      <c r="CT110" s="288" t="n"/>
      <c r="CU110" s="80" t="n"/>
      <c r="CW110" s="288" t="n"/>
      <c r="CX110" s="37" t="n"/>
      <c r="CY110" s="288" t="n"/>
      <c r="CZ110" s="37" t="n"/>
      <c r="DA110" s="288" t="n"/>
      <c r="DB110" s="37" t="n"/>
      <c r="DC110" s="288" t="n"/>
      <c r="DD110" s="37" t="n"/>
      <c r="DE110" s="304" t="n"/>
      <c r="DF110" s="304" t="n"/>
    </row>
    <row r="111" customFormat="1" s="40">
      <c r="A111" s="428" t="n"/>
      <c r="B111" s="285" t="n"/>
      <c r="C111" s="15" t="n"/>
      <c r="D111" s="15" t="n"/>
      <c r="E111" s="285" t="n"/>
      <c r="F111" s="15" t="n"/>
      <c r="G111" s="15" t="n"/>
      <c r="H111" s="285" t="n"/>
      <c r="I111" s="15" t="n"/>
      <c r="J111" s="15" t="n"/>
      <c r="K111" s="285" t="n"/>
      <c r="L111" s="15" t="n"/>
      <c r="M111" s="15" t="n"/>
      <c r="N111" s="285" t="n"/>
      <c r="O111" s="15" t="n"/>
      <c r="P111" s="15" t="n"/>
      <c r="Q111" s="285" t="n"/>
      <c r="R111" s="15" t="n"/>
      <c r="S111" s="15" t="n"/>
      <c r="T111" s="291" t="n"/>
      <c r="U111" s="15" t="n"/>
      <c r="V111" s="15" t="n"/>
      <c r="W111" s="291" t="n"/>
      <c r="X111" s="15" t="n"/>
      <c r="Y111" s="15" t="n"/>
      <c r="Z111" s="285" t="n"/>
      <c r="AA111" s="15" t="n"/>
      <c r="AB111" s="15" t="n"/>
      <c r="AC111" s="285" t="n"/>
      <c r="AD111" s="15" t="n"/>
      <c r="AE111" s="15" t="n"/>
      <c r="AF111" s="285" t="n"/>
      <c r="AG111" s="15" t="n"/>
      <c r="AH111" s="15" t="n"/>
      <c r="AI111" s="285" t="n"/>
      <c r="AJ111" s="15" t="n"/>
      <c r="AK111" s="15" t="n"/>
      <c r="AL111" s="285" t="n"/>
      <c r="AM111" s="327" t="n"/>
      <c r="AN111" s="15" t="n"/>
      <c r="AO111" s="285" t="n"/>
      <c r="AP111" s="327" t="n"/>
      <c r="AQ111" s="15" t="n"/>
      <c r="AR111" s="285" t="n"/>
      <c r="AS111" s="327" t="n"/>
      <c r="AT111" s="15" t="n"/>
      <c r="AU111" s="285" t="n"/>
      <c r="AV111" s="327" t="n"/>
      <c r="AW111" s="15" t="n"/>
      <c r="AX111" s="285" t="n"/>
      <c r="AY111" s="15" t="n"/>
      <c r="AZ111" s="15" t="n"/>
      <c r="BA111" s="287" t="n"/>
      <c r="BB111" s="37" t="n"/>
      <c r="BC111" s="287" t="n"/>
      <c r="BD111" s="37" t="n"/>
      <c r="BE111" s="287" t="n"/>
      <c r="BF111" s="37" t="n"/>
      <c r="BG111" s="287" t="n"/>
      <c r="BH111" s="37" t="n"/>
      <c r="BI111" s="288" t="n"/>
      <c r="BJ111" s="37" t="n"/>
      <c r="BK111" s="288" t="n"/>
      <c r="BL111" s="37" t="n"/>
      <c r="BM111" s="288" t="n"/>
      <c r="BN111" s="37" t="n"/>
      <c r="BP111" s="288" t="n"/>
      <c r="BQ111" s="37" t="n"/>
      <c r="BR111" s="288" t="n"/>
      <c r="BS111" s="37" t="n"/>
      <c r="BT111" s="288" t="n"/>
      <c r="BU111" s="37" t="n"/>
      <c r="BV111" s="288" t="n"/>
      <c r="BW111" s="37" t="n"/>
      <c r="BX111" s="288" t="n"/>
      <c r="BY111" s="37" t="n"/>
      <c r="BZ111" s="288" t="n"/>
      <c r="CA111" s="37" t="n"/>
      <c r="CB111" s="288" t="n"/>
      <c r="CC111" s="37" t="n"/>
      <c r="CD111" s="288" t="n"/>
      <c r="CE111" s="37" t="n"/>
      <c r="CF111" s="288" t="n"/>
      <c r="CG111" s="291" t="n"/>
      <c r="CH111" s="288" t="n"/>
      <c r="CI111" s="291" t="n"/>
      <c r="CJ111" s="288" t="n"/>
      <c r="CK111" s="291" t="n"/>
      <c r="CL111" s="288" t="n"/>
      <c r="CM111" s="291" t="n"/>
      <c r="CN111" s="288" t="n"/>
      <c r="CO111" s="80" t="n"/>
      <c r="CP111" s="288" t="n"/>
      <c r="CQ111" s="80" t="n"/>
      <c r="CR111" s="288" t="n"/>
      <c r="CS111" s="80" t="n"/>
      <c r="CT111" s="288" t="n"/>
      <c r="CU111" s="80" t="n"/>
      <c r="CW111" s="288" t="n"/>
      <c r="CX111" s="37" t="n"/>
      <c r="CY111" s="288" t="n"/>
      <c r="CZ111" s="37" t="n"/>
      <c r="DA111" s="288" t="n"/>
      <c r="DB111" s="37" t="n"/>
      <c r="DC111" s="288" t="n"/>
      <c r="DD111" s="37" t="n"/>
      <c r="DE111" s="1" t="n"/>
      <c r="DF111" s="304" t="n"/>
    </row>
    <row r="112" customFormat="1" s="40">
      <c r="A112" s="429" t="n"/>
      <c r="B112" s="306" t="n"/>
      <c r="C112" s="15" t="n"/>
      <c r="D112" s="15" t="n"/>
      <c r="E112" s="306" t="n"/>
      <c r="F112" s="15" t="n"/>
      <c r="G112" s="15" t="n"/>
      <c r="H112" s="306" t="n"/>
      <c r="I112" s="15" t="n"/>
      <c r="J112" s="15" t="n"/>
      <c r="K112" s="306" t="n"/>
      <c r="L112" s="15" t="n"/>
      <c r="M112" s="15" t="n"/>
      <c r="N112" s="306" t="n"/>
      <c r="O112" s="15" t="n"/>
      <c r="P112" s="15" t="n"/>
      <c r="Q112" s="306" t="n"/>
      <c r="R112" s="15" t="n"/>
      <c r="S112" s="15" t="n"/>
      <c r="T112" s="291" t="n"/>
      <c r="U112" s="15" t="n"/>
      <c r="V112" s="15" t="n"/>
      <c r="W112" s="291" t="n"/>
      <c r="X112" s="15" t="n"/>
      <c r="Y112" s="15" t="n"/>
      <c r="Z112" s="306" t="n"/>
      <c r="AA112" s="15" t="n"/>
      <c r="AB112" s="15" t="n"/>
      <c r="AC112" s="306" t="n"/>
      <c r="AD112" s="15" t="n"/>
      <c r="AE112" s="15" t="n"/>
      <c r="AF112" s="306" t="n"/>
      <c r="AG112" s="15" t="n"/>
      <c r="AH112" s="15" t="n"/>
      <c r="AI112" s="306" t="n"/>
      <c r="AJ112" s="15" t="n"/>
      <c r="AK112" s="15" t="n"/>
      <c r="AL112" s="306" t="n"/>
      <c r="AM112" s="327" t="n"/>
      <c r="AN112" s="430" t="n"/>
      <c r="AO112" s="306" t="n"/>
      <c r="AP112" s="327" t="n"/>
      <c r="AQ112" s="430" t="n"/>
      <c r="AR112" s="306" t="n"/>
      <c r="AS112" s="327" t="n"/>
      <c r="AT112" s="430" t="n"/>
      <c r="AU112" s="306" t="n"/>
      <c r="AV112" s="327" t="n"/>
      <c r="AW112" s="430" t="n"/>
      <c r="AX112" s="306" t="n"/>
      <c r="AY112" s="15" t="n"/>
      <c r="AZ112" s="15" t="n"/>
      <c r="BA112" s="287" t="n"/>
      <c r="BB112" s="37" t="n"/>
      <c r="BC112" s="287" t="n"/>
      <c r="BD112" s="37" t="n"/>
      <c r="BE112" s="287" t="n"/>
      <c r="BF112" s="37" t="n"/>
      <c r="BG112" s="287" t="n"/>
      <c r="BH112" s="37" t="n"/>
      <c r="BI112" s="288" t="n"/>
      <c r="BJ112" s="37" t="n"/>
      <c r="BK112" s="288" t="n"/>
      <c r="BL112" s="37" t="n"/>
      <c r="BM112" s="288" t="n"/>
      <c r="BN112" s="37" t="n"/>
      <c r="BP112" s="288" t="n"/>
      <c r="BQ112" s="37" t="n"/>
      <c r="BR112" s="288" t="n"/>
      <c r="BS112" s="37" t="n"/>
      <c r="BT112" s="288" t="n"/>
      <c r="BU112" s="37" t="n"/>
      <c r="BV112" s="288" t="n"/>
      <c r="BW112" s="37" t="n"/>
      <c r="BX112" s="288" t="n"/>
      <c r="BY112" s="37" t="n"/>
      <c r="BZ112" s="288" t="n"/>
      <c r="CA112" s="37" t="n"/>
      <c r="CB112" s="288" t="n"/>
      <c r="CC112" s="37" t="n"/>
      <c r="CD112" s="288" t="n"/>
      <c r="CE112" s="37" t="n"/>
      <c r="CF112" s="288" t="n"/>
      <c r="CG112" s="291" t="n"/>
      <c r="CH112" s="288" t="n"/>
      <c r="CI112" s="291" t="n"/>
      <c r="CJ112" s="288" t="n"/>
      <c r="CK112" s="291" t="n"/>
      <c r="CL112" s="288" t="n"/>
      <c r="CM112" s="291" t="n"/>
      <c r="CN112" s="288" t="n"/>
      <c r="CO112" s="80" t="n"/>
      <c r="CP112" s="288" t="n"/>
      <c r="CQ112" s="80" t="n"/>
      <c r="CR112" s="288" t="n"/>
      <c r="CS112" s="80" t="n"/>
      <c r="CT112" s="288" t="n"/>
      <c r="CU112" s="80" t="n"/>
      <c r="CW112" s="288" t="n"/>
      <c r="CX112" s="37" t="n"/>
      <c r="CY112" s="288" t="n"/>
      <c r="CZ112" s="37" t="n"/>
      <c r="DA112" s="288" t="n"/>
      <c r="DB112" s="37" t="n"/>
      <c r="DC112" s="288" t="n"/>
      <c r="DD112" s="37" t="n"/>
      <c r="DE112" s="1" t="n"/>
      <c r="DF112" s="304" t="n"/>
    </row>
    <row r="113" customFormat="1" s="40">
      <c r="A113" s="428" t="n"/>
      <c r="B113" s="285" t="n"/>
      <c r="C113" s="15" t="n"/>
      <c r="D113" s="15" t="n"/>
      <c r="E113" s="285" t="n"/>
      <c r="F113" s="15" t="n"/>
      <c r="G113" s="15" t="n"/>
      <c r="H113" s="285" t="n"/>
      <c r="I113" s="15" t="n"/>
      <c r="J113" s="15" t="n"/>
      <c r="K113" s="285" t="n"/>
      <c r="L113" s="15" t="n"/>
      <c r="M113" s="15" t="n"/>
      <c r="N113" s="285" t="n"/>
      <c r="O113" s="15" t="n"/>
      <c r="P113" s="15" t="n"/>
      <c r="Q113" s="285" t="n"/>
      <c r="R113" s="15" t="n"/>
      <c r="S113" s="15" t="n"/>
      <c r="T113" s="291" t="n"/>
      <c r="U113" s="15" t="n"/>
      <c r="V113" s="15" t="n"/>
      <c r="W113" s="291" t="n"/>
      <c r="X113" s="15" t="n"/>
      <c r="Y113" s="15" t="n"/>
      <c r="Z113" s="285" t="n"/>
      <c r="AA113" s="15" t="n"/>
      <c r="AB113" s="15" t="n"/>
      <c r="AC113" s="285" t="n"/>
      <c r="AD113" s="15" t="n"/>
      <c r="AE113" s="15" t="n"/>
      <c r="AF113" s="285" t="n"/>
      <c r="AG113" s="15" t="n"/>
      <c r="AH113" s="15" t="n"/>
      <c r="AI113" s="285" t="n"/>
      <c r="AJ113" s="15" t="n"/>
      <c r="AK113" s="15" t="n"/>
      <c r="AL113" s="285" t="n"/>
      <c r="AM113" s="327" t="n"/>
      <c r="AN113" s="430" t="n"/>
      <c r="AO113" s="285" t="n"/>
      <c r="AP113" s="327" t="n"/>
      <c r="AQ113" s="430" t="n"/>
      <c r="AR113" s="285" t="n"/>
      <c r="AS113" s="327" t="n"/>
      <c r="AT113" s="430" t="n"/>
      <c r="AU113" s="285" t="n"/>
      <c r="AV113" s="327" t="n"/>
      <c r="AW113" s="430" t="n"/>
      <c r="AX113" s="285" t="n"/>
      <c r="AY113" s="15" t="n"/>
      <c r="AZ113" s="15" t="n"/>
      <c r="BA113" s="291" t="n"/>
      <c r="BB113" s="291" t="n"/>
      <c r="BC113" s="291" t="n"/>
      <c r="BD113" s="291" t="n"/>
      <c r="BE113" s="291" t="n"/>
      <c r="BF113" s="291" t="n"/>
      <c r="BG113" s="291" t="n"/>
      <c r="BH113" s="291" t="n"/>
      <c r="BI113" s="291" t="n"/>
      <c r="BJ113" s="291" t="n"/>
      <c r="BK113" s="288" t="n"/>
      <c r="BL113" s="291" t="n"/>
      <c r="BM113" s="291" t="n"/>
      <c r="BN113" s="291" t="n"/>
      <c r="BO113" s="291" t="n"/>
      <c r="BP113" s="291" t="n"/>
      <c r="BQ113" s="291" t="n"/>
      <c r="BR113" s="291" t="n"/>
      <c r="BS113" s="291" t="n"/>
      <c r="BT113" s="291" t="n"/>
      <c r="BU113" s="291" t="n"/>
      <c r="BV113" s="291" t="n"/>
      <c r="BW113" s="291" t="n"/>
      <c r="BX113" s="291" t="n"/>
      <c r="BY113" s="291" t="n"/>
      <c r="BZ113" s="291" t="n"/>
      <c r="CA113" s="291" t="n"/>
      <c r="CB113" s="291" t="n"/>
      <c r="CC113" s="291" t="n"/>
      <c r="CD113" s="291" t="n"/>
      <c r="CE113" s="291" t="n"/>
      <c r="CF113" s="291" t="n"/>
      <c r="CG113" s="291" t="n"/>
      <c r="CH113" s="291" t="n"/>
      <c r="CI113" s="291" t="n"/>
      <c r="CJ113" s="291" t="n"/>
      <c r="CK113" s="291" t="n"/>
      <c r="CL113" s="291" t="n"/>
      <c r="CM113" s="291" t="n"/>
      <c r="CN113" s="291" t="n"/>
      <c r="CW113" s="291" t="n"/>
      <c r="CX113" s="291" t="n"/>
      <c r="CY113" s="291" t="n"/>
      <c r="CZ113" s="291" t="n"/>
      <c r="DA113" s="291" t="n"/>
      <c r="DB113" s="291" t="n"/>
      <c r="DC113" s="291" t="n"/>
      <c r="DD113" s="291" t="n"/>
      <c r="DE113" s="311" t="n"/>
      <c r="DF113" s="311" t="n"/>
    </row>
    <row r="114" customFormat="1" s="40">
      <c r="A114" s="431" t="n"/>
      <c r="B114" s="285" t="n"/>
      <c r="C114" s="15" t="n"/>
      <c r="D114" s="15" t="n"/>
      <c r="E114" s="285" t="n"/>
      <c r="F114" s="15" t="n"/>
      <c r="G114" s="15" t="n"/>
      <c r="H114" s="285" t="n"/>
      <c r="I114" s="15" t="n"/>
      <c r="J114" s="15" t="n"/>
      <c r="K114" s="285" t="n"/>
      <c r="L114" s="15" t="n"/>
      <c r="M114" s="15" t="n"/>
      <c r="N114" s="285" t="n"/>
      <c r="O114" s="15" t="n"/>
      <c r="P114" s="15" t="n"/>
      <c r="Q114" s="285" t="n"/>
      <c r="R114" s="15" t="n"/>
      <c r="S114" s="15" t="n"/>
      <c r="T114" s="291" t="n"/>
      <c r="U114" s="15" t="n"/>
      <c r="V114" s="15" t="n"/>
      <c r="W114" s="291" t="n"/>
      <c r="X114" s="15" t="n"/>
      <c r="Y114" s="15" t="n"/>
      <c r="Z114" s="285" t="n"/>
      <c r="AA114" s="15" t="n"/>
      <c r="AB114" s="15" t="n"/>
      <c r="AC114" s="285" t="n"/>
      <c r="AD114" s="15" t="n"/>
      <c r="AE114" s="15" t="n"/>
      <c r="AF114" s="285" t="n"/>
      <c r="AG114" s="15" t="n"/>
      <c r="AH114" s="15" t="n"/>
      <c r="AI114" s="285" t="n"/>
      <c r="AJ114" s="15" t="n"/>
      <c r="AK114" s="15" t="n"/>
      <c r="AL114" s="285" t="n"/>
      <c r="AM114" s="327" t="n"/>
      <c r="AN114" s="430" t="n"/>
      <c r="AO114" s="285" t="n"/>
      <c r="AP114" s="327" t="n"/>
      <c r="AQ114" s="430" t="n"/>
      <c r="AR114" s="285" t="n"/>
      <c r="AS114" s="327" t="n"/>
      <c r="AT114" s="430" t="n"/>
      <c r="AU114" s="285" t="n"/>
      <c r="AV114" s="327" t="n"/>
      <c r="AW114" s="430" t="n"/>
      <c r="AX114" s="285" t="n"/>
      <c r="AY114" s="15" t="n"/>
      <c r="AZ114" s="15" t="n"/>
      <c r="BA114" s="291" t="n"/>
      <c r="BB114" s="291" t="n"/>
      <c r="BC114" s="291" t="n"/>
      <c r="BD114" s="291" t="n"/>
      <c r="BE114" s="291" t="n"/>
      <c r="BF114" s="291" t="n"/>
      <c r="BG114" s="291" t="n"/>
      <c r="BH114" s="291" t="n"/>
      <c r="BI114" s="291" t="n"/>
      <c r="BJ114" s="291" t="n"/>
      <c r="BK114" s="288" t="n"/>
      <c r="BL114" s="291" t="n"/>
      <c r="BM114" s="291" t="n"/>
      <c r="BN114" s="291" t="n"/>
      <c r="BO114" s="291" t="n"/>
      <c r="BP114" s="291" t="n"/>
      <c r="BQ114" s="291" t="n"/>
      <c r="BR114" s="291" t="n"/>
      <c r="BS114" s="291" t="n"/>
      <c r="BT114" s="291" t="n"/>
      <c r="BU114" s="291" t="n"/>
      <c r="BV114" s="291" t="n"/>
      <c r="BW114" s="291" t="n"/>
      <c r="BX114" s="291" t="n"/>
      <c r="BY114" s="291" t="n"/>
      <c r="BZ114" s="291" t="n"/>
      <c r="CA114" s="291" t="n"/>
      <c r="CB114" s="291" t="n"/>
      <c r="CC114" s="291" t="n"/>
      <c r="CD114" s="291" t="n"/>
      <c r="CE114" s="291" t="n"/>
      <c r="CF114" s="291" t="n"/>
      <c r="CG114" s="291" t="n"/>
      <c r="CH114" s="291" t="n"/>
      <c r="CI114" s="291" t="n"/>
      <c r="CJ114" s="291" t="n"/>
      <c r="CK114" s="291" t="n"/>
      <c r="CL114" s="291" t="n"/>
      <c r="CM114" s="291" t="n"/>
      <c r="CN114" s="291" t="n"/>
      <c r="CW114" s="291" t="n"/>
      <c r="CX114" s="291" t="n"/>
      <c r="CY114" s="291" t="n"/>
      <c r="CZ114" s="291" t="n"/>
      <c r="DA114" s="291" t="n"/>
      <c r="DB114" s="291" t="n"/>
      <c r="DC114" s="291" t="n"/>
      <c r="DD114" s="291" t="n"/>
      <c r="DE114" s="311" t="n"/>
      <c r="DF114" s="311" t="n"/>
    </row>
    <row r="115" customFormat="1" s="40">
      <c r="A115" s="428" t="n"/>
      <c r="B115" s="285" t="n"/>
      <c r="C115" s="15" t="n"/>
      <c r="D115" s="15" t="n"/>
      <c r="E115" s="285" t="n"/>
      <c r="F115" s="15" t="n"/>
      <c r="G115" s="15" t="n"/>
      <c r="H115" s="285" t="n"/>
      <c r="I115" s="15" t="n"/>
      <c r="J115" s="15" t="n"/>
      <c r="K115" s="285" t="n"/>
      <c r="L115" s="15" t="n"/>
      <c r="M115" s="15" t="n"/>
      <c r="N115" s="285" t="n"/>
      <c r="O115" s="15" t="n"/>
      <c r="P115" s="15" t="n"/>
      <c r="Q115" s="285" t="n"/>
      <c r="R115" s="15" t="n"/>
      <c r="S115" s="15" t="n"/>
      <c r="T115" s="291" t="n"/>
      <c r="U115" s="15" t="n"/>
      <c r="V115" s="15" t="n"/>
      <c r="W115" s="291" t="n"/>
      <c r="X115" s="15" t="n"/>
      <c r="Y115" s="15" t="n"/>
      <c r="Z115" s="285" t="n"/>
      <c r="AA115" s="15" t="n"/>
      <c r="AB115" s="15" t="n"/>
      <c r="AC115" s="285" t="n"/>
      <c r="AD115" s="15" t="n"/>
      <c r="AE115" s="15" t="n"/>
      <c r="AF115" s="285" t="n"/>
      <c r="AG115" s="15" t="n"/>
      <c r="AH115" s="15" t="n"/>
      <c r="AI115" s="285" t="n"/>
      <c r="AJ115" s="15" t="n"/>
      <c r="AK115" s="15" t="n"/>
      <c r="AL115" s="285" t="n"/>
      <c r="AM115" s="327" t="n"/>
      <c r="AN115" s="430" t="n"/>
      <c r="AO115" s="285" t="n"/>
      <c r="AP115" s="327" t="n"/>
      <c r="AQ115" s="430" t="n"/>
      <c r="AR115" s="285" t="n"/>
      <c r="AS115" s="327" t="n"/>
      <c r="AT115" s="430" t="n"/>
      <c r="AU115" s="285" t="n"/>
      <c r="AV115" s="327" t="n"/>
      <c r="AW115" s="430" t="n"/>
      <c r="AX115" s="285" t="n"/>
      <c r="AY115" s="15" t="n"/>
      <c r="AZ115" s="15" t="n"/>
      <c r="BA115" s="291" t="n"/>
      <c r="BB115" s="291" t="n"/>
      <c r="BC115" s="291" t="n"/>
      <c r="BD115" s="291" t="n"/>
      <c r="BE115" s="291" t="n"/>
      <c r="BF115" s="291" t="n"/>
      <c r="BG115" s="291" t="n"/>
      <c r="BH115" s="291" t="n"/>
      <c r="BI115" s="291" t="n"/>
      <c r="BJ115" s="291" t="n"/>
      <c r="BK115" s="288" t="n"/>
      <c r="BL115" s="291" t="n"/>
      <c r="BM115" s="291" t="n"/>
      <c r="BN115" s="291" t="n"/>
      <c r="BO115" s="291" t="n"/>
      <c r="BP115" s="291" t="n"/>
      <c r="BQ115" s="291" t="n"/>
      <c r="BR115" s="291" t="n"/>
      <c r="BS115" s="291" t="n"/>
      <c r="BT115" s="291" t="n"/>
      <c r="BU115" s="291" t="n"/>
      <c r="BV115" s="291" t="n"/>
      <c r="BW115" s="291" t="n"/>
      <c r="BX115" s="291" t="n"/>
      <c r="BY115" s="291" t="n"/>
      <c r="BZ115" s="291" t="n"/>
      <c r="CA115" s="291" t="n"/>
      <c r="CB115" s="291" t="n"/>
      <c r="CC115" s="291" t="n"/>
      <c r="CD115" s="291" t="n"/>
      <c r="CE115" s="291" t="n"/>
      <c r="CF115" s="291" t="n"/>
      <c r="CG115" s="291" t="n"/>
      <c r="CH115" s="291" t="n"/>
      <c r="CI115" s="291" t="n"/>
      <c r="CJ115" s="291" t="n"/>
      <c r="CK115" s="291" t="n"/>
      <c r="CL115" s="291" t="n"/>
      <c r="CM115" s="291" t="n"/>
      <c r="CN115" s="291" t="n"/>
      <c r="CW115" s="291" t="n"/>
      <c r="CX115" s="291" t="n"/>
      <c r="CY115" s="291" t="n"/>
      <c r="CZ115" s="291" t="n"/>
      <c r="DA115" s="291" t="n"/>
      <c r="DB115" s="291" t="n"/>
      <c r="DC115" s="291" t="n"/>
      <c r="DD115" s="291" t="n"/>
      <c r="DE115" s="311" t="n"/>
      <c r="DF115" s="311" t="n"/>
    </row>
    <row r="116" customFormat="1" s="40">
      <c r="A116" s="428" t="n"/>
      <c r="B116" s="285" t="n"/>
      <c r="C116" s="15" t="n"/>
      <c r="D116" s="15" t="n"/>
      <c r="E116" s="285" t="n"/>
      <c r="F116" s="15" t="n"/>
      <c r="G116" s="15" t="n"/>
      <c r="H116" s="285" t="n"/>
      <c r="I116" s="15" t="n"/>
      <c r="J116" s="15" t="n"/>
      <c r="K116" s="285" t="n"/>
      <c r="L116" s="15" t="n"/>
      <c r="M116" s="15" t="n"/>
      <c r="N116" s="285" t="n"/>
      <c r="O116" s="15" t="n"/>
      <c r="P116" s="15" t="n"/>
      <c r="Q116" s="285" t="n"/>
      <c r="R116" s="15" t="n"/>
      <c r="S116" s="15" t="n"/>
      <c r="T116" s="291" t="n"/>
      <c r="U116" s="15" t="n"/>
      <c r="V116" s="15" t="n"/>
      <c r="W116" s="291" t="n"/>
      <c r="X116" s="15" t="n"/>
      <c r="Y116" s="15" t="n"/>
      <c r="Z116" s="285" t="n"/>
      <c r="AA116" s="15" t="n"/>
      <c r="AB116" s="15" t="n"/>
      <c r="AC116" s="285" t="n"/>
      <c r="AD116" s="15" t="n"/>
      <c r="AE116" s="15" t="n"/>
      <c r="AF116" s="285" t="n"/>
      <c r="AG116" s="15" t="n"/>
      <c r="AH116" s="15" t="n"/>
      <c r="AI116" s="285" t="n"/>
      <c r="AJ116" s="15" t="n"/>
      <c r="AK116" s="15" t="n"/>
      <c r="AL116" s="285" t="n"/>
      <c r="AM116" s="327" t="n"/>
      <c r="AN116" s="430" t="n"/>
      <c r="AO116" s="285" t="n"/>
      <c r="AP116" s="327" t="n"/>
      <c r="AQ116" s="430" t="n"/>
      <c r="AR116" s="285" t="n"/>
      <c r="AS116" s="327" t="n"/>
      <c r="AT116" s="430" t="n"/>
      <c r="AU116" s="285" t="n"/>
      <c r="AV116" s="327" t="n"/>
      <c r="AW116" s="430" t="n"/>
      <c r="AX116" s="285" t="n"/>
      <c r="AY116" s="15" t="n"/>
      <c r="AZ116" s="15" t="n"/>
      <c r="BA116" s="291" t="n"/>
      <c r="BB116" s="291" t="n"/>
      <c r="BC116" s="291" t="n"/>
      <c r="BD116" s="291" t="n"/>
      <c r="BE116" s="291" t="n"/>
      <c r="BF116" s="291" t="n"/>
      <c r="BG116" s="291" t="n"/>
      <c r="BH116" s="291" t="n"/>
      <c r="BI116" s="291" t="n"/>
      <c r="BJ116" s="291" t="n"/>
      <c r="BK116" s="288" t="n"/>
      <c r="BL116" s="291" t="n"/>
      <c r="BM116" s="291" t="n"/>
      <c r="BN116" s="291" t="n"/>
      <c r="BO116" s="291" t="n"/>
      <c r="BP116" s="291" t="n"/>
      <c r="BQ116" s="291" t="n"/>
      <c r="BR116" s="291" t="n"/>
      <c r="BS116" s="291" t="n"/>
      <c r="BT116" s="291" t="n"/>
      <c r="BU116" s="291" t="n"/>
      <c r="BV116" s="291" t="n"/>
      <c r="BW116" s="291" t="n"/>
      <c r="BX116" s="291" t="n"/>
      <c r="BY116" s="291" t="n"/>
      <c r="BZ116" s="291" t="n"/>
      <c r="CA116" s="291" t="n"/>
      <c r="CB116" s="291" t="n"/>
      <c r="CC116" s="291" t="n"/>
      <c r="CD116" s="291" t="n"/>
      <c r="CE116" s="291" t="n"/>
      <c r="CF116" s="291" t="n"/>
      <c r="CG116" s="291" t="n"/>
      <c r="CH116" s="291" t="n"/>
      <c r="CI116" s="291" t="n"/>
      <c r="CJ116" s="291" t="n"/>
      <c r="CK116" s="291" t="n"/>
      <c r="CL116" s="291" t="n"/>
      <c r="CM116" s="291" t="n"/>
      <c r="CN116" s="291" t="n"/>
      <c r="CW116" s="291" t="n"/>
      <c r="CX116" s="291" t="n"/>
      <c r="CY116" s="291" t="n"/>
      <c r="CZ116" s="291" t="n"/>
      <c r="DA116" s="291" t="n"/>
      <c r="DB116" s="291" t="n"/>
      <c r="DC116" s="291" t="n"/>
      <c r="DD116" s="291" t="n"/>
      <c r="DE116" s="311" t="n"/>
      <c r="DF116" s="311" t="n"/>
    </row>
    <row r="117" customFormat="1" s="40">
      <c r="A117" s="326" t="n"/>
      <c r="B117" s="285" t="n"/>
      <c r="C117" s="15" t="n"/>
      <c r="D117" s="15" t="n"/>
      <c r="E117" s="285" t="n"/>
      <c r="F117" s="15" t="n"/>
      <c r="G117" s="15" t="n"/>
      <c r="H117" s="285" t="n"/>
      <c r="I117" s="15" t="n"/>
      <c r="J117" s="15" t="n"/>
      <c r="K117" s="285" t="n"/>
      <c r="L117" s="15" t="n"/>
      <c r="M117" s="15" t="n"/>
      <c r="N117" s="285" t="n"/>
      <c r="O117" s="15" t="n"/>
      <c r="P117" s="15" t="n"/>
      <c r="Q117" s="285" t="n"/>
      <c r="R117" s="15" t="n"/>
      <c r="S117" s="15" t="n"/>
      <c r="T117" s="291" t="n"/>
      <c r="U117" s="15" t="n"/>
      <c r="V117" s="15" t="n"/>
      <c r="W117" s="291" t="n"/>
      <c r="X117" s="15" t="n"/>
      <c r="Y117" s="15" t="n"/>
      <c r="Z117" s="285" t="n"/>
      <c r="AA117" s="15" t="n"/>
      <c r="AB117" s="15" t="n"/>
      <c r="AC117" s="285" t="n"/>
      <c r="AD117" s="15" t="n"/>
      <c r="AE117" s="15" t="n"/>
      <c r="AF117" s="285" t="n"/>
      <c r="AG117" s="15" t="n"/>
      <c r="AH117" s="15" t="n"/>
      <c r="AI117" s="285" t="n"/>
      <c r="AJ117" s="15" t="n"/>
      <c r="AK117" s="15" t="n"/>
      <c r="AL117" s="285" t="n"/>
      <c r="AM117" s="327" t="n"/>
      <c r="AN117" s="430" t="n"/>
      <c r="AO117" s="285" t="n"/>
      <c r="AP117" s="327" t="n"/>
      <c r="AQ117" s="430" t="n"/>
      <c r="AR117" s="285" t="n"/>
      <c r="AS117" s="327" t="n"/>
      <c r="AT117" s="430" t="n"/>
      <c r="AU117" s="285" t="n"/>
      <c r="AV117" s="327" t="n"/>
      <c r="AW117" s="430" t="n"/>
      <c r="AX117" s="285" t="n"/>
      <c r="AY117" s="15" t="n"/>
      <c r="AZ117" s="15" t="n"/>
      <c r="BA117" s="291" t="n"/>
      <c r="BB117" s="291" t="n"/>
      <c r="BC117" s="291" t="n"/>
      <c r="BD117" s="291" t="n"/>
      <c r="BE117" s="291" t="n"/>
      <c r="BF117" s="291" t="n"/>
      <c r="BG117" s="291" t="n"/>
      <c r="BH117" s="291" t="n"/>
      <c r="BI117" s="291" t="n"/>
      <c r="BJ117" s="291" t="n"/>
      <c r="BK117" s="288" t="n"/>
      <c r="BL117" s="291" t="n"/>
      <c r="BM117" s="291" t="n"/>
      <c r="BN117" s="291" t="n"/>
      <c r="BO117" s="291" t="n"/>
      <c r="BP117" s="291" t="n"/>
      <c r="BQ117" s="291" t="n"/>
      <c r="BR117" s="291" t="n"/>
      <c r="BS117" s="291" t="n"/>
      <c r="BT117" s="291" t="n"/>
      <c r="BU117" s="291" t="n"/>
      <c r="BV117" s="291" t="n"/>
      <c r="BW117" s="291" t="n"/>
      <c r="BX117" s="291" t="n"/>
      <c r="BY117" s="291" t="n"/>
      <c r="BZ117" s="291" t="n"/>
      <c r="CA117" s="291" t="n"/>
      <c r="CB117" s="291" t="n"/>
      <c r="CC117" s="291" t="n"/>
      <c r="CD117" s="291" t="n"/>
      <c r="CE117" s="291" t="n"/>
      <c r="CF117" s="291" t="n"/>
      <c r="CG117" s="291" t="n"/>
      <c r="CH117" s="291" t="n"/>
      <c r="CI117" s="291" t="n"/>
      <c r="CJ117" s="291" t="n"/>
      <c r="CK117" s="291" t="n"/>
      <c r="CL117" s="291" t="n"/>
      <c r="CM117" s="291" t="n"/>
      <c r="CN117" s="291" t="n"/>
      <c r="CW117" s="291" t="n"/>
      <c r="CX117" s="291" t="n"/>
      <c r="CY117" s="291" t="n"/>
      <c r="CZ117" s="291" t="n"/>
      <c r="DA117" s="291" t="n"/>
      <c r="DB117" s="291" t="n"/>
      <c r="DC117" s="291" t="n"/>
      <c r="DD117" s="291" t="n"/>
      <c r="DE117" s="311" t="n"/>
      <c r="DF117" s="311" t="n"/>
    </row>
    <row r="118" customFormat="1" s="40">
      <c r="A118" s="326" t="n"/>
      <c r="B118" s="285" t="n"/>
      <c r="C118" s="15" t="n"/>
      <c r="D118" s="15" t="n"/>
      <c r="E118" s="285" t="n"/>
      <c r="F118" s="15" t="n"/>
      <c r="G118" s="15" t="n"/>
      <c r="H118" s="285" t="n"/>
      <c r="I118" s="15" t="n"/>
      <c r="J118" s="15" t="n"/>
      <c r="K118" s="285" t="n"/>
      <c r="L118" s="15" t="n"/>
      <c r="M118" s="15" t="n"/>
      <c r="N118" s="285" t="n"/>
      <c r="O118" s="15" t="n"/>
      <c r="P118" s="15" t="n"/>
      <c r="Q118" s="285" t="n"/>
      <c r="R118" s="15" t="n"/>
      <c r="S118" s="15" t="n"/>
      <c r="T118" s="291" t="n"/>
      <c r="U118" s="15" t="n"/>
      <c r="V118" s="15" t="n"/>
      <c r="W118" s="291" t="n"/>
      <c r="X118" s="15" t="n"/>
      <c r="Y118" s="15" t="n"/>
      <c r="Z118" s="285" t="n"/>
      <c r="AA118" s="15" t="n"/>
      <c r="AB118" s="15" t="n"/>
      <c r="AC118" s="285" t="n"/>
      <c r="AD118" s="15" t="n"/>
      <c r="AE118" s="15" t="n"/>
      <c r="AF118" s="285" t="n"/>
      <c r="AG118" s="15" t="n"/>
      <c r="AH118" s="15" t="n"/>
      <c r="AI118" s="285" t="n"/>
      <c r="AJ118" s="15" t="n"/>
      <c r="AK118" s="15" t="n"/>
      <c r="AL118" s="285" t="n"/>
      <c r="AM118" s="327" t="n"/>
      <c r="AN118" s="430" t="n"/>
      <c r="AO118" s="285" t="n"/>
      <c r="AP118" s="327" t="n"/>
      <c r="AQ118" s="430" t="n"/>
      <c r="AR118" s="285" t="n"/>
      <c r="AS118" s="327" t="n"/>
      <c r="AT118" s="430" t="n"/>
      <c r="AU118" s="285" t="n"/>
      <c r="AV118" s="327" t="n"/>
      <c r="AW118" s="430" t="n"/>
      <c r="AX118" s="285" t="n"/>
      <c r="AY118" s="15" t="n"/>
      <c r="AZ118" s="15" t="n"/>
      <c r="BA118" s="291" t="n"/>
      <c r="BB118" s="291" t="n"/>
      <c r="BC118" s="291" t="n"/>
      <c r="BD118" s="291" t="n"/>
      <c r="BE118" s="291" t="n"/>
      <c r="BF118" s="291" t="n"/>
      <c r="BG118" s="291" t="n"/>
      <c r="BH118" s="291" t="n"/>
      <c r="BI118" s="291" t="n"/>
      <c r="BJ118" s="291" t="n"/>
      <c r="BK118" s="288" t="n"/>
      <c r="BL118" s="291" t="n"/>
      <c r="BM118" s="291" t="n"/>
      <c r="BN118" s="291" t="n"/>
      <c r="BO118" s="291" t="n"/>
      <c r="BP118" s="291" t="n"/>
      <c r="BQ118" s="291" t="n"/>
      <c r="BR118" s="291" t="n"/>
      <c r="BS118" s="291" t="n"/>
      <c r="BT118" s="291" t="n"/>
      <c r="BU118" s="291" t="n"/>
      <c r="BV118" s="291" t="n"/>
      <c r="BW118" s="291" t="n"/>
      <c r="BX118" s="291" t="n"/>
      <c r="BY118" s="291" t="n"/>
      <c r="BZ118" s="291" t="n"/>
      <c r="CA118" s="291" t="n"/>
      <c r="CB118" s="291" t="n"/>
      <c r="CC118" s="291" t="n"/>
      <c r="CD118" s="291" t="n"/>
      <c r="CE118" s="291" t="n"/>
      <c r="CF118" s="291" t="n"/>
      <c r="CG118" s="291" t="n"/>
      <c r="CH118" s="291" t="n"/>
      <c r="CI118" s="291" t="n"/>
      <c r="CJ118" s="291" t="n"/>
      <c r="CK118" s="291" t="n"/>
      <c r="CL118" s="291" t="n"/>
      <c r="CM118" s="291" t="n"/>
      <c r="CN118" s="291" t="n"/>
      <c r="CW118" s="291" t="n"/>
      <c r="CX118" s="291" t="n"/>
      <c r="CY118" s="291" t="n"/>
      <c r="CZ118" s="291" t="n"/>
      <c r="DA118" s="291" t="n"/>
      <c r="DB118" s="291" t="n"/>
      <c r="DC118" s="291" t="n"/>
      <c r="DD118" s="291" t="n"/>
      <c r="DE118" s="311" t="n"/>
      <c r="DF118" s="311" t="n"/>
    </row>
    <row r="119" customFormat="1" s="40">
      <c r="A119" s="326" t="n"/>
      <c r="B119" s="285" t="n"/>
      <c r="C119" s="15" t="n"/>
      <c r="D119" s="15" t="n"/>
      <c r="E119" s="285" t="n"/>
      <c r="F119" s="15" t="n"/>
      <c r="G119" s="15" t="n"/>
      <c r="H119" s="285" t="n"/>
      <c r="I119" s="15" t="n"/>
      <c r="J119" s="15" t="n"/>
      <c r="K119" s="285" t="n"/>
      <c r="L119" s="15" t="n"/>
      <c r="M119" s="15" t="n"/>
      <c r="N119" s="285" t="n"/>
      <c r="O119" s="15" t="n"/>
      <c r="P119" s="15" t="n"/>
      <c r="Q119" s="285" t="n"/>
      <c r="R119" s="15" t="n"/>
      <c r="S119" s="15" t="n"/>
      <c r="T119" s="291" t="n"/>
      <c r="U119" s="15" t="n"/>
      <c r="V119" s="15" t="n"/>
      <c r="W119" s="291" t="n"/>
      <c r="X119" s="15" t="n"/>
      <c r="Y119" s="15" t="n"/>
      <c r="Z119" s="285" t="n"/>
      <c r="AA119" s="15" t="n"/>
      <c r="AB119" s="15" t="n"/>
      <c r="AC119" s="285" t="n"/>
      <c r="AD119" s="15" t="n"/>
      <c r="AE119" s="15" t="n"/>
      <c r="AF119" s="285" t="n"/>
      <c r="AG119" s="15" t="n"/>
      <c r="AH119" s="15" t="n"/>
      <c r="AI119" s="285" t="n"/>
      <c r="AJ119" s="15" t="n"/>
      <c r="AK119" s="15" t="n"/>
      <c r="AL119" s="285" t="n"/>
      <c r="AM119" s="327" t="n"/>
      <c r="AN119" s="430" t="n"/>
      <c r="AO119" s="285" t="n"/>
      <c r="AP119" s="327" t="n"/>
      <c r="AQ119" s="430" t="n"/>
      <c r="AR119" s="285" t="n"/>
      <c r="AS119" s="327" t="n"/>
      <c r="AT119" s="430" t="n"/>
      <c r="AU119" s="285" t="n"/>
      <c r="AV119" s="327" t="n"/>
      <c r="AW119" s="430" t="n"/>
      <c r="AX119" s="285" t="n"/>
      <c r="AY119" s="15" t="n"/>
      <c r="AZ119" s="15" t="n"/>
      <c r="BA119" s="291" t="n"/>
      <c r="BB119" s="291" t="n"/>
      <c r="BC119" s="291" t="n"/>
      <c r="BD119" s="291" t="n"/>
      <c r="BE119" s="291" t="n"/>
      <c r="BF119" s="291" t="n"/>
      <c r="BG119" s="291" t="n"/>
      <c r="BH119" s="291" t="n"/>
      <c r="BI119" s="291" t="n"/>
      <c r="BJ119" s="291" t="n"/>
      <c r="BK119" s="288" t="n"/>
      <c r="BL119" s="291" t="n"/>
      <c r="BM119" s="291" t="n"/>
      <c r="BN119" s="291" t="n"/>
      <c r="BO119" s="291" t="n"/>
      <c r="BP119" s="291" t="n"/>
      <c r="BQ119" s="291" t="n"/>
      <c r="BR119" s="291" t="n"/>
      <c r="BS119" s="291" t="n"/>
      <c r="BT119" s="291" t="n"/>
      <c r="BU119" s="291" t="n"/>
      <c r="BV119" s="291" t="n"/>
      <c r="BW119" s="291" t="n"/>
      <c r="BX119" s="291" t="n"/>
      <c r="BY119" s="291" t="n"/>
      <c r="BZ119" s="291" t="n"/>
      <c r="CA119" s="291" t="n"/>
      <c r="CB119" s="291" t="n"/>
      <c r="CC119" s="291" t="n"/>
      <c r="CD119" s="291" t="n"/>
      <c r="CE119" s="291" t="n"/>
      <c r="CF119" s="291" t="n"/>
      <c r="CG119" s="291" t="n"/>
      <c r="CH119" s="291" t="n"/>
      <c r="CI119" s="291" t="n"/>
      <c r="CJ119" s="291" t="n"/>
      <c r="CK119" s="291" t="n"/>
      <c r="CL119" s="291" t="n"/>
      <c r="CM119" s="291" t="n"/>
      <c r="CN119" s="291" t="n"/>
      <c r="CW119" s="291" t="n"/>
      <c r="CX119" s="291" t="n"/>
      <c r="CY119" s="291" t="n"/>
      <c r="CZ119" s="291" t="n"/>
      <c r="DA119" s="291" t="n"/>
      <c r="DB119" s="291" t="n"/>
      <c r="DC119" s="291" t="n"/>
      <c r="DD119" s="291" t="n"/>
      <c r="DE119" s="311" t="n"/>
      <c r="DF119" s="311" t="n"/>
    </row>
    <row r="120" customFormat="1" s="40">
      <c r="A120" s="326" t="n"/>
      <c r="B120" s="285" t="n"/>
      <c r="C120" s="15" t="n"/>
      <c r="D120" s="15" t="n"/>
      <c r="E120" s="285" t="n"/>
      <c r="F120" s="15" t="n"/>
      <c r="G120" s="15" t="n"/>
      <c r="H120" s="285" t="n"/>
      <c r="I120" s="15" t="n"/>
      <c r="J120" s="15" t="n"/>
      <c r="K120" s="285" t="n"/>
      <c r="L120" s="15" t="n"/>
      <c r="M120" s="15" t="n"/>
      <c r="N120" s="285" t="n"/>
      <c r="O120" s="15" t="n"/>
      <c r="P120" s="15" t="n"/>
      <c r="Q120" s="285" t="n"/>
      <c r="R120" s="15" t="n"/>
      <c r="S120" s="15" t="n"/>
      <c r="T120" s="291" t="n"/>
      <c r="U120" s="15" t="n"/>
      <c r="V120" s="15" t="n"/>
      <c r="W120" s="291" t="n"/>
      <c r="X120" s="15" t="n"/>
      <c r="Y120" s="15" t="n"/>
      <c r="Z120" s="285" t="n"/>
      <c r="AA120" s="15" t="n"/>
      <c r="AB120" s="15" t="n"/>
      <c r="AC120" s="285" t="n"/>
      <c r="AD120" s="15" t="n"/>
      <c r="AE120" s="15" t="n"/>
      <c r="AF120" s="285" t="n"/>
      <c r="AG120" s="15" t="n"/>
      <c r="AH120" s="15" t="n"/>
      <c r="AI120" s="285" t="n"/>
      <c r="AJ120" s="15" t="n"/>
      <c r="AK120" s="15" t="n"/>
      <c r="AL120" s="285" t="n"/>
      <c r="AM120" s="327" t="n"/>
      <c r="AN120" s="430" t="n"/>
      <c r="AO120" s="285" t="n"/>
      <c r="AP120" s="327" t="n"/>
      <c r="AQ120" s="430" t="n"/>
      <c r="AR120" s="285" t="n"/>
      <c r="AS120" s="327" t="n"/>
      <c r="AT120" s="430" t="n"/>
      <c r="AU120" s="285" t="n"/>
      <c r="AV120" s="327" t="n"/>
      <c r="AW120" s="430" t="n"/>
      <c r="AX120" s="285" t="n"/>
      <c r="AY120" s="15" t="n"/>
      <c r="AZ120" s="15" t="n"/>
      <c r="BA120" s="291" t="n"/>
      <c r="BB120" s="291" t="n"/>
      <c r="BC120" s="291" t="n"/>
      <c r="BD120" s="291" t="n"/>
      <c r="BE120" s="291" t="n"/>
      <c r="BF120" s="291" t="n"/>
      <c r="BG120" s="291" t="n"/>
      <c r="BH120" s="291" t="n"/>
      <c r="BI120" s="291" t="n"/>
      <c r="BJ120" s="291" t="n"/>
      <c r="BK120" s="288" t="n"/>
      <c r="BL120" s="291" t="n"/>
      <c r="BM120" s="291" t="n"/>
      <c r="BN120" s="291" t="n"/>
      <c r="BO120" s="291" t="n"/>
      <c r="BP120" s="291" t="n"/>
      <c r="BQ120" s="291" t="n"/>
      <c r="BR120" s="291" t="n"/>
      <c r="BS120" s="291" t="n"/>
      <c r="BT120" s="291" t="n"/>
      <c r="BU120" s="291" t="n"/>
      <c r="BV120" s="291" t="n"/>
      <c r="BW120" s="291" t="n"/>
      <c r="BX120" s="291" t="n"/>
      <c r="BY120" s="291" t="n"/>
      <c r="BZ120" s="291" t="n"/>
      <c r="CA120" s="291" t="n"/>
      <c r="CB120" s="291" t="n"/>
      <c r="CC120" s="291" t="n"/>
      <c r="CD120" s="291" t="n"/>
      <c r="CE120" s="291" t="n"/>
      <c r="CF120" s="291" t="n"/>
      <c r="CG120" s="291" t="n"/>
      <c r="CH120" s="291" t="n"/>
      <c r="CI120" s="291" t="n"/>
      <c r="CJ120" s="291" t="n"/>
      <c r="CK120" s="291" t="n"/>
      <c r="CL120" s="291" t="n"/>
      <c r="CM120" s="291" t="n"/>
      <c r="CN120" s="291" t="n"/>
      <c r="CW120" s="291" t="n"/>
      <c r="CX120" s="291" t="n"/>
      <c r="CY120" s="291" t="n"/>
      <c r="CZ120" s="291" t="n"/>
      <c r="DA120" s="291" t="n"/>
      <c r="DB120" s="291" t="n"/>
      <c r="DC120" s="291" t="n"/>
      <c r="DD120" s="291" t="n"/>
      <c r="DE120" s="311" t="n"/>
      <c r="DF120" s="311" t="n"/>
    </row>
    <row r="121" customFormat="1" s="40">
      <c r="A121" s="326" t="n"/>
      <c r="B121" s="28" t="n"/>
      <c r="C121" s="15" t="n"/>
      <c r="D121" s="15" t="n"/>
      <c r="E121" s="28" t="n"/>
      <c r="F121" s="15" t="n"/>
      <c r="G121" s="15" t="n"/>
      <c r="H121" s="28" t="n"/>
      <c r="I121" s="15" t="n"/>
      <c r="J121" s="15" t="n"/>
      <c r="K121" s="28" t="n"/>
      <c r="L121" s="15" t="n"/>
      <c r="M121" s="15" t="n"/>
      <c r="N121" s="28" t="n"/>
      <c r="O121" s="15" t="n"/>
      <c r="P121" s="15" t="n"/>
      <c r="Q121" s="28" t="n"/>
      <c r="R121" s="15" t="n"/>
      <c r="S121" s="15" t="n"/>
      <c r="T121" s="291" t="n"/>
      <c r="U121" s="15" t="n"/>
      <c r="V121" s="15" t="n"/>
      <c r="W121" s="291" t="n"/>
      <c r="X121" s="15" t="n"/>
      <c r="Y121" s="15" t="n"/>
      <c r="Z121" s="28" t="n"/>
      <c r="AA121" s="15" t="n"/>
      <c r="AB121" s="15" t="n"/>
      <c r="AC121" s="28" t="n"/>
      <c r="AD121" s="15" t="n"/>
      <c r="AE121" s="15" t="n"/>
      <c r="AF121" s="28" t="n"/>
      <c r="AG121" s="15" t="n"/>
      <c r="AH121" s="15" t="n"/>
      <c r="AI121" s="28" t="n"/>
      <c r="AJ121" s="15" t="n"/>
      <c r="AK121" s="15" t="n"/>
      <c r="AL121" s="28" t="n"/>
      <c r="AM121" s="327" t="n"/>
      <c r="AN121" s="430" t="n"/>
      <c r="AO121" s="28" t="n"/>
      <c r="AP121" s="327" t="n"/>
      <c r="AQ121" s="430" t="n"/>
      <c r="AR121" s="28" t="n"/>
      <c r="AS121" s="327" t="n"/>
      <c r="AT121" s="430" t="n"/>
      <c r="AU121" s="28" t="n"/>
      <c r="AV121" s="327" t="n"/>
      <c r="AW121" s="430" t="n"/>
      <c r="AX121" s="28" t="n"/>
      <c r="AY121" s="15" t="n"/>
      <c r="AZ121" s="15" t="n"/>
      <c r="BA121" s="291" t="n"/>
      <c r="BB121" s="291" t="n"/>
      <c r="BC121" s="291" t="n"/>
      <c r="BD121" s="291" t="n"/>
      <c r="BE121" s="291" t="n"/>
      <c r="BF121" s="291" t="n"/>
      <c r="BG121" s="291" t="n"/>
      <c r="BH121" s="291" t="n"/>
      <c r="BI121" s="291" t="n"/>
      <c r="BJ121" s="291" t="n"/>
      <c r="BK121" s="288" t="n"/>
      <c r="BL121" s="291" t="n"/>
      <c r="BM121" s="291" t="n"/>
      <c r="BN121" s="291" t="n"/>
      <c r="BO121" s="291" t="n"/>
      <c r="BP121" s="291" t="n"/>
      <c r="BQ121" s="291" t="n"/>
      <c r="BR121" s="291" t="n"/>
      <c r="BS121" s="291" t="n"/>
      <c r="BT121" s="291" t="n"/>
      <c r="BU121" s="291" t="n"/>
      <c r="BV121" s="291" t="n"/>
      <c r="BW121" s="291" t="n"/>
      <c r="BX121" s="291" t="n"/>
      <c r="BY121" s="291" t="n"/>
      <c r="BZ121" s="291" t="n"/>
      <c r="CA121" s="291" t="n"/>
      <c r="CB121" s="291" t="n"/>
      <c r="CC121" s="291" t="n"/>
      <c r="CD121" s="291" t="n"/>
      <c r="CE121" s="291" t="n"/>
      <c r="CF121" s="291" t="n"/>
      <c r="CG121" s="291" t="n"/>
      <c r="CH121" s="291" t="n"/>
      <c r="CI121" s="291" t="n"/>
      <c r="CJ121" s="291" t="n"/>
      <c r="CK121" s="291" t="n"/>
      <c r="CL121" s="291" t="n"/>
      <c r="CM121" s="291" t="n"/>
      <c r="CN121" s="291" t="n"/>
      <c r="CW121" s="291" t="n"/>
      <c r="CX121" s="291" t="n"/>
      <c r="CY121" s="291" t="n"/>
      <c r="CZ121" s="291" t="n"/>
      <c r="DA121" s="291" t="n"/>
      <c r="DB121" s="291" t="n"/>
      <c r="DC121" s="291" t="n"/>
      <c r="DD121" s="291" t="n"/>
      <c r="DE121" s="311" t="n"/>
      <c r="DF121" s="311" t="n"/>
    </row>
    <row r="122" customFormat="1" s="40">
      <c r="A122" s="326" t="n"/>
      <c r="B122" s="285" t="n"/>
      <c r="C122" s="15" t="n"/>
      <c r="D122" s="15" t="n"/>
      <c r="E122" s="285" t="n"/>
      <c r="F122" s="15" t="n"/>
      <c r="G122" s="15" t="n"/>
      <c r="H122" s="285" t="n"/>
      <c r="I122" s="15" t="n"/>
      <c r="J122" s="15" t="n"/>
      <c r="K122" s="285" t="n"/>
      <c r="L122" s="15" t="n"/>
      <c r="M122" s="15" t="n"/>
      <c r="N122" s="285" t="n"/>
      <c r="O122" s="15" t="n"/>
      <c r="P122" s="15" t="n"/>
      <c r="Q122" s="285" t="n"/>
      <c r="R122" s="15" t="n"/>
      <c r="S122" s="15" t="n"/>
      <c r="T122" s="291" t="n"/>
      <c r="U122" s="15" t="n"/>
      <c r="V122" s="15" t="n"/>
      <c r="W122" s="291" t="n"/>
      <c r="X122" s="15" t="n"/>
      <c r="Y122" s="15" t="n"/>
      <c r="Z122" s="285" t="n"/>
      <c r="AA122" s="15" t="n"/>
      <c r="AB122" s="15" t="n"/>
      <c r="AC122" s="285" t="n"/>
      <c r="AD122" s="15" t="n"/>
      <c r="AE122" s="15" t="n"/>
      <c r="AF122" s="285" t="n"/>
      <c r="AG122" s="15" t="n"/>
      <c r="AH122" s="15" t="n"/>
      <c r="AI122" s="285" t="n"/>
      <c r="AJ122" s="15" t="n"/>
      <c r="AK122" s="15" t="n"/>
      <c r="AL122" s="285" t="n"/>
      <c r="AM122" s="327" t="n"/>
      <c r="AN122" s="430" t="n"/>
      <c r="AO122" s="285" t="n"/>
      <c r="AP122" s="327" t="n"/>
      <c r="AQ122" s="430" t="n"/>
      <c r="AR122" s="285" t="n"/>
      <c r="AS122" s="327" t="n"/>
      <c r="AT122" s="430" t="n"/>
      <c r="AU122" s="285" t="n"/>
      <c r="AV122" s="327" t="n"/>
      <c r="AW122" s="430" t="n"/>
      <c r="AX122" s="285" t="n"/>
      <c r="AY122" s="15" t="n"/>
      <c r="AZ122" s="15" t="n"/>
      <c r="BA122" s="291" t="n"/>
      <c r="BB122" s="291" t="n"/>
      <c r="BC122" s="291" t="n"/>
      <c r="BD122" s="291" t="n"/>
      <c r="BE122" s="291" t="n"/>
      <c r="BF122" s="291" t="n"/>
      <c r="BG122" s="291" t="n"/>
      <c r="BH122" s="291" t="n"/>
      <c r="BI122" s="291" t="n"/>
      <c r="BJ122" s="291" t="n"/>
      <c r="BK122" s="288" t="n"/>
      <c r="BL122" s="291" t="n"/>
      <c r="BM122" s="291" t="n"/>
      <c r="BN122" s="291" t="n"/>
      <c r="BO122" s="291" t="n"/>
      <c r="BP122" s="291" t="n"/>
      <c r="BQ122" s="291" t="n"/>
      <c r="BR122" s="291" t="n"/>
      <c r="BS122" s="291" t="n"/>
      <c r="BT122" s="291" t="n"/>
      <c r="BU122" s="291" t="n"/>
      <c r="BV122" s="291" t="n"/>
      <c r="BW122" s="291" t="n"/>
      <c r="BX122" s="291" t="n"/>
      <c r="BY122" s="291" t="n"/>
      <c r="BZ122" s="291" t="n"/>
      <c r="CA122" s="291" t="n"/>
      <c r="CB122" s="291" t="n"/>
      <c r="CC122" s="291" t="n"/>
      <c r="CD122" s="291" t="n"/>
      <c r="CE122" s="291" t="n"/>
      <c r="CF122" s="291" t="n"/>
      <c r="CG122" s="291" t="n"/>
      <c r="CH122" s="291" t="n"/>
      <c r="CI122" s="291" t="n"/>
      <c r="CJ122" s="291" t="n"/>
      <c r="CK122" s="291" t="n"/>
      <c r="CL122" s="291" t="n"/>
      <c r="CM122" s="291" t="n"/>
      <c r="CN122" s="291" t="n"/>
      <c r="CW122" s="291" t="n"/>
      <c r="CX122" s="291" t="n"/>
      <c r="CY122" s="291" t="n"/>
      <c r="CZ122" s="291" t="n"/>
      <c r="DA122" s="291" t="n"/>
      <c r="DB122" s="291" t="n"/>
      <c r="DC122" s="291" t="n"/>
      <c r="DD122" s="291" t="n"/>
      <c r="DE122" s="311" t="n"/>
      <c r="DF122" s="311" t="n"/>
    </row>
    <row r="123" customFormat="1" s="116">
      <c r="A123" s="326" t="n"/>
      <c r="B123" s="315" t="n"/>
      <c r="C123" s="15" t="n"/>
      <c r="D123" s="15" t="n"/>
      <c r="E123" s="315" t="n"/>
      <c r="F123" s="15" t="n"/>
      <c r="G123" s="15" t="n"/>
      <c r="H123" s="315" t="n"/>
      <c r="I123" s="15" t="n"/>
      <c r="J123" s="15" t="n"/>
      <c r="K123" s="315" t="n"/>
      <c r="L123" s="15" t="n"/>
      <c r="M123" s="15" t="n"/>
      <c r="N123" s="315" t="n"/>
      <c r="O123" s="15" t="n"/>
      <c r="P123" s="15" t="n"/>
      <c r="Q123" s="315" t="n"/>
      <c r="R123" s="15" t="n"/>
      <c r="S123" s="15" t="n"/>
      <c r="T123" s="291" t="n"/>
      <c r="U123" s="15" t="n"/>
      <c r="V123" s="15" t="n"/>
      <c r="W123" s="291" t="n"/>
      <c r="X123" s="15" t="n"/>
      <c r="Y123" s="15" t="n"/>
      <c r="Z123" s="315" t="n"/>
      <c r="AA123" s="15" t="n"/>
      <c r="AB123" s="15" t="n"/>
      <c r="AC123" s="315" t="n"/>
      <c r="AD123" s="15" t="n"/>
      <c r="AE123" s="15" t="n"/>
      <c r="AF123" s="315" t="n"/>
      <c r="AG123" s="15" t="n"/>
      <c r="AH123" s="15" t="n"/>
      <c r="AI123" s="315" t="n"/>
      <c r="AJ123" s="15" t="n"/>
      <c r="AK123" s="15" t="n"/>
      <c r="AL123" s="315" t="n"/>
      <c r="AM123" s="327" t="n"/>
      <c r="AN123" s="430" t="n"/>
      <c r="AO123" s="315" t="n"/>
      <c r="AP123" s="327" t="n"/>
      <c r="AQ123" s="430" t="n"/>
      <c r="AR123" s="315" t="n"/>
      <c r="AS123" s="327" t="n"/>
      <c r="AT123" s="430" t="n"/>
      <c r="AU123" s="315" t="n"/>
      <c r="AV123" s="327" t="n"/>
      <c r="AW123" s="430" t="n"/>
      <c r="AX123" s="315" t="n"/>
      <c r="AY123" s="15" t="n"/>
      <c r="AZ123" s="15" t="n"/>
      <c r="BA123" s="317" t="n"/>
      <c r="BB123" s="317" t="n"/>
      <c r="BC123" s="317" t="n"/>
      <c r="BD123" s="317" t="n"/>
      <c r="BE123" s="317" t="n"/>
      <c r="BF123" s="317" t="n"/>
      <c r="BG123" s="317" t="n"/>
      <c r="BH123" s="317" t="n"/>
      <c r="BI123" s="317" t="n"/>
      <c r="BJ123" s="317" t="n"/>
      <c r="BK123" s="318" t="n"/>
      <c r="BL123" s="317" t="n"/>
      <c r="BM123" s="317" t="n"/>
      <c r="BN123" s="317" t="n"/>
      <c r="BO123" s="317" t="n"/>
      <c r="BP123" s="317" t="n"/>
      <c r="BQ123" s="317" t="n"/>
      <c r="BR123" s="317" t="n"/>
      <c r="BS123" s="317" t="n"/>
      <c r="BT123" s="317" t="n"/>
      <c r="BU123" s="317" t="n"/>
      <c r="BV123" s="317" t="n"/>
      <c r="BW123" s="317" t="n"/>
      <c r="BX123" s="317" t="n"/>
      <c r="BY123" s="317" t="n"/>
      <c r="BZ123" s="317" t="n"/>
      <c r="CA123" s="317" t="n"/>
      <c r="CB123" s="317" t="n"/>
      <c r="CC123" s="317" t="n"/>
      <c r="CD123" s="317" t="n"/>
      <c r="CE123" s="317" t="n"/>
      <c r="CF123" s="317" t="n"/>
      <c r="CG123" s="317" t="n"/>
      <c r="CH123" s="317" t="n"/>
      <c r="CI123" s="317" t="n"/>
      <c r="CJ123" s="317" t="n"/>
      <c r="CK123" s="317" t="n"/>
      <c r="CL123" s="317" t="n"/>
      <c r="CM123" s="317" t="n"/>
      <c r="CN123" s="317" t="n"/>
      <c r="CW123" s="317" t="n"/>
      <c r="CX123" s="317" t="n"/>
      <c r="CY123" s="317" t="n"/>
      <c r="CZ123" s="317" t="n"/>
      <c r="DA123" s="317" t="n"/>
      <c r="DB123" s="317" t="n"/>
      <c r="DC123" s="317" t="n"/>
      <c r="DD123" s="317" t="n"/>
      <c r="DE123" s="319" t="n"/>
      <c r="DF123" s="319" t="n"/>
    </row>
    <row r="124" customFormat="1" s="40">
      <c r="A124" s="330" t="n"/>
      <c r="B124" s="320" t="n"/>
      <c r="C124" s="15" t="n"/>
      <c r="D124" s="15" t="n"/>
      <c r="E124" s="320" t="n"/>
      <c r="F124" s="15" t="n"/>
      <c r="G124" s="15" t="n"/>
      <c r="H124" s="320" t="n"/>
      <c r="I124" s="15" t="n"/>
      <c r="J124" s="15" t="n"/>
      <c r="K124" s="320" t="n"/>
      <c r="L124" s="15" t="n"/>
      <c r="M124" s="15" t="n"/>
      <c r="N124" s="320" t="n"/>
      <c r="O124" s="15" t="n"/>
      <c r="P124" s="15" t="n"/>
      <c r="Q124" s="320" t="n"/>
      <c r="R124" s="15" t="n"/>
      <c r="S124" s="15" t="n"/>
      <c r="T124" s="291" t="n"/>
      <c r="U124" s="15" t="n"/>
      <c r="V124" s="15" t="n"/>
      <c r="W124" s="291" t="n"/>
      <c r="X124" s="15" t="n"/>
      <c r="Y124" s="15" t="n"/>
      <c r="Z124" s="320" t="n"/>
      <c r="AA124" s="15" t="n"/>
      <c r="AB124" s="15" t="n"/>
      <c r="AC124" s="320" t="n"/>
      <c r="AD124" s="15" t="n"/>
      <c r="AE124" s="15" t="n"/>
      <c r="AF124" s="320" t="n"/>
      <c r="AG124" s="15" t="n"/>
      <c r="AH124" s="15" t="n"/>
      <c r="AI124" s="320" t="n"/>
      <c r="AJ124" s="15" t="n"/>
      <c r="AK124" s="15" t="n"/>
      <c r="AL124" s="320" t="n"/>
      <c r="AM124" s="327" t="n"/>
      <c r="AN124" s="31" t="n"/>
      <c r="AO124" s="320" t="n"/>
      <c r="AP124" s="327" t="n"/>
      <c r="AQ124" s="31" t="n"/>
      <c r="AR124" s="320" t="n"/>
      <c r="AS124" s="327" t="n"/>
      <c r="AT124" s="31" t="n"/>
      <c r="AU124" s="320" t="n"/>
      <c r="AV124" s="327" t="n"/>
      <c r="AW124" s="31" t="n"/>
      <c r="AX124" s="320" t="n"/>
      <c r="AY124" s="15" t="n"/>
      <c r="AZ124" s="15" t="n"/>
      <c r="BA124" s="291" t="n"/>
      <c r="BB124" s="291" t="n"/>
      <c r="BC124" s="291" t="n"/>
      <c r="BD124" s="291" t="n"/>
      <c r="BE124" s="291" t="n"/>
      <c r="BF124" s="291" t="n"/>
      <c r="BG124" s="291" t="n"/>
      <c r="BH124" s="291" t="n"/>
      <c r="BI124" s="291" t="n"/>
      <c r="BJ124" s="291" t="n"/>
      <c r="BK124" s="288" t="n"/>
      <c r="BL124" s="291" t="n"/>
      <c r="BM124" s="291" t="n"/>
      <c r="BN124" s="291" t="n"/>
      <c r="BO124" s="291" t="n"/>
      <c r="BP124" s="291" t="n"/>
      <c r="BQ124" s="291" t="n"/>
      <c r="BR124" s="291" t="n"/>
      <c r="BS124" s="291" t="n"/>
      <c r="BT124" s="291" t="n"/>
      <c r="BU124" s="291" t="n"/>
      <c r="BV124" s="291" t="n"/>
      <c r="BW124" s="291" t="n"/>
      <c r="BX124" s="291" t="n"/>
      <c r="BY124" s="291" t="n"/>
      <c r="BZ124" s="291" t="n"/>
      <c r="CA124" s="291" t="n"/>
      <c r="CB124" s="291" t="n"/>
      <c r="CC124" s="291" t="n"/>
      <c r="CD124" s="291" t="n"/>
      <c r="CE124" s="291" t="n"/>
      <c r="CF124" s="291" t="n"/>
      <c r="CG124" s="291" t="n"/>
      <c r="CH124" s="291" t="n"/>
      <c r="CI124" s="291" t="n"/>
      <c r="CJ124" s="291" t="n"/>
      <c r="CK124" s="291" t="n"/>
      <c r="CL124" s="291" t="n"/>
      <c r="CM124" s="291" t="n"/>
      <c r="CN124" s="291" t="n"/>
      <c r="CW124" s="291" t="n"/>
      <c r="CX124" s="291" t="n"/>
      <c r="CY124" s="291" t="n"/>
      <c r="CZ124" s="291" t="n"/>
      <c r="DA124" s="291" t="n"/>
      <c r="DB124" s="291" t="n"/>
      <c r="DC124" s="291" t="n"/>
      <c r="DD124" s="291" t="n"/>
      <c r="DE124" s="311" t="n"/>
      <c r="DF124" s="311" t="n"/>
    </row>
    <row r="125" customFormat="1" s="40">
      <c r="A125" s="326" t="n"/>
      <c r="B125" s="28" t="n"/>
      <c r="C125" s="15" t="n"/>
      <c r="D125" s="15" t="n"/>
      <c r="E125" s="28" t="n"/>
      <c r="F125" s="15" t="n"/>
      <c r="G125" s="15" t="n"/>
      <c r="H125" s="28" t="n"/>
      <c r="I125" s="15" t="n"/>
      <c r="J125" s="15" t="n"/>
      <c r="K125" s="28" t="n"/>
      <c r="L125" s="15" t="n"/>
      <c r="M125" s="15" t="n"/>
      <c r="N125" s="28" t="n"/>
      <c r="O125" s="15" t="n"/>
      <c r="P125" s="15" t="n"/>
      <c r="Q125" s="28" t="n"/>
      <c r="R125" s="15" t="n"/>
      <c r="S125" s="15" t="n"/>
      <c r="T125" s="291" t="n"/>
      <c r="U125" s="15" t="n"/>
      <c r="V125" s="15" t="n"/>
      <c r="W125" s="291" t="n"/>
      <c r="X125" s="15" t="n"/>
      <c r="Y125" s="15" t="n"/>
      <c r="Z125" s="28" t="n"/>
      <c r="AA125" s="15" t="n"/>
      <c r="AB125" s="15" t="n"/>
      <c r="AC125" s="28" t="n"/>
      <c r="AD125" s="15" t="n"/>
      <c r="AE125" s="15" t="n"/>
      <c r="AF125" s="28" t="n"/>
      <c r="AG125" s="15" t="n"/>
      <c r="AH125" s="15" t="n"/>
      <c r="AI125" s="28" t="n"/>
      <c r="AJ125" s="15" t="n"/>
      <c r="AK125" s="15" t="n"/>
      <c r="AL125" s="28" t="n"/>
      <c r="AM125" s="327" t="n"/>
      <c r="AN125" s="31" t="n"/>
      <c r="AO125" s="28" t="n"/>
      <c r="AP125" s="327" t="n"/>
      <c r="AQ125" s="31" t="n"/>
      <c r="AR125" s="28" t="n"/>
      <c r="AS125" s="327" t="n"/>
      <c r="AT125" s="31" t="n"/>
      <c r="AU125" s="28" t="n"/>
      <c r="AV125" s="327" t="n"/>
      <c r="AW125" s="31" t="n"/>
      <c r="AX125" s="28" t="n"/>
      <c r="AY125" s="15" t="n"/>
      <c r="AZ125" s="15" t="n"/>
      <c r="BA125" s="291" t="n"/>
      <c r="BB125" s="291" t="n"/>
      <c r="BC125" s="291" t="n"/>
      <c r="BD125" s="291" t="n"/>
      <c r="BE125" s="291" t="n"/>
      <c r="BF125" s="291" t="n"/>
      <c r="BG125" s="291" t="n"/>
      <c r="BH125" s="291" t="n"/>
      <c r="BI125" s="291" t="n"/>
      <c r="BJ125" s="291" t="n"/>
      <c r="BK125" s="288" t="n"/>
      <c r="BL125" s="291" t="n"/>
      <c r="BM125" s="291" t="n"/>
      <c r="BN125" s="291" t="n"/>
      <c r="BO125" s="291" t="n"/>
      <c r="BP125" s="291" t="n"/>
      <c r="BQ125" s="291" t="n"/>
      <c r="BR125" s="291" t="n"/>
      <c r="BS125" s="291" t="n"/>
      <c r="BT125" s="291" t="n"/>
      <c r="BU125" s="291" t="n"/>
      <c r="BV125" s="291" t="n"/>
      <c r="BW125" s="291" t="n"/>
      <c r="BX125" s="291" t="n"/>
      <c r="BY125" s="291" t="n"/>
      <c r="BZ125" s="291" t="n"/>
      <c r="CA125" s="291" t="n"/>
      <c r="CB125" s="291" t="n"/>
      <c r="CC125" s="291" t="n"/>
      <c r="CD125" s="291" t="n"/>
      <c r="CE125" s="291" t="n"/>
      <c r="CF125" s="291" t="n"/>
      <c r="CG125" s="291" t="n"/>
      <c r="CH125" s="291" t="n"/>
      <c r="CI125" s="291" t="n"/>
      <c r="CJ125" s="291" t="n"/>
      <c r="CK125" s="291" t="n"/>
      <c r="CL125" s="291" t="n"/>
      <c r="CM125" s="291" t="n"/>
      <c r="CN125" s="291" t="n"/>
      <c r="CW125" s="291" t="n"/>
      <c r="CX125" s="291" t="n"/>
      <c r="CY125" s="291" t="n"/>
      <c r="CZ125" s="291" t="n"/>
      <c r="DA125" s="291" t="n"/>
      <c r="DB125" s="291" t="n"/>
      <c r="DC125" s="291" t="n"/>
      <c r="DD125" s="291" t="n"/>
      <c r="DE125" s="311" t="n"/>
      <c r="DF125" s="311" t="n"/>
    </row>
    <row r="126" customFormat="1" s="40">
      <c r="A126" s="326" t="n"/>
      <c r="B126" s="28" t="n"/>
      <c r="C126" s="15" t="n"/>
      <c r="D126" s="15" t="n"/>
      <c r="E126" s="28" t="n"/>
      <c r="F126" s="15" t="n"/>
      <c r="G126" s="15" t="n"/>
      <c r="H126" s="28" t="n"/>
      <c r="I126" s="15" t="n"/>
      <c r="J126" s="15" t="n"/>
      <c r="K126" s="28" t="n"/>
      <c r="L126" s="15" t="n"/>
      <c r="M126" s="15" t="n"/>
      <c r="N126" s="28" t="n"/>
      <c r="O126" s="15" t="n"/>
      <c r="P126" s="15" t="n"/>
      <c r="Q126" s="28" t="n"/>
      <c r="R126" s="15" t="n"/>
      <c r="S126" s="15" t="n"/>
      <c r="T126" s="291" t="n"/>
      <c r="U126" s="15" t="n"/>
      <c r="V126" s="15" t="n"/>
      <c r="W126" s="291" t="n"/>
      <c r="X126" s="15" t="n"/>
      <c r="Y126" s="15" t="n"/>
      <c r="Z126" s="28" t="n"/>
      <c r="AA126" s="15" t="n"/>
      <c r="AB126" s="15" t="n"/>
      <c r="AC126" s="28" t="n"/>
      <c r="AD126" s="15" t="n"/>
      <c r="AE126" s="15" t="n"/>
      <c r="AF126" s="28" t="n"/>
      <c r="AG126" s="15" t="n"/>
      <c r="AH126" s="15" t="n"/>
      <c r="AI126" s="28" t="n"/>
      <c r="AJ126" s="15" t="n"/>
      <c r="AK126" s="15" t="n"/>
      <c r="AL126" s="28" t="n"/>
      <c r="AM126" s="327" t="n"/>
      <c r="AN126" s="31" t="n"/>
      <c r="AO126" s="28" t="n"/>
      <c r="AP126" s="327" t="n"/>
      <c r="AQ126" s="31" t="n"/>
      <c r="AR126" s="28" t="n"/>
      <c r="AS126" s="327" t="n"/>
      <c r="AT126" s="31" t="n"/>
      <c r="AU126" s="28" t="n"/>
      <c r="AV126" s="327" t="n"/>
      <c r="AW126" s="31" t="n"/>
      <c r="AX126" s="28" t="n"/>
      <c r="AY126" s="15" t="n"/>
      <c r="AZ126" s="15" t="n"/>
      <c r="BA126" s="291" t="n"/>
      <c r="BB126" s="291" t="n"/>
      <c r="BC126" s="291" t="n"/>
      <c r="BD126" s="291" t="n"/>
      <c r="BE126" s="291" t="n"/>
      <c r="BF126" s="291" t="n"/>
      <c r="BG126" s="291" t="n"/>
      <c r="BH126" s="291" t="n"/>
      <c r="BI126" s="291" t="n"/>
      <c r="BJ126" s="291" t="n"/>
      <c r="BK126" s="288" t="n"/>
      <c r="BL126" s="291" t="n"/>
      <c r="BM126" s="291" t="n"/>
      <c r="BN126" s="291" t="n"/>
      <c r="BO126" s="291" t="n"/>
      <c r="BP126" s="291" t="n"/>
      <c r="BQ126" s="291" t="n"/>
      <c r="BR126" s="291" t="n"/>
      <c r="BS126" s="291" t="n"/>
      <c r="BT126" s="291" t="n"/>
      <c r="BU126" s="291" t="n"/>
      <c r="BV126" s="291" t="n"/>
      <c r="BW126" s="291" t="n"/>
      <c r="BX126" s="291" t="n"/>
      <c r="BY126" s="291" t="n"/>
      <c r="BZ126" s="291" t="n"/>
      <c r="CA126" s="291" t="n"/>
      <c r="CB126" s="291" t="n"/>
      <c r="CC126" s="291" t="n"/>
      <c r="CD126" s="291" t="n"/>
      <c r="CE126" s="291" t="n"/>
      <c r="CF126" s="291" t="n"/>
      <c r="CG126" s="291" t="n"/>
      <c r="CH126" s="291" t="n"/>
      <c r="CI126" s="291" t="n"/>
      <c r="CJ126" s="291" t="n"/>
      <c r="CK126" s="291" t="n"/>
      <c r="CL126" s="291" t="n"/>
      <c r="CM126" s="291" t="n"/>
      <c r="CN126" s="291" t="n"/>
      <c r="CW126" s="291" t="n"/>
      <c r="CX126" s="291" t="n"/>
      <c r="CY126" s="291" t="n"/>
      <c r="CZ126" s="291" t="n"/>
      <c r="DA126" s="291" t="n"/>
      <c r="DB126" s="291" t="n"/>
      <c r="DC126" s="291" t="n"/>
      <c r="DD126" s="291" t="n"/>
      <c r="DE126" s="311" t="n"/>
      <c r="DF126" s="311" t="n"/>
    </row>
    <row r="127" customFormat="1" s="40">
      <c r="A127" s="326" t="n"/>
      <c r="B127" s="28" t="n"/>
      <c r="C127" s="15" t="n"/>
      <c r="D127" s="15" t="n"/>
      <c r="E127" s="28" t="n"/>
      <c r="F127" s="15" t="n"/>
      <c r="G127" s="15" t="n"/>
      <c r="H127" s="28" t="n"/>
      <c r="I127" s="15" t="n"/>
      <c r="J127" s="15" t="n"/>
      <c r="K127" s="28" t="n"/>
      <c r="L127" s="15" t="n"/>
      <c r="M127" s="15" t="n"/>
      <c r="N127" s="28" t="n"/>
      <c r="O127" s="15" t="n"/>
      <c r="P127" s="15" t="n"/>
      <c r="Q127" s="28" t="n"/>
      <c r="R127" s="15" t="n"/>
      <c r="S127" s="15" t="n"/>
      <c r="T127" s="291" t="n"/>
      <c r="U127" s="15" t="n"/>
      <c r="V127" s="15" t="n"/>
      <c r="W127" s="291" t="n"/>
      <c r="X127" s="15" t="n"/>
      <c r="Y127" s="15" t="n"/>
      <c r="Z127" s="28" t="n"/>
      <c r="AA127" s="15" t="n"/>
      <c r="AB127" s="15" t="n"/>
      <c r="AC127" s="28" t="n"/>
      <c r="AD127" s="15" t="n"/>
      <c r="AE127" s="15" t="n"/>
      <c r="AF127" s="28" t="n"/>
      <c r="AG127" s="15" t="n"/>
      <c r="AH127" s="15" t="n"/>
      <c r="AI127" s="28" t="n"/>
      <c r="AJ127" s="15" t="n"/>
      <c r="AK127" s="15" t="n"/>
      <c r="AL127" s="28" t="n"/>
      <c r="AM127" s="327" t="n"/>
      <c r="AN127" s="31" t="n"/>
      <c r="AO127" s="28" t="n"/>
      <c r="AP127" s="327" t="n"/>
      <c r="AQ127" s="31" t="n"/>
      <c r="AR127" s="28" t="n"/>
      <c r="AS127" s="327" t="n"/>
      <c r="AT127" s="31" t="n"/>
      <c r="AU127" s="28" t="n"/>
      <c r="AV127" s="327" t="n"/>
      <c r="AW127" s="31" t="n"/>
      <c r="AX127" s="28" t="n"/>
      <c r="AY127" s="15" t="n"/>
      <c r="AZ127" s="15" t="n"/>
      <c r="BA127" s="291" t="n"/>
      <c r="BB127" s="291" t="n"/>
      <c r="BC127" s="291" t="n"/>
      <c r="BD127" s="291" t="n"/>
      <c r="BE127" s="291" t="n"/>
      <c r="BF127" s="291" t="n"/>
      <c r="BG127" s="291" t="n"/>
      <c r="BH127" s="291" t="n"/>
      <c r="BI127" s="291" t="n"/>
      <c r="BJ127" s="291" t="n"/>
      <c r="BK127" s="288" t="n"/>
      <c r="BL127" s="291" t="n"/>
      <c r="BM127" s="291" t="n"/>
      <c r="BN127" s="291" t="n"/>
      <c r="BO127" s="291" t="n"/>
      <c r="BP127" s="291" t="n"/>
      <c r="BQ127" s="291" t="n"/>
      <c r="BR127" s="291" t="n"/>
      <c r="BS127" s="291" t="n"/>
      <c r="BT127" s="291" t="n"/>
      <c r="BU127" s="291" t="n"/>
      <c r="BV127" s="291" t="n"/>
      <c r="BW127" s="291" t="n"/>
      <c r="BX127" s="291" t="n"/>
      <c r="BY127" s="291" t="n"/>
      <c r="BZ127" s="291" t="n"/>
      <c r="CA127" s="291" t="n"/>
      <c r="CB127" s="291" t="n"/>
      <c r="CC127" s="291" t="n"/>
      <c r="CD127" s="291" t="n"/>
      <c r="CE127" s="291" t="n"/>
      <c r="CF127" s="291" t="n"/>
      <c r="CG127" s="291" t="n"/>
      <c r="CH127" s="291" t="n"/>
      <c r="CI127" s="291" t="n"/>
      <c r="CJ127" s="291" t="n"/>
      <c r="CK127" s="291" t="n"/>
      <c r="CL127" s="291" t="n"/>
      <c r="CM127" s="291" t="n"/>
      <c r="CN127" s="291" t="n"/>
      <c r="CW127" s="291" t="n"/>
      <c r="CX127" s="291" t="n"/>
      <c r="CY127" s="291" t="n"/>
      <c r="CZ127" s="291" t="n"/>
      <c r="DA127" s="291" t="n"/>
      <c r="DB127" s="291" t="n"/>
      <c r="DC127" s="291" t="n"/>
      <c r="DD127" s="291" t="n"/>
      <c r="DE127" s="311" t="n"/>
      <c r="DF127" s="311" t="n"/>
    </row>
    <row r="128" customFormat="1" s="40">
      <c r="A128" s="326" t="n"/>
      <c r="B128" s="28" t="n"/>
      <c r="C128" s="15" t="n"/>
      <c r="D128" s="15" t="n"/>
      <c r="E128" s="28" t="n"/>
      <c r="F128" s="15" t="n"/>
      <c r="G128" s="15" t="n"/>
      <c r="H128" s="28" t="n"/>
      <c r="I128" s="15" t="n"/>
      <c r="J128" s="15" t="n"/>
      <c r="K128" s="28" t="n"/>
      <c r="L128" s="15" t="n"/>
      <c r="M128" s="15" t="n"/>
      <c r="N128" s="28" t="n"/>
      <c r="O128" s="15" t="n"/>
      <c r="P128" s="15" t="n"/>
      <c r="Q128" s="28" t="n"/>
      <c r="R128" s="15" t="n"/>
      <c r="S128" s="15" t="n"/>
      <c r="T128" s="291" t="n"/>
      <c r="U128" s="15" t="n"/>
      <c r="V128" s="15" t="n"/>
      <c r="W128" s="291" t="n"/>
      <c r="X128" s="15" t="n"/>
      <c r="Y128" s="15" t="n"/>
      <c r="Z128" s="28" t="n"/>
      <c r="AA128" s="15" t="n"/>
      <c r="AB128" s="15" t="n"/>
      <c r="AC128" s="28" t="n"/>
      <c r="AD128" s="15" t="n"/>
      <c r="AE128" s="15" t="n"/>
      <c r="AF128" s="28" t="n"/>
      <c r="AG128" s="15" t="n"/>
      <c r="AH128" s="15" t="n"/>
      <c r="AI128" s="28" t="n"/>
      <c r="AJ128" s="15" t="n"/>
      <c r="AK128" s="15" t="n"/>
      <c r="AL128" s="28" t="n"/>
      <c r="AM128" s="327" t="n"/>
      <c r="AN128" s="31" t="n"/>
      <c r="AO128" s="28" t="n"/>
      <c r="AP128" s="327" t="n"/>
      <c r="AQ128" s="31" t="n"/>
      <c r="AR128" s="28" t="n"/>
      <c r="AS128" s="327" t="n"/>
      <c r="AT128" s="31" t="n"/>
      <c r="AU128" s="28" t="n"/>
      <c r="AV128" s="327" t="n"/>
      <c r="AW128" s="31" t="n"/>
      <c r="AX128" s="28" t="n"/>
      <c r="AY128" s="15" t="n"/>
      <c r="AZ128" s="15" t="n"/>
      <c r="BA128" s="291" t="n"/>
      <c r="BB128" s="291" t="n"/>
      <c r="BC128" s="291" t="n"/>
      <c r="BD128" s="291" t="n"/>
      <c r="BE128" s="291" t="n"/>
      <c r="BF128" s="291" t="n"/>
      <c r="BG128" s="291" t="n"/>
      <c r="BH128" s="291" t="n"/>
      <c r="BI128" s="291" t="n"/>
      <c r="BJ128" s="291" t="n"/>
      <c r="BK128" s="288" t="n"/>
      <c r="BL128" s="291" t="n"/>
      <c r="BM128" s="291" t="n"/>
      <c r="BN128" s="291" t="n"/>
      <c r="BO128" s="291" t="n"/>
      <c r="BP128" s="291" t="n"/>
      <c r="BQ128" s="291" t="n"/>
      <c r="BR128" s="291" t="n"/>
      <c r="BS128" s="291" t="n"/>
      <c r="BT128" s="291" t="n"/>
      <c r="BU128" s="291" t="n"/>
      <c r="BV128" s="291" t="n"/>
      <c r="BW128" s="291" t="n"/>
      <c r="BX128" s="291" t="n"/>
      <c r="BY128" s="291" t="n"/>
      <c r="BZ128" s="291" t="n"/>
      <c r="CA128" s="291" t="n"/>
      <c r="CB128" s="291" t="n"/>
      <c r="CC128" s="291" t="n"/>
      <c r="CD128" s="291" t="n"/>
      <c r="CE128" s="291" t="n"/>
      <c r="CF128" s="291" t="n"/>
      <c r="CG128" s="291" t="n"/>
      <c r="CH128" s="291" t="n"/>
      <c r="CI128" s="291" t="n"/>
      <c r="CJ128" s="291" t="n"/>
      <c r="CK128" s="291" t="n"/>
      <c r="CL128" s="291" t="n"/>
      <c r="CM128" s="291" t="n"/>
      <c r="CN128" s="291" t="n"/>
      <c r="CW128" s="291" t="n"/>
      <c r="CX128" s="291" t="n"/>
      <c r="CY128" s="291" t="n"/>
      <c r="CZ128" s="291" t="n"/>
      <c r="DA128" s="291" t="n"/>
      <c r="DB128" s="291" t="n"/>
      <c r="DC128" s="291" t="n"/>
      <c r="DD128" s="291" t="n"/>
      <c r="DE128" s="311" t="n"/>
      <c r="DF128" s="311" t="n"/>
    </row>
    <row r="129" customFormat="1" s="40">
      <c r="A129" s="326" t="n"/>
      <c r="B129" s="28" t="n"/>
      <c r="C129" s="15" t="n"/>
      <c r="D129" s="15" t="n"/>
      <c r="E129" s="28" t="n"/>
      <c r="F129" s="15" t="n"/>
      <c r="G129" s="15" t="n"/>
      <c r="H129" s="28" t="n"/>
      <c r="I129" s="15" t="n"/>
      <c r="J129" s="15" t="n"/>
      <c r="K129" s="28" t="n"/>
      <c r="L129" s="15" t="n"/>
      <c r="M129" s="15" t="n"/>
      <c r="N129" s="28" t="n"/>
      <c r="O129" s="15" t="n"/>
      <c r="P129" s="15" t="n"/>
      <c r="Q129" s="28" t="n"/>
      <c r="R129" s="15" t="n"/>
      <c r="S129" s="15" t="n"/>
      <c r="T129" s="291" t="n"/>
      <c r="U129" s="15" t="n"/>
      <c r="V129" s="15" t="n"/>
      <c r="W129" s="291" t="n"/>
      <c r="X129" s="15" t="n"/>
      <c r="Y129" s="15" t="n"/>
      <c r="Z129" s="28" t="n"/>
      <c r="AA129" s="15" t="n"/>
      <c r="AB129" s="15" t="n"/>
      <c r="AC129" s="28" t="n"/>
      <c r="AD129" s="15" t="n"/>
      <c r="AE129" s="15" t="n"/>
      <c r="AF129" s="28" t="n"/>
      <c r="AG129" s="15" t="n"/>
      <c r="AH129" s="15" t="n"/>
      <c r="AI129" s="28" t="n"/>
      <c r="AJ129" s="15" t="n"/>
      <c r="AK129" s="15" t="n"/>
      <c r="AL129" s="28" t="n"/>
      <c r="AM129" s="327" t="n"/>
      <c r="AN129" s="31" t="n"/>
      <c r="AO129" s="28" t="n"/>
      <c r="AP129" s="327" t="n"/>
      <c r="AQ129" s="31" t="n"/>
      <c r="AR129" s="28" t="n"/>
      <c r="AS129" s="327" t="n"/>
      <c r="AT129" s="31" t="n"/>
      <c r="AU129" s="28" t="n"/>
      <c r="AV129" s="327" t="n"/>
      <c r="AW129" s="31" t="n"/>
      <c r="AX129" s="28" t="n"/>
      <c r="AY129" s="15" t="n"/>
      <c r="AZ129" s="15" t="n"/>
      <c r="BA129" s="291" t="n"/>
      <c r="BB129" s="291" t="n"/>
      <c r="BC129" s="291" t="n"/>
      <c r="BD129" s="291" t="n"/>
      <c r="BE129" s="291" t="n"/>
      <c r="BF129" s="291" t="n"/>
      <c r="BG129" s="291" t="n"/>
      <c r="BH129" s="291" t="n"/>
      <c r="BI129" s="291" t="n"/>
      <c r="BJ129" s="291" t="n"/>
      <c r="BK129" s="288" t="n"/>
      <c r="BL129" s="291" t="n"/>
      <c r="BM129" s="291" t="n"/>
      <c r="BN129" s="291" t="n"/>
      <c r="BO129" s="291" t="n"/>
      <c r="BP129" s="291" t="n"/>
      <c r="BQ129" s="291" t="n"/>
      <c r="BR129" s="291" t="n"/>
      <c r="BS129" s="291" t="n"/>
      <c r="BT129" s="291" t="n"/>
      <c r="BU129" s="291" t="n"/>
      <c r="BV129" s="291" t="n"/>
      <c r="BW129" s="291" t="n"/>
      <c r="BX129" s="291" t="n"/>
      <c r="BY129" s="291" t="n"/>
      <c r="BZ129" s="291" t="n"/>
      <c r="CA129" s="291" t="n"/>
      <c r="CB129" s="291" t="n"/>
      <c r="CC129" s="291" t="n"/>
      <c r="CD129" s="291" t="n"/>
      <c r="CE129" s="291" t="n"/>
      <c r="CF129" s="291" t="n"/>
      <c r="CG129" s="291" t="n"/>
      <c r="CH129" s="291" t="n"/>
      <c r="CI129" s="291" t="n"/>
      <c r="CJ129" s="291" t="n"/>
      <c r="CK129" s="291" t="n"/>
      <c r="CL129" s="291" t="n"/>
      <c r="CM129" s="291" t="n"/>
      <c r="CN129" s="291" t="n"/>
      <c r="CW129" s="291" t="n"/>
      <c r="CX129" s="291" t="n"/>
      <c r="CY129" s="291" t="n"/>
      <c r="CZ129" s="291" t="n"/>
      <c r="DA129" s="291" t="n"/>
      <c r="DB129" s="291" t="n"/>
      <c r="DC129" s="291" t="n"/>
      <c r="DD129" s="291" t="n"/>
      <c r="DE129" s="311" t="n"/>
      <c r="DF129" s="311" t="n"/>
    </row>
    <row r="130" customFormat="1" s="62">
      <c r="A130" s="331" t="n"/>
      <c r="B130" s="28" t="n"/>
      <c r="C130" s="15" t="n"/>
      <c r="D130" s="15" t="n"/>
      <c r="E130" s="28" t="n"/>
      <c r="F130" s="15" t="n"/>
      <c r="G130" s="15" t="n"/>
      <c r="H130" s="28" t="n"/>
      <c r="I130" s="15" t="n"/>
      <c r="J130" s="15" t="n"/>
      <c r="K130" s="28" t="n"/>
      <c r="L130" s="15" t="n"/>
      <c r="M130" s="15" t="n"/>
      <c r="N130" s="28" t="n"/>
      <c r="O130" s="15" t="n"/>
      <c r="P130" s="15" t="n"/>
      <c r="Q130" s="28" t="n"/>
      <c r="R130" s="15" t="n"/>
      <c r="S130" s="15" t="n"/>
      <c r="T130" s="291" t="n"/>
      <c r="U130" s="15" t="n"/>
      <c r="V130" s="15" t="n"/>
      <c r="W130" s="291" t="n"/>
      <c r="X130" s="15" t="n"/>
      <c r="Y130" s="15" t="n"/>
      <c r="Z130" s="28" t="n"/>
      <c r="AA130" s="15" t="n"/>
      <c r="AB130" s="15" t="n"/>
      <c r="AC130" s="28" t="n"/>
      <c r="AD130" s="15" t="n"/>
      <c r="AE130" s="15" t="n"/>
      <c r="AF130" s="28" t="n"/>
      <c r="AG130" s="15" t="n"/>
      <c r="AH130" s="15" t="n"/>
      <c r="AI130" s="28" t="n"/>
      <c r="AJ130" s="15" t="n"/>
      <c r="AK130" s="15" t="n"/>
      <c r="AL130" s="28" t="n"/>
      <c r="AM130" s="327" t="n"/>
      <c r="AN130" s="327" t="n"/>
      <c r="AO130" s="28" t="n"/>
      <c r="AP130" s="327" t="n"/>
      <c r="AQ130" s="327" t="n"/>
      <c r="AR130" s="28" t="n"/>
      <c r="AS130" s="327" t="n"/>
      <c r="AT130" s="327" t="n"/>
      <c r="AU130" s="28" t="n"/>
      <c r="AV130" s="327" t="n"/>
      <c r="AW130" s="327" t="n"/>
      <c r="AX130" s="28" t="n"/>
      <c r="AY130" s="15" t="n"/>
      <c r="AZ130" s="15" t="n"/>
      <c r="BA130" s="324" t="n"/>
      <c r="BB130" s="324" t="n"/>
      <c r="BC130" s="324" t="n"/>
      <c r="BD130" s="324" t="n"/>
      <c r="BE130" s="324" t="n"/>
      <c r="BF130" s="324" t="n"/>
      <c r="BG130" s="324" t="n"/>
      <c r="BH130" s="324" t="n"/>
      <c r="BI130" s="324" t="n"/>
      <c r="BJ130" s="324" t="n"/>
      <c r="BK130" s="288" t="n"/>
      <c r="BL130" s="324" t="n"/>
      <c r="BM130" s="324" t="n"/>
      <c r="BN130" s="324" t="n"/>
      <c r="BO130" s="324" t="n"/>
      <c r="BP130" s="324" t="n"/>
      <c r="BQ130" s="324" t="n"/>
      <c r="BR130" s="324" t="n"/>
      <c r="BS130" s="324" t="n"/>
      <c r="BT130" s="324" t="n"/>
      <c r="BU130" s="324" t="n"/>
      <c r="BV130" s="324" t="n"/>
      <c r="BW130" s="324" t="n"/>
      <c r="BX130" s="324" t="n"/>
      <c r="BY130" s="324" t="n"/>
      <c r="BZ130" s="324" t="n"/>
      <c r="CA130" s="324" t="n"/>
      <c r="CB130" s="324" t="n"/>
      <c r="CC130" s="324" t="n"/>
      <c r="CD130" s="324" t="n"/>
      <c r="CE130" s="324" t="n"/>
      <c r="CF130" s="324" t="n"/>
      <c r="CG130" s="324" t="n"/>
      <c r="CH130" s="324" t="n"/>
      <c r="CI130" s="324" t="n"/>
      <c r="CJ130" s="324" t="n"/>
      <c r="CK130" s="324" t="n"/>
      <c r="CL130" s="324" t="n"/>
      <c r="CM130" s="324" t="n"/>
      <c r="CN130" s="324" t="n"/>
      <c r="CW130" s="324" t="n"/>
      <c r="CX130" s="324" t="n"/>
      <c r="CY130" s="324" t="n"/>
      <c r="CZ130" s="324" t="n"/>
      <c r="DA130" s="324" t="n"/>
      <c r="DB130" s="324" t="n"/>
      <c r="DC130" s="324" t="n"/>
      <c r="DD130" s="324" t="n"/>
      <c r="DE130" s="325" t="n"/>
      <c r="DF130" s="325" t="n"/>
    </row>
    <row r="131" customFormat="1" s="62">
      <c r="A131" s="326" t="n"/>
      <c r="B131" s="28" t="n"/>
      <c r="C131" s="15" t="n"/>
      <c r="D131" s="15" t="n"/>
      <c r="E131" s="28" t="n"/>
      <c r="F131" s="15" t="n"/>
      <c r="G131" s="15" t="n"/>
      <c r="H131" s="28" t="n"/>
      <c r="I131" s="15" t="n"/>
      <c r="J131" s="15" t="n"/>
      <c r="K131" s="28" t="n"/>
      <c r="L131" s="15" t="n"/>
      <c r="M131" s="15" t="n"/>
      <c r="N131" s="28" t="n"/>
      <c r="O131" s="15" t="n"/>
      <c r="P131" s="15" t="n"/>
      <c r="Q131" s="28" t="n"/>
      <c r="R131" s="15" t="n"/>
      <c r="S131" s="15" t="n"/>
      <c r="T131" s="291" t="n"/>
      <c r="U131" s="15" t="n"/>
      <c r="V131" s="15" t="n"/>
      <c r="W131" s="291" t="n"/>
      <c r="X131" s="15" t="n"/>
      <c r="Y131" s="15" t="n"/>
      <c r="Z131" s="28" t="n"/>
      <c r="AA131" s="15" t="n"/>
      <c r="AB131" s="15" t="n"/>
      <c r="AC131" s="28" t="n"/>
      <c r="AD131" s="15" t="n"/>
      <c r="AE131" s="15" t="n"/>
      <c r="AF131" s="28" t="n"/>
      <c r="AG131" s="15" t="n"/>
      <c r="AH131" s="15" t="n"/>
      <c r="AI131" s="28" t="n"/>
      <c r="AJ131" s="15" t="n"/>
      <c r="AK131" s="15" t="n"/>
      <c r="AL131" s="28" t="n"/>
      <c r="AM131" s="327" t="n"/>
      <c r="AN131" s="327" t="n"/>
      <c r="AO131" s="28" t="n"/>
      <c r="AP131" s="327" t="n"/>
      <c r="AQ131" s="327" t="n"/>
      <c r="AR131" s="28" t="n"/>
      <c r="AS131" s="327" t="n"/>
      <c r="AT131" s="327" t="n"/>
      <c r="AU131" s="28" t="n"/>
      <c r="AV131" s="327" t="n"/>
      <c r="AW131" s="327" t="n"/>
      <c r="AX131" s="28" t="n"/>
      <c r="AY131" s="15" t="n"/>
      <c r="AZ131" s="15" t="n"/>
      <c r="BA131" s="324" t="n"/>
      <c r="BB131" s="324" t="n"/>
      <c r="BC131" s="324" t="n"/>
      <c r="BD131" s="324" t="n"/>
      <c r="BE131" s="324" t="n"/>
      <c r="BF131" s="324" t="n"/>
      <c r="BG131" s="324" t="n"/>
      <c r="BH131" s="324" t="n"/>
      <c r="BI131" s="324" t="n"/>
      <c r="BJ131" s="324" t="n"/>
      <c r="BK131" s="288" t="n"/>
      <c r="BL131" s="324" t="n"/>
      <c r="BM131" s="324" t="n"/>
      <c r="BN131" s="324" t="n"/>
      <c r="BO131" s="324" t="n"/>
      <c r="BP131" s="324" t="n"/>
      <c r="BQ131" s="324" t="n"/>
      <c r="BR131" s="324" t="n"/>
      <c r="BS131" s="324" t="n"/>
      <c r="BT131" s="324" t="n"/>
      <c r="BU131" s="324" t="n"/>
      <c r="BV131" s="324" t="n"/>
      <c r="BW131" s="324" t="n"/>
      <c r="BX131" s="324" t="n"/>
      <c r="BY131" s="324" t="n"/>
      <c r="BZ131" s="324" t="n"/>
      <c r="CA131" s="324" t="n"/>
      <c r="CB131" s="324" t="n"/>
      <c r="CC131" s="324" t="n"/>
      <c r="CD131" s="324" t="n"/>
      <c r="CE131" s="324" t="n"/>
      <c r="CF131" s="324" t="n"/>
      <c r="CG131" s="324" t="n"/>
      <c r="CH131" s="324" t="n"/>
      <c r="CI131" s="324" t="n"/>
      <c r="CJ131" s="324" t="n"/>
      <c r="CK131" s="324" t="n"/>
      <c r="CL131" s="324" t="n"/>
      <c r="CM131" s="324" t="n"/>
      <c r="CN131" s="324" t="n"/>
      <c r="CW131" s="324" t="n"/>
      <c r="CX131" s="324" t="n"/>
      <c r="CY131" s="324" t="n"/>
      <c r="CZ131" s="324" t="n"/>
      <c r="DA131" s="324" t="n"/>
      <c r="DB131" s="324" t="n"/>
      <c r="DC131" s="324" t="n"/>
      <c r="DD131" s="324" t="n"/>
      <c r="DE131" s="325" t="n"/>
      <c r="DF131" s="325" t="n"/>
    </row>
    <row r="132" customFormat="1" s="62">
      <c r="A132" s="326" t="n"/>
      <c r="B132" s="28" t="n"/>
      <c r="C132" s="15" t="n"/>
      <c r="D132" s="15" t="n"/>
      <c r="E132" s="28" t="n"/>
      <c r="F132" s="15" t="n"/>
      <c r="G132" s="15" t="n"/>
      <c r="H132" s="28" t="n"/>
      <c r="I132" s="15" t="n"/>
      <c r="J132" s="15" t="n"/>
      <c r="K132" s="28" t="n"/>
      <c r="L132" s="15" t="n"/>
      <c r="M132" s="15" t="n"/>
      <c r="N132" s="28" t="n"/>
      <c r="O132" s="15" t="n"/>
      <c r="P132" s="15" t="n"/>
      <c r="Q132" s="28" t="n"/>
      <c r="R132" s="15" t="n"/>
      <c r="S132" s="15" t="n"/>
      <c r="T132" s="291" t="n"/>
      <c r="U132" s="15" t="n"/>
      <c r="V132" s="15" t="n"/>
      <c r="W132" s="291" t="n"/>
      <c r="X132" s="15" t="n"/>
      <c r="Y132" s="15" t="n"/>
      <c r="Z132" s="28" t="n"/>
      <c r="AA132" s="15" t="n"/>
      <c r="AB132" s="15" t="n"/>
      <c r="AC132" s="28" t="n"/>
      <c r="AD132" s="15" t="n"/>
      <c r="AE132" s="15" t="n"/>
      <c r="AF132" s="28" t="n"/>
      <c r="AG132" s="15" t="n"/>
      <c r="AH132" s="15" t="n"/>
      <c r="AI132" s="28" t="n"/>
      <c r="AJ132" s="15" t="n"/>
      <c r="AK132" s="15" t="n"/>
      <c r="AL132" s="28" t="n"/>
      <c r="AM132" s="327" t="n"/>
      <c r="AN132" s="327" t="n"/>
      <c r="AO132" s="28" t="n"/>
      <c r="AP132" s="327" t="n"/>
      <c r="AQ132" s="327" t="n"/>
      <c r="AR132" s="28" t="n"/>
      <c r="AS132" s="327" t="n"/>
      <c r="AT132" s="327" t="n"/>
      <c r="AU132" s="28" t="n"/>
      <c r="AV132" s="327" t="n"/>
      <c r="AW132" s="327" t="n"/>
      <c r="AX132" s="28" t="n"/>
      <c r="AY132" s="15" t="n"/>
      <c r="AZ132" s="15" t="n"/>
      <c r="BA132" s="324" t="n"/>
      <c r="BB132" s="324" t="n"/>
      <c r="BC132" s="324" t="n"/>
      <c r="BD132" s="324" t="n"/>
      <c r="BE132" s="324" t="n"/>
      <c r="BF132" s="324" t="n"/>
      <c r="BG132" s="324" t="n"/>
      <c r="BH132" s="324" t="n"/>
      <c r="BI132" s="324" t="n"/>
      <c r="BJ132" s="324" t="n"/>
      <c r="BK132" s="288" t="n"/>
      <c r="BL132" s="324" t="n"/>
      <c r="BM132" s="324" t="n"/>
      <c r="BN132" s="324" t="n"/>
      <c r="BO132" s="324" t="n"/>
      <c r="BP132" s="324" t="n"/>
      <c r="BQ132" s="324" t="n"/>
      <c r="BR132" s="324" t="n"/>
      <c r="BS132" s="324" t="n"/>
      <c r="BT132" s="324" t="n"/>
      <c r="BU132" s="324" t="n"/>
      <c r="BV132" s="324" t="n"/>
      <c r="BW132" s="324" t="n"/>
      <c r="BX132" s="324" t="n"/>
      <c r="BY132" s="324" t="n"/>
      <c r="BZ132" s="324" t="n"/>
      <c r="CA132" s="324" t="n"/>
      <c r="CB132" s="324" t="n"/>
      <c r="CC132" s="324" t="n"/>
      <c r="CD132" s="324" t="n"/>
      <c r="CE132" s="324" t="n"/>
      <c r="CF132" s="324" t="n"/>
      <c r="CG132" s="324" t="n"/>
      <c r="CH132" s="324" t="n"/>
      <c r="CI132" s="324" t="n"/>
      <c r="CJ132" s="324" t="n"/>
      <c r="CK132" s="324" t="n"/>
      <c r="CL132" s="324" t="n"/>
      <c r="CM132" s="324" t="n"/>
      <c r="CN132" s="324" t="n"/>
      <c r="CW132" s="324" t="n"/>
      <c r="CX132" s="324" t="n"/>
      <c r="CY132" s="324" t="n"/>
      <c r="CZ132" s="324" t="n"/>
      <c r="DA132" s="324" t="n"/>
      <c r="DB132" s="324" t="n"/>
      <c r="DC132" s="324" t="n"/>
      <c r="DD132" s="324" t="n"/>
      <c r="DE132" s="325" t="n"/>
      <c r="DF132" s="325" t="n"/>
    </row>
    <row r="133" customFormat="1" s="62">
      <c r="A133" s="326" t="n"/>
      <c r="B133" s="28" t="n"/>
      <c r="C133" s="15" t="n"/>
      <c r="D133" s="15" t="n"/>
      <c r="E133" s="28" t="n"/>
      <c r="F133" s="15" t="n"/>
      <c r="G133" s="15" t="n"/>
      <c r="H133" s="28" t="n"/>
      <c r="I133" s="15" t="n"/>
      <c r="J133" s="15" t="n"/>
      <c r="K133" s="28" t="n"/>
      <c r="L133" s="15" t="n"/>
      <c r="M133" s="15" t="n"/>
      <c r="N133" s="28" t="n"/>
      <c r="O133" s="15" t="n"/>
      <c r="P133" s="15" t="n"/>
      <c r="Q133" s="28" t="n"/>
      <c r="R133" s="15" t="n"/>
      <c r="S133" s="15" t="n"/>
      <c r="T133" s="291" t="n"/>
      <c r="U133" s="15" t="n"/>
      <c r="V133" s="15" t="n"/>
      <c r="W133" s="291" t="n"/>
      <c r="X133" s="15" t="n"/>
      <c r="Y133" s="15" t="n"/>
      <c r="Z133" s="28" t="n"/>
      <c r="AA133" s="15" t="n"/>
      <c r="AB133" s="15" t="n"/>
      <c r="AC133" s="28" t="n"/>
      <c r="AD133" s="15" t="n"/>
      <c r="AE133" s="15" t="n"/>
      <c r="AF133" s="28" t="n"/>
      <c r="AG133" s="15" t="n"/>
      <c r="AH133" s="15" t="n"/>
      <c r="AI133" s="28" t="n"/>
      <c r="AJ133" s="15" t="n"/>
      <c r="AK133" s="15" t="n"/>
      <c r="AL133" s="28" t="n"/>
      <c r="AM133" s="327" t="n"/>
      <c r="AN133" s="327" t="n"/>
      <c r="AO133" s="28" t="n"/>
      <c r="AP133" s="327" t="n"/>
      <c r="AQ133" s="327" t="n"/>
      <c r="AR133" s="28" t="n"/>
      <c r="AS133" s="327" t="n"/>
      <c r="AT133" s="327" t="n"/>
      <c r="AU133" s="28" t="n"/>
      <c r="AV133" s="327" t="n"/>
      <c r="AW133" s="327" t="n"/>
      <c r="AX133" s="28" t="n"/>
      <c r="AY133" s="15" t="n"/>
      <c r="AZ133" s="15" t="n"/>
      <c r="BA133" s="324" t="n"/>
      <c r="BB133" s="324" t="n"/>
      <c r="BC133" s="324" t="n"/>
      <c r="BD133" s="324" t="n"/>
      <c r="BE133" s="324" t="n"/>
      <c r="BF133" s="324" t="n"/>
      <c r="BG133" s="324" t="n"/>
      <c r="BH133" s="324" t="n"/>
      <c r="BI133" s="324" t="n"/>
      <c r="BJ133" s="324" t="n"/>
      <c r="BK133" s="288" t="n"/>
      <c r="BL133" s="324" t="n"/>
      <c r="BM133" s="324" t="n"/>
      <c r="BN133" s="324" t="n"/>
      <c r="BO133" s="324" t="n"/>
      <c r="BP133" s="324" t="n"/>
      <c r="BQ133" s="324" t="n"/>
      <c r="BR133" s="324" t="n"/>
      <c r="BS133" s="324" t="n"/>
      <c r="BT133" s="324" t="n"/>
      <c r="BU133" s="324" t="n"/>
      <c r="BV133" s="324" t="n"/>
      <c r="BW133" s="324" t="n"/>
      <c r="BX133" s="324" t="n"/>
      <c r="BY133" s="324" t="n"/>
      <c r="BZ133" s="324" t="n"/>
      <c r="CA133" s="324" t="n"/>
      <c r="CB133" s="324" t="n"/>
      <c r="CC133" s="324" t="n"/>
      <c r="CD133" s="324" t="n"/>
      <c r="CE133" s="324" t="n"/>
      <c r="CF133" s="324" t="n"/>
      <c r="CG133" s="324" t="n"/>
      <c r="CH133" s="324" t="n"/>
      <c r="CI133" s="324" t="n"/>
      <c r="CJ133" s="324" t="n"/>
      <c r="CK133" s="324" t="n"/>
      <c r="CL133" s="324" t="n"/>
      <c r="CM133" s="324" t="n"/>
      <c r="CN133" s="324" t="n"/>
      <c r="CW133" s="324" t="n"/>
      <c r="CX133" s="324" t="n"/>
      <c r="CY133" s="324" t="n"/>
      <c r="CZ133" s="324" t="n"/>
      <c r="DA133" s="324" t="n"/>
      <c r="DB133" s="324" t="n"/>
      <c r="DC133" s="324" t="n"/>
      <c r="DD133" s="324" t="n"/>
      <c r="DE133" s="325" t="n"/>
      <c r="DF133" s="325" t="n"/>
    </row>
    <row r="134" customFormat="1" s="62">
      <c r="A134" s="326" t="n"/>
      <c r="B134" s="28" t="n"/>
      <c r="C134" s="15" t="n"/>
      <c r="D134" s="15" t="n"/>
      <c r="E134" s="28" t="n"/>
      <c r="F134" s="15" t="n"/>
      <c r="G134" s="15" t="n"/>
      <c r="H134" s="28" t="n"/>
      <c r="I134" s="15" t="n"/>
      <c r="J134" s="15" t="n"/>
      <c r="K134" s="28" t="n"/>
      <c r="L134" s="15" t="n"/>
      <c r="M134" s="15" t="n"/>
      <c r="N134" s="28" t="n"/>
      <c r="O134" s="15" t="n"/>
      <c r="P134" s="15" t="n"/>
      <c r="Q134" s="28" t="n"/>
      <c r="R134" s="15" t="n"/>
      <c r="S134" s="15" t="n"/>
      <c r="T134" s="291" t="n"/>
      <c r="U134" s="15" t="n"/>
      <c r="V134" s="15" t="n"/>
      <c r="W134" s="291" t="n"/>
      <c r="X134" s="15" t="n"/>
      <c r="Y134" s="15" t="n"/>
      <c r="Z134" s="28" t="n"/>
      <c r="AA134" s="15" t="n"/>
      <c r="AB134" s="15" t="n"/>
      <c r="AC134" s="28" t="n"/>
      <c r="AD134" s="15" t="n"/>
      <c r="AE134" s="15" t="n"/>
      <c r="AF134" s="28" t="n"/>
      <c r="AG134" s="15" t="n"/>
      <c r="AH134" s="15" t="n"/>
      <c r="AI134" s="28" t="n"/>
      <c r="AJ134" s="15" t="n"/>
      <c r="AK134" s="15" t="n"/>
      <c r="AL134" s="28" t="n"/>
      <c r="AM134" s="327" t="n"/>
      <c r="AN134" s="327" t="n"/>
      <c r="AO134" s="28" t="n"/>
      <c r="AP134" s="327" t="n"/>
      <c r="AQ134" s="327" t="n"/>
      <c r="AR134" s="28" t="n"/>
      <c r="AS134" s="327" t="n"/>
      <c r="AT134" s="327" t="n"/>
      <c r="AU134" s="28" t="n"/>
      <c r="AV134" s="327" t="n"/>
      <c r="AW134" s="327" t="n"/>
      <c r="AX134" s="28" t="n"/>
      <c r="AY134" s="15" t="n"/>
      <c r="AZ134" s="15" t="n"/>
      <c r="BA134" s="324" t="n"/>
      <c r="BB134" s="324" t="n"/>
      <c r="BC134" s="324" t="n"/>
      <c r="BD134" s="324" t="n"/>
      <c r="BE134" s="324" t="n"/>
      <c r="BF134" s="324" t="n"/>
      <c r="BG134" s="324" t="n"/>
      <c r="BH134" s="324" t="n"/>
      <c r="BI134" s="324" t="n"/>
      <c r="BJ134" s="324" t="n"/>
      <c r="BK134" s="288" t="n"/>
      <c r="BL134" s="324" t="n"/>
      <c r="BM134" s="324" t="n"/>
      <c r="BN134" s="324" t="n"/>
      <c r="BO134" s="324" t="n"/>
      <c r="BP134" s="324" t="n"/>
      <c r="BQ134" s="324" t="n"/>
      <c r="BR134" s="324" t="n"/>
      <c r="BS134" s="324" t="n"/>
      <c r="BT134" s="324" t="n"/>
      <c r="BU134" s="324" t="n"/>
      <c r="BV134" s="324" t="n"/>
      <c r="BW134" s="324" t="n"/>
      <c r="BX134" s="324" t="n"/>
      <c r="BY134" s="324" t="n"/>
      <c r="BZ134" s="324" t="n"/>
      <c r="CA134" s="324" t="n"/>
      <c r="CB134" s="324" t="n"/>
      <c r="CC134" s="324" t="n"/>
      <c r="CD134" s="324" t="n"/>
      <c r="CE134" s="324" t="n"/>
      <c r="CF134" s="324" t="n"/>
      <c r="CG134" s="324" t="n"/>
      <c r="CH134" s="324" t="n"/>
      <c r="CI134" s="324" t="n"/>
      <c r="CJ134" s="324" t="n"/>
      <c r="CK134" s="324" t="n"/>
      <c r="CL134" s="324" t="n"/>
      <c r="CM134" s="324" t="n"/>
      <c r="CN134" s="324" t="n"/>
      <c r="CW134" s="324" t="n"/>
      <c r="CX134" s="324" t="n"/>
      <c r="CY134" s="324" t="n"/>
      <c r="CZ134" s="324" t="n"/>
      <c r="DA134" s="324" t="n"/>
      <c r="DB134" s="324" t="n"/>
      <c r="DC134" s="324" t="n"/>
      <c r="DD134" s="324" t="n"/>
      <c r="DE134" s="325" t="n"/>
      <c r="DF134" s="325" t="n"/>
    </row>
    <row r="135" customFormat="1" s="62">
      <c r="A135" s="326" t="n"/>
      <c r="B135" s="28" t="n"/>
      <c r="C135" s="15" t="n"/>
      <c r="D135" s="15" t="n"/>
      <c r="E135" s="28" t="n"/>
      <c r="F135" s="15" t="n"/>
      <c r="G135" s="15" t="n"/>
      <c r="H135" s="28" t="n"/>
      <c r="I135" s="15" t="n"/>
      <c r="J135" s="15" t="n"/>
      <c r="K135" s="28" t="n"/>
      <c r="L135" s="15" t="n"/>
      <c r="M135" s="15" t="n"/>
      <c r="N135" s="28" t="n"/>
      <c r="O135" s="15" t="n"/>
      <c r="P135" s="15" t="n"/>
      <c r="Q135" s="28" t="n"/>
      <c r="R135" s="15" t="n"/>
      <c r="S135" s="15" t="n"/>
      <c r="T135" s="291" t="n"/>
      <c r="U135" s="15" t="n"/>
      <c r="V135" s="15" t="n"/>
      <c r="W135" s="291" t="n"/>
      <c r="X135" s="15" t="n"/>
      <c r="Y135" s="15" t="n"/>
      <c r="Z135" s="28" t="n"/>
      <c r="AA135" s="15" t="n"/>
      <c r="AB135" s="15" t="n"/>
      <c r="AC135" s="28" t="n"/>
      <c r="AD135" s="15" t="n"/>
      <c r="AE135" s="15" t="n"/>
      <c r="AF135" s="28" t="n"/>
      <c r="AG135" s="15" t="n"/>
      <c r="AH135" s="15" t="n"/>
      <c r="AI135" s="28" t="n"/>
      <c r="AJ135" s="15" t="n"/>
      <c r="AK135" s="15" t="n"/>
      <c r="AL135" s="28" t="n"/>
      <c r="AM135" s="327" t="n"/>
      <c r="AN135" s="327" t="n"/>
      <c r="AO135" s="28" t="n"/>
      <c r="AP135" s="327" t="n"/>
      <c r="AQ135" s="327" t="n"/>
      <c r="AR135" s="28" t="n"/>
      <c r="AS135" s="327" t="n"/>
      <c r="AT135" s="327" t="n"/>
      <c r="AU135" s="28" t="n"/>
      <c r="AV135" s="327" t="n"/>
      <c r="AW135" s="327" t="n"/>
      <c r="AX135" s="28" t="n"/>
      <c r="AY135" s="15" t="n"/>
      <c r="AZ135" s="15" t="n"/>
      <c r="BA135" s="324" t="n"/>
      <c r="BB135" s="324" t="n"/>
      <c r="BC135" s="324" t="n"/>
      <c r="BD135" s="324" t="n"/>
      <c r="BE135" s="324" t="n"/>
      <c r="BF135" s="324" t="n"/>
      <c r="BG135" s="324" t="n"/>
      <c r="BH135" s="324" t="n"/>
      <c r="BI135" s="324" t="n"/>
      <c r="BJ135" s="324" t="n"/>
      <c r="BK135" s="288" t="n"/>
      <c r="BL135" s="324" t="n"/>
      <c r="BM135" s="324" t="n"/>
      <c r="BN135" s="324" t="n"/>
      <c r="BO135" s="324" t="n"/>
      <c r="BP135" s="324" t="n"/>
      <c r="BQ135" s="324" t="n"/>
      <c r="BR135" s="324" t="n"/>
      <c r="BS135" s="324" t="n"/>
      <c r="BT135" s="324" t="n"/>
      <c r="BU135" s="324" t="n"/>
      <c r="BV135" s="324" t="n"/>
      <c r="BW135" s="324" t="n"/>
      <c r="BX135" s="324" t="n"/>
      <c r="BY135" s="324" t="n"/>
      <c r="BZ135" s="324" t="n"/>
      <c r="CA135" s="324" t="n"/>
      <c r="CB135" s="324" t="n"/>
      <c r="CC135" s="324" t="n"/>
      <c r="CD135" s="324" t="n"/>
      <c r="CE135" s="324" t="n"/>
      <c r="CF135" s="324" t="n"/>
      <c r="CG135" s="324" t="n"/>
      <c r="CH135" s="324" t="n"/>
      <c r="CI135" s="324" t="n"/>
      <c r="CJ135" s="324" t="n"/>
      <c r="CK135" s="324" t="n"/>
      <c r="CL135" s="324" t="n"/>
      <c r="CM135" s="324" t="n"/>
      <c r="CN135" s="324" t="n"/>
      <c r="CW135" s="324" t="n"/>
      <c r="CX135" s="324" t="n"/>
      <c r="CY135" s="324" t="n"/>
      <c r="CZ135" s="324" t="n"/>
      <c r="DA135" s="324" t="n"/>
      <c r="DB135" s="324" t="n"/>
      <c r="DC135" s="324" t="n"/>
      <c r="DD135" s="324" t="n"/>
      <c r="DE135" s="325" t="n"/>
      <c r="DF135" s="325" t="n"/>
    </row>
    <row r="136" customFormat="1" s="62">
      <c r="A136" s="330" t="n"/>
      <c r="B136" s="28" t="n"/>
      <c r="C136" s="15" t="n"/>
      <c r="D136" s="15" t="n"/>
      <c r="E136" s="28" t="n"/>
      <c r="F136" s="15" t="n"/>
      <c r="G136" s="15" t="n"/>
      <c r="H136" s="28" t="n"/>
      <c r="I136" s="15" t="n"/>
      <c r="J136" s="15" t="n"/>
      <c r="K136" s="28" t="n"/>
      <c r="L136" s="15" t="n"/>
      <c r="M136" s="15" t="n"/>
      <c r="N136" s="28" t="n"/>
      <c r="O136" s="15" t="n"/>
      <c r="P136" s="15" t="n"/>
      <c r="Q136" s="28" t="n"/>
      <c r="R136" s="15" t="n"/>
      <c r="S136" s="15" t="n"/>
      <c r="T136" s="291" t="n"/>
      <c r="U136" s="15" t="n"/>
      <c r="V136" s="15" t="n"/>
      <c r="W136" s="291" t="n"/>
      <c r="X136" s="15" t="n"/>
      <c r="Y136" s="15" t="n"/>
      <c r="Z136" s="28" t="n"/>
      <c r="AA136" s="15" t="n"/>
      <c r="AB136" s="15" t="n"/>
      <c r="AC136" s="28" t="n"/>
      <c r="AD136" s="15" t="n"/>
      <c r="AE136" s="15" t="n"/>
      <c r="AF136" s="28" t="n"/>
      <c r="AG136" s="15" t="n"/>
      <c r="AH136" s="15" t="n"/>
      <c r="AI136" s="28" t="n"/>
      <c r="AJ136" s="15" t="n"/>
      <c r="AK136" s="15" t="n"/>
      <c r="AL136" s="28" t="n"/>
      <c r="AM136" s="327" t="n"/>
      <c r="AN136" s="327" t="n"/>
      <c r="AO136" s="28" t="n"/>
      <c r="AP136" s="327" t="n"/>
      <c r="AQ136" s="327" t="n"/>
      <c r="AR136" s="28" t="n"/>
      <c r="AS136" s="327" t="n"/>
      <c r="AT136" s="327" t="n"/>
      <c r="AU136" s="28" t="n"/>
      <c r="AV136" s="327" t="n"/>
      <c r="AW136" s="327" t="n"/>
      <c r="AX136" s="28" t="n"/>
      <c r="AY136" s="15" t="n"/>
      <c r="AZ136" s="15" t="n"/>
      <c r="BA136" s="324" t="n"/>
      <c r="BB136" s="324" t="n"/>
      <c r="BC136" s="324" t="n"/>
      <c r="BD136" s="324" t="n"/>
      <c r="BE136" s="324" t="n"/>
      <c r="BF136" s="324" t="n"/>
      <c r="BG136" s="324" t="n"/>
      <c r="BH136" s="324" t="n"/>
      <c r="BI136" s="324" t="n"/>
      <c r="BJ136" s="324" t="n"/>
      <c r="BK136" s="288" t="n"/>
      <c r="BL136" s="324" t="n"/>
      <c r="BM136" s="324" t="n"/>
      <c r="BN136" s="324" t="n"/>
      <c r="BO136" s="324" t="n"/>
      <c r="BP136" s="324" t="n"/>
      <c r="BQ136" s="324" t="n"/>
      <c r="BR136" s="324" t="n"/>
      <c r="BS136" s="324" t="n"/>
      <c r="BT136" s="324" t="n"/>
      <c r="BU136" s="324" t="n"/>
      <c r="BV136" s="324" t="n"/>
      <c r="BW136" s="324" t="n"/>
      <c r="BX136" s="324" t="n"/>
      <c r="BY136" s="324" t="n"/>
      <c r="BZ136" s="324" t="n"/>
      <c r="CA136" s="324" t="n"/>
      <c r="CB136" s="324" t="n"/>
      <c r="CC136" s="324" t="n"/>
      <c r="CD136" s="324" t="n"/>
      <c r="CE136" s="324" t="n"/>
      <c r="CF136" s="324" t="n"/>
      <c r="CG136" s="324" t="n"/>
      <c r="CH136" s="324" t="n"/>
      <c r="CI136" s="324" t="n"/>
      <c r="CJ136" s="324" t="n"/>
      <c r="CK136" s="324" t="n"/>
      <c r="CL136" s="324" t="n"/>
      <c r="CM136" s="324" t="n"/>
      <c r="CN136" s="324" t="n"/>
      <c r="CW136" s="324" t="n"/>
      <c r="CX136" s="324" t="n"/>
      <c r="CY136" s="324" t="n"/>
      <c r="CZ136" s="324" t="n"/>
      <c r="DA136" s="324" t="n"/>
      <c r="DB136" s="324" t="n"/>
      <c r="DC136" s="324" t="n"/>
      <c r="DD136" s="324" t="n"/>
      <c r="DE136" s="325" t="n"/>
      <c r="DF136" s="325" t="n"/>
    </row>
    <row r="137" customFormat="1" s="62">
      <c r="A137" s="326" t="n"/>
      <c r="B137" s="28" t="n"/>
      <c r="C137" s="15" t="n"/>
      <c r="D137" s="15" t="n"/>
      <c r="E137" s="28" t="n"/>
      <c r="F137" s="15" t="n"/>
      <c r="G137" s="15" t="n"/>
      <c r="H137" s="28" t="n"/>
      <c r="I137" s="15" t="n"/>
      <c r="J137" s="15" t="n"/>
      <c r="K137" s="28" t="n"/>
      <c r="L137" s="15" t="n"/>
      <c r="M137" s="15" t="n"/>
      <c r="N137" s="28" t="n"/>
      <c r="O137" s="15" t="n"/>
      <c r="P137" s="15" t="n"/>
      <c r="Q137" s="28" t="n"/>
      <c r="R137" s="15" t="n"/>
      <c r="S137" s="15" t="n"/>
      <c r="T137" s="291" t="n"/>
      <c r="U137" s="15" t="n"/>
      <c r="V137" s="15" t="n"/>
      <c r="W137" s="291" t="n"/>
      <c r="X137" s="15" t="n"/>
      <c r="Y137" s="15" t="n"/>
      <c r="Z137" s="28" t="n"/>
      <c r="AA137" s="15" t="n"/>
      <c r="AB137" s="15" t="n"/>
      <c r="AC137" s="28" t="n"/>
      <c r="AD137" s="15" t="n"/>
      <c r="AE137" s="15" t="n"/>
      <c r="AF137" s="28" t="n"/>
      <c r="AG137" s="15" t="n"/>
      <c r="AH137" s="15" t="n"/>
      <c r="AI137" s="28" t="n"/>
      <c r="AJ137" s="15" t="n"/>
      <c r="AK137" s="15" t="n"/>
      <c r="AL137" s="28" t="n"/>
      <c r="AM137" s="327" t="n"/>
      <c r="AN137" s="327" t="n"/>
      <c r="AO137" s="28" t="n"/>
      <c r="AP137" s="327" t="n"/>
      <c r="AQ137" s="327" t="n"/>
      <c r="AR137" s="28" t="n"/>
      <c r="AS137" s="327" t="n"/>
      <c r="AT137" s="327" t="n"/>
      <c r="AU137" s="28" t="n"/>
      <c r="AV137" s="327" t="n"/>
      <c r="AW137" s="327" t="n"/>
      <c r="AX137" s="28" t="n"/>
      <c r="AY137" s="15" t="n"/>
      <c r="AZ137" s="15" t="n"/>
      <c r="BA137" s="324" t="n"/>
      <c r="BB137" s="324" t="n"/>
      <c r="BC137" s="324" t="n"/>
      <c r="BD137" s="324" t="n"/>
      <c r="BE137" s="324" t="n"/>
      <c r="BF137" s="324" t="n"/>
      <c r="BG137" s="324" t="n"/>
      <c r="BH137" s="324" t="n"/>
      <c r="BI137" s="324" t="n"/>
      <c r="BJ137" s="324" t="n"/>
      <c r="BK137" s="288" t="n"/>
      <c r="BL137" s="324" t="n"/>
      <c r="BM137" s="324" t="n"/>
      <c r="BN137" s="324" t="n"/>
      <c r="BO137" s="324" t="n"/>
      <c r="BP137" s="324" t="n"/>
      <c r="BQ137" s="324" t="n"/>
      <c r="BR137" s="324" t="n"/>
      <c r="BS137" s="324" t="n"/>
      <c r="BT137" s="324" t="n"/>
      <c r="BU137" s="324" t="n"/>
      <c r="BV137" s="324" t="n"/>
      <c r="BW137" s="324" t="n"/>
      <c r="BX137" s="324" t="n"/>
      <c r="BY137" s="324" t="n"/>
      <c r="BZ137" s="324" t="n"/>
      <c r="CA137" s="324" t="n"/>
      <c r="CB137" s="324" t="n"/>
      <c r="CC137" s="324" t="n"/>
      <c r="CD137" s="324" t="n"/>
      <c r="CE137" s="324" t="n"/>
      <c r="CF137" s="324" t="n"/>
      <c r="CG137" s="324" t="n"/>
      <c r="CH137" s="324" t="n"/>
      <c r="CI137" s="324" t="n"/>
      <c r="CJ137" s="324" t="n"/>
      <c r="CK137" s="324" t="n"/>
      <c r="CL137" s="324" t="n"/>
      <c r="CM137" s="324" t="n"/>
      <c r="CN137" s="324" t="n"/>
      <c r="CW137" s="324" t="n"/>
      <c r="CX137" s="324" t="n"/>
      <c r="CY137" s="324" t="n"/>
      <c r="CZ137" s="324" t="n"/>
      <c r="DA137" s="324" t="n"/>
      <c r="DB137" s="324" t="n"/>
      <c r="DC137" s="324" t="n"/>
      <c r="DD137" s="324" t="n"/>
      <c r="DE137" s="325" t="n"/>
      <c r="DF137" s="325" t="n"/>
    </row>
    <row r="138" customFormat="1" s="62">
      <c r="A138" s="326" t="n"/>
      <c r="B138" s="28" t="n"/>
      <c r="C138" s="15" t="n"/>
      <c r="D138" s="15" t="n"/>
      <c r="E138" s="28" t="n"/>
      <c r="F138" s="15" t="n"/>
      <c r="G138" s="15" t="n"/>
      <c r="H138" s="28" t="n"/>
      <c r="I138" s="15" t="n"/>
      <c r="J138" s="15" t="n"/>
      <c r="K138" s="28" t="n"/>
      <c r="L138" s="15" t="n"/>
      <c r="M138" s="15" t="n"/>
      <c r="N138" s="28" t="n"/>
      <c r="O138" s="15" t="n"/>
      <c r="P138" s="15" t="n"/>
      <c r="Q138" s="28" t="n"/>
      <c r="R138" s="15" t="n"/>
      <c r="S138" s="15" t="n"/>
      <c r="T138" s="291" t="n"/>
      <c r="U138" s="15" t="n"/>
      <c r="V138" s="15" t="n"/>
      <c r="W138" s="291" t="n"/>
      <c r="X138" s="15" t="n"/>
      <c r="Y138" s="15" t="n"/>
      <c r="Z138" s="28" t="n"/>
      <c r="AA138" s="15" t="n"/>
      <c r="AB138" s="15" t="n"/>
      <c r="AC138" s="28" t="n"/>
      <c r="AD138" s="15" t="n"/>
      <c r="AE138" s="15" t="n"/>
      <c r="AF138" s="28" t="n"/>
      <c r="AG138" s="15" t="n"/>
      <c r="AH138" s="15" t="n"/>
      <c r="AI138" s="28" t="n"/>
      <c r="AJ138" s="15" t="n"/>
      <c r="AK138" s="15" t="n"/>
      <c r="AL138" s="28" t="n"/>
      <c r="AM138" s="327" t="n"/>
      <c r="AN138" s="327" t="n"/>
      <c r="AO138" s="28" t="n"/>
      <c r="AP138" s="327" t="n"/>
      <c r="AQ138" s="327" t="n"/>
      <c r="AR138" s="28" t="n"/>
      <c r="AS138" s="327" t="n"/>
      <c r="AT138" s="327" t="n"/>
      <c r="AU138" s="28" t="n"/>
      <c r="AV138" s="327" t="n"/>
      <c r="AW138" s="327" t="n"/>
      <c r="AX138" s="28" t="n"/>
      <c r="AY138" s="15" t="n"/>
      <c r="AZ138" s="15" t="n"/>
      <c r="BA138" s="324" t="n"/>
      <c r="BB138" s="324" t="n"/>
      <c r="BC138" s="324" t="n"/>
      <c r="BD138" s="324" t="n"/>
      <c r="BE138" s="324" t="n"/>
      <c r="BF138" s="324" t="n"/>
      <c r="BG138" s="324" t="n"/>
      <c r="BH138" s="324" t="n"/>
      <c r="BI138" s="324" t="n"/>
      <c r="BJ138" s="324" t="n"/>
      <c r="BK138" s="288" t="n"/>
      <c r="BL138" s="324" t="n"/>
      <c r="BM138" s="324" t="n"/>
      <c r="BN138" s="324" t="n"/>
      <c r="BO138" s="324" t="n"/>
      <c r="BP138" s="324" t="n"/>
      <c r="BQ138" s="324" t="n"/>
      <c r="BR138" s="324" t="n"/>
      <c r="BS138" s="324" t="n"/>
      <c r="BT138" s="324" t="n"/>
      <c r="BU138" s="324" t="n"/>
      <c r="BV138" s="324" t="n"/>
      <c r="BW138" s="324" t="n"/>
      <c r="BX138" s="324" t="n"/>
      <c r="BY138" s="324" t="n"/>
      <c r="BZ138" s="324" t="n"/>
      <c r="CA138" s="324" t="n"/>
      <c r="CB138" s="324" t="n"/>
      <c r="CC138" s="324" t="n"/>
      <c r="CD138" s="324" t="n"/>
      <c r="CE138" s="324" t="n"/>
      <c r="CF138" s="324" t="n"/>
      <c r="CG138" s="324" t="n"/>
      <c r="CH138" s="324" t="n"/>
      <c r="CI138" s="324" t="n"/>
      <c r="CJ138" s="324" t="n"/>
      <c r="CK138" s="324" t="n"/>
      <c r="CL138" s="324" t="n"/>
      <c r="CM138" s="324" t="n"/>
      <c r="CN138" s="324" t="n"/>
      <c r="CW138" s="324" t="n"/>
      <c r="CX138" s="324" t="n"/>
      <c r="CY138" s="324" t="n"/>
      <c r="CZ138" s="324" t="n"/>
      <c r="DA138" s="324" t="n"/>
      <c r="DB138" s="324" t="n"/>
      <c r="DC138" s="324" t="n"/>
      <c r="DD138" s="324" t="n"/>
      <c r="DE138" s="325" t="n"/>
      <c r="DF138" s="325" t="n"/>
    </row>
    <row r="139" customFormat="1" s="62">
      <c r="A139" s="326" t="n"/>
      <c r="B139" s="28" t="n"/>
      <c r="C139" s="15" t="n"/>
      <c r="D139" s="15" t="n"/>
      <c r="E139" s="28" t="n"/>
      <c r="F139" s="15" t="n"/>
      <c r="G139" s="15" t="n"/>
      <c r="H139" s="28" t="n"/>
      <c r="I139" s="15" t="n"/>
      <c r="J139" s="15" t="n"/>
      <c r="K139" s="28" t="n"/>
      <c r="L139" s="15" t="n"/>
      <c r="M139" s="15" t="n"/>
      <c r="N139" s="28" t="n"/>
      <c r="O139" s="15" t="n"/>
      <c r="P139" s="15" t="n"/>
      <c r="Q139" s="28" t="n"/>
      <c r="R139" s="15" t="n"/>
      <c r="S139" s="15" t="n"/>
      <c r="T139" s="291" t="n"/>
      <c r="U139" s="15" t="n"/>
      <c r="V139" s="15" t="n"/>
      <c r="W139" s="291" t="n"/>
      <c r="X139" s="15" t="n"/>
      <c r="Y139" s="15" t="n"/>
      <c r="Z139" s="28" t="n"/>
      <c r="AA139" s="15" t="n"/>
      <c r="AB139" s="15" t="n"/>
      <c r="AC139" s="28" t="n"/>
      <c r="AD139" s="15" t="n"/>
      <c r="AE139" s="15" t="n"/>
      <c r="AF139" s="28" t="n"/>
      <c r="AG139" s="15" t="n"/>
      <c r="AH139" s="15" t="n"/>
      <c r="AI139" s="28" t="n"/>
      <c r="AJ139" s="15" t="n"/>
      <c r="AK139" s="15" t="n"/>
      <c r="AL139" s="28" t="n"/>
      <c r="AM139" s="327" t="n"/>
      <c r="AN139" s="327" t="n"/>
      <c r="AO139" s="28" t="n"/>
      <c r="AP139" s="327" t="n"/>
      <c r="AQ139" s="327" t="n"/>
      <c r="AR139" s="28" t="n"/>
      <c r="AS139" s="327" t="n"/>
      <c r="AT139" s="327" t="n"/>
      <c r="AU139" s="28" t="n"/>
      <c r="AV139" s="327" t="n"/>
      <c r="AW139" s="327" t="n"/>
      <c r="AX139" s="28" t="n"/>
      <c r="AY139" s="15" t="n"/>
      <c r="AZ139" s="15" t="n"/>
      <c r="BA139" s="324" t="n"/>
      <c r="BB139" s="324" t="n"/>
      <c r="BC139" s="324" t="n"/>
      <c r="BD139" s="324" t="n"/>
      <c r="BE139" s="324" t="n"/>
      <c r="BF139" s="324" t="n"/>
      <c r="BG139" s="324" t="n"/>
      <c r="BH139" s="324" t="n"/>
      <c r="BI139" s="324" t="n"/>
      <c r="BJ139" s="324" t="n"/>
      <c r="BK139" s="288" t="n"/>
      <c r="BL139" s="324" t="n"/>
      <c r="BM139" s="324" t="n"/>
      <c r="BN139" s="324" t="n"/>
      <c r="BO139" s="324" t="n"/>
      <c r="BP139" s="324" t="n"/>
      <c r="BQ139" s="324" t="n"/>
      <c r="BR139" s="324" t="n"/>
      <c r="BS139" s="324" t="n"/>
      <c r="BT139" s="324" t="n"/>
      <c r="BU139" s="324" t="n"/>
      <c r="BV139" s="324" t="n"/>
      <c r="BW139" s="324" t="n"/>
      <c r="BX139" s="324" t="n"/>
      <c r="BY139" s="324" t="n"/>
      <c r="BZ139" s="324" t="n"/>
      <c r="CA139" s="324" t="n"/>
      <c r="CB139" s="324" t="n"/>
      <c r="CC139" s="324" t="n"/>
      <c r="CD139" s="324" t="n"/>
      <c r="CE139" s="324" t="n"/>
      <c r="CF139" s="324" t="n"/>
      <c r="CG139" s="324" t="n"/>
      <c r="CH139" s="324" t="n"/>
      <c r="CI139" s="324" t="n"/>
      <c r="CJ139" s="324" t="n"/>
      <c r="CK139" s="324" t="n"/>
      <c r="CL139" s="324" t="n"/>
      <c r="CM139" s="324" t="n"/>
      <c r="CN139" s="324" t="n"/>
      <c r="CW139" s="324" t="n"/>
      <c r="CX139" s="324" t="n"/>
      <c r="CY139" s="324" t="n"/>
      <c r="CZ139" s="324" t="n"/>
      <c r="DA139" s="324" t="n"/>
      <c r="DB139" s="324" t="n"/>
      <c r="DC139" s="324" t="n"/>
      <c r="DD139" s="324" t="n"/>
      <c r="DE139" s="325" t="n"/>
      <c r="DF139" s="325" t="n"/>
    </row>
    <row r="140" customFormat="1" s="62">
      <c r="A140" s="326" t="n"/>
      <c r="B140" s="28" t="n"/>
      <c r="C140" s="15" t="n"/>
      <c r="D140" s="15" t="n"/>
      <c r="E140" s="28" t="n"/>
      <c r="F140" s="15" t="n"/>
      <c r="G140" s="15" t="n"/>
      <c r="H140" s="28" t="n"/>
      <c r="I140" s="15" t="n"/>
      <c r="J140" s="15" t="n"/>
      <c r="K140" s="28" t="n"/>
      <c r="L140" s="15" t="n"/>
      <c r="M140" s="15" t="n"/>
      <c r="N140" s="28" t="n"/>
      <c r="O140" s="15" t="n"/>
      <c r="P140" s="15" t="n"/>
      <c r="Q140" s="28" t="n"/>
      <c r="R140" s="15" t="n"/>
      <c r="S140" s="15" t="n"/>
      <c r="T140" s="291" t="n"/>
      <c r="U140" s="15" t="n"/>
      <c r="V140" s="15" t="n"/>
      <c r="W140" s="291" t="n"/>
      <c r="X140" s="15" t="n"/>
      <c r="Y140" s="15" t="n"/>
      <c r="Z140" s="28" t="n"/>
      <c r="AA140" s="15" t="n"/>
      <c r="AB140" s="15" t="n"/>
      <c r="AC140" s="28" t="n"/>
      <c r="AD140" s="15" t="n"/>
      <c r="AE140" s="15" t="n"/>
      <c r="AF140" s="28" t="n"/>
      <c r="AG140" s="15" t="n"/>
      <c r="AH140" s="15" t="n"/>
      <c r="AI140" s="28" t="n"/>
      <c r="AJ140" s="15" t="n"/>
      <c r="AK140" s="15" t="n"/>
      <c r="AL140" s="28" t="n"/>
      <c r="AM140" s="327" t="n"/>
      <c r="AN140" s="327" t="n"/>
      <c r="AO140" s="28" t="n"/>
      <c r="AP140" s="327" t="n"/>
      <c r="AQ140" s="327" t="n"/>
      <c r="AR140" s="28" t="n"/>
      <c r="AS140" s="327" t="n"/>
      <c r="AT140" s="327" t="n"/>
      <c r="AU140" s="28" t="n"/>
      <c r="AV140" s="327" t="n"/>
      <c r="AW140" s="327" t="n"/>
      <c r="AX140" s="28" t="n"/>
      <c r="AY140" s="15" t="n"/>
      <c r="AZ140" s="15" t="n"/>
      <c r="BA140" s="324" t="n"/>
      <c r="BB140" s="324" t="n"/>
      <c r="BC140" s="324" t="n"/>
      <c r="BD140" s="324" t="n"/>
      <c r="BE140" s="324" t="n"/>
      <c r="BF140" s="324" t="n"/>
      <c r="BG140" s="324" t="n"/>
      <c r="BH140" s="324" t="n"/>
      <c r="BI140" s="324" t="n"/>
      <c r="BJ140" s="324" t="n"/>
      <c r="BK140" s="288" t="n"/>
      <c r="BL140" s="324" t="n"/>
      <c r="BM140" s="324" t="n"/>
      <c r="BN140" s="324" t="n"/>
      <c r="BO140" s="324" t="n"/>
      <c r="BP140" s="324" t="n"/>
      <c r="BQ140" s="324" t="n"/>
      <c r="BR140" s="324" t="n"/>
      <c r="BS140" s="324" t="n"/>
      <c r="BT140" s="324" t="n"/>
      <c r="BU140" s="324" t="n"/>
      <c r="BV140" s="324" t="n"/>
      <c r="BW140" s="324" t="n"/>
      <c r="BX140" s="324" t="n"/>
      <c r="BY140" s="324" t="n"/>
      <c r="BZ140" s="324" t="n"/>
      <c r="CA140" s="324" t="n"/>
      <c r="CB140" s="324" t="n"/>
      <c r="CC140" s="324" t="n"/>
      <c r="CD140" s="324" t="n"/>
      <c r="CE140" s="324" t="n"/>
      <c r="CF140" s="324" t="n"/>
      <c r="CG140" s="324" t="n"/>
      <c r="CH140" s="324" t="n"/>
      <c r="CI140" s="324" t="n"/>
      <c r="CJ140" s="324" t="n"/>
      <c r="CK140" s="324" t="n"/>
      <c r="CL140" s="324" t="n"/>
      <c r="CM140" s="324" t="n"/>
      <c r="CN140" s="324" t="n"/>
      <c r="CW140" s="324" t="n"/>
      <c r="CX140" s="324" t="n"/>
      <c r="CY140" s="324" t="n"/>
      <c r="CZ140" s="324" t="n"/>
      <c r="DA140" s="324" t="n"/>
      <c r="DB140" s="324" t="n"/>
      <c r="DC140" s="324" t="n"/>
      <c r="DD140" s="324" t="n"/>
      <c r="DE140" s="325" t="n"/>
      <c r="DF140" s="325" t="n"/>
    </row>
    <row r="141" customFormat="1" s="62">
      <c r="A141" s="326" t="n"/>
      <c r="B141" s="28" t="n"/>
      <c r="C141" s="15" t="n"/>
      <c r="D141" s="15" t="n"/>
      <c r="E141" s="28" t="n"/>
      <c r="F141" s="15" t="n"/>
      <c r="G141" s="15" t="n"/>
      <c r="H141" s="28" t="n"/>
      <c r="I141" s="15" t="n"/>
      <c r="J141" s="15" t="n"/>
      <c r="K141" s="28" t="n"/>
      <c r="L141" s="15" t="n"/>
      <c r="M141" s="15" t="n"/>
      <c r="N141" s="28" t="n"/>
      <c r="O141" s="15" t="n"/>
      <c r="P141" s="15" t="n"/>
      <c r="Q141" s="28" t="n"/>
      <c r="R141" s="15" t="n"/>
      <c r="S141" s="15" t="n"/>
      <c r="T141" s="291" t="n"/>
      <c r="U141" s="15" t="n"/>
      <c r="V141" s="15" t="n"/>
      <c r="W141" s="291" t="n"/>
      <c r="X141" s="15" t="n"/>
      <c r="Y141" s="15" t="n"/>
      <c r="Z141" s="28" t="n"/>
      <c r="AA141" s="15" t="n"/>
      <c r="AB141" s="15" t="n"/>
      <c r="AC141" s="28" t="n"/>
      <c r="AD141" s="15" t="n"/>
      <c r="AE141" s="15" t="n"/>
      <c r="AF141" s="28" t="n"/>
      <c r="AG141" s="15" t="n"/>
      <c r="AH141" s="15" t="n"/>
      <c r="AI141" s="28" t="n"/>
      <c r="AJ141" s="15" t="n"/>
      <c r="AK141" s="15" t="n"/>
      <c r="AL141" s="28" t="n"/>
      <c r="AM141" s="327" t="n"/>
      <c r="AN141" s="327" t="n"/>
      <c r="AO141" s="28" t="n"/>
      <c r="AP141" s="327" t="n"/>
      <c r="AQ141" s="327" t="n"/>
      <c r="AR141" s="28" t="n"/>
      <c r="AS141" s="327" t="n"/>
      <c r="AT141" s="327" t="n"/>
      <c r="AU141" s="28" t="n"/>
      <c r="AV141" s="327" t="n"/>
      <c r="AW141" s="327" t="n"/>
      <c r="AX141" s="28" t="n"/>
      <c r="AY141" s="15" t="n"/>
      <c r="AZ141" s="15" t="n"/>
      <c r="BA141" s="324" t="n"/>
      <c r="BB141" s="324" t="n"/>
      <c r="BC141" s="324" t="n"/>
      <c r="BD141" s="324" t="n"/>
      <c r="BE141" s="324" t="n"/>
      <c r="BF141" s="324" t="n"/>
      <c r="BG141" s="324" t="n"/>
      <c r="BH141" s="324" t="n"/>
      <c r="BI141" s="324" t="n"/>
      <c r="BJ141" s="324" t="n"/>
      <c r="BK141" s="288" t="n"/>
      <c r="BL141" s="324" t="n"/>
      <c r="BM141" s="324" t="n"/>
      <c r="BN141" s="324" t="n"/>
      <c r="BO141" s="324" t="n"/>
      <c r="BP141" s="324" t="n"/>
      <c r="BQ141" s="324" t="n"/>
      <c r="BR141" s="324" t="n"/>
      <c r="BS141" s="324" t="n"/>
      <c r="BT141" s="324" t="n"/>
      <c r="BU141" s="324" t="n"/>
      <c r="BV141" s="324" t="n"/>
      <c r="BW141" s="324" t="n"/>
      <c r="BX141" s="324" t="n"/>
      <c r="BY141" s="324" t="n"/>
      <c r="BZ141" s="324" t="n"/>
      <c r="CA141" s="324" t="n"/>
      <c r="CB141" s="324" t="n"/>
      <c r="CC141" s="324" t="n"/>
      <c r="CD141" s="324" t="n"/>
      <c r="CE141" s="324" t="n"/>
      <c r="CF141" s="324" t="n"/>
      <c r="CG141" s="324" t="n"/>
      <c r="CH141" s="324" t="n"/>
      <c r="CI141" s="324" t="n"/>
      <c r="CJ141" s="324" t="n"/>
      <c r="CK141" s="324" t="n"/>
      <c r="CL141" s="324" t="n"/>
      <c r="CM141" s="324" t="n"/>
      <c r="CN141" s="324" t="n"/>
      <c r="CW141" s="324" t="n"/>
      <c r="CX141" s="324" t="n"/>
      <c r="CY141" s="324" t="n"/>
      <c r="CZ141" s="324" t="n"/>
      <c r="DA141" s="324" t="n"/>
      <c r="DB141" s="324" t="n"/>
      <c r="DC141" s="324" t="n"/>
      <c r="DD141" s="324" t="n"/>
      <c r="DE141" s="325" t="n"/>
      <c r="DF141" s="325" t="n"/>
    </row>
    <row r="142" customFormat="1" s="62">
      <c r="A142" s="326" t="n"/>
      <c r="B142" s="28" t="n"/>
      <c r="C142" s="15" t="n"/>
      <c r="D142" s="15" t="n"/>
      <c r="E142" s="28" t="n"/>
      <c r="F142" s="15" t="n"/>
      <c r="G142" s="15" t="n"/>
      <c r="H142" s="28" t="n"/>
      <c r="I142" s="15" t="n"/>
      <c r="J142" s="15" t="n"/>
      <c r="K142" s="28" t="n"/>
      <c r="L142" s="15" t="n"/>
      <c r="M142" s="15" t="n"/>
      <c r="N142" s="28" t="n"/>
      <c r="O142" s="15" t="n"/>
      <c r="P142" s="15" t="n"/>
      <c r="Q142" s="28" t="n"/>
      <c r="R142" s="15" t="n"/>
      <c r="S142" s="15" t="n"/>
      <c r="T142" s="291" t="n"/>
      <c r="U142" s="15" t="n"/>
      <c r="V142" s="15" t="n"/>
      <c r="W142" s="291" t="n"/>
      <c r="X142" s="15" t="n"/>
      <c r="Y142" s="15" t="n"/>
      <c r="Z142" s="28" t="n"/>
      <c r="AA142" s="15" t="n"/>
      <c r="AB142" s="15" t="n"/>
      <c r="AC142" s="28" t="n"/>
      <c r="AD142" s="15" t="n"/>
      <c r="AE142" s="15" t="n"/>
      <c r="AF142" s="28" t="n"/>
      <c r="AG142" s="15" t="n"/>
      <c r="AH142" s="15" t="n"/>
      <c r="AI142" s="28" t="n"/>
      <c r="AJ142" s="15" t="n"/>
      <c r="AK142" s="15" t="n"/>
      <c r="AL142" s="28" t="n"/>
      <c r="AM142" s="327" t="n"/>
      <c r="AN142" s="327" t="n"/>
      <c r="AO142" s="28" t="n"/>
      <c r="AP142" s="327" t="n"/>
      <c r="AQ142" s="327" t="n"/>
      <c r="AR142" s="28" t="n"/>
      <c r="AS142" s="327" t="n"/>
      <c r="AT142" s="327" t="n"/>
      <c r="AU142" s="28" t="n"/>
      <c r="AV142" s="327" t="n"/>
      <c r="AW142" s="327" t="n"/>
      <c r="AX142" s="28" t="n"/>
      <c r="AY142" s="15" t="n"/>
      <c r="AZ142" s="15" t="n"/>
      <c r="BA142" s="324" t="n"/>
      <c r="BB142" s="324" t="n"/>
      <c r="BC142" s="324" t="n"/>
      <c r="BD142" s="324" t="n"/>
      <c r="BE142" s="324" t="n"/>
      <c r="BF142" s="324" t="n"/>
      <c r="BG142" s="324" t="n"/>
      <c r="BH142" s="324" t="n"/>
      <c r="BI142" s="324" t="n"/>
      <c r="BJ142" s="324" t="n"/>
      <c r="BK142" s="288" t="n"/>
      <c r="BL142" s="324" t="n"/>
      <c r="BM142" s="324" t="n"/>
      <c r="BN142" s="324" t="n"/>
      <c r="BO142" s="324" t="n"/>
      <c r="BP142" s="324" t="n"/>
      <c r="BQ142" s="324" t="n"/>
      <c r="BR142" s="324" t="n"/>
      <c r="BS142" s="324" t="n"/>
      <c r="BT142" s="324" t="n"/>
      <c r="BU142" s="324" t="n"/>
      <c r="BV142" s="324" t="n"/>
      <c r="BW142" s="324" t="n"/>
      <c r="BX142" s="324" t="n"/>
      <c r="BY142" s="324" t="n"/>
      <c r="BZ142" s="324" t="n"/>
      <c r="CA142" s="324" t="n"/>
      <c r="CB142" s="324" t="n"/>
      <c r="CC142" s="324" t="n"/>
      <c r="CD142" s="324" t="n"/>
      <c r="CE142" s="324" t="n"/>
      <c r="CF142" s="324" t="n"/>
      <c r="CG142" s="324" t="n"/>
      <c r="CH142" s="324" t="n"/>
      <c r="CI142" s="324" t="n"/>
      <c r="CJ142" s="324" t="n"/>
      <c r="CK142" s="324" t="n"/>
      <c r="CL142" s="324" t="n"/>
      <c r="CM142" s="324" t="n"/>
      <c r="CN142" s="324" t="n"/>
      <c r="CW142" s="324" t="n"/>
      <c r="CX142" s="324" t="n"/>
      <c r="CY142" s="324" t="n"/>
      <c r="CZ142" s="324" t="n"/>
      <c r="DA142" s="324" t="n"/>
      <c r="DB142" s="324" t="n"/>
      <c r="DC142" s="324" t="n"/>
      <c r="DD142" s="324" t="n"/>
      <c r="DE142" s="325" t="n"/>
      <c r="DF142" s="325" t="n"/>
    </row>
    <row r="143" customFormat="1" s="62">
      <c r="A143" s="326" t="n"/>
      <c r="B143" s="28" t="n"/>
      <c r="C143" s="15" t="n"/>
      <c r="D143" s="15" t="n"/>
      <c r="E143" s="28" t="n"/>
      <c r="F143" s="15" t="n"/>
      <c r="G143" s="15" t="n"/>
      <c r="H143" s="28" t="n"/>
      <c r="I143" s="15" t="n"/>
      <c r="J143" s="15" t="n"/>
      <c r="K143" s="28" t="n"/>
      <c r="L143" s="15" t="n"/>
      <c r="M143" s="15" t="n"/>
      <c r="N143" s="28" t="n"/>
      <c r="O143" s="15" t="n"/>
      <c r="P143" s="15" t="n"/>
      <c r="Q143" s="28" t="n"/>
      <c r="R143" s="15" t="n"/>
      <c r="S143" s="15" t="n"/>
      <c r="T143" s="291" t="n"/>
      <c r="U143" s="15" t="n"/>
      <c r="V143" s="15" t="n"/>
      <c r="W143" s="291" t="n"/>
      <c r="X143" s="15" t="n"/>
      <c r="Y143" s="15" t="n"/>
      <c r="Z143" s="28" t="n"/>
      <c r="AA143" s="15" t="n"/>
      <c r="AB143" s="15" t="n"/>
      <c r="AC143" s="28" t="n"/>
      <c r="AD143" s="15" t="n"/>
      <c r="AE143" s="15" t="n"/>
      <c r="AF143" s="28" t="n"/>
      <c r="AG143" s="15" t="n"/>
      <c r="AH143" s="15" t="n"/>
      <c r="AI143" s="28" t="n"/>
      <c r="AJ143" s="15" t="n"/>
      <c r="AK143" s="15" t="n"/>
      <c r="AL143" s="28" t="n"/>
      <c r="AM143" s="327" t="n"/>
      <c r="AN143" s="327" t="n"/>
      <c r="AO143" s="28" t="n"/>
      <c r="AP143" s="327" t="n"/>
      <c r="AQ143" s="327" t="n"/>
      <c r="AR143" s="28" t="n"/>
      <c r="AS143" s="327" t="n"/>
      <c r="AT143" s="327" t="n"/>
      <c r="AU143" s="28" t="n"/>
      <c r="AV143" s="327" t="n"/>
      <c r="AW143" s="327" t="n"/>
      <c r="AX143" s="28" t="n"/>
      <c r="AY143" s="15" t="n"/>
      <c r="AZ143" s="15" t="n"/>
      <c r="BA143" s="324" t="n"/>
      <c r="BB143" s="324" t="n"/>
      <c r="BC143" s="324" t="n"/>
      <c r="BD143" s="324" t="n"/>
      <c r="BE143" s="324" t="n"/>
      <c r="BF143" s="324" t="n"/>
      <c r="BG143" s="324" t="n"/>
      <c r="BH143" s="324" t="n"/>
      <c r="BI143" s="324" t="n"/>
      <c r="BJ143" s="324" t="n"/>
      <c r="BK143" s="288" t="n"/>
      <c r="BL143" s="324" t="n"/>
      <c r="BM143" s="324" t="n"/>
      <c r="BN143" s="324" t="n"/>
      <c r="BO143" s="324" t="n"/>
      <c r="BP143" s="324" t="n"/>
      <c r="BQ143" s="324" t="n"/>
      <c r="BR143" s="324" t="n"/>
      <c r="BS143" s="324" t="n"/>
      <c r="BT143" s="324" t="n"/>
      <c r="BU143" s="324" t="n"/>
      <c r="BV143" s="324" t="n"/>
      <c r="BW143" s="324" t="n"/>
      <c r="BX143" s="324" t="n"/>
      <c r="BY143" s="324" t="n"/>
      <c r="BZ143" s="324" t="n"/>
      <c r="CA143" s="324" t="n"/>
      <c r="CB143" s="324" t="n"/>
      <c r="CC143" s="324" t="n"/>
      <c r="CD143" s="324" t="n"/>
      <c r="CE143" s="324" t="n"/>
      <c r="CF143" s="324" t="n"/>
      <c r="CG143" s="324" t="n"/>
      <c r="CH143" s="324" t="n"/>
      <c r="CI143" s="324" t="n"/>
      <c r="CJ143" s="324" t="n"/>
      <c r="CK143" s="324" t="n"/>
      <c r="CL143" s="324" t="n"/>
      <c r="CM143" s="324" t="n"/>
      <c r="CN143" s="324" t="n"/>
      <c r="CW143" s="324" t="n"/>
      <c r="CX143" s="324" t="n"/>
      <c r="CY143" s="324" t="n"/>
      <c r="CZ143" s="324" t="n"/>
      <c r="DA143" s="324" t="n"/>
      <c r="DB143" s="324" t="n"/>
      <c r="DC143" s="324" t="n"/>
      <c r="DD143" s="324" t="n"/>
      <c r="DE143" s="325" t="n"/>
      <c r="DF143" s="325" t="n"/>
    </row>
    <row r="144" customFormat="1" s="62">
      <c r="A144" s="326" t="n"/>
      <c r="B144" s="28" t="n"/>
      <c r="C144" s="15" t="n"/>
      <c r="D144" s="15" t="n"/>
      <c r="E144" s="28" t="n"/>
      <c r="F144" s="15" t="n"/>
      <c r="G144" s="15" t="n"/>
      <c r="H144" s="28" t="n"/>
      <c r="I144" s="15" t="n"/>
      <c r="J144" s="15" t="n"/>
      <c r="K144" s="28" t="n"/>
      <c r="L144" s="15" t="n"/>
      <c r="M144" s="15" t="n"/>
      <c r="N144" s="28" t="n"/>
      <c r="O144" s="15" t="n"/>
      <c r="P144" s="15" t="n"/>
      <c r="Q144" s="28" t="n"/>
      <c r="R144" s="15" t="n"/>
      <c r="S144" s="15" t="n"/>
      <c r="T144" s="291" t="n"/>
      <c r="U144" s="15" t="n"/>
      <c r="V144" s="15" t="n"/>
      <c r="W144" s="291" t="n"/>
      <c r="X144" s="15" t="n"/>
      <c r="Y144" s="15" t="n"/>
      <c r="Z144" s="28" t="n"/>
      <c r="AA144" s="15" t="n"/>
      <c r="AB144" s="15" t="n"/>
      <c r="AC144" s="28" t="n"/>
      <c r="AD144" s="15" t="n"/>
      <c r="AE144" s="15" t="n"/>
      <c r="AF144" s="28" t="n"/>
      <c r="AG144" s="15" t="n"/>
      <c r="AH144" s="15" t="n"/>
      <c r="AI144" s="28" t="n"/>
      <c r="AJ144" s="15" t="n"/>
      <c r="AK144" s="15" t="n"/>
      <c r="AL144" s="28" t="n"/>
      <c r="AM144" s="327" t="n"/>
      <c r="AN144" s="327" t="n"/>
      <c r="AO144" s="28" t="n"/>
      <c r="AP144" s="327" t="n"/>
      <c r="AQ144" s="327" t="n"/>
      <c r="AR144" s="28" t="n"/>
      <c r="AS144" s="327" t="n"/>
      <c r="AT144" s="327" t="n"/>
      <c r="AU144" s="28" t="n"/>
      <c r="AV144" s="327" t="n"/>
      <c r="AW144" s="327" t="n"/>
      <c r="AX144" s="28" t="n"/>
      <c r="AY144" s="15" t="n"/>
      <c r="AZ144" s="15" t="n"/>
      <c r="BA144" s="324" t="n"/>
      <c r="BB144" s="324" t="n"/>
      <c r="BC144" s="324" t="n"/>
      <c r="BD144" s="324" t="n"/>
      <c r="BE144" s="324" t="n"/>
      <c r="BF144" s="324" t="n"/>
      <c r="BG144" s="324" t="n"/>
      <c r="BH144" s="324" t="n"/>
      <c r="BI144" s="324" t="n"/>
      <c r="BJ144" s="324" t="n"/>
      <c r="BK144" s="288" t="n"/>
      <c r="BL144" s="324" t="n"/>
      <c r="BM144" s="324" t="n"/>
      <c r="BN144" s="324" t="n"/>
      <c r="BO144" s="324" t="n"/>
      <c r="BP144" s="324" t="n"/>
      <c r="BQ144" s="324" t="n"/>
      <c r="BR144" s="324" t="n"/>
      <c r="BS144" s="324" t="n"/>
      <c r="BT144" s="324" t="n"/>
      <c r="BU144" s="324" t="n"/>
      <c r="BV144" s="324" t="n"/>
      <c r="BW144" s="324" t="n"/>
      <c r="BX144" s="324" t="n"/>
      <c r="BY144" s="324" t="n"/>
      <c r="BZ144" s="324" t="n"/>
      <c r="CA144" s="324" t="n"/>
      <c r="CB144" s="324" t="n"/>
      <c r="CC144" s="324" t="n"/>
      <c r="CD144" s="324" t="n"/>
      <c r="CE144" s="324" t="n"/>
      <c r="CF144" s="324" t="n"/>
      <c r="CG144" s="324" t="n"/>
      <c r="CH144" s="324" t="n"/>
      <c r="CI144" s="324" t="n"/>
      <c r="CJ144" s="324" t="n"/>
      <c r="CK144" s="324" t="n"/>
      <c r="CL144" s="324" t="n"/>
      <c r="CM144" s="324" t="n"/>
      <c r="CN144" s="324" t="n"/>
      <c r="CW144" s="324" t="n"/>
      <c r="CX144" s="324" t="n"/>
      <c r="CY144" s="324" t="n"/>
      <c r="CZ144" s="324" t="n"/>
      <c r="DA144" s="324" t="n"/>
      <c r="DB144" s="324" t="n"/>
      <c r="DC144" s="324" t="n"/>
      <c r="DD144" s="324" t="n"/>
      <c r="DE144" s="325" t="n"/>
      <c r="DF144" s="325" t="n"/>
    </row>
    <row r="145" customFormat="1" s="62">
      <c r="A145" s="326" t="n"/>
      <c r="B145" s="28" t="n"/>
      <c r="C145" s="15" t="n"/>
      <c r="D145" s="15" t="n"/>
      <c r="E145" s="28" t="n"/>
      <c r="F145" s="15" t="n"/>
      <c r="G145" s="15" t="n"/>
      <c r="H145" s="28" t="n"/>
      <c r="I145" s="15" t="n"/>
      <c r="J145" s="15" t="n"/>
      <c r="K145" s="28" t="n"/>
      <c r="L145" s="15" t="n"/>
      <c r="M145" s="15" t="n"/>
      <c r="N145" s="28" t="n"/>
      <c r="O145" s="15" t="n"/>
      <c r="P145" s="15" t="n"/>
      <c r="Q145" s="28" t="n"/>
      <c r="R145" s="15" t="n"/>
      <c r="S145" s="15" t="n"/>
      <c r="T145" s="291" t="n"/>
      <c r="U145" s="15" t="n"/>
      <c r="V145" s="15" t="n"/>
      <c r="W145" s="291" t="n"/>
      <c r="X145" s="15" t="n"/>
      <c r="Y145" s="15" t="n"/>
      <c r="Z145" s="28" t="n"/>
      <c r="AA145" s="15" t="n"/>
      <c r="AB145" s="15" t="n"/>
      <c r="AC145" s="28" t="n"/>
      <c r="AD145" s="15" t="n"/>
      <c r="AE145" s="15" t="n"/>
      <c r="AF145" s="28" t="n"/>
      <c r="AG145" s="15" t="n"/>
      <c r="AH145" s="15" t="n"/>
      <c r="AI145" s="28" t="n"/>
      <c r="AJ145" s="15" t="n"/>
      <c r="AK145" s="15" t="n"/>
      <c r="AL145" s="28" t="n"/>
      <c r="AM145" s="327" t="n"/>
      <c r="AN145" s="327" t="n"/>
      <c r="AO145" s="28" t="n"/>
      <c r="AP145" s="327" t="n"/>
      <c r="AQ145" s="327" t="n"/>
      <c r="AR145" s="28" t="n"/>
      <c r="AS145" s="327" t="n"/>
      <c r="AT145" s="327" t="n"/>
      <c r="AU145" s="28" t="n"/>
      <c r="AV145" s="327" t="n"/>
      <c r="AW145" s="327" t="n"/>
      <c r="AX145" s="28" t="n"/>
      <c r="AY145" s="15" t="n"/>
      <c r="AZ145" s="15" t="n"/>
      <c r="BA145" s="324" t="n"/>
      <c r="BB145" s="324" t="n"/>
      <c r="BC145" s="324" t="n"/>
      <c r="BD145" s="324" t="n"/>
      <c r="BE145" s="324" t="n"/>
      <c r="BF145" s="324" t="n"/>
      <c r="BG145" s="324" t="n"/>
      <c r="BH145" s="324" t="n"/>
      <c r="BI145" s="324" t="n"/>
      <c r="BJ145" s="324" t="n"/>
      <c r="BK145" s="288" t="n"/>
      <c r="BL145" s="324" t="n"/>
      <c r="BM145" s="324" t="n"/>
      <c r="BN145" s="324" t="n"/>
      <c r="BO145" s="324" t="n"/>
      <c r="BP145" s="324" t="n"/>
      <c r="BQ145" s="324" t="n"/>
      <c r="BR145" s="324" t="n"/>
      <c r="BS145" s="324" t="n"/>
      <c r="BT145" s="324" t="n"/>
      <c r="BU145" s="324" t="n"/>
      <c r="BV145" s="324" t="n"/>
      <c r="BW145" s="324" t="n"/>
      <c r="BX145" s="324" t="n"/>
      <c r="BY145" s="324" t="n"/>
      <c r="BZ145" s="324" t="n"/>
      <c r="CA145" s="324" t="n"/>
      <c r="CB145" s="324" t="n"/>
      <c r="CC145" s="324" t="n"/>
      <c r="CD145" s="324" t="n"/>
      <c r="CE145" s="324" t="n"/>
      <c r="CF145" s="324" t="n"/>
      <c r="CG145" s="324" t="n"/>
      <c r="CH145" s="324" t="n"/>
      <c r="CI145" s="324" t="n"/>
      <c r="CJ145" s="324" t="n"/>
      <c r="CK145" s="324" t="n"/>
      <c r="CL145" s="324" t="n"/>
      <c r="CM145" s="324" t="n"/>
      <c r="CN145" s="324" t="n"/>
      <c r="CW145" s="324" t="n"/>
      <c r="CX145" s="324" t="n"/>
      <c r="CY145" s="324" t="n"/>
      <c r="CZ145" s="324" t="n"/>
      <c r="DA145" s="324" t="n"/>
      <c r="DB145" s="324" t="n"/>
      <c r="DC145" s="324" t="n"/>
      <c r="DD145" s="324" t="n"/>
      <c r="DE145" s="325" t="n"/>
      <c r="DF145" s="325" t="n"/>
    </row>
    <row r="146" customFormat="1" s="62">
      <c r="A146" s="326" t="n"/>
      <c r="B146" s="28" t="n"/>
      <c r="C146" s="15" t="n"/>
      <c r="D146" s="15" t="n"/>
      <c r="E146" s="28" t="n"/>
      <c r="F146" s="15" t="n"/>
      <c r="G146" s="15" t="n"/>
      <c r="H146" s="28" t="n"/>
      <c r="I146" s="15" t="n"/>
      <c r="J146" s="15" t="n"/>
      <c r="K146" s="28" t="n"/>
      <c r="L146" s="15" t="n"/>
      <c r="M146" s="15" t="n"/>
      <c r="N146" s="28" t="n"/>
      <c r="O146" s="15" t="n"/>
      <c r="P146" s="15" t="n"/>
      <c r="Q146" s="28" t="n"/>
      <c r="R146" s="15" t="n"/>
      <c r="S146" s="15" t="n"/>
      <c r="T146" s="291" t="n"/>
      <c r="U146" s="15" t="n"/>
      <c r="V146" s="15" t="n"/>
      <c r="W146" s="291" t="n"/>
      <c r="X146" s="15" t="n"/>
      <c r="Y146" s="15" t="n"/>
      <c r="Z146" s="28" t="n"/>
      <c r="AA146" s="15" t="n"/>
      <c r="AB146" s="15" t="n"/>
      <c r="AC146" s="28" t="n"/>
      <c r="AD146" s="15" t="n"/>
      <c r="AE146" s="15" t="n"/>
      <c r="AF146" s="28" t="n"/>
      <c r="AG146" s="15" t="n"/>
      <c r="AH146" s="15" t="n"/>
      <c r="AI146" s="28" t="n"/>
      <c r="AJ146" s="15" t="n"/>
      <c r="AK146" s="15" t="n"/>
      <c r="AL146" s="28" t="n"/>
      <c r="AM146" s="327" t="n"/>
      <c r="AN146" s="327" t="n"/>
      <c r="AO146" s="28" t="n"/>
      <c r="AP146" s="327" t="n"/>
      <c r="AQ146" s="327" t="n"/>
      <c r="AR146" s="28" t="n"/>
      <c r="AS146" s="327" t="n"/>
      <c r="AT146" s="327" t="n"/>
      <c r="AU146" s="28" t="n"/>
      <c r="AV146" s="327" t="n"/>
      <c r="AW146" s="327" t="n"/>
      <c r="AX146" s="28" t="n"/>
      <c r="AY146" s="15" t="n"/>
      <c r="AZ146" s="15" t="n"/>
      <c r="BA146" s="324" t="n"/>
      <c r="BB146" s="324" t="n"/>
      <c r="BC146" s="324" t="n"/>
      <c r="BD146" s="324" t="n"/>
      <c r="BE146" s="324" t="n"/>
      <c r="BF146" s="324" t="n"/>
      <c r="BG146" s="324" t="n"/>
      <c r="BH146" s="324" t="n"/>
      <c r="BI146" s="324" t="n"/>
      <c r="BJ146" s="324" t="n"/>
      <c r="BK146" s="288" t="n"/>
      <c r="BL146" s="324" t="n"/>
      <c r="BM146" s="324" t="n"/>
      <c r="BN146" s="324" t="n"/>
      <c r="BO146" s="324" t="n"/>
      <c r="BP146" s="324" t="n"/>
      <c r="BQ146" s="324" t="n"/>
      <c r="BR146" s="324" t="n"/>
      <c r="BS146" s="324" t="n"/>
      <c r="BT146" s="324" t="n"/>
      <c r="BU146" s="324" t="n"/>
      <c r="BV146" s="324" t="n"/>
      <c r="BW146" s="324" t="n"/>
      <c r="BX146" s="324" t="n"/>
      <c r="BY146" s="324" t="n"/>
      <c r="BZ146" s="324" t="n"/>
      <c r="CA146" s="324" t="n"/>
      <c r="CB146" s="324" t="n"/>
      <c r="CC146" s="324" t="n"/>
      <c r="CD146" s="324" t="n"/>
      <c r="CE146" s="324" t="n"/>
      <c r="CF146" s="324" t="n"/>
      <c r="CG146" s="324" t="n"/>
      <c r="CH146" s="324" t="n"/>
      <c r="CI146" s="324" t="n"/>
      <c r="CJ146" s="324" t="n"/>
      <c r="CK146" s="324" t="n"/>
      <c r="CL146" s="324" t="n"/>
      <c r="CM146" s="324" t="n"/>
      <c r="CN146" s="324" t="n"/>
      <c r="CW146" s="324" t="n"/>
      <c r="CX146" s="324" t="n"/>
      <c r="CY146" s="324" t="n"/>
      <c r="CZ146" s="324" t="n"/>
      <c r="DA146" s="324" t="n"/>
      <c r="DB146" s="324" t="n"/>
      <c r="DC146" s="324" t="n"/>
      <c r="DD146" s="324" t="n"/>
      <c r="DE146" s="325" t="n"/>
      <c r="DF146" s="325" t="n"/>
    </row>
    <row r="147" customFormat="1" s="62">
      <c r="A147" s="326" t="n"/>
      <c r="B147" s="28" t="n"/>
      <c r="C147" s="15" t="n"/>
      <c r="D147" s="15" t="n"/>
      <c r="E147" s="28" t="n"/>
      <c r="F147" s="15" t="n"/>
      <c r="G147" s="15" t="n"/>
      <c r="H147" s="28" t="n"/>
      <c r="I147" s="15" t="n"/>
      <c r="J147" s="15" t="n"/>
      <c r="K147" s="28" t="n"/>
      <c r="L147" s="15" t="n"/>
      <c r="M147" s="15" t="n"/>
      <c r="N147" s="28" t="n"/>
      <c r="O147" s="15" t="n"/>
      <c r="P147" s="15" t="n"/>
      <c r="Q147" s="28" t="n"/>
      <c r="R147" s="15" t="n"/>
      <c r="S147" s="15" t="n"/>
      <c r="T147" s="291" t="n"/>
      <c r="U147" s="15" t="n"/>
      <c r="V147" s="15" t="n"/>
      <c r="W147" s="291" t="n"/>
      <c r="X147" s="15" t="n"/>
      <c r="Y147" s="15" t="n"/>
      <c r="Z147" s="28" t="n"/>
      <c r="AA147" s="15" t="n"/>
      <c r="AB147" s="15" t="n"/>
      <c r="AC147" s="28" t="n"/>
      <c r="AD147" s="15" t="n"/>
      <c r="AE147" s="15" t="n"/>
      <c r="AF147" s="28" t="n"/>
      <c r="AG147" s="15" t="n"/>
      <c r="AH147" s="15" t="n"/>
      <c r="AI147" s="28" t="n"/>
      <c r="AJ147" s="15" t="n"/>
      <c r="AK147" s="15" t="n"/>
      <c r="AL147" s="28" t="n"/>
      <c r="AM147" s="327" t="n"/>
      <c r="AN147" s="327" t="n"/>
      <c r="AO147" s="28" t="n"/>
      <c r="AP147" s="327" t="n"/>
      <c r="AQ147" s="327" t="n"/>
      <c r="AR147" s="28" t="n"/>
      <c r="AS147" s="327" t="n"/>
      <c r="AT147" s="327" t="n"/>
      <c r="AU147" s="28" t="n"/>
      <c r="AV147" s="327" t="n"/>
      <c r="AW147" s="327" t="n"/>
      <c r="AX147" s="28" t="n"/>
      <c r="AY147" s="15" t="n"/>
      <c r="AZ147" s="15" t="n"/>
      <c r="BA147" s="324" t="n"/>
      <c r="BB147" s="324" t="n"/>
      <c r="BC147" s="324" t="n"/>
      <c r="BD147" s="324" t="n"/>
      <c r="BE147" s="324" t="n"/>
      <c r="BF147" s="324" t="n"/>
      <c r="BG147" s="324" t="n"/>
      <c r="BH147" s="324" t="n"/>
      <c r="BI147" s="324" t="n"/>
      <c r="BJ147" s="324" t="n"/>
      <c r="BK147" s="288" t="n"/>
      <c r="BL147" s="324" t="n"/>
      <c r="BM147" s="324" t="n"/>
      <c r="BN147" s="324" t="n"/>
      <c r="BO147" s="324" t="n"/>
      <c r="BP147" s="324" t="n"/>
      <c r="BQ147" s="324" t="n"/>
      <c r="BR147" s="324" t="n"/>
      <c r="BS147" s="324" t="n"/>
      <c r="BT147" s="324" t="n"/>
      <c r="BU147" s="324" t="n"/>
      <c r="BV147" s="324" t="n"/>
      <c r="BW147" s="324" t="n"/>
      <c r="BX147" s="324" t="n"/>
      <c r="BY147" s="324" t="n"/>
      <c r="BZ147" s="324" t="n"/>
      <c r="CA147" s="324" t="n"/>
      <c r="CB147" s="324" t="n"/>
      <c r="CC147" s="324" t="n"/>
      <c r="CD147" s="324" t="n"/>
      <c r="CE147" s="324" t="n"/>
      <c r="CF147" s="324" t="n"/>
      <c r="CG147" s="324" t="n"/>
      <c r="CH147" s="324" t="n"/>
      <c r="CI147" s="324" t="n"/>
      <c r="CJ147" s="324" t="n"/>
      <c r="CK147" s="324" t="n"/>
      <c r="CL147" s="324" t="n"/>
      <c r="CM147" s="324" t="n"/>
      <c r="CN147" s="324" t="n"/>
      <c r="CW147" s="324" t="n"/>
      <c r="CX147" s="324" t="n"/>
      <c r="CY147" s="324" t="n"/>
      <c r="CZ147" s="324" t="n"/>
      <c r="DA147" s="324" t="n"/>
      <c r="DB147" s="324" t="n"/>
      <c r="DC147" s="324" t="n"/>
      <c r="DD147" s="324" t="n"/>
      <c r="DE147" s="325" t="n"/>
      <c r="DF147" s="325" t="n"/>
    </row>
    <row r="148" customFormat="1" s="62">
      <c r="A148" s="326" t="n"/>
      <c r="B148" s="28" t="n"/>
      <c r="C148" s="15" t="n"/>
      <c r="D148" s="15" t="n"/>
      <c r="E148" s="28" t="n"/>
      <c r="F148" s="15" t="n"/>
      <c r="G148" s="15" t="n"/>
      <c r="H148" s="28" t="n"/>
      <c r="I148" s="15" t="n"/>
      <c r="J148" s="15" t="n"/>
      <c r="K148" s="28" t="n"/>
      <c r="L148" s="15" t="n"/>
      <c r="M148" s="15" t="n"/>
      <c r="N148" s="28" t="n"/>
      <c r="O148" s="15" t="n"/>
      <c r="P148" s="15" t="n"/>
      <c r="Q148" s="28" t="n"/>
      <c r="R148" s="15" t="n"/>
      <c r="S148" s="15" t="n"/>
      <c r="T148" s="291" t="n"/>
      <c r="U148" s="15" t="n"/>
      <c r="V148" s="15" t="n"/>
      <c r="W148" s="291" t="n"/>
      <c r="X148" s="15" t="n"/>
      <c r="Y148" s="15" t="n"/>
      <c r="Z148" s="28" t="n"/>
      <c r="AA148" s="15" t="n"/>
      <c r="AB148" s="15" t="n"/>
      <c r="AC148" s="28" t="n"/>
      <c r="AD148" s="15" t="n"/>
      <c r="AE148" s="15" t="n"/>
      <c r="AF148" s="28" t="n"/>
      <c r="AG148" s="15" t="n"/>
      <c r="AH148" s="15" t="n"/>
      <c r="AI148" s="28" t="n"/>
      <c r="AJ148" s="15" t="n"/>
      <c r="AK148" s="15" t="n"/>
      <c r="AL148" s="28" t="n"/>
      <c r="AM148" s="327" t="n"/>
      <c r="AN148" s="327" t="n"/>
      <c r="AO148" s="28" t="n"/>
      <c r="AP148" s="327" t="n"/>
      <c r="AQ148" s="327" t="n"/>
      <c r="AR148" s="28" t="n"/>
      <c r="AS148" s="327" t="n"/>
      <c r="AT148" s="327" t="n"/>
      <c r="AU148" s="28" t="n"/>
      <c r="AV148" s="327" t="n"/>
      <c r="AW148" s="327" t="n"/>
      <c r="AX148" s="28" t="n"/>
      <c r="AY148" s="15" t="n"/>
      <c r="AZ148" s="15" t="n"/>
      <c r="BA148" s="324" t="n"/>
      <c r="BB148" s="324" t="n"/>
      <c r="BC148" s="324" t="n"/>
      <c r="BD148" s="324" t="n"/>
      <c r="BE148" s="324" t="n"/>
      <c r="BF148" s="324" t="n"/>
      <c r="BG148" s="324" t="n"/>
      <c r="BH148" s="324" t="n"/>
      <c r="BI148" s="324" t="n"/>
      <c r="BJ148" s="324" t="n"/>
      <c r="BK148" s="288" t="n"/>
      <c r="BL148" s="324" t="n"/>
      <c r="BM148" s="324" t="n"/>
      <c r="BN148" s="324" t="n"/>
      <c r="BO148" s="324" t="n"/>
      <c r="BP148" s="324" t="n"/>
      <c r="BQ148" s="324" t="n"/>
      <c r="BR148" s="324" t="n"/>
      <c r="BS148" s="324" t="n"/>
      <c r="BT148" s="324" t="n"/>
      <c r="BU148" s="324" t="n"/>
      <c r="BV148" s="324" t="n"/>
      <c r="BW148" s="324" t="n"/>
      <c r="BX148" s="324" t="n"/>
      <c r="BY148" s="324" t="n"/>
      <c r="BZ148" s="324" t="n"/>
      <c r="CA148" s="324" t="n"/>
      <c r="CB148" s="324" t="n"/>
      <c r="CC148" s="324" t="n"/>
      <c r="CD148" s="324" t="n"/>
      <c r="CE148" s="324" t="n"/>
      <c r="CF148" s="324" t="n"/>
      <c r="CG148" s="324" t="n"/>
      <c r="CH148" s="324" t="n"/>
      <c r="CI148" s="324" t="n"/>
      <c r="CJ148" s="324" t="n"/>
      <c r="CK148" s="324" t="n"/>
      <c r="CL148" s="324" t="n"/>
      <c r="CM148" s="324" t="n"/>
      <c r="CN148" s="324" t="n"/>
      <c r="CW148" s="324" t="n"/>
      <c r="CX148" s="324" t="n"/>
      <c r="CY148" s="324" t="n"/>
      <c r="CZ148" s="324" t="n"/>
      <c r="DA148" s="324" t="n"/>
      <c r="DB148" s="324" t="n"/>
      <c r="DC148" s="324" t="n"/>
      <c r="DD148" s="324" t="n"/>
      <c r="DE148" s="325" t="n"/>
      <c r="DF148" s="325" t="n"/>
    </row>
    <row r="149" customFormat="1" s="62">
      <c r="A149" s="326" t="n"/>
      <c r="B149" s="28" t="n"/>
      <c r="C149" s="15" t="n"/>
      <c r="D149" s="15" t="n"/>
      <c r="E149" s="28" t="n"/>
      <c r="F149" s="15" t="n"/>
      <c r="G149" s="15" t="n"/>
      <c r="H149" s="28" t="n"/>
      <c r="I149" s="15" t="n"/>
      <c r="J149" s="15" t="n"/>
      <c r="K149" s="28" t="n"/>
      <c r="L149" s="15" t="n"/>
      <c r="M149" s="15" t="n"/>
      <c r="N149" s="28" t="n"/>
      <c r="O149" s="15" t="n"/>
      <c r="P149" s="15" t="n"/>
      <c r="Q149" s="28" t="n"/>
      <c r="R149" s="15" t="n"/>
      <c r="S149" s="15" t="n"/>
      <c r="T149" s="291" t="n"/>
      <c r="U149" s="15" t="n"/>
      <c r="V149" s="15" t="n"/>
      <c r="W149" s="291" t="n"/>
      <c r="X149" s="15" t="n"/>
      <c r="Y149" s="15" t="n"/>
      <c r="Z149" s="28" t="n"/>
      <c r="AA149" s="15" t="n"/>
      <c r="AB149" s="15" t="n"/>
      <c r="AC149" s="28" t="n"/>
      <c r="AD149" s="15" t="n"/>
      <c r="AE149" s="15" t="n"/>
      <c r="AF149" s="28" t="n"/>
      <c r="AG149" s="15" t="n"/>
      <c r="AH149" s="15" t="n"/>
      <c r="AI149" s="28" t="n"/>
      <c r="AJ149" s="15" t="n"/>
      <c r="AK149" s="15" t="n"/>
      <c r="AL149" s="28" t="n"/>
      <c r="AM149" s="327" t="n"/>
      <c r="AN149" s="327" t="n"/>
      <c r="AO149" s="28" t="n"/>
      <c r="AP149" s="327" t="n"/>
      <c r="AQ149" s="327" t="n"/>
      <c r="AR149" s="28" t="n"/>
      <c r="AS149" s="327" t="n"/>
      <c r="AT149" s="327" t="n"/>
      <c r="AU149" s="28" t="n"/>
      <c r="AV149" s="327" t="n"/>
      <c r="AW149" s="327" t="n"/>
      <c r="AX149" s="28" t="n"/>
      <c r="AY149" s="15" t="n"/>
      <c r="AZ149" s="15" t="n"/>
      <c r="BA149" s="324" t="n"/>
      <c r="BB149" s="324" t="n"/>
      <c r="BC149" s="324" t="n"/>
      <c r="BD149" s="324" t="n"/>
      <c r="BE149" s="324" t="n"/>
      <c r="BF149" s="324" t="n"/>
      <c r="BG149" s="324" t="n"/>
      <c r="BH149" s="324" t="n"/>
      <c r="BI149" s="324" t="n"/>
      <c r="BJ149" s="324" t="n"/>
      <c r="BK149" s="288" t="n"/>
      <c r="BL149" s="324" t="n"/>
      <c r="BM149" s="324" t="n"/>
      <c r="BN149" s="324" t="n"/>
      <c r="BO149" s="324" t="n"/>
      <c r="BP149" s="324" t="n"/>
      <c r="BQ149" s="324" t="n"/>
      <c r="BR149" s="324" t="n"/>
      <c r="BS149" s="324" t="n"/>
      <c r="BT149" s="324" t="n"/>
      <c r="BU149" s="324" t="n"/>
      <c r="BV149" s="324" t="n"/>
      <c r="BW149" s="324" t="n"/>
      <c r="BX149" s="324" t="n"/>
      <c r="BY149" s="324" t="n"/>
      <c r="BZ149" s="324" t="n"/>
      <c r="CA149" s="324" t="n"/>
      <c r="CB149" s="324" t="n"/>
      <c r="CC149" s="324" t="n"/>
      <c r="CD149" s="324" t="n"/>
      <c r="CE149" s="324" t="n"/>
      <c r="CF149" s="324" t="n"/>
      <c r="CG149" s="324" t="n"/>
      <c r="CH149" s="324" t="n"/>
      <c r="CI149" s="324" t="n"/>
      <c r="CJ149" s="324" t="n"/>
      <c r="CK149" s="324" t="n"/>
      <c r="CL149" s="324" t="n"/>
      <c r="CM149" s="324" t="n"/>
      <c r="CN149" s="324" t="n"/>
      <c r="CW149" s="324" t="n"/>
      <c r="CX149" s="324" t="n"/>
      <c r="CY149" s="324" t="n"/>
      <c r="CZ149" s="324" t="n"/>
      <c r="DA149" s="324" t="n"/>
      <c r="DB149" s="324" t="n"/>
      <c r="DC149" s="324" t="n"/>
      <c r="DD149" s="324" t="n"/>
      <c r="DE149" s="325" t="n"/>
      <c r="DF149" s="325" t="n"/>
    </row>
    <row r="150" customFormat="1" s="62">
      <c r="A150" s="326" t="n"/>
      <c r="B150" s="28" t="n"/>
      <c r="C150" s="15" t="n"/>
      <c r="D150" s="15" t="n"/>
      <c r="E150" s="28" t="n"/>
      <c r="F150" s="15" t="n"/>
      <c r="G150" s="15" t="n"/>
      <c r="H150" s="28" t="n"/>
      <c r="I150" s="15" t="n"/>
      <c r="J150" s="15" t="n"/>
      <c r="K150" s="28" t="n"/>
      <c r="L150" s="15" t="n"/>
      <c r="M150" s="15" t="n"/>
      <c r="N150" s="28" t="n"/>
      <c r="O150" s="15" t="n"/>
      <c r="P150" s="15" t="n"/>
      <c r="Q150" s="28" t="n"/>
      <c r="R150" s="15" t="n"/>
      <c r="S150" s="15" t="n"/>
      <c r="T150" s="291" t="n"/>
      <c r="U150" s="15" t="n"/>
      <c r="V150" s="15" t="n"/>
      <c r="W150" s="291" t="n"/>
      <c r="X150" s="15" t="n"/>
      <c r="Y150" s="15" t="n"/>
      <c r="Z150" s="28" t="n"/>
      <c r="AA150" s="15" t="n"/>
      <c r="AB150" s="15" t="n"/>
      <c r="AC150" s="28" t="n"/>
      <c r="AD150" s="15" t="n"/>
      <c r="AE150" s="15" t="n"/>
      <c r="AF150" s="28" t="n"/>
      <c r="AG150" s="15" t="n"/>
      <c r="AH150" s="15" t="n"/>
      <c r="AI150" s="28" t="n"/>
      <c r="AJ150" s="15" t="n"/>
      <c r="AK150" s="15" t="n"/>
      <c r="AL150" s="28" t="n"/>
      <c r="AM150" s="327" t="n"/>
      <c r="AN150" s="327" t="n"/>
      <c r="AO150" s="28" t="n"/>
      <c r="AP150" s="327" t="n"/>
      <c r="AQ150" s="327" t="n"/>
      <c r="AR150" s="28" t="n"/>
      <c r="AS150" s="327" t="n"/>
      <c r="AT150" s="327" t="n"/>
      <c r="AU150" s="28" t="n"/>
      <c r="AV150" s="327" t="n"/>
      <c r="AW150" s="327" t="n"/>
      <c r="AX150" s="28" t="n"/>
      <c r="AY150" s="15" t="n"/>
      <c r="AZ150" s="15" t="n"/>
      <c r="BA150" s="324" t="n"/>
      <c r="BB150" s="324" t="n"/>
      <c r="BC150" s="324" t="n"/>
      <c r="BD150" s="324" t="n"/>
      <c r="BE150" s="324" t="n"/>
      <c r="BF150" s="324" t="n"/>
      <c r="BG150" s="324" t="n"/>
      <c r="BH150" s="324" t="n"/>
      <c r="BI150" s="324" t="n"/>
      <c r="BJ150" s="324" t="n"/>
      <c r="BK150" s="288" t="n"/>
      <c r="BL150" s="324" t="n"/>
      <c r="BM150" s="324" t="n"/>
      <c r="BN150" s="324" t="n"/>
      <c r="BO150" s="324" t="n"/>
      <c r="BP150" s="324" t="n"/>
      <c r="BQ150" s="324" t="n"/>
      <c r="BR150" s="324" t="n"/>
      <c r="BS150" s="324" t="n"/>
      <c r="BT150" s="324" t="n"/>
      <c r="BU150" s="324" t="n"/>
      <c r="BV150" s="324" t="n"/>
      <c r="BW150" s="324" t="n"/>
      <c r="BX150" s="324" t="n"/>
      <c r="BY150" s="324" t="n"/>
      <c r="BZ150" s="324" t="n"/>
      <c r="CA150" s="324" t="n"/>
      <c r="CB150" s="324" t="n"/>
      <c r="CC150" s="324" t="n"/>
      <c r="CD150" s="324" t="n"/>
      <c r="CE150" s="324" t="n"/>
      <c r="CF150" s="324" t="n"/>
      <c r="CG150" s="324" t="n"/>
      <c r="CH150" s="324" t="n"/>
      <c r="CI150" s="324" t="n"/>
      <c r="CJ150" s="324" t="n"/>
      <c r="CK150" s="324" t="n"/>
      <c r="CL150" s="324" t="n"/>
      <c r="CM150" s="324" t="n"/>
      <c r="CN150" s="324" t="n"/>
      <c r="CW150" s="324" t="n"/>
      <c r="CX150" s="324" t="n"/>
      <c r="CY150" s="324" t="n"/>
      <c r="CZ150" s="324" t="n"/>
      <c r="DA150" s="324" t="n"/>
      <c r="DB150" s="324" t="n"/>
      <c r="DC150" s="324" t="n"/>
      <c r="DD150" s="324" t="n"/>
      <c r="DE150" s="325" t="n"/>
      <c r="DF150" s="325" t="n"/>
    </row>
    <row r="151" customFormat="1" s="62">
      <c r="A151" s="331" t="n"/>
      <c r="B151" s="28" t="n"/>
      <c r="C151" s="33" t="n"/>
      <c r="D151" s="33" t="n"/>
      <c r="E151" s="28" t="n"/>
      <c r="F151" s="33" t="n"/>
      <c r="G151" s="33" t="n"/>
      <c r="H151" s="28" t="n"/>
      <c r="I151" s="33" t="n"/>
      <c r="J151" s="33" t="n"/>
      <c r="K151" s="28" t="n"/>
      <c r="L151" s="33" t="n"/>
      <c r="M151" s="33" t="n"/>
      <c r="N151" s="28" t="n"/>
      <c r="O151" s="33" t="n"/>
      <c r="P151" s="33" t="n"/>
      <c r="Q151" s="28" t="n"/>
      <c r="R151" s="33" t="n"/>
      <c r="S151" s="33" t="n"/>
      <c r="T151" s="28" t="n"/>
      <c r="U151" s="33" t="n"/>
      <c r="V151" s="33" t="n"/>
      <c r="W151" s="28" t="n"/>
      <c r="X151" s="33" t="n"/>
      <c r="Y151" s="33" t="n"/>
      <c r="Z151" s="28" t="n"/>
      <c r="AA151" s="33" t="n"/>
      <c r="AB151" s="33" t="n"/>
      <c r="AC151" s="28" t="n"/>
      <c r="AD151" s="33" t="n"/>
      <c r="AE151" s="33" t="n"/>
      <c r="AF151" s="28" t="n"/>
      <c r="AG151" s="33" t="n"/>
      <c r="AH151" s="33" t="n"/>
      <c r="AI151" s="28" t="n"/>
      <c r="AJ151" s="33" t="n"/>
      <c r="AK151" s="33" t="n"/>
      <c r="AL151" s="28" t="n"/>
      <c r="AM151" s="34" t="n"/>
      <c r="AN151" s="34" t="n"/>
      <c r="AO151" s="28" t="n"/>
      <c r="AP151" s="34" t="n"/>
      <c r="AQ151" s="34" t="n"/>
      <c r="AR151" s="28" t="n"/>
      <c r="AS151" s="333" t="n"/>
      <c r="AT151" s="333" t="n"/>
      <c r="AU151" s="28" t="n"/>
      <c r="AV151" s="34" t="n"/>
      <c r="AW151" s="34" t="n"/>
      <c r="AX151" s="28" t="n"/>
      <c r="AY151" s="324" t="n"/>
      <c r="AZ151" s="324" t="n"/>
      <c r="BA151" s="324" t="n"/>
      <c r="BB151" s="324" t="n"/>
      <c r="BC151" s="324" t="n"/>
      <c r="BD151" s="324" t="n"/>
      <c r="BE151" s="324" t="n"/>
      <c r="BF151" s="324" t="n"/>
      <c r="BG151" s="324" t="n"/>
      <c r="BH151" s="324" t="n"/>
      <c r="BI151" s="324" t="n"/>
      <c r="BJ151" s="324" t="n"/>
      <c r="BK151" s="288" t="n"/>
      <c r="BL151" s="324" t="n"/>
      <c r="BM151" s="324" t="n"/>
      <c r="BN151" s="324" t="n"/>
      <c r="BO151" s="324" t="n"/>
      <c r="BP151" s="324" t="n"/>
      <c r="BQ151" s="324" t="n"/>
      <c r="BR151" s="324" t="n"/>
      <c r="BS151" s="324" t="n"/>
      <c r="BT151" s="324" t="n"/>
      <c r="BU151" s="324" t="n"/>
      <c r="BV151" s="324" t="n"/>
      <c r="BW151" s="324" t="n"/>
      <c r="BX151" s="324" t="n"/>
      <c r="BY151" s="324" t="n"/>
      <c r="BZ151" s="324" t="n"/>
      <c r="CA151" s="324" t="n"/>
      <c r="CB151" s="324" t="n"/>
      <c r="CC151" s="324" t="n"/>
      <c r="CD151" s="324" t="n"/>
      <c r="CE151" s="324" t="n"/>
      <c r="CF151" s="324" t="n"/>
      <c r="CG151" s="324" t="n"/>
      <c r="CH151" s="324" t="n"/>
      <c r="CI151" s="324" t="n"/>
      <c r="CJ151" s="324" t="n"/>
      <c r="CK151" s="324" t="n"/>
      <c r="CL151" s="324" t="n"/>
      <c r="CM151" s="324" t="n"/>
      <c r="CN151" s="324" t="n"/>
      <c r="CW151" s="324" t="n"/>
      <c r="CX151" s="324" t="n"/>
      <c r="CY151" s="324" t="n"/>
      <c r="CZ151" s="324" t="n"/>
      <c r="DA151" s="324" t="n"/>
      <c r="DB151" s="324" t="n"/>
      <c r="DC151" s="324" t="n"/>
      <c r="DD151" s="324" t="n"/>
      <c r="DE151" s="325" t="n"/>
      <c r="DF151" s="325" t="n"/>
    </row>
    <row r="152" customFormat="1" s="40">
      <c r="A152" s="335" t="n"/>
      <c r="B152" s="291" t="n"/>
      <c r="C152" s="37" t="n"/>
      <c r="D152" s="37" t="n"/>
      <c r="E152" s="291" t="n"/>
      <c r="F152" s="37" t="n"/>
      <c r="G152" s="37" t="n"/>
      <c r="H152" s="291" t="n"/>
      <c r="I152" s="37" t="n"/>
      <c r="J152" s="37" t="n"/>
      <c r="K152" s="291" t="n"/>
      <c r="L152" s="37" t="n"/>
      <c r="M152" s="37" t="n"/>
      <c r="N152" s="291" t="n"/>
      <c r="O152" s="37" t="n"/>
      <c r="P152" s="37" t="n"/>
      <c r="Q152" s="291" t="n"/>
      <c r="R152" s="37" t="n"/>
      <c r="S152" s="37" t="n"/>
      <c r="T152" s="291" t="n"/>
      <c r="U152" s="37" t="n"/>
      <c r="V152" s="37" t="n"/>
      <c r="W152" s="291" t="n"/>
      <c r="X152" s="37" t="n"/>
      <c r="Y152" s="37" t="n"/>
      <c r="Z152" s="291" t="n"/>
      <c r="AA152" s="37" t="n"/>
      <c r="AB152" s="37" t="n"/>
      <c r="AC152" s="291" t="n"/>
      <c r="AD152" s="37" t="n"/>
      <c r="AE152" s="37" t="n"/>
      <c r="AF152" s="291" t="n"/>
      <c r="AG152" s="37" t="n"/>
      <c r="AH152" s="37" t="n"/>
      <c r="AI152" s="291" t="n"/>
      <c r="AJ152" s="37" t="n"/>
      <c r="AK152" s="37" t="n"/>
      <c r="AL152" s="291" t="n"/>
      <c r="AM152" s="291" t="n"/>
      <c r="AN152" s="291" t="n"/>
      <c r="AO152" s="291" t="n"/>
      <c r="AP152" s="291" t="n"/>
      <c r="AQ152" s="291" t="n"/>
      <c r="AR152" s="291" t="n"/>
      <c r="AS152" s="291" t="n"/>
      <c r="AT152" s="291" t="n"/>
      <c r="AU152" s="291" t="n"/>
      <c r="AV152" s="291" t="n"/>
      <c r="AW152" s="291" t="n"/>
      <c r="AX152" s="291" t="n"/>
      <c r="AY152" s="291" t="n"/>
      <c r="AZ152" s="291" t="n"/>
      <c r="BA152" s="291" t="n"/>
      <c r="BB152" s="291" t="n"/>
      <c r="BC152" s="291" t="n"/>
      <c r="BD152" s="291" t="n"/>
      <c r="BE152" s="291" t="n"/>
      <c r="BF152" s="291" t="n"/>
      <c r="BG152" s="291" t="n"/>
      <c r="BH152" s="291" t="n"/>
      <c r="BI152" s="291" t="n"/>
      <c r="BJ152" s="291" t="n"/>
      <c r="BK152" s="288" t="n"/>
      <c r="BL152" s="291" t="n"/>
      <c r="BM152" s="291" t="n"/>
      <c r="BN152" s="291" t="n"/>
      <c r="BO152" s="291" t="n"/>
      <c r="BP152" s="291" t="n"/>
      <c r="BQ152" s="291" t="n"/>
      <c r="BR152" s="291" t="n"/>
      <c r="BS152" s="291" t="n"/>
      <c r="BT152" s="291" t="n"/>
      <c r="BU152" s="291" t="n"/>
      <c r="BV152" s="291" t="n"/>
      <c r="BW152" s="291" t="n"/>
      <c r="BX152" s="291" t="n"/>
      <c r="BY152" s="291" t="n"/>
      <c r="BZ152" s="291" t="n"/>
      <c r="CA152" s="291" t="n"/>
      <c r="CB152" s="291" t="n"/>
      <c r="CC152" s="291" t="n"/>
      <c r="CD152" s="291" t="n"/>
      <c r="CE152" s="291" t="n"/>
      <c r="CF152" s="291" t="n"/>
      <c r="CG152" s="291" t="n"/>
      <c r="CH152" s="291" t="n"/>
      <c r="CI152" s="291" t="n"/>
      <c r="CJ152" s="291" t="n"/>
      <c r="CK152" s="291" t="n"/>
      <c r="CL152" s="291" t="n"/>
      <c r="CM152" s="291" t="n"/>
      <c r="CN152" s="291" t="n"/>
      <c r="CW152" s="291" t="n"/>
      <c r="CX152" s="291" t="n"/>
      <c r="CY152" s="291" t="n"/>
      <c r="CZ152" s="291" t="n"/>
      <c r="DA152" s="291" t="n"/>
      <c r="DB152" s="291" t="n"/>
      <c r="DC152" s="291" t="n"/>
      <c r="DD152" s="291" t="n"/>
      <c r="DE152" s="311" t="n"/>
      <c r="DF152" s="311" t="n"/>
    </row>
    <row r="153" ht="13" customFormat="1" customHeight="1" s="40">
      <c r="A153" s="326" t="n"/>
      <c r="B153" s="291" t="n"/>
      <c r="C153" s="39" t="n"/>
      <c r="D153" s="39" t="n"/>
      <c r="E153" s="291" t="n"/>
      <c r="F153" s="39" t="n"/>
      <c r="G153" s="39" t="n"/>
      <c r="H153" s="291" t="n"/>
      <c r="I153" s="39" t="n"/>
      <c r="J153" s="39" t="n"/>
      <c r="K153" s="291" t="n"/>
      <c r="L153" s="39" t="n"/>
      <c r="M153" s="39" t="n"/>
      <c r="N153" s="291" t="n"/>
      <c r="O153" s="39" t="n"/>
      <c r="P153" s="39" t="n"/>
      <c r="Q153" s="291" t="n"/>
      <c r="R153" s="39" t="n"/>
      <c r="S153" s="39" t="n"/>
      <c r="T153" s="291" t="n"/>
      <c r="U153" s="39" t="n"/>
      <c r="V153" s="39" t="n"/>
      <c r="W153" s="291" t="n"/>
      <c r="X153" s="39" t="n"/>
      <c r="Y153" s="39" t="n"/>
      <c r="Z153" s="291" t="n"/>
      <c r="AA153" s="39" t="n"/>
      <c r="AB153" s="39" t="n"/>
      <c r="AC153" s="291" t="n"/>
      <c r="AD153" s="39" t="n"/>
      <c r="AE153" s="39" t="n"/>
      <c r="AF153" s="291" t="n"/>
      <c r="AG153" s="39" t="n"/>
      <c r="AH153" s="39" t="n"/>
      <c r="AI153" s="291" t="n"/>
      <c r="AJ153" s="39" t="n"/>
      <c r="AK153" s="39" t="n"/>
      <c r="AL153" s="291" t="n"/>
      <c r="AM153" s="291" t="n"/>
      <c r="AN153" s="291" t="n"/>
      <c r="AO153" s="291" t="n"/>
      <c r="AP153" s="291" t="n"/>
      <c r="AQ153" s="291" t="n"/>
      <c r="AR153" s="291" t="n"/>
      <c r="AS153" s="291" t="n"/>
      <c r="AT153" s="291" t="n"/>
      <c r="AU153" s="291" t="n"/>
      <c r="AV153" s="291" t="n"/>
      <c r="AW153" s="291" t="n"/>
      <c r="AX153" s="291" t="n"/>
      <c r="AY153" s="291" t="n"/>
      <c r="AZ153" s="39" t="n"/>
      <c r="BA153" s="291" t="n"/>
      <c r="BB153" s="39" t="n"/>
      <c r="BC153" s="291" t="n"/>
      <c r="BD153" s="39" t="n"/>
      <c r="BE153" s="291" t="n"/>
      <c r="BF153" s="39" t="n"/>
      <c r="BG153" s="291" t="n"/>
      <c r="BH153" s="39" t="n"/>
      <c r="BI153" s="291" t="n"/>
      <c r="BJ153" s="39" t="n"/>
      <c r="BK153" s="291" t="n"/>
      <c r="BL153" s="39" t="n"/>
      <c r="BM153" s="291" t="n"/>
      <c r="BN153" s="39" t="n"/>
      <c r="BO153" s="291" t="n"/>
      <c r="BP153" s="291" t="n"/>
      <c r="BQ153" s="39" t="n"/>
      <c r="BR153" s="291" t="n"/>
      <c r="BS153" s="39" t="n"/>
      <c r="BT153" s="291" t="n"/>
      <c r="BU153" s="39" t="n"/>
      <c r="BV153" s="291" t="n"/>
      <c r="BW153" s="39" t="n"/>
      <c r="BX153" s="291" t="n"/>
      <c r="BY153" s="39" t="n"/>
      <c r="BZ153" s="291" t="n"/>
      <c r="CA153" s="39" t="n"/>
      <c r="CB153" s="291" t="n"/>
      <c r="CC153" s="39" t="n"/>
      <c r="CD153" s="291" t="n"/>
      <c r="CE153" s="39" t="n"/>
      <c r="CF153" s="291" t="n"/>
      <c r="CG153" s="53" t="n"/>
      <c r="CH153" s="291" t="n"/>
      <c r="CI153" s="53" t="n"/>
      <c r="CJ153" s="291" t="n"/>
      <c r="CK153" s="53" t="n"/>
      <c r="CL153" s="291" t="n"/>
      <c r="CM153" s="53" t="n"/>
      <c r="CN153" s="291" t="n"/>
      <c r="CW153" s="291" t="n"/>
      <c r="CX153" s="39" t="n"/>
      <c r="CY153" s="291" t="n"/>
      <c r="CZ153" s="39" t="n"/>
      <c r="DA153" s="291" t="n"/>
      <c r="DB153" s="39" t="n"/>
      <c r="DC153" s="291" t="n"/>
      <c r="DD153" s="39" t="n"/>
      <c r="DE153" s="311" t="n"/>
      <c r="DF153" s="311" t="n"/>
    </row>
    <row r="154" ht="13" customFormat="1" customHeight="1" s="40">
      <c r="A154" s="326" t="n"/>
      <c r="B154" s="291" t="n"/>
      <c r="C154" s="39" t="n"/>
      <c r="D154" s="39" t="n"/>
      <c r="E154" s="291" t="n"/>
      <c r="F154" s="39" t="n"/>
      <c r="G154" s="39" t="n"/>
      <c r="H154" s="291" t="n"/>
      <c r="I154" s="39" t="n"/>
      <c r="J154" s="39" t="n"/>
      <c r="K154" s="291" t="n"/>
      <c r="L154" s="39" t="n"/>
      <c r="M154" s="39" t="n"/>
      <c r="N154" s="291" t="n"/>
      <c r="O154" s="39" t="n"/>
      <c r="P154" s="39" t="n"/>
      <c r="Q154" s="291" t="n"/>
      <c r="R154" s="39" t="n"/>
      <c r="S154" s="39" t="n"/>
      <c r="T154" s="291" t="n"/>
      <c r="U154" s="39" t="n"/>
      <c r="V154" s="39" t="n"/>
      <c r="W154" s="291" t="n"/>
      <c r="X154" s="39" t="n"/>
      <c r="Y154" s="39" t="n"/>
      <c r="Z154" s="291" t="n"/>
      <c r="AA154" s="39" t="n"/>
      <c r="AB154" s="39" t="n"/>
      <c r="AC154" s="291" t="n"/>
      <c r="AD154" s="39" t="n"/>
      <c r="AE154" s="39" t="n"/>
      <c r="AF154" s="291" t="n"/>
      <c r="AG154" s="39" t="n"/>
      <c r="AH154" s="39" t="n"/>
      <c r="AI154" s="291" t="n"/>
      <c r="AJ154" s="39" t="n"/>
      <c r="AK154" s="39" t="n"/>
      <c r="AL154" s="291" t="n"/>
      <c r="AM154" s="291" t="n"/>
      <c r="AN154" s="291" t="n"/>
      <c r="AO154" s="291" t="n"/>
      <c r="AP154" s="291" t="n"/>
      <c r="AQ154" s="291" t="n"/>
      <c r="AR154" s="291" t="n"/>
      <c r="AS154" s="291" t="n"/>
      <c r="AT154" s="291" t="n"/>
      <c r="AU154" s="291" t="n"/>
      <c r="AV154" s="291" t="n"/>
      <c r="AW154" s="291" t="n"/>
      <c r="AX154" s="291" t="n"/>
      <c r="AY154" s="291" t="n"/>
      <c r="AZ154" s="39" t="n"/>
      <c r="BA154" s="291" t="n"/>
      <c r="BB154" s="39" t="n"/>
      <c r="BC154" s="291" t="n"/>
      <c r="BD154" s="39" t="n"/>
      <c r="BE154" s="291" t="n"/>
      <c r="BF154" s="39" t="n"/>
      <c r="BG154" s="291" t="n"/>
      <c r="BH154" s="39" t="n"/>
      <c r="BI154" s="291" t="n"/>
      <c r="BJ154" s="39" t="n"/>
      <c r="BK154" s="291" t="n"/>
      <c r="BL154" s="39" t="n"/>
      <c r="BM154" s="291" t="n"/>
      <c r="BN154" s="39" t="n"/>
      <c r="BO154" s="291" t="n"/>
      <c r="BP154" s="291" t="n"/>
      <c r="BQ154" s="39" t="n"/>
      <c r="BR154" s="291" t="n"/>
      <c r="BS154" s="39" t="n"/>
      <c r="BT154" s="291" t="n"/>
      <c r="BU154" s="39" t="n"/>
      <c r="BV154" s="291" t="n"/>
      <c r="BW154" s="39" t="n"/>
      <c r="BX154" s="291" t="n"/>
      <c r="BY154" s="39" t="n"/>
      <c r="BZ154" s="291" t="n"/>
      <c r="CA154" s="39" t="n"/>
      <c r="CB154" s="291" t="n"/>
      <c r="CC154" s="39" t="n"/>
      <c r="CD154" s="291" t="n"/>
      <c r="CE154" s="39" t="n"/>
      <c r="CF154" s="291" t="n"/>
      <c r="CG154" s="291" t="n"/>
      <c r="CH154" s="291" t="n"/>
      <c r="CI154" s="291" t="n"/>
      <c r="CJ154" s="291" t="n"/>
      <c r="CK154" s="291" t="n"/>
      <c r="CL154" s="291" t="n"/>
      <c r="CM154" s="291" t="n"/>
      <c r="CN154" s="291" t="n"/>
      <c r="CW154" s="291" t="n"/>
      <c r="CX154" s="39" t="n"/>
      <c r="CY154" s="291" t="n"/>
      <c r="CZ154" s="39" t="n"/>
      <c r="DA154" s="291" t="n"/>
      <c r="DB154" s="39" t="n"/>
      <c r="DC154" s="291" t="n"/>
      <c r="DD154" s="39" t="n"/>
      <c r="DE154" s="311" t="n"/>
      <c r="DF154" s="311" t="n"/>
    </row>
    <row r="155" ht="13" customFormat="1" customHeight="1" s="40">
      <c r="A155" s="326" t="n"/>
      <c r="B155" s="291" t="n"/>
      <c r="C155" s="39" t="n"/>
      <c r="D155" s="39" t="n"/>
      <c r="E155" s="291" t="n"/>
      <c r="F155" s="39" t="n"/>
      <c r="G155" s="39" t="n"/>
      <c r="H155" s="291" t="n"/>
      <c r="I155" s="39" t="n"/>
      <c r="J155" s="39" t="n"/>
      <c r="K155" s="291" t="n"/>
      <c r="L155" s="39" t="n"/>
      <c r="M155" s="39" t="n"/>
      <c r="N155" s="291" t="n"/>
      <c r="O155" s="39" t="n"/>
      <c r="P155" s="39" t="n"/>
      <c r="Q155" s="291" t="n"/>
      <c r="R155" s="39" t="n"/>
      <c r="S155" s="39" t="n"/>
      <c r="T155" s="291" t="n"/>
      <c r="U155" s="39" t="n"/>
      <c r="V155" s="39" t="n"/>
      <c r="W155" s="291" t="n"/>
      <c r="X155" s="39" t="n"/>
      <c r="Y155" s="39" t="n"/>
      <c r="Z155" s="291" t="n"/>
      <c r="AA155" s="39" t="n"/>
      <c r="AB155" s="39" t="n"/>
      <c r="AC155" s="291" t="n"/>
      <c r="AD155" s="39" t="n"/>
      <c r="AE155" s="39" t="n"/>
      <c r="AF155" s="291" t="n"/>
      <c r="AG155" s="39" t="n"/>
      <c r="AH155" s="39" t="n"/>
      <c r="AI155" s="291" t="n"/>
      <c r="AJ155" s="39" t="n"/>
      <c r="AK155" s="39" t="n"/>
      <c r="AL155" s="291" t="n"/>
      <c r="AM155" s="291" t="n"/>
      <c r="AN155" s="291" t="n"/>
      <c r="AO155" s="291" t="n"/>
      <c r="AP155" s="291" t="n"/>
      <c r="AQ155" s="291" t="n"/>
      <c r="AR155" s="291" t="n"/>
      <c r="AS155" s="291" t="n"/>
      <c r="AT155" s="291" t="n"/>
      <c r="AU155" s="291" t="n"/>
      <c r="AV155" s="291" t="n"/>
      <c r="AW155" s="291" t="n"/>
      <c r="AX155" s="291" t="n"/>
      <c r="AY155" s="291" t="n"/>
      <c r="AZ155" s="39" t="n"/>
      <c r="BA155" s="291" t="n"/>
      <c r="BB155" s="39" t="n"/>
      <c r="BC155" s="291" t="n"/>
      <c r="BD155" s="39" t="n"/>
      <c r="BE155" s="291" t="n"/>
      <c r="BF155" s="39" t="n"/>
      <c r="BG155" s="291" t="n"/>
      <c r="BH155" s="39" t="n"/>
      <c r="BI155" s="291" t="n"/>
      <c r="BJ155" s="39" t="n"/>
      <c r="BK155" s="291" t="n"/>
      <c r="BL155" s="39" t="n"/>
      <c r="BM155" s="291" t="n"/>
      <c r="BN155" s="39" t="n"/>
      <c r="BO155" s="291" t="n"/>
      <c r="BP155" s="291" t="n"/>
      <c r="BQ155" s="39" t="n"/>
      <c r="BR155" s="291" t="n"/>
      <c r="BS155" s="39" t="n"/>
      <c r="BT155" s="291" t="n"/>
      <c r="BU155" s="39" t="n"/>
      <c r="BV155" s="291" t="n"/>
      <c r="BW155" s="39" t="n"/>
      <c r="BX155" s="291" t="n"/>
      <c r="BY155" s="39" t="n"/>
      <c r="BZ155" s="291" t="n"/>
      <c r="CA155" s="39" t="n"/>
      <c r="CB155" s="291" t="n"/>
      <c r="CC155" s="39" t="n"/>
      <c r="CD155" s="291" t="n"/>
      <c r="CE155" s="39" t="n"/>
      <c r="CF155" s="291" t="n"/>
      <c r="CG155" s="291" t="n"/>
      <c r="CH155" s="291" t="n"/>
      <c r="CI155" s="291" t="n"/>
      <c r="CJ155" s="291" t="n"/>
      <c r="CK155" s="291" t="n"/>
      <c r="CL155" s="291" t="n"/>
      <c r="CM155" s="291" t="n"/>
      <c r="CN155" s="291" t="n"/>
      <c r="CW155" s="291" t="n"/>
      <c r="CX155" s="39" t="n"/>
      <c r="CY155" s="291" t="n"/>
      <c r="CZ155" s="39" t="n"/>
      <c r="DA155" s="291" t="n"/>
      <c r="DB155" s="39" t="n"/>
      <c r="DC155" s="291" t="n"/>
      <c r="DD155" s="39" t="n"/>
      <c r="DE155" s="311" t="n"/>
      <c r="DF155" s="311" t="n"/>
    </row>
    <row r="156" ht="13" customFormat="1" customHeight="1" s="40">
      <c r="A156" s="326" t="n"/>
      <c r="B156" s="291" t="n"/>
      <c r="C156" s="39" t="n"/>
      <c r="D156" s="39" t="n"/>
      <c r="E156" s="291" t="n"/>
      <c r="F156" s="39" t="n"/>
      <c r="G156" s="39" t="n"/>
      <c r="H156" s="291" t="n"/>
      <c r="I156" s="39" t="n"/>
      <c r="J156" s="39" t="n"/>
      <c r="K156" s="291" t="n"/>
      <c r="L156" s="39" t="n"/>
      <c r="M156" s="39" t="n"/>
      <c r="N156" s="291" t="n"/>
      <c r="O156" s="39" t="n"/>
      <c r="P156" s="39" t="n"/>
      <c r="Q156" s="291" t="n"/>
      <c r="R156" s="39" t="n"/>
      <c r="S156" s="39" t="n"/>
      <c r="T156" s="291" t="n"/>
      <c r="U156" s="39" t="n"/>
      <c r="V156" s="39" t="n"/>
      <c r="W156" s="291" t="n"/>
      <c r="X156" s="39" t="n"/>
      <c r="Y156" s="39" t="n"/>
      <c r="Z156" s="291" t="n"/>
      <c r="AA156" s="39" t="n"/>
      <c r="AB156" s="39" t="n"/>
      <c r="AC156" s="291" t="n"/>
      <c r="AD156" s="39" t="n"/>
      <c r="AE156" s="39" t="n"/>
      <c r="AF156" s="291" t="n"/>
      <c r="AG156" s="39" t="n"/>
      <c r="AH156" s="39" t="n"/>
      <c r="AI156" s="291" t="n"/>
      <c r="AJ156" s="39" t="n"/>
      <c r="AK156" s="39" t="n"/>
      <c r="AL156" s="291" t="n"/>
      <c r="AM156" s="291" t="n"/>
      <c r="AN156" s="291" t="n"/>
      <c r="AO156" s="291" t="n"/>
      <c r="AP156" s="291" t="n"/>
      <c r="AQ156" s="291" t="n"/>
      <c r="AR156" s="291" t="n"/>
      <c r="AS156" s="291" t="n"/>
      <c r="AT156" s="291" t="n"/>
      <c r="AU156" s="291" t="n"/>
      <c r="AV156" s="291" t="n"/>
      <c r="AW156" s="291" t="n"/>
      <c r="AX156" s="291" t="n"/>
      <c r="AY156" s="291" t="n"/>
      <c r="AZ156" s="39" t="n"/>
      <c r="BA156" s="291" t="n"/>
      <c r="BB156" s="39" t="n"/>
      <c r="BC156" s="291" t="n"/>
      <c r="BD156" s="39" t="n"/>
      <c r="BE156" s="291" t="n"/>
      <c r="BF156" s="39" t="n"/>
      <c r="BG156" s="291" t="n"/>
      <c r="BH156" s="39" t="n"/>
      <c r="BI156" s="291" t="n"/>
      <c r="BJ156" s="39" t="n"/>
      <c r="BK156" s="291" t="n"/>
      <c r="BL156" s="39" t="n"/>
      <c r="BM156" s="291" t="n"/>
      <c r="BN156" s="39" t="n"/>
      <c r="BO156" s="291" t="n"/>
      <c r="BP156" s="291" t="n"/>
      <c r="BQ156" s="39" t="n"/>
      <c r="BR156" s="291" t="n"/>
      <c r="BS156" s="39" t="n"/>
      <c r="BT156" s="291" t="n"/>
      <c r="BU156" s="39" t="n"/>
      <c r="BV156" s="291" t="n"/>
      <c r="BW156" s="39" t="n"/>
      <c r="BX156" s="291" t="n"/>
      <c r="BY156" s="39" t="n"/>
      <c r="BZ156" s="291" t="n"/>
      <c r="CA156" s="39" t="n"/>
      <c r="CB156" s="291" t="n"/>
      <c r="CC156" s="39" t="n"/>
      <c r="CD156" s="291" t="n"/>
      <c r="CE156" s="39" t="n"/>
      <c r="CF156" s="291" t="n"/>
      <c r="CG156" s="291" t="n"/>
      <c r="CH156" s="291" t="n"/>
      <c r="CI156" s="291" t="n"/>
      <c r="CJ156" s="291" t="n"/>
      <c r="CK156" s="291" t="n"/>
      <c r="CL156" s="291" t="n"/>
      <c r="CM156" s="291" t="n"/>
      <c r="CN156" s="291" t="n"/>
      <c r="CW156" s="291" t="n"/>
      <c r="CX156" s="39" t="n"/>
      <c r="CY156" s="291" t="n"/>
      <c r="CZ156" s="39" t="n"/>
      <c r="DA156" s="291" t="n"/>
      <c r="DB156" s="39" t="n"/>
      <c r="DC156" s="291" t="n"/>
      <c r="DD156" s="39" t="n"/>
      <c r="DE156" s="311" t="n"/>
      <c r="DF156" s="311" t="n"/>
    </row>
    <row r="157" ht="13" customFormat="1" customHeight="1" s="40">
      <c r="A157" s="326" t="n"/>
      <c r="B157" s="291" t="n"/>
      <c r="C157" s="37" t="n"/>
      <c r="D157" s="37" t="n"/>
      <c r="E157" s="291" t="n"/>
      <c r="F157" s="37" t="n"/>
      <c r="G157" s="37" t="n"/>
      <c r="H157" s="291" t="n"/>
      <c r="I157" s="37" t="n"/>
      <c r="J157" s="37" t="n"/>
      <c r="K157" s="291" t="n"/>
      <c r="L157" s="37" t="n"/>
      <c r="M157" s="37" t="n"/>
      <c r="N157" s="291" t="n"/>
      <c r="O157" s="37" t="n"/>
      <c r="P157" s="37" t="n"/>
      <c r="Q157" s="291" t="n"/>
      <c r="R157" s="37" t="n"/>
      <c r="S157" s="37" t="n"/>
      <c r="T157" s="291" t="n"/>
      <c r="U157" s="37" t="n"/>
      <c r="V157" s="37" t="n"/>
      <c r="W157" s="291" t="n"/>
      <c r="X157" s="37" t="n"/>
      <c r="Y157" s="37" t="n"/>
      <c r="Z157" s="291" t="n"/>
      <c r="AA157" s="37" t="n"/>
      <c r="AB157" s="37" t="n"/>
      <c r="AC157" s="291" t="n"/>
      <c r="AD157" s="37" t="n"/>
      <c r="AE157" s="37" t="n"/>
      <c r="AF157" s="291" t="n"/>
      <c r="AG157" s="37" t="n"/>
      <c r="AH157" s="37" t="n"/>
      <c r="AI157" s="291" t="n"/>
      <c r="AJ157" s="37" t="n"/>
      <c r="AK157" s="37" t="n"/>
      <c r="AL157" s="291" t="n"/>
      <c r="AM157" s="291" t="n"/>
      <c r="AN157" s="291" t="n"/>
      <c r="AO157" s="291" t="n"/>
      <c r="AP157" s="291" t="n"/>
      <c r="AQ157" s="291" t="n"/>
      <c r="AR157" s="291" t="n"/>
      <c r="AS157" s="291" t="n"/>
      <c r="AT157" s="291" t="n"/>
      <c r="AU157" s="291" t="n"/>
      <c r="AV157" s="291" t="n"/>
      <c r="AW157" s="291" t="n"/>
      <c r="AX157" s="291" t="n"/>
      <c r="AY157" s="291" t="n"/>
      <c r="AZ157" s="291" t="n"/>
      <c r="BA157" s="291" t="n"/>
      <c r="BB157" s="291" t="n"/>
      <c r="BC157" s="291" t="n"/>
      <c r="BD157" s="291" t="n"/>
      <c r="BE157" s="291" t="n"/>
      <c r="BF157" s="291" t="n"/>
      <c r="BG157" s="291" t="n"/>
      <c r="BH157" s="291" t="n"/>
      <c r="BI157" s="291" t="n"/>
      <c r="BJ157" s="291" t="n"/>
      <c r="BK157" s="291" t="n"/>
      <c r="BL157" s="291" t="n"/>
      <c r="BM157" s="291" t="n"/>
      <c r="BN157" s="291" t="n"/>
      <c r="BO157" s="291" t="n"/>
      <c r="BP157" s="291" t="n"/>
      <c r="BQ157" s="291" t="n"/>
      <c r="BR157" s="291" t="n"/>
      <c r="BS157" s="291" t="n"/>
      <c r="BT157" s="291" t="n"/>
      <c r="BU157" s="291" t="n"/>
      <c r="BV157" s="291" t="n"/>
      <c r="BW157" s="291" t="n"/>
      <c r="BX157" s="291" t="n"/>
      <c r="BY157" s="291" t="n"/>
      <c r="BZ157" s="291" t="n"/>
      <c r="CA157" s="291" t="n"/>
      <c r="CB157" s="291" t="n"/>
      <c r="CC157" s="291" t="n"/>
      <c r="CD157" s="291" t="n"/>
      <c r="CE157" s="291" t="n"/>
      <c r="CF157" s="291" t="n"/>
      <c r="CG157" s="291" t="n"/>
      <c r="CH157" s="291" t="n"/>
      <c r="CI157" s="291" t="n"/>
      <c r="CJ157" s="291" t="n"/>
      <c r="CK157" s="291" t="n"/>
      <c r="CL157" s="291" t="n"/>
      <c r="CM157" s="291" t="n"/>
      <c r="CN157" s="291" t="n"/>
      <c r="CW157" s="291" t="n"/>
      <c r="CX157" s="291" t="n"/>
      <c r="CY157" s="291" t="n"/>
      <c r="CZ157" s="291" t="n"/>
      <c r="DA157" s="291" t="n"/>
      <c r="DB157" s="291" t="n"/>
      <c r="DC157" s="291" t="n"/>
      <c r="DD157" s="291" t="n"/>
      <c r="DE157" s="311" t="n"/>
      <c r="DF157" s="311" t="n"/>
    </row>
    <row r="158" ht="13" customFormat="1" customHeight="1" s="40">
      <c r="A158" s="326" t="n"/>
      <c r="B158" s="291" t="n"/>
      <c r="C158" s="39" t="n"/>
      <c r="D158" s="39" t="n"/>
      <c r="E158" s="291" t="n"/>
      <c r="F158" s="39" t="n"/>
      <c r="G158" s="39" t="n"/>
      <c r="H158" s="291" t="n"/>
      <c r="I158" s="39" t="n"/>
      <c r="J158" s="39" t="n"/>
      <c r="K158" s="291" t="n"/>
      <c r="L158" s="39" t="n"/>
      <c r="M158" s="39" t="n"/>
      <c r="N158" s="291" t="n"/>
      <c r="O158" s="39" t="n"/>
      <c r="P158" s="39" t="n"/>
      <c r="Q158" s="291" t="n"/>
      <c r="R158" s="39" t="n"/>
      <c r="S158" s="39" t="n"/>
      <c r="T158" s="291" t="n"/>
      <c r="U158" s="39" t="n"/>
      <c r="V158" s="39" t="n"/>
      <c r="W158" s="291" t="n"/>
      <c r="X158" s="39" t="n"/>
      <c r="Y158" s="39" t="n"/>
      <c r="Z158" s="291" t="n"/>
      <c r="AA158" s="39" t="n"/>
      <c r="AB158" s="39" t="n"/>
      <c r="AC158" s="291" t="n"/>
      <c r="AD158" s="39" t="n"/>
      <c r="AE158" s="39" t="n"/>
      <c r="AF158" s="291" t="n"/>
      <c r="AG158" s="39" t="n"/>
      <c r="AH158" s="39" t="n"/>
      <c r="AI158" s="291" t="n"/>
      <c r="AJ158" s="39" t="n"/>
      <c r="AK158" s="39" t="n"/>
      <c r="AL158" s="291" t="n"/>
      <c r="AM158" s="291" t="n"/>
      <c r="AN158" s="291" t="n"/>
      <c r="AO158" s="291" t="n"/>
      <c r="AP158" s="291" t="n"/>
      <c r="AQ158" s="291" t="n"/>
      <c r="AR158" s="291" t="n"/>
      <c r="AS158" s="291" t="n"/>
      <c r="AT158" s="291" t="n"/>
      <c r="AU158" s="291" t="n"/>
      <c r="AV158" s="291" t="n"/>
      <c r="AW158" s="291" t="n"/>
      <c r="AX158" s="291" t="n"/>
      <c r="AY158" s="291" t="n"/>
      <c r="AZ158" s="39" t="n"/>
      <c r="BA158" s="291" t="n"/>
      <c r="BB158" s="39" t="n"/>
      <c r="BC158" s="291" t="n"/>
      <c r="BD158" s="39" t="n"/>
      <c r="BE158" s="291" t="n"/>
      <c r="BF158" s="39" t="n"/>
      <c r="BG158" s="291" t="n"/>
      <c r="BH158" s="39" t="n"/>
      <c r="BI158" s="291" t="n"/>
      <c r="BJ158" s="39" t="n"/>
      <c r="BK158" s="291" t="n"/>
      <c r="BL158" s="39" t="n"/>
      <c r="BM158" s="291" t="n"/>
      <c r="BN158" s="39" t="n"/>
      <c r="BO158" s="291" t="n"/>
      <c r="BP158" s="291" t="n"/>
      <c r="BQ158" s="39" t="n"/>
      <c r="BR158" s="291" t="n"/>
      <c r="BS158" s="39" t="n"/>
      <c r="BT158" s="291" t="n"/>
      <c r="BU158" s="39" t="n"/>
      <c r="BV158" s="291" t="n"/>
      <c r="BW158" s="39" t="n"/>
      <c r="BX158" s="291" t="n"/>
      <c r="BY158" s="39" t="n"/>
      <c r="BZ158" s="291" t="n"/>
      <c r="CA158" s="39" t="n"/>
      <c r="CB158" s="291" t="n"/>
      <c r="CC158" s="39" t="n"/>
      <c r="CD158" s="291" t="n"/>
      <c r="CE158" s="39" t="n"/>
      <c r="CF158" s="291" t="n"/>
      <c r="CG158" s="291" t="n"/>
      <c r="CH158" s="291" t="n"/>
      <c r="CI158" s="291" t="n"/>
      <c r="CJ158" s="291" t="n"/>
      <c r="CK158" s="291" t="n"/>
      <c r="CL158" s="291" t="n"/>
      <c r="CM158" s="291" t="n"/>
      <c r="CN158" s="291" t="n"/>
      <c r="CW158" s="291" t="n"/>
      <c r="CX158" s="39" t="n"/>
      <c r="CY158" s="291" t="n"/>
      <c r="CZ158" s="39" t="n"/>
      <c r="DA158" s="291" t="n"/>
      <c r="DB158" s="39" t="n"/>
      <c r="DC158" s="291" t="n"/>
      <c r="DD158" s="39" t="n"/>
      <c r="DE158" s="311" t="n"/>
      <c r="DF158" s="311" t="n"/>
    </row>
    <row r="159" ht="13" customFormat="1" customHeight="1" s="40">
      <c r="A159" s="326" t="n"/>
      <c r="B159" s="291" t="n"/>
      <c r="C159" s="39" t="n"/>
      <c r="D159" s="39" t="n"/>
      <c r="E159" s="291" t="n"/>
      <c r="F159" s="39" t="n"/>
      <c r="G159" s="39" t="n"/>
      <c r="H159" s="291" t="n"/>
      <c r="I159" s="39" t="n"/>
      <c r="J159" s="39" t="n"/>
      <c r="K159" s="291" t="n"/>
      <c r="L159" s="39" t="n"/>
      <c r="M159" s="39" t="n"/>
      <c r="N159" s="291" t="n"/>
      <c r="O159" s="39" t="n"/>
      <c r="P159" s="39" t="n"/>
      <c r="Q159" s="291" t="n"/>
      <c r="R159" s="39" t="n"/>
      <c r="S159" s="39" t="n"/>
      <c r="T159" s="291" t="n"/>
      <c r="U159" s="39" t="n"/>
      <c r="V159" s="39" t="n"/>
      <c r="W159" s="291" t="n"/>
      <c r="X159" s="39" t="n"/>
      <c r="Y159" s="39" t="n"/>
      <c r="Z159" s="291" t="n"/>
      <c r="AA159" s="39" t="n"/>
      <c r="AB159" s="39" t="n"/>
      <c r="AC159" s="291" t="n"/>
      <c r="AD159" s="39" t="n"/>
      <c r="AE159" s="39" t="n"/>
      <c r="AF159" s="291" t="n"/>
      <c r="AG159" s="39" t="n"/>
      <c r="AH159" s="39" t="n"/>
      <c r="AI159" s="291" t="n"/>
      <c r="AJ159" s="39" t="n"/>
      <c r="AK159" s="39" t="n"/>
      <c r="AL159" s="291" t="n"/>
      <c r="AM159" s="291" t="n"/>
      <c r="AN159" s="291" t="n"/>
      <c r="AO159" s="291" t="n"/>
      <c r="AP159" s="291" t="n"/>
      <c r="AQ159" s="291" t="n"/>
      <c r="AR159" s="291" t="n"/>
      <c r="AS159" s="291" t="n"/>
      <c r="AT159" s="291" t="n"/>
      <c r="AU159" s="291" t="n"/>
      <c r="AV159" s="291" t="n"/>
      <c r="AW159" s="291" t="n"/>
      <c r="AX159" s="291" t="n"/>
      <c r="AY159" s="291" t="n"/>
      <c r="AZ159" s="39" t="n"/>
      <c r="BA159" s="291" t="n"/>
      <c r="BB159" s="39" t="n"/>
      <c r="BC159" s="291" t="n"/>
      <c r="BD159" s="39" t="n"/>
      <c r="BE159" s="291" t="n"/>
      <c r="BF159" s="39" t="n"/>
      <c r="BG159" s="291" t="n"/>
      <c r="BH159" s="39" t="n"/>
      <c r="BI159" s="291" t="n"/>
      <c r="BJ159" s="39" t="n"/>
      <c r="BK159" s="291" t="n"/>
      <c r="BL159" s="39" t="n"/>
      <c r="BM159" s="291" t="n"/>
      <c r="BN159" s="39" t="n"/>
      <c r="BO159" s="291" t="n"/>
      <c r="BP159" s="291" t="n"/>
      <c r="BQ159" s="39" t="n"/>
      <c r="BR159" s="291" t="n"/>
      <c r="BS159" s="39" t="n"/>
      <c r="BT159" s="291" t="n"/>
      <c r="BU159" s="39" t="n"/>
      <c r="BV159" s="291" t="n"/>
      <c r="BW159" s="39" t="n"/>
      <c r="BX159" s="291" t="n"/>
      <c r="BY159" s="39" t="n"/>
      <c r="BZ159" s="291" t="n"/>
      <c r="CA159" s="39" t="n"/>
      <c r="CB159" s="291" t="n"/>
      <c r="CC159" s="39" t="n"/>
      <c r="CD159" s="291" t="n"/>
      <c r="CE159" s="39" t="n"/>
      <c r="CF159" s="291" t="n"/>
      <c r="CG159" s="291" t="n"/>
      <c r="CH159" s="291" t="n"/>
      <c r="CI159" s="291" t="n"/>
      <c r="CJ159" s="291" t="n"/>
      <c r="CK159" s="291" t="n"/>
      <c r="CL159" s="291" t="n"/>
      <c r="CM159" s="291" t="n"/>
      <c r="CN159" s="291" t="n"/>
      <c r="CW159" s="291" t="n"/>
      <c r="CX159" s="39" t="n"/>
      <c r="CY159" s="291" t="n"/>
      <c r="CZ159" s="39" t="n"/>
      <c r="DA159" s="291" t="n"/>
      <c r="DB159" s="39" t="n"/>
      <c r="DC159" s="291" t="n"/>
      <c r="DD159" s="39" t="n"/>
      <c r="DE159" s="311" t="n"/>
      <c r="DF159" s="311" t="n"/>
    </row>
    <row r="160" ht="13" customFormat="1" customHeight="1" s="40">
      <c r="A160" s="326" t="n"/>
      <c r="B160" s="291" t="n"/>
      <c r="C160" s="39" t="n"/>
      <c r="D160" s="39" t="n"/>
      <c r="E160" s="291" t="n"/>
      <c r="F160" s="39" t="n"/>
      <c r="G160" s="39" t="n"/>
      <c r="H160" s="291" t="n"/>
      <c r="I160" s="39" t="n"/>
      <c r="J160" s="39" t="n"/>
      <c r="K160" s="291" t="n"/>
      <c r="L160" s="39" t="n"/>
      <c r="M160" s="39" t="n"/>
      <c r="N160" s="291" t="n"/>
      <c r="O160" s="39" t="n"/>
      <c r="P160" s="39" t="n"/>
      <c r="Q160" s="291" t="n"/>
      <c r="R160" s="39" t="n"/>
      <c r="S160" s="39" t="n"/>
      <c r="T160" s="291" t="n"/>
      <c r="U160" s="39" t="n"/>
      <c r="V160" s="39" t="n"/>
      <c r="W160" s="291" t="n"/>
      <c r="X160" s="39" t="n"/>
      <c r="Y160" s="39" t="n"/>
      <c r="Z160" s="291" t="n"/>
      <c r="AA160" s="39" t="n"/>
      <c r="AB160" s="39" t="n"/>
      <c r="AC160" s="291" t="n"/>
      <c r="AD160" s="39" t="n"/>
      <c r="AE160" s="39" t="n"/>
      <c r="AF160" s="291" t="n"/>
      <c r="AG160" s="39" t="n"/>
      <c r="AH160" s="39" t="n"/>
      <c r="AI160" s="291" t="n"/>
      <c r="AJ160" s="39" t="n"/>
      <c r="AK160" s="39" t="n"/>
      <c r="AL160" s="291" t="n"/>
      <c r="AM160" s="291" t="n"/>
      <c r="AN160" s="291" t="n"/>
      <c r="AO160" s="291" t="n"/>
      <c r="AP160" s="291" t="n"/>
      <c r="AQ160" s="291" t="n"/>
      <c r="AR160" s="291" t="n"/>
      <c r="AS160" s="291" t="n"/>
      <c r="AT160" s="291" t="n"/>
      <c r="AU160" s="291" t="n"/>
      <c r="AV160" s="291" t="n"/>
      <c r="AW160" s="291" t="n"/>
      <c r="AX160" s="291" t="n"/>
      <c r="AY160" s="291" t="n"/>
      <c r="AZ160" s="39" t="n"/>
      <c r="BA160" s="291" t="n"/>
      <c r="BB160" s="39" t="n"/>
      <c r="BC160" s="291" t="n"/>
      <c r="BD160" s="39" t="n"/>
      <c r="BE160" s="291" t="n"/>
      <c r="BF160" s="39" t="n"/>
      <c r="BG160" s="291" t="n"/>
      <c r="BH160" s="39" t="n"/>
      <c r="BI160" s="291" t="n"/>
      <c r="BJ160" s="39" t="n"/>
      <c r="BK160" s="291" t="n"/>
      <c r="BL160" s="39" t="n"/>
      <c r="BM160" s="291" t="n"/>
      <c r="BN160" s="39" t="n"/>
      <c r="BO160" s="291" t="n"/>
      <c r="BP160" s="291" t="n"/>
      <c r="BQ160" s="39" t="n"/>
      <c r="BR160" s="291" t="n"/>
      <c r="BS160" s="39" t="n"/>
      <c r="BT160" s="291" t="n"/>
      <c r="BU160" s="39" t="n"/>
      <c r="BV160" s="291" t="n"/>
      <c r="BW160" s="39" t="n"/>
      <c r="BX160" s="291" t="n"/>
      <c r="BY160" s="39" t="n"/>
      <c r="BZ160" s="291" t="n"/>
      <c r="CA160" s="39" t="n"/>
      <c r="CB160" s="291" t="n"/>
      <c r="CC160" s="39" t="n"/>
      <c r="CD160" s="291" t="n"/>
      <c r="CE160" s="39" t="n"/>
      <c r="CF160" s="291" t="n"/>
      <c r="CG160" s="291" t="n"/>
      <c r="CH160" s="291" t="n"/>
      <c r="CI160" s="291" t="n"/>
      <c r="CJ160" s="291" t="n"/>
      <c r="CK160" s="291" t="n"/>
      <c r="CL160" s="291" t="n"/>
      <c r="CM160" s="291" t="n"/>
      <c r="CN160" s="291" t="n"/>
      <c r="CW160" s="291" t="n"/>
      <c r="CX160" s="39" t="n"/>
      <c r="CY160" s="291" t="n"/>
      <c r="CZ160" s="39" t="n"/>
      <c r="DA160" s="291" t="n"/>
      <c r="DB160" s="39" t="n"/>
      <c r="DC160" s="291" t="n"/>
      <c r="DD160" s="39" t="n"/>
      <c r="DE160" s="311" t="n"/>
      <c r="DF160" s="311" t="n"/>
    </row>
    <row r="161" ht="13" customFormat="1" customHeight="1" s="40">
      <c r="A161" s="326" t="n"/>
      <c r="B161" s="291" t="n"/>
      <c r="C161" s="39" t="n"/>
      <c r="D161" s="39" t="n"/>
      <c r="E161" s="291" t="n"/>
      <c r="F161" s="39" t="n"/>
      <c r="G161" s="39" t="n"/>
      <c r="H161" s="291" t="n"/>
      <c r="I161" s="39" t="n"/>
      <c r="J161" s="39" t="n"/>
      <c r="K161" s="291" t="n"/>
      <c r="L161" s="39" t="n"/>
      <c r="M161" s="39" t="n"/>
      <c r="N161" s="291" t="n"/>
      <c r="O161" s="39" t="n"/>
      <c r="P161" s="39" t="n"/>
      <c r="Q161" s="291" t="n"/>
      <c r="R161" s="39" t="n"/>
      <c r="S161" s="39" t="n"/>
      <c r="T161" s="291" t="n"/>
      <c r="U161" s="39" t="n"/>
      <c r="V161" s="39" t="n"/>
      <c r="W161" s="291" t="n"/>
      <c r="X161" s="39" t="n"/>
      <c r="Y161" s="39" t="n"/>
      <c r="Z161" s="291" t="n"/>
      <c r="AA161" s="39" t="n"/>
      <c r="AB161" s="39" t="n"/>
      <c r="AC161" s="291" t="n"/>
      <c r="AD161" s="39" t="n"/>
      <c r="AE161" s="39" t="n"/>
      <c r="AF161" s="291" t="n"/>
      <c r="AG161" s="39" t="n"/>
      <c r="AH161" s="39" t="n"/>
      <c r="AI161" s="291" t="n"/>
      <c r="AJ161" s="39" t="n"/>
      <c r="AK161" s="39" t="n"/>
      <c r="AL161" s="291" t="n"/>
      <c r="AM161" s="291" t="n"/>
      <c r="AN161" s="291" t="n"/>
      <c r="AO161" s="291" t="n"/>
      <c r="AP161" s="291" t="n"/>
      <c r="AQ161" s="291" t="n"/>
      <c r="AR161" s="291" t="n"/>
      <c r="AS161" s="291" t="n"/>
      <c r="AT161" s="291" t="n"/>
      <c r="AU161" s="291" t="n"/>
      <c r="AV161" s="291" t="n"/>
      <c r="AW161" s="291" t="n"/>
      <c r="AX161" s="291" t="n"/>
      <c r="AY161" s="291" t="n"/>
      <c r="AZ161" s="39" t="n"/>
      <c r="BA161" s="291" t="n"/>
      <c r="BB161" s="39" t="n"/>
      <c r="BC161" s="291" t="n"/>
      <c r="BD161" s="39" t="n"/>
      <c r="BE161" s="291" t="n"/>
      <c r="BF161" s="39" t="n"/>
      <c r="BG161" s="291" t="n"/>
      <c r="BH161" s="39" t="n"/>
      <c r="BI161" s="291" t="n"/>
      <c r="BJ161" s="39" t="n"/>
      <c r="BK161" s="291" t="n"/>
      <c r="BL161" s="39" t="n"/>
      <c r="BM161" s="291" t="n"/>
      <c r="BN161" s="39" t="n"/>
      <c r="BO161" s="291" t="n"/>
      <c r="BP161" s="291" t="n"/>
      <c r="BQ161" s="39" t="n"/>
      <c r="BR161" s="291" t="n"/>
      <c r="BS161" s="39" t="n"/>
      <c r="BT161" s="291" t="n"/>
      <c r="BU161" s="39" t="n"/>
      <c r="BV161" s="291" t="n"/>
      <c r="BW161" s="39" t="n"/>
      <c r="BX161" s="291" t="n"/>
      <c r="BY161" s="39" t="n"/>
      <c r="BZ161" s="291" t="n"/>
      <c r="CA161" s="39" t="n"/>
      <c r="CB161" s="291" t="n"/>
      <c r="CC161" s="39" t="n"/>
      <c r="CD161" s="291" t="n"/>
      <c r="CE161" s="39" t="n"/>
      <c r="CF161" s="291" t="n"/>
      <c r="CG161" s="291" t="n"/>
      <c r="CH161" s="291" t="n"/>
      <c r="CI161" s="291" t="n"/>
      <c r="CJ161" s="291" t="n"/>
      <c r="CK161" s="291" t="n"/>
      <c r="CL161" s="291" t="n"/>
      <c r="CM161" s="291" t="n"/>
      <c r="CN161" s="291" t="n"/>
      <c r="CW161" s="291" t="n"/>
      <c r="CX161" s="39" t="n"/>
      <c r="CY161" s="291" t="n"/>
      <c r="CZ161" s="39" t="n"/>
      <c r="DA161" s="291" t="n"/>
      <c r="DB161" s="39" t="n"/>
      <c r="DC161" s="291" t="n"/>
      <c r="DD161" s="39" t="n"/>
      <c r="DE161" s="311" t="n"/>
      <c r="DF161" s="311" t="n"/>
    </row>
    <row r="162" ht="13" customFormat="1" customHeight="1" s="40">
      <c r="A162" s="326" t="n"/>
      <c r="B162" s="291" t="n"/>
      <c r="C162" s="37" t="n"/>
      <c r="D162" s="37" t="n"/>
      <c r="E162" s="291" t="n"/>
      <c r="F162" s="37" t="n"/>
      <c r="G162" s="37" t="n"/>
      <c r="H162" s="291" t="n"/>
      <c r="I162" s="37" t="n"/>
      <c r="J162" s="37" t="n"/>
      <c r="K162" s="291" t="n"/>
      <c r="L162" s="37" t="n"/>
      <c r="M162" s="37" t="n"/>
      <c r="N162" s="291" t="n"/>
      <c r="O162" s="37" t="n"/>
      <c r="P162" s="37" t="n"/>
      <c r="Q162" s="291" t="n"/>
      <c r="R162" s="37" t="n"/>
      <c r="S162" s="37" t="n"/>
      <c r="T162" s="291" t="n"/>
      <c r="U162" s="37" t="n"/>
      <c r="V162" s="37" t="n"/>
      <c r="W162" s="291" t="n"/>
      <c r="X162" s="37" t="n"/>
      <c r="Y162" s="37" t="n"/>
      <c r="Z162" s="291" t="n"/>
      <c r="AA162" s="37" t="n"/>
      <c r="AB162" s="37" t="n"/>
      <c r="AC162" s="291" t="n"/>
      <c r="AD162" s="37" t="n"/>
      <c r="AE162" s="37" t="n"/>
      <c r="AF162" s="291" t="n"/>
      <c r="AG162" s="37" t="n"/>
      <c r="AH162" s="37" t="n"/>
      <c r="AI162" s="291" t="n"/>
      <c r="AJ162" s="37" t="n"/>
      <c r="AK162" s="37" t="n"/>
      <c r="AL162" s="291" t="n"/>
      <c r="AM162" s="291" t="n"/>
      <c r="AN162" s="291" t="n"/>
      <c r="AO162" s="291" t="n"/>
      <c r="AP162" s="291" t="n"/>
      <c r="AQ162" s="291" t="n"/>
      <c r="AR162" s="291" t="n"/>
      <c r="AS162" s="291" t="n"/>
      <c r="AT162" s="291" t="n"/>
      <c r="AU162" s="291" t="n"/>
      <c r="AV162" s="291" t="n"/>
      <c r="AW162" s="291" t="n"/>
      <c r="AX162" s="291" t="n"/>
      <c r="AY162" s="291" t="n"/>
      <c r="AZ162" s="291" t="n"/>
      <c r="BA162" s="291" t="n"/>
      <c r="BB162" s="291" t="n"/>
      <c r="BC162" s="291" t="n"/>
      <c r="BD162" s="291" t="n"/>
      <c r="BE162" s="291" t="n"/>
      <c r="BF162" s="291" t="n"/>
      <c r="BG162" s="291" t="n"/>
      <c r="BH162" s="291" t="n"/>
      <c r="BI162" s="291" t="n"/>
      <c r="BJ162" s="291" t="n"/>
      <c r="BK162" s="291" t="n"/>
      <c r="BL162" s="291" t="n"/>
      <c r="BM162" s="291" t="n"/>
      <c r="BN162" s="291" t="n"/>
      <c r="BO162" s="291" t="n"/>
      <c r="BP162" s="291" t="n"/>
      <c r="BQ162" s="291" t="n"/>
      <c r="BR162" s="291" t="n"/>
      <c r="BS162" s="291" t="n"/>
      <c r="BT162" s="291" t="n"/>
      <c r="BU162" s="291" t="n"/>
      <c r="BV162" s="291" t="n"/>
      <c r="BW162" s="291" t="n"/>
      <c r="BX162" s="291" t="n"/>
      <c r="BY162" s="291" t="n"/>
      <c r="BZ162" s="291" t="n"/>
      <c r="CA162" s="291" t="n"/>
      <c r="CB162" s="291" t="n"/>
      <c r="CC162" s="291" t="n"/>
      <c r="CD162" s="291" t="n"/>
      <c r="CE162" s="291" t="n"/>
      <c r="CF162" s="291" t="n"/>
      <c r="CG162" s="291" t="n"/>
      <c r="CH162" s="291" t="n"/>
      <c r="CI162" s="291" t="n"/>
      <c r="CJ162" s="291" t="n"/>
      <c r="CK162" s="291" t="n"/>
      <c r="CL162" s="291" t="n"/>
      <c r="CM162" s="291" t="n"/>
      <c r="CN162" s="291" t="n"/>
      <c r="CW162" s="291" t="n"/>
      <c r="CX162" s="291" t="n"/>
      <c r="CY162" s="291" t="n"/>
      <c r="CZ162" s="291" t="n"/>
      <c r="DA162" s="291" t="n"/>
      <c r="DB162" s="291" t="n"/>
      <c r="DC162" s="291" t="n"/>
      <c r="DD162" s="291" t="n"/>
      <c r="DE162" s="311" t="n"/>
      <c r="DF162" s="311" t="n"/>
    </row>
    <row r="163" ht="13" customFormat="1" customHeight="1" s="40">
      <c r="A163" s="326" t="n"/>
      <c r="B163" s="291" t="n"/>
      <c r="C163" s="39" t="n"/>
      <c r="D163" s="39" t="n"/>
      <c r="E163" s="291" t="n"/>
      <c r="F163" s="39" t="n"/>
      <c r="G163" s="39" t="n"/>
      <c r="H163" s="291" t="n"/>
      <c r="I163" s="39" t="n"/>
      <c r="J163" s="39" t="n"/>
      <c r="K163" s="291" t="n"/>
      <c r="L163" s="39" t="n"/>
      <c r="M163" s="39" t="n"/>
      <c r="N163" s="291" t="n"/>
      <c r="O163" s="39" t="n"/>
      <c r="P163" s="39" t="n"/>
      <c r="Q163" s="291" t="n"/>
      <c r="R163" s="39" t="n"/>
      <c r="S163" s="39" t="n"/>
      <c r="T163" s="291" t="n"/>
      <c r="U163" s="39" t="n"/>
      <c r="V163" s="39" t="n"/>
      <c r="W163" s="291" t="n"/>
      <c r="X163" s="39" t="n"/>
      <c r="Y163" s="39" t="n"/>
      <c r="Z163" s="291" t="n"/>
      <c r="AA163" s="39" t="n"/>
      <c r="AB163" s="39" t="n"/>
      <c r="AC163" s="291" t="n"/>
      <c r="AD163" s="39" t="n"/>
      <c r="AE163" s="39" t="n"/>
      <c r="AF163" s="291" t="n"/>
      <c r="AG163" s="39" t="n"/>
      <c r="AH163" s="39" t="n"/>
      <c r="AI163" s="291" t="n"/>
      <c r="AJ163" s="39" t="n"/>
      <c r="AK163" s="39" t="n"/>
      <c r="AL163" s="291" t="n"/>
      <c r="AM163" s="291" t="n"/>
      <c r="AN163" s="291" t="n"/>
      <c r="AO163" s="291" t="n"/>
      <c r="AP163" s="291" t="n"/>
      <c r="AQ163" s="291" t="n"/>
      <c r="AR163" s="291" t="n"/>
      <c r="AS163" s="291" t="n"/>
      <c r="AT163" s="291" t="n"/>
      <c r="AU163" s="291" t="n"/>
      <c r="AV163" s="291" t="n"/>
      <c r="AW163" s="291" t="n"/>
      <c r="AX163" s="291" t="n"/>
      <c r="AY163" s="291" t="n"/>
      <c r="AZ163" s="39" t="n"/>
      <c r="BA163" s="291" t="n"/>
      <c r="BB163" s="39" t="n"/>
      <c r="BC163" s="291" t="n"/>
      <c r="BD163" s="39" t="n"/>
      <c r="BE163" s="291" t="n"/>
      <c r="BF163" s="39" t="n"/>
      <c r="BG163" s="291" t="n"/>
      <c r="BH163" s="39" t="n"/>
      <c r="BI163" s="291" t="n"/>
      <c r="BJ163" s="39" t="n"/>
      <c r="BK163" s="291" t="n"/>
      <c r="BL163" s="39" t="n"/>
      <c r="BM163" s="291" t="n"/>
      <c r="BN163" s="39" t="n"/>
      <c r="BO163" s="291" t="n"/>
      <c r="BP163" s="291" t="n"/>
      <c r="BQ163" s="39" t="n"/>
      <c r="BR163" s="291" t="n"/>
      <c r="BS163" s="39" t="n"/>
      <c r="BT163" s="291" t="n"/>
      <c r="BU163" s="39" t="n"/>
      <c r="BV163" s="291" t="n"/>
      <c r="BW163" s="39" t="n"/>
      <c r="BX163" s="291" t="n"/>
      <c r="BY163" s="39" t="n"/>
      <c r="BZ163" s="291" t="n"/>
      <c r="CA163" s="39" t="n"/>
      <c r="CB163" s="291" t="n"/>
      <c r="CC163" s="39" t="n"/>
      <c r="CD163" s="291" t="n"/>
      <c r="CE163" s="39" t="n"/>
      <c r="CF163" s="291" t="n"/>
      <c r="CG163" s="291" t="n"/>
      <c r="CH163" s="291" t="n"/>
      <c r="CI163" s="291" t="n"/>
      <c r="CJ163" s="291" t="n"/>
      <c r="CK163" s="291" t="n"/>
      <c r="CL163" s="291" t="n"/>
      <c r="CM163" s="291" t="n"/>
      <c r="CN163" s="291" t="n"/>
      <c r="CW163" s="291" t="n"/>
      <c r="CX163" s="39" t="n"/>
      <c r="CY163" s="291" t="n"/>
      <c r="CZ163" s="39" t="n"/>
      <c r="DA163" s="291" t="n"/>
      <c r="DB163" s="39" t="n"/>
      <c r="DC163" s="291" t="n"/>
      <c r="DD163" s="39" t="n"/>
      <c r="DE163" s="311" t="n"/>
      <c r="DF163" s="311" t="n"/>
    </row>
    <row r="164" ht="13" customFormat="1" customHeight="1" s="40">
      <c r="A164" s="326" t="n"/>
      <c r="B164" s="291" t="n"/>
      <c r="C164" s="39" t="n"/>
      <c r="D164" s="39" t="n"/>
      <c r="E164" s="291" t="n"/>
      <c r="F164" s="39" t="n"/>
      <c r="G164" s="39" t="n"/>
      <c r="H164" s="291" t="n"/>
      <c r="I164" s="39" t="n"/>
      <c r="J164" s="39" t="n"/>
      <c r="K164" s="291" t="n"/>
      <c r="L164" s="39" t="n"/>
      <c r="M164" s="39" t="n"/>
      <c r="N164" s="291" t="n"/>
      <c r="O164" s="39" t="n"/>
      <c r="P164" s="39" t="n"/>
      <c r="Q164" s="291" t="n"/>
      <c r="R164" s="39" t="n"/>
      <c r="S164" s="39" t="n"/>
      <c r="T164" s="291" t="n"/>
      <c r="U164" s="39" t="n"/>
      <c r="V164" s="39" t="n"/>
      <c r="W164" s="291" t="n"/>
      <c r="X164" s="39" t="n"/>
      <c r="Y164" s="39" t="n"/>
      <c r="Z164" s="291" t="n"/>
      <c r="AA164" s="39" t="n"/>
      <c r="AB164" s="39" t="n"/>
      <c r="AC164" s="291" t="n"/>
      <c r="AD164" s="39" t="n"/>
      <c r="AE164" s="39" t="n"/>
      <c r="AF164" s="291" t="n"/>
      <c r="AG164" s="39" t="n"/>
      <c r="AH164" s="39" t="n"/>
      <c r="AI164" s="291" t="n"/>
      <c r="AJ164" s="39" t="n"/>
      <c r="AK164" s="39" t="n"/>
      <c r="AL164" s="291" t="n"/>
      <c r="AM164" s="291" t="n"/>
      <c r="AN164" s="291" t="n"/>
      <c r="AO164" s="291" t="n"/>
      <c r="AP164" s="291" t="n"/>
      <c r="AQ164" s="291" t="n"/>
      <c r="AR164" s="291" t="n"/>
      <c r="AS164" s="291" t="n"/>
      <c r="AT164" s="291" t="n"/>
      <c r="AU164" s="291" t="n"/>
      <c r="AV164" s="291" t="n"/>
      <c r="AW164" s="291" t="n"/>
      <c r="AX164" s="291" t="n"/>
      <c r="AY164" s="291" t="n"/>
      <c r="AZ164" s="39" t="n"/>
      <c r="BA164" s="291" t="n"/>
      <c r="BB164" s="39" t="n"/>
      <c r="BC164" s="291" t="n"/>
      <c r="BD164" s="39" t="n"/>
      <c r="BE164" s="291" t="n"/>
      <c r="BF164" s="39" t="n"/>
      <c r="BG164" s="291" t="n"/>
      <c r="BH164" s="39" t="n"/>
      <c r="BI164" s="291" t="n"/>
      <c r="BJ164" s="39" t="n"/>
      <c r="BK164" s="291" t="n"/>
      <c r="BL164" s="39" t="n"/>
      <c r="BM164" s="291" t="n"/>
      <c r="BN164" s="39" t="n"/>
      <c r="BO164" s="291" t="n"/>
      <c r="BP164" s="291" t="n"/>
      <c r="BQ164" s="39" t="n"/>
      <c r="BR164" s="291" t="n"/>
      <c r="BS164" s="39" t="n"/>
      <c r="BT164" s="291" t="n"/>
      <c r="BU164" s="39" t="n"/>
      <c r="BV164" s="291" t="n"/>
      <c r="BW164" s="39" t="n"/>
      <c r="BX164" s="291" t="n"/>
      <c r="BY164" s="39" t="n"/>
      <c r="BZ164" s="291" t="n"/>
      <c r="CA164" s="39" t="n"/>
      <c r="CB164" s="291" t="n"/>
      <c r="CC164" s="39" t="n"/>
      <c r="CD164" s="291" t="n"/>
      <c r="CE164" s="39" t="n"/>
      <c r="CF164" s="291" t="n"/>
      <c r="CG164" s="291" t="n"/>
      <c r="CH164" s="291" t="n"/>
      <c r="CI164" s="291" t="n"/>
      <c r="CJ164" s="291" t="n"/>
      <c r="CK164" s="291" t="n"/>
      <c r="CL164" s="291" t="n"/>
      <c r="CM164" s="291" t="n"/>
      <c r="CN164" s="291" t="n"/>
      <c r="CW164" s="291" t="n"/>
      <c r="CX164" s="39" t="n"/>
      <c r="CY164" s="291" t="n"/>
      <c r="CZ164" s="39" t="n"/>
      <c r="DA164" s="291" t="n"/>
      <c r="DB164" s="39" t="n"/>
      <c r="DC164" s="291" t="n"/>
      <c r="DD164" s="39" t="n"/>
      <c r="DE164" s="311" t="n"/>
      <c r="DF164" s="311" t="n"/>
    </row>
    <row r="165" ht="13" customFormat="1" customHeight="1" s="40">
      <c r="A165" s="326" t="n"/>
      <c r="B165" s="291" t="n"/>
      <c r="C165" s="39" t="n"/>
      <c r="D165" s="39" t="n"/>
      <c r="E165" s="291" t="n"/>
      <c r="F165" s="39" t="n"/>
      <c r="G165" s="39" t="n"/>
      <c r="H165" s="291" t="n"/>
      <c r="I165" s="39" t="n"/>
      <c r="J165" s="39" t="n"/>
      <c r="K165" s="291" t="n"/>
      <c r="L165" s="39" t="n"/>
      <c r="M165" s="39" t="n"/>
      <c r="N165" s="291" t="n"/>
      <c r="O165" s="39" t="n"/>
      <c r="P165" s="39" t="n"/>
      <c r="Q165" s="291" t="n"/>
      <c r="R165" s="39" t="n"/>
      <c r="S165" s="39" t="n"/>
      <c r="T165" s="291" t="n"/>
      <c r="U165" s="39" t="n"/>
      <c r="V165" s="39" t="n"/>
      <c r="W165" s="291" t="n"/>
      <c r="X165" s="39" t="n"/>
      <c r="Y165" s="39" t="n"/>
      <c r="Z165" s="291" t="n"/>
      <c r="AA165" s="39" t="n"/>
      <c r="AB165" s="39" t="n"/>
      <c r="AC165" s="291" t="n"/>
      <c r="AD165" s="39" t="n"/>
      <c r="AE165" s="39" t="n"/>
      <c r="AF165" s="291" t="n"/>
      <c r="AG165" s="39" t="n"/>
      <c r="AH165" s="39" t="n"/>
      <c r="AI165" s="291" t="n"/>
      <c r="AJ165" s="39" t="n"/>
      <c r="AK165" s="39" t="n"/>
      <c r="AL165" s="291" t="n"/>
      <c r="AM165" s="291" t="n"/>
      <c r="AN165" s="291" t="n"/>
      <c r="AO165" s="291" t="n"/>
      <c r="AP165" s="291" t="n"/>
      <c r="AQ165" s="291" t="n"/>
      <c r="AR165" s="291" t="n"/>
      <c r="AS165" s="291" t="n"/>
      <c r="AT165" s="291" t="n"/>
      <c r="AU165" s="291" t="n"/>
      <c r="AV165" s="291" t="n"/>
      <c r="AW165" s="291" t="n"/>
      <c r="AX165" s="291" t="n"/>
      <c r="AY165" s="291" t="n"/>
      <c r="AZ165" s="39" t="n"/>
      <c r="BA165" s="291" t="n"/>
      <c r="BB165" s="39" t="n"/>
      <c r="BC165" s="291" t="n"/>
      <c r="BD165" s="39" t="n"/>
      <c r="BE165" s="291" t="n"/>
      <c r="BF165" s="39" t="n"/>
      <c r="BG165" s="291" t="n"/>
      <c r="BH165" s="39" t="n"/>
      <c r="BI165" s="291" t="n"/>
      <c r="BJ165" s="39" t="n"/>
      <c r="BK165" s="291" t="n"/>
      <c r="BL165" s="39" t="n"/>
      <c r="BM165" s="291" t="n"/>
      <c r="BN165" s="39" t="n"/>
      <c r="BO165" s="291" t="n"/>
      <c r="BP165" s="291" t="n"/>
      <c r="BQ165" s="39" t="n"/>
      <c r="BR165" s="291" t="n"/>
      <c r="BS165" s="39" t="n"/>
      <c r="BT165" s="291" t="n"/>
      <c r="BU165" s="39" t="n"/>
      <c r="BV165" s="291" t="n"/>
      <c r="BW165" s="39" t="n"/>
      <c r="BX165" s="291" t="n"/>
      <c r="BY165" s="39" t="n"/>
      <c r="BZ165" s="291" t="n"/>
      <c r="CA165" s="39" t="n"/>
      <c r="CB165" s="291" t="n"/>
      <c r="CC165" s="39" t="n"/>
      <c r="CD165" s="291" t="n"/>
      <c r="CE165" s="39" t="n"/>
      <c r="CF165" s="291" t="n"/>
      <c r="CG165" s="291" t="n"/>
      <c r="CH165" s="291" t="n"/>
      <c r="CI165" s="291" t="n"/>
      <c r="CJ165" s="291" t="n"/>
      <c r="CK165" s="291" t="n"/>
      <c r="CL165" s="291" t="n"/>
      <c r="CM165" s="291" t="n"/>
      <c r="CN165" s="291" t="n"/>
      <c r="CW165" s="291" t="n"/>
      <c r="CX165" s="39" t="n"/>
      <c r="CY165" s="291" t="n"/>
      <c r="CZ165" s="39" t="n"/>
      <c r="DA165" s="291" t="n"/>
      <c r="DB165" s="39" t="n"/>
      <c r="DC165" s="291" t="n"/>
      <c r="DD165" s="39" t="n"/>
      <c r="DE165" s="311" t="n"/>
      <c r="DF165" s="311" t="n"/>
    </row>
    <row r="166" ht="13" customFormat="1" customHeight="1" s="40">
      <c r="A166" s="326" t="n"/>
      <c r="B166" s="291" t="n"/>
      <c r="C166" s="39" t="n"/>
      <c r="D166" s="39" t="n"/>
      <c r="E166" s="291" t="n"/>
      <c r="F166" s="39" t="n"/>
      <c r="G166" s="39" t="n"/>
      <c r="H166" s="291" t="n"/>
      <c r="I166" s="39" t="n"/>
      <c r="J166" s="39" t="n"/>
      <c r="K166" s="291" t="n"/>
      <c r="L166" s="39" t="n"/>
      <c r="M166" s="39" t="n"/>
      <c r="N166" s="291" t="n"/>
      <c r="O166" s="39" t="n"/>
      <c r="P166" s="39" t="n"/>
      <c r="Q166" s="291" t="n"/>
      <c r="R166" s="39" t="n"/>
      <c r="S166" s="39" t="n"/>
      <c r="T166" s="291" t="n"/>
      <c r="U166" s="39" t="n"/>
      <c r="V166" s="39" t="n"/>
      <c r="W166" s="291" t="n"/>
      <c r="X166" s="39" t="n"/>
      <c r="Y166" s="39" t="n"/>
      <c r="Z166" s="291" t="n"/>
      <c r="AA166" s="39" t="n"/>
      <c r="AB166" s="39" t="n"/>
      <c r="AC166" s="291" t="n"/>
      <c r="AD166" s="39" t="n"/>
      <c r="AE166" s="39" t="n"/>
      <c r="AF166" s="291" t="n"/>
      <c r="AG166" s="39" t="n"/>
      <c r="AH166" s="39" t="n"/>
      <c r="AI166" s="291" t="n"/>
      <c r="AJ166" s="39" t="n"/>
      <c r="AK166" s="39" t="n"/>
      <c r="AL166" s="291" t="n"/>
      <c r="AM166" s="291" t="n"/>
      <c r="AN166" s="291" t="n"/>
      <c r="AO166" s="291" t="n"/>
      <c r="AP166" s="291" t="n"/>
      <c r="AQ166" s="291" t="n"/>
      <c r="AR166" s="291" t="n"/>
      <c r="AS166" s="291" t="n"/>
      <c r="AT166" s="291" t="n"/>
      <c r="AU166" s="291" t="n"/>
      <c r="AV166" s="291" t="n"/>
      <c r="AW166" s="291" t="n"/>
      <c r="AX166" s="291" t="n"/>
      <c r="AY166" s="291" t="n"/>
      <c r="AZ166" s="39" t="n"/>
      <c r="BA166" s="291" t="n"/>
      <c r="BB166" s="39" t="n"/>
      <c r="BC166" s="291" t="n"/>
      <c r="BD166" s="39" t="n"/>
      <c r="BE166" s="291" t="n"/>
      <c r="BF166" s="39" t="n"/>
      <c r="BG166" s="291" t="n"/>
      <c r="BH166" s="39" t="n"/>
      <c r="BI166" s="291" t="n"/>
      <c r="BJ166" s="39" t="n"/>
      <c r="BK166" s="291" t="n"/>
      <c r="BL166" s="39" t="n"/>
      <c r="BM166" s="291" t="n"/>
      <c r="BN166" s="39" t="n"/>
      <c r="BO166" s="291" t="n"/>
      <c r="BP166" s="291" t="n"/>
      <c r="BQ166" s="39" t="n"/>
      <c r="BR166" s="291" t="n"/>
      <c r="BS166" s="39" t="n"/>
      <c r="BT166" s="291" t="n"/>
      <c r="BU166" s="39" t="n"/>
      <c r="BV166" s="291" t="n"/>
      <c r="BW166" s="39" t="n"/>
      <c r="BX166" s="291" t="n"/>
      <c r="BY166" s="39" t="n"/>
      <c r="BZ166" s="291" t="n"/>
      <c r="CA166" s="39" t="n"/>
      <c r="CB166" s="291" t="n"/>
      <c r="CC166" s="39" t="n"/>
      <c r="CD166" s="291" t="n"/>
      <c r="CE166" s="39" t="n"/>
      <c r="CF166" s="291" t="n"/>
      <c r="CG166" s="291" t="n"/>
      <c r="CH166" s="291" t="n"/>
      <c r="CI166" s="291" t="n"/>
      <c r="CJ166" s="291" t="n"/>
      <c r="CK166" s="291" t="n"/>
      <c r="CL166" s="291" t="n"/>
      <c r="CM166" s="291" t="n"/>
      <c r="CN166" s="291" t="n"/>
      <c r="CW166" s="291" t="n"/>
      <c r="CX166" s="39" t="n"/>
      <c r="CY166" s="291" t="n"/>
      <c r="CZ166" s="39" t="n"/>
      <c r="DA166" s="291" t="n"/>
      <c r="DB166" s="39" t="n"/>
      <c r="DC166" s="291" t="n"/>
      <c r="DD166" s="39" t="n"/>
      <c r="DE166" s="311" t="n"/>
      <c r="DF166" s="311" t="n"/>
    </row>
    <row r="167" ht="13" customFormat="1" customHeight="1" s="40">
      <c r="A167" s="326" t="n"/>
      <c r="B167" s="291" t="n"/>
      <c r="C167" s="37" t="n"/>
      <c r="D167" s="37" t="n"/>
      <c r="E167" s="291" t="n"/>
      <c r="F167" s="37" t="n"/>
      <c r="G167" s="37" t="n"/>
      <c r="H167" s="291" t="n"/>
      <c r="I167" s="37" t="n"/>
      <c r="J167" s="37" t="n"/>
      <c r="K167" s="291" t="n"/>
      <c r="L167" s="37" t="n"/>
      <c r="M167" s="37" t="n"/>
      <c r="N167" s="291" t="n"/>
      <c r="O167" s="37" t="n"/>
      <c r="P167" s="37" t="n"/>
      <c r="Q167" s="291" t="n"/>
      <c r="R167" s="37" t="n"/>
      <c r="S167" s="37" t="n"/>
      <c r="T167" s="291" t="n"/>
      <c r="U167" s="37" t="n"/>
      <c r="V167" s="37" t="n"/>
      <c r="W167" s="291" t="n"/>
      <c r="X167" s="37" t="n"/>
      <c r="Y167" s="37" t="n"/>
      <c r="Z167" s="291" t="n"/>
      <c r="AA167" s="37" t="n"/>
      <c r="AB167" s="37" t="n"/>
      <c r="AC167" s="291" t="n"/>
      <c r="AD167" s="37" t="n"/>
      <c r="AE167" s="37" t="n"/>
      <c r="AF167" s="291" t="n"/>
      <c r="AG167" s="37" t="n"/>
      <c r="AH167" s="37" t="n"/>
      <c r="AI167" s="291" t="n"/>
      <c r="AJ167" s="37" t="n"/>
      <c r="AK167" s="37" t="n"/>
      <c r="AL167" s="291" t="n"/>
      <c r="AM167" s="291" t="n"/>
      <c r="AN167" s="291" t="n"/>
      <c r="AO167" s="291" t="n"/>
      <c r="AP167" s="291" t="n"/>
      <c r="AQ167" s="291" t="n"/>
      <c r="AR167" s="291" t="n"/>
      <c r="AS167" s="291" t="n"/>
      <c r="AT167" s="291" t="n"/>
      <c r="AU167" s="291" t="n"/>
      <c r="AV167" s="291" t="n"/>
      <c r="AW167" s="291" t="n"/>
      <c r="AX167" s="291" t="n"/>
      <c r="AY167" s="291" t="n"/>
      <c r="AZ167" s="291" t="n"/>
      <c r="BA167" s="291" t="n"/>
      <c r="BB167" s="291" t="n"/>
      <c r="BC167" s="291" t="n"/>
      <c r="BD167" s="291" t="n"/>
      <c r="BE167" s="291" t="n"/>
      <c r="BF167" s="291" t="n"/>
      <c r="BG167" s="291" t="n"/>
      <c r="BH167" s="291" t="n"/>
      <c r="BI167" s="291" t="n"/>
      <c r="BJ167" s="291" t="n"/>
      <c r="BK167" s="291" t="n"/>
      <c r="BL167" s="291" t="n"/>
      <c r="BM167" s="291" t="n"/>
      <c r="BN167" s="291" t="n"/>
      <c r="BO167" s="291" t="n"/>
      <c r="BP167" s="291" t="n"/>
      <c r="BQ167" s="291" t="n"/>
      <c r="BR167" s="291" t="n"/>
      <c r="BS167" s="291" t="n"/>
      <c r="BT167" s="291" t="n"/>
      <c r="BU167" s="291" t="n"/>
      <c r="BV167" s="291" t="n"/>
      <c r="BW167" s="291" t="n"/>
      <c r="BX167" s="291" t="n"/>
      <c r="BY167" s="291" t="n"/>
      <c r="BZ167" s="291" t="n"/>
      <c r="CA167" s="291" t="n"/>
      <c r="CB167" s="291" t="n"/>
      <c r="CC167" s="291" t="n"/>
      <c r="CD167" s="291" t="n"/>
      <c r="CE167" s="291" t="n"/>
      <c r="CF167" s="291" t="n"/>
      <c r="CG167" s="291" t="n"/>
      <c r="CH167" s="291" t="n"/>
      <c r="CI167" s="291" t="n"/>
      <c r="CJ167" s="291" t="n"/>
      <c r="CK167" s="291" t="n"/>
      <c r="CL167" s="291" t="n"/>
      <c r="CM167" s="291" t="n"/>
      <c r="CN167" s="291" t="n"/>
      <c r="CW167" s="291" t="n"/>
      <c r="CX167" s="291" t="n"/>
      <c r="CY167" s="291" t="n"/>
      <c r="CZ167" s="291" t="n"/>
      <c r="DA167" s="291" t="n"/>
      <c r="DB167" s="291" t="n"/>
      <c r="DC167" s="291" t="n"/>
      <c r="DD167" s="291" t="n"/>
      <c r="DE167" s="311" t="n"/>
      <c r="DF167" s="311" t="n"/>
    </row>
    <row r="168" ht="13" customFormat="1" customHeight="1" s="40">
      <c r="A168" s="326" t="n"/>
      <c r="B168" s="291" t="n"/>
      <c r="C168" s="39" t="n"/>
      <c r="D168" s="39" t="n"/>
      <c r="E168" s="291" t="n"/>
      <c r="F168" s="39" t="n"/>
      <c r="G168" s="39" t="n"/>
      <c r="H168" s="291" t="n"/>
      <c r="I168" s="39" t="n"/>
      <c r="J168" s="39" t="n"/>
      <c r="K168" s="291" t="n"/>
      <c r="L168" s="39" t="n"/>
      <c r="M168" s="39" t="n"/>
      <c r="N168" s="291" t="n"/>
      <c r="O168" s="39" t="n"/>
      <c r="P168" s="39" t="n"/>
      <c r="Q168" s="291" t="n"/>
      <c r="R168" s="39" t="n"/>
      <c r="S168" s="39" t="n"/>
      <c r="T168" s="291" t="n"/>
      <c r="U168" s="39" t="n"/>
      <c r="V168" s="39" t="n"/>
      <c r="W168" s="291" t="n"/>
      <c r="X168" s="39" t="n"/>
      <c r="Y168" s="39" t="n"/>
      <c r="Z168" s="291" t="n"/>
      <c r="AA168" s="39" t="n"/>
      <c r="AB168" s="39" t="n"/>
      <c r="AC168" s="291" t="n"/>
      <c r="AD168" s="39" t="n"/>
      <c r="AE168" s="39" t="n"/>
      <c r="AF168" s="291" t="n"/>
      <c r="AG168" s="39" t="n"/>
      <c r="AH168" s="39" t="n"/>
      <c r="AI168" s="291" t="n"/>
      <c r="AJ168" s="39" t="n"/>
      <c r="AK168" s="39" t="n"/>
      <c r="AL168" s="291" t="n"/>
      <c r="AM168" s="291" t="n"/>
      <c r="AN168" s="291" t="n"/>
      <c r="AO168" s="291" t="n"/>
      <c r="AP168" s="291" t="n"/>
      <c r="AQ168" s="291" t="n"/>
      <c r="AR168" s="291" t="n"/>
      <c r="AS168" s="291" t="n"/>
      <c r="AT168" s="291" t="n"/>
      <c r="AU168" s="291" t="n"/>
      <c r="AV168" s="291" t="n"/>
      <c r="AW168" s="291" t="n"/>
      <c r="AX168" s="291" t="n"/>
      <c r="AY168" s="291" t="n"/>
      <c r="AZ168" s="39" t="n"/>
      <c r="BA168" s="291" t="n"/>
      <c r="BB168" s="39" t="n"/>
      <c r="BC168" s="291" t="n"/>
      <c r="BD168" s="39" t="n"/>
      <c r="BE168" s="291" t="n"/>
      <c r="BF168" s="39" t="n"/>
      <c r="BG168" s="291" t="n"/>
      <c r="BH168" s="39" t="n"/>
      <c r="BI168" s="291" t="n"/>
      <c r="BJ168" s="39" t="n"/>
      <c r="BK168" s="291" t="n"/>
      <c r="BL168" s="39" t="n"/>
      <c r="BM168" s="291" t="n"/>
      <c r="BN168" s="39" t="n"/>
      <c r="BO168" s="291" t="n"/>
      <c r="BP168" s="291" t="n"/>
      <c r="BQ168" s="39" t="n"/>
      <c r="BR168" s="291" t="n"/>
      <c r="BS168" s="39" t="n"/>
      <c r="BT168" s="291" t="n"/>
      <c r="BU168" s="39" t="n"/>
      <c r="BV168" s="291" t="n"/>
      <c r="BW168" s="39" t="n"/>
      <c r="BX168" s="291" t="n"/>
      <c r="BY168" s="39" t="n"/>
      <c r="BZ168" s="291" t="n"/>
      <c r="CA168" s="39" t="n"/>
      <c r="CB168" s="291" t="n"/>
      <c r="CC168" s="39" t="n"/>
      <c r="CD168" s="291" t="n"/>
      <c r="CE168" s="39" t="n"/>
      <c r="CF168" s="291" t="n"/>
      <c r="CG168" s="291" t="n"/>
      <c r="CH168" s="291" t="n"/>
      <c r="CI168" s="291" t="n"/>
      <c r="CJ168" s="291" t="n"/>
      <c r="CK168" s="291" t="n"/>
      <c r="CL168" s="291" t="n"/>
      <c r="CM168" s="291" t="n"/>
      <c r="CN168" s="291" t="n"/>
      <c r="CW168" s="291" t="n"/>
      <c r="CX168" s="39" t="n"/>
      <c r="CY168" s="291" t="n"/>
      <c r="CZ168" s="39" t="n"/>
      <c r="DA168" s="291" t="n"/>
      <c r="DB168" s="39" t="n"/>
      <c r="DC168" s="291" t="n"/>
      <c r="DD168" s="39" t="n"/>
      <c r="DE168" s="311" t="n"/>
      <c r="DF168" s="311" t="n"/>
    </row>
    <row r="169" ht="13" customFormat="1" customHeight="1" s="40">
      <c r="A169" s="326" t="n"/>
      <c r="B169" s="291" t="n"/>
      <c r="C169" s="39" t="n"/>
      <c r="D169" s="39" t="n"/>
      <c r="E169" s="291" t="n"/>
      <c r="F169" s="39" t="n"/>
      <c r="G169" s="39" t="n"/>
      <c r="H169" s="291" t="n"/>
      <c r="I169" s="39" t="n"/>
      <c r="J169" s="39" t="n"/>
      <c r="K169" s="291" t="n"/>
      <c r="L169" s="39" t="n"/>
      <c r="M169" s="39" t="n"/>
      <c r="N169" s="291" t="n"/>
      <c r="O169" s="39" t="n"/>
      <c r="P169" s="39" t="n"/>
      <c r="Q169" s="291" t="n"/>
      <c r="R169" s="39" t="n"/>
      <c r="S169" s="39" t="n"/>
      <c r="T169" s="291" t="n"/>
      <c r="U169" s="39" t="n"/>
      <c r="V169" s="39" t="n"/>
      <c r="W169" s="291" t="n"/>
      <c r="X169" s="39" t="n"/>
      <c r="Y169" s="39" t="n"/>
      <c r="Z169" s="291" t="n"/>
      <c r="AA169" s="39" t="n"/>
      <c r="AB169" s="39" t="n"/>
      <c r="AC169" s="291" t="n"/>
      <c r="AD169" s="39" t="n"/>
      <c r="AE169" s="39" t="n"/>
      <c r="AF169" s="291" t="n"/>
      <c r="AG169" s="39" t="n"/>
      <c r="AH169" s="39" t="n"/>
      <c r="AI169" s="291" t="n"/>
      <c r="AJ169" s="39" t="n"/>
      <c r="AK169" s="39" t="n"/>
      <c r="AL169" s="291" t="n"/>
      <c r="AM169" s="291" t="n"/>
      <c r="AN169" s="291" t="n"/>
      <c r="AO169" s="291" t="n"/>
      <c r="AP169" s="291" t="n"/>
      <c r="AQ169" s="291" t="n"/>
      <c r="AR169" s="291" t="n"/>
      <c r="AS169" s="291" t="n"/>
      <c r="AT169" s="291" t="n"/>
      <c r="AU169" s="291" t="n"/>
      <c r="AV169" s="291" t="n"/>
      <c r="AW169" s="291" t="n"/>
      <c r="AX169" s="291" t="n"/>
      <c r="AY169" s="291" t="n"/>
      <c r="AZ169" s="39" t="n"/>
      <c r="BA169" s="291" t="n"/>
      <c r="BB169" s="39" t="n"/>
      <c r="BC169" s="291" t="n"/>
      <c r="BD169" s="39" t="n"/>
      <c r="BE169" s="291" t="n"/>
      <c r="BF169" s="39" t="n"/>
      <c r="BG169" s="291" t="n"/>
      <c r="BH169" s="39" t="n"/>
      <c r="BI169" s="291" t="n"/>
      <c r="BJ169" s="39" t="n"/>
      <c r="BK169" s="291" t="n"/>
      <c r="BL169" s="39" t="n"/>
      <c r="BM169" s="291" t="n"/>
      <c r="BN169" s="39" t="n"/>
      <c r="BO169" s="291" t="n"/>
      <c r="BP169" s="291" t="n"/>
      <c r="BQ169" s="39" t="n"/>
      <c r="BR169" s="291" t="n"/>
      <c r="BS169" s="39" t="n"/>
      <c r="BT169" s="291" t="n"/>
      <c r="BU169" s="39" t="n"/>
      <c r="BV169" s="291" t="n"/>
      <c r="BW169" s="39" t="n"/>
      <c r="BX169" s="291" t="n"/>
      <c r="BY169" s="39" t="n"/>
      <c r="BZ169" s="291" t="n"/>
      <c r="CA169" s="39" t="n"/>
      <c r="CB169" s="291" t="n"/>
      <c r="CC169" s="39" t="n"/>
      <c r="CD169" s="291" t="n"/>
      <c r="CE169" s="39" t="n"/>
      <c r="CF169" s="291" t="n"/>
      <c r="CG169" s="291" t="n"/>
      <c r="CH169" s="291" t="n"/>
      <c r="CI169" s="291" t="n"/>
      <c r="CJ169" s="291" t="n"/>
      <c r="CK169" s="291" t="n"/>
      <c r="CL169" s="291" t="n"/>
      <c r="CM169" s="291" t="n"/>
      <c r="CN169" s="291" t="n"/>
      <c r="CW169" s="291" t="n"/>
      <c r="CX169" s="39" t="n"/>
      <c r="CY169" s="291" t="n"/>
      <c r="CZ169" s="39" t="n"/>
      <c r="DA169" s="291" t="n"/>
      <c r="DB169" s="39" t="n"/>
      <c r="DC169" s="291" t="n"/>
      <c r="DD169" s="39" t="n"/>
      <c r="DE169" s="311" t="n"/>
      <c r="DF169" s="311" t="n"/>
    </row>
    <row r="170" ht="13" customFormat="1" customHeight="1" s="40">
      <c r="A170" s="326" t="n"/>
      <c r="B170" s="291" t="n"/>
      <c r="C170" s="39" t="n"/>
      <c r="D170" s="39" t="n"/>
      <c r="E170" s="291" t="n"/>
      <c r="F170" s="39" t="n"/>
      <c r="G170" s="39" t="n"/>
      <c r="H170" s="291" t="n"/>
      <c r="I170" s="39" t="n"/>
      <c r="J170" s="39" t="n"/>
      <c r="K170" s="291" t="n"/>
      <c r="L170" s="39" t="n"/>
      <c r="M170" s="39" t="n"/>
      <c r="N170" s="291" t="n"/>
      <c r="O170" s="39" t="n"/>
      <c r="P170" s="39" t="n"/>
      <c r="Q170" s="291" t="n"/>
      <c r="R170" s="39" t="n"/>
      <c r="S170" s="39" t="n"/>
      <c r="T170" s="291" t="n"/>
      <c r="U170" s="39" t="n"/>
      <c r="V170" s="39" t="n"/>
      <c r="W170" s="291" t="n"/>
      <c r="X170" s="39" t="n"/>
      <c r="Y170" s="39" t="n"/>
      <c r="Z170" s="291" t="n"/>
      <c r="AA170" s="39" t="n"/>
      <c r="AB170" s="39" t="n"/>
      <c r="AC170" s="291" t="n"/>
      <c r="AD170" s="39" t="n"/>
      <c r="AE170" s="39" t="n"/>
      <c r="AF170" s="291" t="n"/>
      <c r="AG170" s="39" t="n"/>
      <c r="AH170" s="39" t="n"/>
      <c r="AI170" s="291" t="n"/>
      <c r="AJ170" s="39" t="n"/>
      <c r="AK170" s="39" t="n"/>
      <c r="AL170" s="291" t="n"/>
      <c r="AM170" s="291" t="n"/>
      <c r="AN170" s="291" t="n"/>
      <c r="AO170" s="291" t="n"/>
      <c r="AP170" s="291" t="n"/>
      <c r="AQ170" s="291" t="n"/>
      <c r="AR170" s="291" t="n"/>
      <c r="AS170" s="291" t="n"/>
      <c r="AT170" s="291" t="n"/>
      <c r="AU170" s="291" t="n"/>
      <c r="AV170" s="291" t="n"/>
      <c r="AW170" s="291" t="n"/>
      <c r="AX170" s="291" t="n"/>
      <c r="AY170" s="291" t="n"/>
      <c r="AZ170" s="39" t="n"/>
      <c r="BA170" s="291" t="n"/>
      <c r="BB170" s="39" t="n"/>
      <c r="BC170" s="291" t="n"/>
      <c r="BD170" s="39" t="n"/>
      <c r="BE170" s="291" t="n"/>
      <c r="BF170" s="39" t="n"/>
      <c r="BG170" s="291" t="n"/>
      <c r="BH170" s="39" t="n"/>
      <c r="BI170" s="291" t="n"/>
      <c r="BJ170" s="39" t="n"/>
      <c r="BK170" s="291" t="n"/>
      <c r="BL170" s="39" t="n"/>
      <c r="BM170" s="291" t="n"/>
      <c r="BN170" s="39" t="n"/>
      <c r="BO170" s="291" t="n"/>
      <c r="BP170" s="291" t="n"/>
      <c r="BQ170" s="39" t="n"/>
      <c r="BR170" s="291" t="n"/>
      <c r="BS170" s="39" t="n"/>
      <c r="BT170" s="291" t="n"/>
      <c r="BU170" s="39" t="n"/>
      <c r="BV170" s="291" t="n"/>
      <c r="BW170" s="39" t="n"/>
      <c r="BX170" s="291" t="n"/>
      <c r="BY170" s="39" t="n"/>
      <c r="BZ170" s="291" t="n"/>
      <c r="CA170" s="39" t="n"/>
      <c r="CB170" s="291" t="n"/>
      <c r="CC170" s="39" t="n"/>
      <c r="CD170" s="291" t="n"/>
      <c r="CE170" s="39" t="n"/>
      <c r="CF170" s="291" t="n"/>
      <c r="CG170" s="291" t="n"/>
      <c r="CH170" s="291" t="n"/>
      <c r="CI170" s="291" t="n"/>
      <c r="CJ170" s="291" t="n"/>
      <c r="CK170" s="291" t="n"/>
      <c r="CL170" s="291" t="n"/>
      <c r="CM170" s="291" t="n"/>
      <c r="CN170" s="291" t="n"/>
      <c r="CW170" s="291" t="n"/>
      <c r="CX170" s="39" t="n"/>
      <c r="CY170" s="291" t="n"/>
      <c r="CZ170" s="39" t="n"/>
      <c r="DA170" s="291" t="n"/>
      <c r="DB170" s="39" t="n"/>
      <c r="DC170" s="291" t="n"/>
      <c r="DD170" s="39" t="n"/>
      <c r="DE170" s="311" t="n"/>
      <c r="DF170" s="311" t="n"/>
    </row>
    <row r="171" ht="13" customFormat="1" customHeight="1" s="40">
      <c r="A171" s="326" t="n"/>
      <c r="B171" s="291" t="n"/>
      <c r="C171" s="39" t="n"/>
      <c r="D171" s="39" t="n"/>
      <c r="E171" s="291" t="n"/>
      <c r="F171" s="39" t="n"/>
      <c r="G171" s="39" t="n"/>
      <c r="H171" s="291" t="n"/>
      <c r="I171" s="39" t="n"/>
      <c r="J171" s="39" t="n"/>
      <c r="K171" s="291" t="n"/>
      <c r="L171" s="39" t="n"/>
      <c r="M171" s="39" t="n"/>
      <c r="N171" s="291" t="n"/>
      <c r="O171" s="39" t="n"/>
      <c r="P171" s="39" t="n"/>
      <c r="Q171" s="291" t="n"/>
      <c r="R171" s="39" t="n"/>
      <c r="S171" s="39" t="n"/>
      <c r="T171" s="291" t="n"/>
      <c r="U171" s="39" t="n"/>
      <c r="V171" s="39" t="n"/>
      <c r="W171" s="291" t="n"/>
      <c r="X171" s="39" t="n"/>
      <c r="Y171" s="39" t="n"/>
      <c r="Z171" s="291" t="n"/>
      <c r="AA171" s="39" t="n"/>
      <c r="AB171" s="39" t="n"/>
      <c r="AC171" s="291" t="n"/>
      <c r="AD171" s="39" t="n"/>
      <c r="AE171" s="39" t="n"/>
      <c r="AF171" s="291" t="n"/>
      <c r="AG171" s="39" t="n"/>
      <c r="AH171" s="39" t="n"/>
      <c r="AI171" s="291" t="n"/>
      <c r="AJ171" s="39" t="n"/>
      <c r="AK171" s="39" t="n"/>
      <c r="AL171" s="291" t="n"/>
      <c r="AM171" s="291" t="n"/>
      <c r="AN171" s="291" t="n"/>
      <c r="AO171" s="291" t="n"/>
      <c r="AP171" s="291" t="n"/>
      <c r="AQ171" s="291" t="n"/>
      <c r="AR171" s="291" t="n"/>
      <c r="AS171" s="291" t="n"/>
      <c r="AT171" s="291" t="n"/>
      <c r="AU171" s="291" t="n"/>
      <c r="AV171" s="291" t="n"/>
      <c r="AW171" s="291" t="n"/>
      <c r="AX171" s="291" t="n"/>
      <c r="AY171" s="291" t="n"/>
      <c r="AZ171" s="39" t="n"/>
      <c r="BA171" s="291" t="n"/>
      <c r="BB171" s="39" t="n"/>
      <c r="BC171" s="291" t="n"/>
      <c r="BD171" s="39" t="n"/>
      <c r="BE171" s="291" t="n"/>
      <c r="BF171" s="39" t="n"/>
      <c r="BG171" s="291" t="n"/>
      <c r="BH171" s="39" t="n"/>
      <c r="BI171" s="291" t="n"/>
      <c r="BJ171" s="39" t="n"/>
      <c r="BK171" s="291" t="n"/>
      <c r="BL171" s="39" t="n"/>
      <c r="BM171" s="291" t="n"/>
      <c r="BN171" s="39" t="n"/>
      <c r="BO171" s="291" t="n"/>
      <c r="BP171" s="291" t="n"/>
      <c r="BQ171" s="39" t="n"/>
      <c r="BR171" s="291" t="n"/>
      <c r="BS171" s="39" t="n"/>
      <c r="BT171" s="291" t="n"/>
      <c r="BU171" s="39" t="n"/>
      <c r="BV171" s="291" t="n"/>
      <c r="BW171" s="39" t="n"/>
      <c r="BX171" s="291" t="n"/>
      <c r="BY171" s="39" t="n"/>
      <c r="BZ171" s="291" t="n"/>
      <c r="CA171" s="39" t="n"/>
      <c r="CB171" s="291" t="n"/>
      <c r="CC171" s="39" t="n"/>
      <c r="CD171" s="291" t="n"/>
      <c r="CE171" s="39" t="n"/>
      <c r="CF171" s="291" t="n"/>
      <c r="CG171" s="291" t="n"/>
      <c r="CH171" s="291" t="n"/>
      <c r="CI171" s="291" t="n"/>
      <c r="CJ171" s="291" t="n"/>
      <c r="CK171" s="291" t="n"/>
      <c r="CL171" s="291" t="n"/>
      <c r="CM171" s="291" t="n"/>
      <c r="CN171" s="291" t="n"/>
      <c r="CW171" s="291" t="n"/>
      <c r="CX171" s="39" t="n"/>
      <c r="CY171" s="291" t="n"/>
      <c r="CZ171" s="39" t="n"/>
      <c r="DA171" s="291" t="n"/>
      <c r="DB171" s="39" t="n"/>
      <c r="DC171" s="291" t="n"/>
      <c r="DD171" s="39" t="n"/>
      <c r="DE171" s="311" t="n"/>
      <c r="DF171" s="311" t="n"/>
    </row>
    <row r="172" customFormat="1" s="40">
      <c r="C172" s="41" t="n"/>
      <c r="D172" s="41" t="n"/>
      <c r="F172" s="41" t="n"/>
      <c r="G172" s="41" t="n"/>
      <c r="I172" s="41" t="n"/>
      <c r="J172" s="41" t="n"/>
      <c r="L172" s="41" t="n"/>
      <c r="M172" s="41" t="n"/>
      <c r="O172" s="41" t="n"/>
      <c r="P172" s="41" t="n"/>
      <c r="R172" s="41" t="n"/>
      <c r="S172" s="41" t="n"/>
      <c r="U172" s="41" t="n"/>
      <c r="V172" s="41" t="n"/>
      <c r="X172" s="41" t="n"/>
      <c r="Y172" s="41" t="n"/>
      <c r="AA172" s="41" t="n"/>
      <c r="AB172" s="41" t="n"/>
      <c r="AD172" s="41" t="n"/>
      <c r="AE172" s="41" t="n"/>
      <c r="AG172" s="41" t="n"/>
      <c r="AH172" s="41" t="n"/>
      <c r="AJ172" s="41" t="n"/>
      <c r="AK172" s="41" t="n"/>
      <c r="AY172" s="291" t="n"/>
      <c r="AZ172" s="291" t="n"/>
      <c r="BA172" s="291" t="n"/>
      <c r="BB172" s="291" t="n"/>
      <c r="BC172" s="291" t="n"/>
      <c r="BD172" s="291" t="n"/>
      <c r="BE172" s="291" t="n"/>
      <c r="BF172" s="291" t="n"/>
      <c r="BG172" s="291" t="n"/>
      <c r="BH172" s="291" t="n"/>
      <c r="BI172" s="291" t="n"/>
      <c r="BJ172" s="291" t="n"/>
      <c r="BK172" s="291" t="n"/>
      <c r="BL172" s="291" t="n"/>
      <c r="BM172" s="291" t="n"/>
      <c r="BN172" s="291" t="n"/>
      <c r="BO172" s="291" t="n"/>
      <c r="BP172" s="291" t="n"/>
      <c r="BQ172" s="291" t="n"/>
      <c r="BR172" s="291" t="n"/>
      <c r="BS172" s="291" t="n"/>
      <c r="BT172" s="291" t="n"/>
      <c r="BU172" s="291" t="n"/>
      <c r="BV172" s="291" t="n"/>
      <c r="BW172" s="291" t="n"/>
      <c r="BX172" s="291" t="n"/>
      <c r="BY172" s="291" t="n"/>
      <c r="BZ172" s="291" t="n"/>
      <c r="CA172" s="291" t="n"/>
      <c r="CB172" s="291" t="n"/>
      <c r="CC172" s="291" t="n"/>
      <c r="CD172" s="291" t="n"/>
      <c r="CE172" s="291" t="n"/>
      <c r="CF172" s="291" t="n"/>
      <c r="CG172" s="291" t="n"/>
      <c r="CH172" s="291" t="n"/>
      <c r="CI172" s="291" t="n"/>
      <c r="CJ172" s="291" t="n"/>
      <c r="CK172" s="291" t="n"/>
      <c r="CL172" s="291" t="n"/>
      <c r="CM172" s="291" t="n"/>
      <c r="CN172" s="291" t="n"/>
      <c r="CW172" s="291" t="n"/>
      <c r="CX172" s="291" t="n"/>
      <c r="CY172" s="291" t="n"/>
      <c r="CZ172" s="291" t="n"/>
      <c r="DA172" s="291" t="n"/>
      <c r="DB172" s="291" t="n"/>
      <c r="DC172" s="291" t="n"/>
      <c r="DD172" s="291" t="n"/>
      <c r="DE172" s="311" t="n"/>
      <c r="DF172" s="311" t="n"/>
    </row>
    <row r="173" ht="13" customFormat="1" customHeight="1" s="40">
      <c r="A173" s="326" t="n"/>
      <c r="B173" s="291" t="n"/>
      <c r="C173" s="39" t="n"/>
      <c r="D173" s="39" t="n"/>
      <c r="E173" s="291" t="n"/>
      <c r="F173" s="39" t="n"/>
      <c r="G173" s="39" t="n"/>
      <c r="H173" s="291" t="n"/>
      <c r="I173" s="39" t="n"/>
      <c r="J173" s="39" t="n"/>
      <c r="K173" s="291" t="n"/>
      <c r="L173" s="39" t="n"/>
      <c r="M173" s="39" t="n"/>
      <c r="N173" s="291" t="n"/>
      <c r="O173" s="39" t="n"/>
      <c r="P173" s="39" t="n"/>
      <c r="Q173" s="291" t="n"/>
      <c r="R173" s="39" t="n"/>
      <c r="S173" s="39" t="n"/>
      <c r="T173" s="291" t="n"/>
      <c r="U173" s="39" t="n"/>
      <c r="V173" s="39" t="n"/>
      <c r="W173" s="291" t="n"/>
      <c r="X173" s="39" t="n"/>
      <c r="Y173" s="39" t="n"/>
      <c r="Z173" s="291" t="n"/>
      <c r="AA173" s="39" t="n"/>
      <c r="AB173" s="39" t="n"/>
      <c r="AC173" s="291" t="n"/>
      <c r="AD173" s="39" t="n"/>
      <c r="AE173" s="39" t="n"/>
      <c r="AF173" s="291" t="n"/>
      <c r="AG173" s="39" t="n"/>
      <c r="AH173" s="39" t="n"/>
      <c r="AI173" s="291" t="n"/>
      <c r="AJ173" s="39" t="n"/>
      <c r="AK173" s="39" t="n"/>
      <c r="AL173" s="291" t="n"/>
      <c r="AM173" s="291" t="n"/>
      <c r="AN173" s="291" t="n"/>
      <c r="AO173" s="291" t="n"/>
      <c r="AP173" s="291" t="n"/>
      <c r="AQ173" s="291" t="n"/>
      <c r="AR173" s="291" t="n"/>
      <c r="AS173" s="291" t="n"/>
      <c r="AT173" s="291" t="n"/>
      <c r="AU173" s="291" t="n"/>
      <c r="AV173" s="291" t="n"/>
      <c r="AW173" s="291" t="n"/>
      <c r="AX173" s="291" t="n"/>
      <c r="AY173" s="291" t="n"/>
      <c r="AZ173" s="39" t="n"/>
      <c r="BA173" s="291" t="n"/>
      <c r="BB173" s="39" t="n"/>
      <c r="BC173" s="291" t="n"/>
      <c r="BD173" s="39" t="n"/>
      <c r="BE173" s="291" t="n"/>
      <c r="BF173" s="39" t="n"/>
      <c r="BG173" s="291" t="n"/>
      <c r="BH173" s="39" t="n"/>
      <c r="BI173" s="291" t="n"/>
      <c r="BJ173" s="39" t="n"/>
      <c r="BK173" s="291" t="n"/>
      <c r="BL173" s="39" t="n"/>
      <c r="BM173" s="291" t="n"/>
      <c r="BN173" s="39" t="n"/>
      <c r="BO173" s="291" t="n"/>
      <c r="BP173" s="291" t="n"/>
      <c r="BQ173" s="39" t="n"/>
      <c r="BR173" s="291" t="n"/>
      <c r="BS173" s="39" t="n"/>
      <c r="BT173" s="291" t="n"/>
      <c r="BU173" s="39" t="n"/>
      <c r="BV173" s="291" t="n"/>
      <c r="BW173" s="39" t="n"/>
      <c r="BX173" s="291" t="n"/>
      <c r="BY173" s="39" t="n"/>
      <c r="BZ173" s="291" t="n"/>
      <c r="CA173" s="39" t="n"/>
      <c r="CB173" s="291" t="n"/>
      <c r="CC173" s="39" t="n"/>
      <c r="CD173" s="291" t="n"/>
      <c r="CE173" s="39" t="n"/>
      <c r="CF173" s="291" t="n"/>
      <c r="CG173" s="39" t="n"/>
      <c r="CH173" s="291" t="n"/>
      <c r="CI173" s="39" t="n"/>
      <c r="CJ173" s="291" t="n"/>
      <c r="CK173" s="39" t="n"/>
      <c r="CL173" s="291" t="n"/>
      <c r="CM173" s="39" t="n"/>
      <c r="CN173" s="291" t="n"/>
      <c r="CW173" s="291" t="n"/>
      <c r="CX173" s="39" t="n"/>
      <c r="CY173" s="291" t="n"/>
      <c r="CZ173" s="39" t="n"/>
      <c r="DA173" s="291" t="n"/>
      <c r="DB173" s="39" t="n"/>
      <c r="DC173" s="291" t="n"/>
      <c r="DD173" s="39" t="n"/>
      <c r="DE173" s="291" t="n"/>
      <c r="DF173" s="337" t="n"/>
    </row>
    <row r="174" ht="13" customFormat="1" customHeight="1" s="40">
      <c r="A174" s="326" t="n"/>
      <c r="B174" s="291" t="n"/>
      <c r="C174" s="39" t="n"/>
      <c r="D174" s="39" t="n"/>
      <c r="E174" s="291" t="n"/>
      <c r="F174" s="39" t="n"/>
      <c r="G174" s="39" t="n"/>
      <c r="H174" s="291" t="n"/>
      <c r="I174" s="39" t="n"/>
      <c r="J174" s="39" t="n"/>
      <c r="K174" s="291" t="n"/>
      <c r="L174" s="39" t="n"/>
      <c r="M174" s="39" t="n"/>
      <c r="N174" s="291" t="n"/>
      <c r="O174" s="39" t="n"/>
      <c r="P174" s="39" t="n"/>
      <c r="Q174" s="291" t="n"/>
      <c r="R174" s="39" t="n"/>
      <c r="S174" s="39" t="n"/>
      <c r="T174" s="291" t="n"/>
      <c r="U174" s="39" t="n"/>
      <c r="V174" s="39" t="n"/>
      <c r="W174" s="291" t="n"/>
      <c r="X174" s="39" t="n"/>
      <c r="Y174" s="39" t="n"/>
      <c r="Z174" s="291" t="n"/>
      <c r="AA174" s="39" t="n"/>
      <c r="AB174" s="39" t="n"/>
      <c r="AC174" s="291" t="n"/>
      <c r="AD174" s="39" t="n"/>
      <c r="AE174" s="39" t="n"/>
      <c r="AF174" s="291" t="n"/>
      <c r="AG174" s="39" t="n"/>
      <c r="AH174" s="39" t="n"/>
      <c r="AI174" s="291" t="n"/>
      <c r="AJ174" s="39" t="n"/>
      <c r="AK174" s="39" t="n"/>
      <c r="AL174" s="291" t="n"/>
      <c r="AM174" s="291" t="n"/>
      <c r="AN174" s="291" t="n"/>
      <c r="AO174" s="291" t="n"/>
      <c r="AP174" s="291" t="n"/>
      <c r="AQ174" s="291" t="n"/>
      <c r="AR174" s="291" t="n"/>
      <c r="AS174" s="291" t="n"/>
      <c r="AT174" s="291" t="n"/>
      <c r="AU174" s="291" t="n"/>
      <c r="AV174" s="291" t="n"/>
      <c r="AW174" s="291" t="n"/>
      <c r="AX174" s="291" t="n"/>
      <c r="AY174" s="291" t="n"/>
      <c r="AZ174" s="39" t="n"/>
      <c r="BA174" s="291" t="n"/>
      <c r="BB174" s="39" t="n"/>
      <c r="BC174" s="291" t="n"/>
      <c r="BD174" s="39" t="n"/>
      <c r="BE174" s="291" t="n"/>
      <c r="BF174" s="39" t="n"/>
      <c r="BG174" s="291" t="n"/>
      <c r="BH174" s="39" t="n"/>
      <c r="BI174" s="291" t="n"/>
      <c r="BJ174" s="39" t="n"/>
      <c r="BK174" s="291" t="n"/>
      <c r="BL174" s="39" t="n"/>
      <c r="BM174" s="291" t="n"/>
      <c r="BN174" s="39" t="n"/>
      <c r="BO174" s="291" t="n"/>
      <c r="BP174" s="291" t="n"/>
      <c r="BQ174" s="39" t="n"/>
      <c r="BR174" s="291" t="n"/>
      <c r="BS174" s="39" t="n"/>
      <c r="BT174" s="291" t="n"/>
      <c r="BU174" s="39" t="n"/>
      <c r="BV174" s="291" t="n"/>
      <c r="BW174" s="39" t="n"/>
      <c r="BX174" s="291" t="n"/>
      <c r="BY174" s="39" t="n"/>
      <c r="BZ174" s="291" t="n"/>
      <c r="CA174" s="39" t="n"/>
      <c r="CB174" s="291" t="n"/>
      <c r="CC174" s="39" t="n"/>
      <c r="CD174" s="291" t="n"/>
      <c r="CE174" s="39" t="n"/>
      <c r="CF174" s="291" t="n"/>
      <c r="CG174" s="39" t="n"/>
      <c r="CH174" s="291" t="n"/>
      <c r="CI174" s="39" t="n"/>
      <c r="CJ174" s="291" t="n"/>
      <c r="CK174" s="39" t="n"/>
      <c r="CL174" s="291" t="n"/>
      <c r="CM174" s="39" t="n"/>
      <c r="CN174" s="291" t="n"/>
      <c r="CW174" s="291" t="n"/>
      <c r="CX174" s="39" t="n"/>
      <c r="CY174" s="291" t="n"/>
      <c r="CZ174" s="39" t="n"/>
      <c r="DA174" s="291" t="n"/>
      <c r="DB174" s="39" t="n"/>
      <c r="DC174" s="291" t="n"/>
      <c r="DD174" s="39" t="n"/>
      <c r="DE174" s="291" t="n"/>
      <c r="DF174" s="337" t="n"/>
    </row>
    <row r="175" ht="13" customFormat="1" customHeight="1" s="40">
      <c r="A175" s="326" t="n"/>
      <c r="B175" s="291" t="n"/>
      <c r="C175" s="39" t="n"/>
      <c r="D175" s="39" t="n"/>
      <c r="E175" s="291" t="n"/>
      <c r="F175" s="39" t="n"/>
      <c r="G175" s="39" t="n"/>
      <c r="H175" s="291" t="n"/>
      <c r="I175" s="39" t="n"/>
      <c r="J175" s="39" t="n"/>
      <c r="K175" s="291" t="n"/>
      <c r="L175" s="39" t="n"/>
      <c r="M175" s="39" t="n"/>
      <c r="N175" s="291" t="n"/>
      <c r="O175" s="39" t="n"/>
      <c r="P175" s="39" t="n"/>
      <c r="Q175" s="291" t="n"/>
      <c r="R175" s="39" t="n"/>
      <c r="S175" s="39" t="n"/>
      <c r="T175" s="291" t="n"/>
      <c r="U175" s="39" t="n"/>
      <c r="V175" s="39" t="n"/>
      <c r="W175" s="291" t="n"/>
      <c r="X175" s="39" t="n"/>
      <c r="Y175" s="39" t="n"/>
      <c r="Z175" s="291" t="n"/>
      <c r="AA175" s="39" t="n"/>
      <c r="AB175" s="39" t="n"/>
      <c r="AC175" s="291" t="n"/>
      <c r="AD175" s="39" t="n"/>
      <c r="AE175" s="39" t="n"/>
      <c r="AF175" s="291" t="n"/>
      <c r="AG175" s="39" t="n"/>
      <c r="AH175" s="39" t="n"/>
      <c r="AI175" s="291" t="n"/>
      <c r="AJ175" s="39" t="n"/>
      <c r="AK175" s="39" t="n"/>
      <c r="AL175" s="291" t="n"/>
      <c r="AM175" s="291" t="n"/>
      <c r="AN175" s="291" t="n"/>
      <c r="AO175" s="291" t="n"/>
      <c r="AP175" s="291" t="n"/>
      <c r="AQ175" s="291" t="n"/>
      <c r="AR175" s="291" t="n"/>
      <c r="AS175" s="291" t="n"/>
      <c r="AT175" s="291" t="n"/>
      <c r="AU175" s="291" t="n"/>
      <c r="AV175" s="291" t="n"/>
      <c r="AW175" s="291" t="n"/>
      <c r="AX175" s="291" t="n"/>
      <c r="AY175" s="291" t="n"/>
      <c r="AZ175" s="39" t="n"/>
      <c r="BA175" s="291" t="n"/>
      <c r="BB175" s="39" t="n"/>
      <c r="BC175" s="291" t="n"/>
      <c r="BD175" s="39" t="n"/>
      <c r="BE175" s="291" t="n"/>
      <c r="BF175" s="39" t="n"/>
      <c r="BG175" s="291" t="n"/>
      <c r="BH175" s="39" t="n"/>
      <c r="BI175" s="291" t="n"/>
      <c r="BJ175" s="39" t="n"/>
      <c r="BK175" s="291" t="n"/>
      <c r="BL175" s="39" t="n"/>
      <c r="BM175" s="291" t="n"/>
      <c r="BN175" s="39" t="n"/>
      <c r="BO175" s="291" t="n"/>
      <c r="BP175" s="291" t="n"/>
      <c r="BQ175" s="39" t="n"/>
      <c r="BR175" s="291" t="n"/>
      <c r="BS175" s="39" t="n"/>
      <c r="BT175" s="291" t="n"/>
      <c r="BU175" s="39" t="n"/>
      <c r="BV175" s="291" t="n"/>
      <c r="BW175" s="39" t="n"/>
      <c r="BX175" s="291" t="n"/>
      <c r="BY175" s="39" t="n"/>
      <c r="BZ175" s="291" t="n"/>
      <c r="CA175" s="39" t="n"/>
      <c r="CB175" s="291" t="n"/>
      <c r="CC175" s="39" t="n"/>
      <c r="CD175" s="291" t="n"/>
      <c r="CE175" s="39" t="n"/>
      <c r="CF175" s="291" t="n"/>
      <c r="CG175" s="39" t="n"/>
      <c r="CH175" s="291" t="n"/>
      <c r="CI175" s="39" t="n"/>
      <c r="CJ175" s="291" t="n"/>
      <c r="CK175" s="39" t="n"/>
      <c r="CL175" s="291" t="n"/>
      <c r="CM175" s="39" t="n"/>
      <c r="CN175" s="291" t="n"/>
      <c r="CW175" s="291" t="n"/>
      <c r="CX175" s="39" t="n"/>
      <c r="CY175" s="291" t="n"/>
      <c r="CZ175" s="39" t="n"/>
      <c r="DA175" s="291" t="n"/>
      <c r="DB175" s="39" t="n"/>
      <c r="DC175" s="291" t="n"/>
      <c r="DD175" s="39" t="n"/>
      <c r="DE175" s="291" t="n"/>
      <c r="DF175" s="337" t="n"/>
    </row>
    <row r="176" ht="13" customFormat="1" customHeight="1" s="40">
      <c r="A176" s="326" t="n"/>
      <c r="B176" s="291" t="n"/>
      <c r="C176" s="39" t="n"/>
      <c r="D176" s="39" t="n"/>
      <c r="E176" s="291" t="n"/>
      <c r="F176" s="39" t="n"/>
      <c r="G176" s="39" t="n"/>
      <c r="H176" s="291" t="n"/>
      <c r="I176" s="39" t="n"/>
      <c r="J176" s="39" t="n"/>
      <c r="K176" s="291" t="n"/>
      <c r="L176" s="39" t="n"/>
      <c r="M176" s="39" t="n"/>
      <c r="N176" s="291" t="n"/>
      <c r="O176" s="39" t="n"/>
      <c r="P176" s="39" t="n"/>
      <c r="Q176" s="291" t="n"/>
      <c r="R176" s="39" t="n"/>
      <c r="S176" s="39" t="n"/>
      <c r="T176" s="291" t="n"/>
      <c r="U176" s="39" t="n"/>
      <c r="V176" s="39" t="n"/>
      <c r="W176" s="291" t="n"/>
      <c r="X176" s="39" t="n"/>
      <c r="Y176" s="39" t="n"/>
      <c r="Z176" s="291" t="n"/>
      <c r="AA176" s="39" t="n"/>
      <c r="AB176" s="39" t="n"/>
      <c r="AC176" s="291" t="n"/>
      <c r="AD176" s="39" t="n"/>
      <c r="AE176" s="39" t="n"/>
      <c r="AF176" s="291" t="n"/>
      <c r="AG176" s="39" t="n"/>
      <c r="AH176" s="39" t="n"/>
      <c r="AI176" s="291" t="n"/>
      <c r="AJ176" s="39" t="n"/>
      <c r="AK176" s="39" t="n"/>
      <c r="AL176" s="291" t="n"/>
      <c r="AM176" s="291" t="n"/>
      <c r="AN176" s="291" t="n"/>
      <c r="AO176" s="291" t="n"/>
      <c r="AP176" s="291" t="n"/>
      <c r="AQ176" s="291" t="n"/>
      <c r="AR176" s="291" t="n"/>
      <c r="AS176" s="291" t="n"/>
      <c r="AT176" s="291" t="n"/>
      <c r="AU176" s="291" t="n"/>
      <c r="AV176" s="291" t="n"/>
      <c r="AW176" s="291" t="n"/>
      <c r="AX176" s="291" t="n"/>
      <c r="AY176" s="291" t="n"/>
      <c r="AZ176" s="39" t="n"/>
      <c r="BA176" s="291" t="n"/>
      <c r="BB176" s="39" t="n"/>
      <c r="BC176" s="291" t="n"/>
      <c r="BD176" s="39" t="n"/>
      <c r="BE176" s="291" t="n"/>
      <c r="BF176" s="39" t="n"/>
      <c r="BG176" s="291" t="n"/>
      <c r="BH176" s="39" t="n"/>
      <c r="BI176" s="291" t="n"/>
      <c r="BJ176" s="39" t="n"/>
      <c r="BK176" s="291" t="n"/>
      <c r="BL176" s="39" t="n"/>
      <c r="BM176" s="291" t="n"/>
      <c r="BN176" s="39" t="n"/>
      <c r="BO176" s="291" t="n"/>
      <c r="BP176" s="291" t="n"/>
      <c r="BQ176" s="39" t="n"/>
      <c r="BR176" s="291" t="n"/>
      <c r="BS176" s="39" t="n"/>
      <c r="BT176" s="291" t="n"/>
      <c r="BU176" s="39" t="n"/>
      <c r="BV176" s="291" t="n"/>
      <c r="BW176" s="39" t="n"/>
      <c r="BX176" s="291" t="n"/>
      <c r="BY176" s="39" t="n"/>
      <c r="BZ176" s="291" t="n"/>
      <c r="CA176" s="39" t="n"/>
      <c r="CB176" s="291" t="n"/>
      <c r="CC176" s="39" t="n"/>
      <c r="CD176" s="291" t="n"/>
      <c r="CE176" s="39" t="n"/>
      <c r="CF176" s="291" t="n"/>
      <c r="CG176" s="39" t="n"/>
      <c r="CH176" s="291" t="n"/>
      <c r="CI176" s="39" t="n"/>
      <c r="CJ176" s="291" t="n"/>
      <c r="CK176" s="39" t="n"/>
      <c r="CL176" s="291" t="n"/>
      <c r="CM176" s="39" t="n"/>
      <c r="CN176" s="291" t="n"/>
      <c r="CW176" s="291" t="n"/>
      <c r="CX176" s="39" t="n"/>
      <c r="CY176" s="291" t="n"/>
      <c r="CZ176" s="39" t="n"/>
      <c r="DA176" s="291" t="n"/>
      <c r="DB176" s="39" t="n"/>
      <c r="DC176" s="291" t="n"/>
      <c r="DD176" s="39" t="n"/>
      <c r="DE176" s="291" t="n"/>
      <c r="DF176" s="337" t="n"/>
    </row>
    <row r="177" customFormat="1" s="40">
      <c r="C177" s="41" t="n"/>
      <c r="D177" s="41" t="n"/>
      <c r="F177" s="41" t="n"/>
      <c r="G177" s="41" t="n"/>
      <c r="I177" s="41" t="n"/>
      <c r="J177" s="41" t="n"/>
      <c r="L177" s="41" t="n"/>
      <c r="M177" s="41" t="n"/>
      <c r="O177" s="41" t="n"/>
      <c r="P177" s="41" t="n"/>
      <c r="R177" s="41" t="n"/>
      <c r="S177" s="41" t="n"/>
      <c r="U177" s="41" t="n"/>
      <c r="V177" s="41" t="n"/>
      <c r="X177" s="41" t="n"/>
      <c r="Y177" s="41" t="n"/>
      <c r="AA177" s="41" t="n"/>
      <c r="AB177" s="41" t="n"/>
      <c r="AD177" s="41" t="n"/>
      <c r="AE177" s="41" t="n"/>
      <c r="AG177" s="41" t="n"/>
      <c r="AH177" s="41" t="n"/>
      <c r="AJ177" s="41" t="n"/>
      <c r="AK177" s="41" t="n"/>
      <c r="AP177" s="291" t="n"/>
      <c r="AQ177" s="291" t="n"/>
      <c r="AS177" s="291" t="n"/>
      <c r="AT177" s="291" t="n"/>
      <c r="AV177" s="291" t="n"/>
      <c r="AW177" s="291" t="n"/>
      <c r="AY177" s="291" t="n"/>
      <c r="AZ177" s="39" t="n"/>
      <c r="BA177" s="291" t="n"/>
      <c r="BB177" s="39" t="n"/>
      <c r="BC177" s="291" t="n"/>
      <c r="BD177" s="39" t="n"/>
      <c r="BE177" s="291" t="n"/>
      <c r="BF177" s="39" t="n"/>
      <c r="BG177" s="291" t="n"/>
      <c r="BH177" s="39" t="n"/>
      <c r="BI177" s="291" t="n"/>
      <c r="BJ177" s="39" t="n"/>
      <c r="BK177" s="291" t="n"/>
      <c r="BL177" s="39" t="n"/>
      <c r="BM177" s="291" t="n"/>
      <c r="BN177" s="39" t="n"/>
      <c r="BO177" s="291" t="n"/>
      <c r="BP177" s="291" t="n"/>
      <c r="BQ177" s="39" t="n"/>
      <c r="BR177" s="291" t="n"/>
      <c r="BS177" s="39" t="n"/>
      <c r="BT177" s="291" t="n"/>
      <c r="BU177" s="39" t="n"/>
      <c r="BV177" s="291" t="n"/>
      <c r="BW177" s="39" t="n"/>
      <c r="BX177" s="291" t="n"/>
      <c r="BY177" s="39" t="n"/>
      <c r="BZ177" s="291" t="n"/>
      <c r="CA177" s="39" t="n"/>
      <c r="CB177" s="291" t="n"/>
      <c r="CC177" s="39" t="n"/>
      <c r="CD177" s="291" t="n"/>
      <c r="CE177" s="39" t="n"/>
      <c r="CF177" s="291" t="n"/>
      <c r="CG177" s="39" t="n"/>
      <c r="CH177" s="291" t="n"/>
      <c r="CI177" s="39" t="n"/>
      <c r="CJ177" s="291" t="n"/>
      <c r="CK177" s="39" t="n"/>
      <c r="CL177" s="291" t="n"/>
      <c r="CM177" s="39" t="n"/>
      <c r="CN177" s="291" t="n"/>
      <c r="CW177" s="291" t="n"/>
      <c r="CX177" s="39" t="n"/>
      <c r="CY177" s="291" t="n"/>
      <c r="CZ177" s="39" t="n"/>
      <c r="DA177" s="291" t="n"/>
      <c r="DB177" s="39" t="n"/>
      <c r="DC177" s="291" t="n"/>
      <c r="DD177" s="39" t="n"/>
      <c r="DE177" s="291" t="n"/>
      <c r="DF177" s="337" t="n"/>
    </row>
    <row r="178" ht="13" customFormat="1" customHeight="1" s="40">
      <c r="A178" s="326" t="n"/>
      <c r="B178" s="291" t="n"/>
      <c r="C178" s="39" t="n"/>
      <c r="D178" s="39" t="n"/>
      <c r="E178" s="291" t="n"/>
      <c r="F178" s="39" t="n"/>
      <c r="G178" s="39" t="n"/>
      <c r="H178" s="291" t="n"/>
      <c r="I178" s="39" t="n"/>
      <c r="J178" s="39" t="n"/>
      <c r="K178" s="291" t="n"/>
      <c r="L178" s="39" t="n"/>
      <c r="M178" s="39" t="n"/>
      <c r="N178" s="291" t="n"/>
      <c r="O178" s="39" t="n"/>
      <c r="P178" s="39" t="n"/>
      <c r="Q178" s="291" t="n"/>
      <c r="R178" s="39" t="n"/>
      <c r="S178" s="39" t="n"/>
      <c r="T178" s="291" t="n"/>
      <c r="U178" s="39" t="n"/>
      <c r="V178" s="39" t="n"/>
      <c r="W178" s="291" t="n"/>
      <c r="X178" s="39" t="n"/>
      <c r="Y178" s="39" t="n"/>
      <c r="Z178" s="291" t="n"/>
      <c r="AA178" s="39" t="n"/>
      <c r="AB178" s="39" t="n"/>
      <c r="AC178" s="291" t="n"/>
      <c r="AD178" s="39" t="n"/>
      <c r="AE178" s="39" t="n"/>
      <c r="AF178" s="291" t="n"/>
      <c r="AG178" s="39" t="n"/>
      <c r="AH178" s="39" t="n"/>
      <c r="AI178" s="291" t="n"/>
      <c r="AJ178" s="39" t="n"/>
      <c r="AK178" s="39" t="n"/>
      <c r="AL178" s="291" t="n"/>
      <c r="AM178" s="338" t="n"/>
      <c r="AN178" s="179" t="n"/>
      <c r="AO178" s="291" t="n"/>
      <c r="AP178" s="291" t="n"/>
      <c r="AQ178" s="179" t="n"/>
      <c r="AR178" s="291" t="n"/>
      <c r="AS178" s="291" t="n"/>
      <c r="AT178" s="179" t="n"/>
      <c r="AU178" s="291" t="n"/>
      <c r="AV178" s="291" t="n"/>
      <c r="AW178" s="179" t="n"/>
      <c r="AX178" s="291" t="n"/>
      <c r="AY178" s="291" t="n"/>
      <c r="AZ178" s="39" t="n"/>
      <c r="BA178" s="291" t="n"/>
      <c r="BB178" s="39" t="n"/>
      <c r="BC178" s="291" t="n"/>
      <c r="BD178" s="39" t="n"/>
      <c r="BE178" s="291" t="n"/>
      <c r="BF178" s="39" t="n"/>
      <c r="BG178" s="291" t="n"/>
      <c r="BH178" s="39" t="n"/>
      <c r="BI178" s="291" t="n"/>
      <c r="BJ178" s="39" t="n"/>
      <c r="BK178" s="291" t="n"/>
      <c r="BL178" s="39" t="n"/>
      <c r="BM178" s="291" t="n"/>
      <c r="BN178" s="39" t="n"/>
      <c r="BO178" s="291" t="n"/>
      <c r="BP178" s="291" t="n"/>
      <c r="BQ178" s="39" t="n"/>
      <c r="BR178" s="291" t="n"/>
      <c r="BS178" s="39" t="n"/>
      <c r="BT178" s="291" t="n"/>
      <c r="BU178" s="39" t="n"/>
      <c r="BV178" s="291" t="n"/>
      <c r="BW178" s="39" t="n"/>
      <c r="BX178" s="291" t="n"/>
      <c r="BY178" s="39" t="n"/>
      <c r="BZ178" s="291" t="n"/>
      <c r="CA178" s="39" t="n"/>
      <c r="CB178" s="291" t="n"/>
      <c r="CC178" s="39" t="n"/>
      <c r="CD178" s="291" t="n"/>
      <c r="CE178" s="39" t="n"/>
      <c r="CF178" s="291" t="n"/>
      <c r="CG178" s="39" t="n"/>
      <c r="CH178" s="291" t="n"/>
      <c r="CI178" s="39" t="n"/>
      <c r="CJ178" s="291" t="n"/>
      <c r="CK178" s="39" t="n"/>
      <c r="CL178" s="291" t="n"/>
      <c r="CM178" s="39" t="n"/>
      <c r="CN178" s="291" t="n"/>
      <c r="CW178" s="291" t="n"/>
      <c r="CX178" s="39" t="n"/>
      <c r="CY178" s="291" t="n"/>
      <c r="CZ178" s="39" t="n"/>
      <c r="DA178" s="291" t="n"/>
      <c r="DB178" s="39" t="n"/>
      <c r="DC178" s="291" t="n"/>
      <c r="DD178" s="39" t="n"/>
      <c r="DE178" s="291" t="n"/>
      <c r="DF178" s="337" t="n"/>
    </row>
    <row r="179" ht="13" customFormat="1" customHeight="1" s="40">
      <c r="A179" s="326" t="n"/>
      <c r="B179" s="291" t="n"/>
      <c r="C179" s="39" t="n"/>
      <c r="D179" s="39" t="n"/>
      <c r="E179" s="291" t="n"/>
      <c r="F179" s="39" t="n"/>
      <c r="G179" s="39" t="n"/>
      <c r="H179" s="291" t="n"/>
      <c r="I179" s="39" t="n"/>
      <c r="J179" s="39" t="n"/>
      <c r="K179" s="291" t="n"/>
      <c r="L179" s="39" t="n"/>
      <c r="M179" s="39" t="n"/>
      <c r="N179" s="291" t="n"/>
      <c r="O179" s="39" t="n"/>
      <c r="P179" s="39" t="n"/>
      <c r="Q179" s="291" t="n"/>
      <c r="R179" s="39" t="n"/>
      <c r="S179" s="39" t="n"/>
      <c r="T179" s="291" t="n"/>
      <c r="U179" s="39" t="n"/>
      <c r="V179" s="39" t="n"/>
      <c r="W179" s="291" t="n"/>
      <c r="X179" s="39" t="n"/>
      <c r="Y179" s="39" t="n"/>
      <c r="Z179" s="291" t="n"/>
      <c r="AA179" s="39" t="n"/>
      <c r="AB179" s="39" t="n"/>
      <c r="AC179" s="291" t="n"/>
      <c r="AD179" s="39" t="n"/>
      <c r="AE179" s="39" t="n"/>
      <c r="AF179" s="291" t="n"/>
      <c r="AG179" s="39" t="n"/>
      <c r="AH179" s="39" t="n"/>
      <c r="AI179" s="291" t="n"/>
      <c r="AJ179" s="39" t="n"/>
      <c r="AK179" s="39" t="n"/>
      <c r="AL179" s="291" t="n"/>
      <c r="AM179" s="338" t="n"/>
      <c r="AN179" s="179" t="n"/>
      <c r="AO179" s="291" t="n"/>
      <c r="AP179" s="291" t="n"/>
      <c r="AQ179" s="179" t="n"/>
      <c r="AR179" s="291" t="n"/>
      <c r="AS179" s="291" t="n"/>
      <c r="AT179" s="179" t="n"/>
      <c r="AU179" s="291" t="n"/>
      <c r="AV179" s="291" t="n"/>
      <c r="AW179" s="179" t="n"/>
      <c r="AX179" s="291" t="n"/>
      <c r="BN179" s="39" t="n"/>
      <c r="BO179" s="291" t="n"/>
      <c r="BP179" s="291" t="n"/>
      <c r="BQ179" s="39" t="n"/>
      <c r="BR179" s="291" t="n"/>
      <c r="BS179" s="39" t="n"/>
      <c r="BT179" s="291" t="n"/>
      <c r="BU179" s="39" t="n"/>
      <c r="BV179" s="291" t="n"/>
      <c r="BW179" s="39" t="n"/>
      <c r="BX179" s="291" t="n"/>
      <c r="BY179" s="39" t="n"/>
      <c r="BZ179" s="291" t="n"/>
      <c r="CA179" s="39" t="n"/>
      <c r="CB179" s="291" t="n"/>
      <c r="CC179" s="39" t="n"/>
      <c r="CD179" s="291" t="n"/>
      <c r="CE179" s="39" t="n"/>
      <c r="CF179" s="291" t="n"/>
      <c r="CG179" s="39" t="n"/>
      <c r="CH179" s="291" t="n"/>
      <c r="CI179" s="39" t="n"/>
      <c r="CJ179" s="291" t="n"/>
      <c r="CK179" s="39" t="n"/>
      <c r="CL179" s="291" t="n"/>
      <c r="CM179" s="39" t="n"/>
      <c r="CN179" s="291" t="n"/>
      <c r="CW179" s="291" t="n"/>
      <c r="CX179" s="39" t="n"/>
      <c r="CY179" s="291" t="n"/>
      <c r="CZ179" s="39" t="n"/>
      <c r="DA179" s="291" t="n"/>
      <c r="DB179" s="39" t="n"/>
      <c r="DC179" s="291" t="n"/>
      <c r="DD179" s="39" t="n"/>
      <c r="DE179" s="291" t="n"/>
      <c r="DF179" s="337" t="n"/>
    </row>
    <row r="180" ht="13" customFormat="1" customHeight="1" s="40">
      <c r="A180" s="326" t="n"/>
      <c r="B180" s="291" t="n"/>
      <c r="C180" s="39" t="n"/>
      <c r="D180" s="39" t="n"/>
      <c r="E180" s="291" t="n"/>
      <c r="F180" s="39" t="n"/>
      <c r="G180" s="39" t="n"/>
      <c r="H180" s="291" t="n"/>
      <c r="I180" s="39" t="n"/>
      <c r="J180" s="39" t="n"/>
      <c r="K180" s="291" t="n"/>
      <c r="L180" s="39" t="n"/>
      <c r="M180" s="39" t="n"/>
      <c r="N180" s="291" t="n"/>
      <c r="O180" s="39" t="n"/>
      <c r="P180" s="39" t="n"/>
      <c r="Q180" s="291" t="n"/>
      <c r="R180" s="39" t="n"/>
      <c r="S180" s="39" t="n"/>
      <c r="T180" s="291" t="n"/>
      <c r="U180" s="39" t="n"/>
      <c r="V180" s="39" t="n"/>
      <c r="W180" s="291" t="n"/>
      <c r="X180" s="39" t="n"/>
      <c r="Y180" s="39" t="n"/>
      <c r="Z180" s="291" t="n"/>
      <c r="AA180" s="39" t="n"/>
      <c r="AB180" s="39" t="n"/>
      <c r="AC180" s="291" t="n"/>
      <c r="AD180" s="39" t="n"/>
      <c r="AE180" s="39" t="n"/>
      <c r="AF180" s="291" t="n"/>
      <c r="AG180" s="39" t="n"/>
      <c r="AH180" s="39" t="n"/>
      <c r="AI180" s="291" t="n"/>
      <c r="AJ180" s="39" t="n"/>
      <c r="AK180" s="39" t="n"/>
      <c r="AL180" s="291" t="n"/>
      <c r="AM180" s="338" t="n"/>
      <c r="AN180" s="179" t="n"/>
      <c r="AO180" s="291" t="n"/>
      <c r="AP180" s="291" t="n"/>
      <c r="AQ180" s="179" t="n"/>
      <c r="AR180" s="291" t="n"/>
      <c r="AS180" s="291" t="n"/>
      <c r="AT180" s="179" t="n"/>
      <c r="AU180" s="291" t="n"/>
      <c r="AV180" s="291" t="n"/>
      <c r="AW180" s="179" t="n"/>
      <c r="AX180" s="291" t="n"/>
      <c r="AY180" s="291" t="n"/>
      <c r="AZ180" s="39" t="n"/>
      <c r="BA180" s="291" t="n"/>
      <c r="BB180" s="39" t="n"/>
      <c r="BC180" s="291" t="n"/>
      <c r="BD180" s="39" t="n"/>
      <c r="BE180" s="291" t="n"/>
      <c r="BF180" s="39" t="n"/>
      <c r="BG180" s="291" t="n"/>
      <c r="BH180" s="39" t="n"/>
      <c r="BI180" s="291" t="n"/>
      <c r="BJ180" s="39" t="n"/>
      <c r="BK180" s="291" t="n"/>
      <c r="BL180" s="39" t="n"/>
      <c r="BM180" s="291" t="n"/>
      <c r="BN180" s="39" t="n"/>
      <c r="BO180" s="291" t="n"/>
      <c r="BP180" s="291" t="n"/>
      <c r="BQ180" s="39" t="n"/>
      <c r="BR180" s="291" t="n"/>
      <c r="BS180" s="39" t="n"/>
      <c r="BT180" s="291" t="n"/>
      <c r="BU180" s="39" t="n"/>
      <c r="BV180" s="291" t="n"/>
      <c r="BW180" s="39" t="n"/>
      <c r="BX180" s="291" t="n"/>
      <c r="BY180" s="39" t="n"/>
      <c r="BZ180" s="291" t="n"/>
      <c r="CA180" s="39" t="n"/>
      <c r="CB180" s="291" t="n"/>
      <c r="CC180" s="39" t="n"/>
      <c r="CD180" s="291" t="n"/>
      <c r="CE180" s="39" t="n"/>
      <c r="CF180" s="291" t="n"/>
      <c r="CG180" s="39" t="n"/>
      <c r="CH180" s="291" t="n"/>
      <c r="CI180" s="39" t="n"/>
      <c r="CJ180" s="291" t="n"/>
      <c r="CK180" s="39" t="n"/>
      <c r="CL180" s="291" t="n"/>
      <c r="CM180" s="39" t="n"/>
      <c r="CN180" s="291" t="n"/>
      <c r="CW180" s="291" t="n"/>
      <c r="CX180" s="39" t="n"/>
      <c r="CY180" s="291" t="n"/>
      <c r="CZ180" s="39" t="n"/>
      <c r="DA180" s="291" t="n"/>
      <c r="DB180" s="39" t="n"/>
      <c r="DC180" s="291" t="n"/>
      <c r="DD180" s="39" t="n"/>
      <c r="DE180" s="291" t="n"/>
      <c r="DF180" s="337" t="n"/>
    </row>
    <row r="181" ht="13" customFormat="1" customHeight="1" s="119">
      <c r="A181" s="342" t="n"/>
      <c r="B181" s="317" t="n"/>
      <c r="C181" s="39" t="n"/>
      <c r="D181" s="39" t="n"/>
      <c r="E181" s="317" t="n"/>
      <c r="F181" s="39" t="n"/>
      <c r="G181" s="39" t="n"/>
      <c r="H181" s="317" t="n"/>
      <c r="I181" s="39" t="n"/>
      <c r="J181" s="39" t="n"/>
      <c r="K181" s="317" t="n"/>
      <c r="L181" s="39" t="n"/>
      <c r="M181" s="39" t="n"/>
      <c r="N181" s="317" t="n"/>
      <c r="O181" s="39" t="n"/>
      <c r="P181" s="39" t="n"/>
      <c r="Q181" s="317" t="n"/>
      <c r="R181" s="39" t="n"/>
      <c r="S181" s="39" t="n"/>
      <c r="T181" s="317" t="n"/>
      <c r="U181" s="39" t="n"/>
      <c r="V181" s="39" t="n"/>
      <c r="W181" s="317" t="n"/>
      <c r="X181" s="39" t="n"/>
      <c r="Y181" s="39" t="n"/>
      <c r="Z181" s="317" t="n"/>
      <c r="AA181" s="39" t="n"/>
      <c r="AB181" s="39" t="n"/>
      <c r="AC181" s="317" t="n"/>
      <c r="AD181" s="39" t="n"/>
      <c r="AE181" s="39" t="n"/>
      <c r="AF181" s="317" t="n"/>
      <c r="AG181" s="39" t="n"/>
      <c r="AH181" s="39" t="n"/>
      <c r="AI181" s="317" t="n"/>
      <c r="AJ181" s="39" t="n"/>
      <c r="AK181" s="39" t="n"/>
      <c r="AL181" s="317" t="n"/>
      <c r="AM181" s="338" t="n"/>
      <c r="AN181" s="179" t="n"/>
      <c r="AO181" s="317" t="n"/>
      <c r="AP181" s="317" t="n"/>
      <c r="AQ181" s="179" t="n"/>
      <c r="AR181" s="317" t="n"/>
      <c r="AS181" s="317" t="n"/>
      <c r="AT181" s="179" t="n"/>
      <c r="AU181" s="317" t="n"/>
      <c r="AV181" s="317" t="n"/>
      <c r="AW181" s="179" t="n"/>
      <c r="AX181" s="317" t="n"/>
      <c r="AY181" s="340" t="n"/>
      <c r="AZ181" s="93" t="n"/>
      <c r="BA181" s="340" t="n"/>
      <c r="BB181" s="93" t="n"/>
      <c r="BC181" s="340" t="n"/>
      <c r="BD181" s="93" t="n"/>
      <c r="BE181" s="340" t="n"/>
      <c r="BF181" s="93" t="n"/>
      <c r="BG181" s="340" t="n"/>
      <c r="BH181" s="93" t="n"/>
      <c r="BI181" s="340" t="n"/>
      <c r="BJ181" s="93" t="n"/>
      <c r="BK181" s="340" t="n"/>
      <c r="BL181" s="93" t="n"/>
      <c r="BM181" s="340" t="n"/>
      <c r="BN181" s="340" t="n"/>
      <c r="BO181" s="340" t="n"/>
      <c r="BP181" s="340" t="n"/>
      <c r="BQ181" s="340" t="n"/>
      <c r="BR181" s="340" t="n"/>
      <c r="BS181" s="340" t="n"/>
      <c r="BT181" s="340" t="n"/>
      <c r="BU181" s="340" t="n"/>
      <c r="BV181" s="340" t="n"/>
      <c r="BW181" s="340" t="n"/>
      <c r="BX181" s="340" t="n"/>
      <c r="BY181" s="340" t="n"/>
      <c r="BZ181" s="340" t="n"/>
      <c r="CA181" s="340" t="n"/>
      <c r="CB181" s="340" t="n"/>
      <c r="CC181" s="340" t="n"/>
      <c r="CD181" s="340" t="n"/>
      <c r="CE181" s="340" t="n"/>
      <c r="CF181" s="340" t="n"/>
      <c r="CG181" s="340" t="n"/>
      <c r="CH181" s="340" t="n"/>
      <c r="CI181" s="340" t="n"/>
      <c r="CJ181" s="340" t="n"/>
      <c r="CK181" s="340" t="n"/>
      <c r="CL181" s="340" t="n"/>
      <c r="CM181" s="340" t="n"/>
      <c r="CN181" s="340" t="n"/>
      <c r="CO181" s="340" t="n"/>
      <c r="CP181" s="340" t="n"/>
      <c r="CQ181" s="340" t="n"/>
      <c r="CR181" s="340" t="n"/>
      <c r="CS181" s="340" t="n"/>
      <c r="CT181" s="340" t="n"/>
      <c r="CU181" s="340" t="n"/>
      <c r="CV181" s="340" t="n"/>
      <c r="CW181" s="340" t="n"/>
      <c r="CX181" s="340" t="n"/>
      <c r="CY181" s="340" t="n"/>
      <c r="CZ181" s="340" t="n"/>
      <c r="DA181" s="340" t="n"/>
      <c r="DB181" s="340" t="n"/>
      <c r="DC181" s="340" t="n"/>
      <c r="DD181" s="340" t="n"/>
      <c r="DE181" s="341" t="n"/>
      <c r="DF181" s="341" t="n"/>
    </row>
    <row r="182" ht="13" customFormat="1" customHeight="1" s="119">
      <c r="A182" s="342" t="n"/>
      <c r="B182" s="317" t="n"/>
      <c r="C182" s="39" t="n"/>
      <c r="D182" s="39" t="n"/>
      <c r="E182" s="317" t="n"/>
      <c r="F182" s="39" t="n"/>
      <c r="G182" s="39" t="n"/>
      <c r="H182" s="317" t="n"/>
      <c r="I182" s="39" t="n"/>
      <c r="J182" s="39" t="n"/>
      <c r="K182" s="317" t="n"/>
      <c r="L182" s="39" t="n"/>
      <c r="M182" s="39" t="n"/>
      <c r="N182" s="317" t="n"/>
      <c r="O182" s="39" t="n"/>
      <c r="P182" s="39" t="n"/>
      <c r="Q182" s="317" t="n"/>
      <c r="R182" s="39" t="n"/>
      <c r="S182" s="39" t="n"/>
      <c r="T182" s="317" t="n"/>
      <c r="U182" s="39" t="n"/>
      <c r="V182" s="39" t="n"/>
      <c r="W182" s="317" t="n"/>
      <c r="X182" s="39" t="n"/>
      <c r="Y182" s="39" t="n"/>
      <c r="Z182" s="317" t="n"/>
      <c r="AA182" s="39" t="n"/>
      <c r="AB182" s="39" t="n"/>
      <c r="AC182" s="317" t="n"/>
      <c r="AD182" s="39" t="n"/>
      <c r="AE182" s="39" t="n"/>
      <c r="AF182" s="317" t="n"/>
      <c r="AG182" s="39" t="n"/>
      <c r="AH182" s="39" t="n"/>
      <c r="AI182" s="317" t="n"/>
      <c r="AJ182" s="39" t="n"/>
      <c r="AK182" s="39" t="n"/>
      <c r="AL182" s="317" t="n"/>
      <c r="AM182" s="338" t="n"/>
      <c r="AN182" s="39" t="n"/>
      <c r="AO182" s="317" t="n"/>
      <c r="AP182" s="317" t="n"/>
      <c r="AQ182" s="39" t="n"/>
      <c r="AR182" s="317" t="n"/>
      <c r="AS182" s="317" t="n"/>
      <c r="AT182" s="39" t="n"/>
      <c r="AU182" s="317" t="n"/>
      <c r="AV182" s="317" t="n"/>
      <c r="AW182" s="39" t="n"/>
      <c r="AX182" s="317" t="n"/>
      <c r="AY182" s="340" t="n"/>
      <c r="AZ182" s="93" t="n"/>
      <c r="BA182" s="340" t="n"/>
      <c r="BB182" s="93" t="n"/>
      <c r="BC182" s="340" t="n"/>
      <c r="BD182" s="93" t="n"/>
      <c r="BE182" s="340" t="n"/>
      <c r="BF182" s="93" t="n"/>
      <c r="BG182" s="340" t="n"/>
      <c r="BH182" s="93" t="n"/>
      <c r="BI182" s="340" t="n"/>
      <c r="BJ182" s="93" t="n"/>
      <c r="BK182" s="340" t="n"/>
      <c r="BL182" s="93" t="n"/>
      <c r="BM182" s="340" t="n"/>
      <c r="BN182" s="340" t="n"/>
      <c r="BO182" s="340" t="n"/>
      <c r="BP182" s="340" t="n"/>
      <c r="BQ182" s="340" t="n"/>
      <c r="BR182" s="340" t="n"/>
      <c r="BS182" s="340" t="n"/>
      <c r="BT182" s="340" t="n"/>
      <c r="BU182" s="340" t="n"/>
      <c r="BV182" s="340" t="n"/>
      <c r="BW182" s="340" t="n"/>
      <c r="BX182" s="340" t="n"/>
      <c r="BY182" s="340" t="n"/>
      <c r="BZ182" s="340" t="n"/>
      <c r="CA182" s="340" t="n"/>
      <c r="CB182" s="340" t="n"/>
      <c r="CC182" s="340" t="n"/>
      <c r="CD182" s="340" t="n"/>
      <c r="CE182" s="340" t="n"/>
      <c r="CF182" s="340" t="n"/>
      <c r="CG182" s="340" t="n"/>
      <c r="CH182" s="340" t="n"/>
      <c r="CI182" s="340" t="n"/>
      <c r="CJ182" s="340" t="n"/>
      <c r="CK182" s="340" t="n"/>
      <c r="CL182" s="340" t="n"/>
      <c r="CM182" s="340" t="n"/>
      <c r="CN182" s="340" t="n"/>
      <c r="CO182" s="340" t="n"/>
      <c r="CP182" s="340" t="n"/>
      <c r="CQ182" s="340" t="n"/>
      <c r="CR182" s="340" t="n"/>
      <c r="CS182" s="340" t="n"/>
      <c r="CT182" s="340" t="n"/>
      <c r="CU182" s="340" t="n"/>
      <c r="CV182" s="340" t="n"/>
      <c r="CW182" s="340" t="n"/>
      <c r="CX182" s="340" t="n"/>
      <c r="CY182" s="340" t="n"/>
      <c r="CZ182" s="340" t="n"/>
      <c r="DA182" s="340" t="n"/>
      <c r="DB182" s="340" t="n"/>
      <c r="DC182" s="340" t="n"/>
      <c r="DD182" s="340" t="n"/>
      <c r="DE182" s="341" t="n"/>
      <c r="DF182" s="341" t="n"/>
    </row>
    <row r="183" ht="13" customFormat="1" customHeight="1" s="119">
      <c r="A183" s="342" t="n"/>
      <c r="B183" s="317" t="n"/>
      <c r="C183" s="142" t="n"/>
      <c r="D183" s="142" t="n"/>
      <c r="E183" s="317" t="n"/>
      <c r="F183" s="142" t="n"/>
      <c r="G183" s="142" t="n"/>
      <c r="H183" s="317" t="n"/>
      <c r="I183" s="142" t="n"/>
      <c r="J183" s="142" t="n"/>
      <c r="K183" s="317" t="n"/>
      <c r="L183" s="142" t="n"/>
      <c r="M183" s="142" t="n"/>
      <c r="N183" s="317" t="n"/>
      <c r="O183" s="142" t="n"/>
      <c r="P183" s="142" t="n"/>
      <c r="Q183" s="317" t="n"/>
      <c r="R183" s="142" t="n"/>
      <c r="S183" s="142" t="n"/>
      <c r="T183" s="317" t="n"/>
      <c r="U183" s="142" t="n"/>
      <c r="V183" s="142" t="n"/>
      <c r="W183" s="317" t="n"/>
      <c r="X183" s="142" t="n"/>
      <c r="Y183" s="142" t="n"/>
      <c r="Z183" s="317" t="n"/>
      <c r="AA183" s="142" t="n"/>
      <c r="AB183" s="142" t="n"/>
      <c r="AC183" s="317" t="n"/>
      <c r="AD183" s="142" t="n"/>
      <c r="AE183" s="142" t="n"/>
      <c r="AF183" s="317" t="n"/>
      <c r="AG183" s="142" t="n"/>
      <c r="AH183" s="142" t="n"/>
      <c r="AI183" s="317" t="n"/>
      <c r="AJ183" s="142" t="n"/>
      <c r="AK183" s="142" t="n"/>
      <c r="AL183" s="317" t="n"/>
      <c r="AM183" s="317" t="n"/>
      <c r="AN183" s="182" t="n"/>
      <c r="AO183" s="317" t="n"/>
      <c r="AP183" s="317" t="n"/>
      <c r="AQ183" s="182" t="n"/>
      <c r="AR183" s="317" t="n"/>
      <c r="AS183" s="317" t="n"/>
      <c r="AT183" s="182" t="n"/>
      <c r="AU183" s="317" t="n"/>
      <c r="AV183" s="317" t="n"/>
      <c r="AW183" s="182" t="n"/>
      <c r="AX183" s="317" t="n"/>
      <c r="AY183" s="340" t="n"/>
      <c r="AZ183" s="93" t="n"/>
      <c r="BA183" s="340" t="n"/>
      <c r="BB183" s="93" t="n"/>
      <c r="BC183" s="340" t="n"/>
      <c r="BD183" s="93" t="n"/>
      <c r="BE183" s="340" t="n"/>
      <c r="BF183" s="93" t="n"/>
      <c r="BG183" s="340" t="n"/>
      <c r="BH183" s="93" t="n"/>
      <c r="BI183" s="340" t="n"/>
      <c r="BJ183" s="93" t="n"/>
      <c r="BK183" s="340" t="n"/>
      <c r="BL183" s="93" t="n"/>
      <c r="BM183" s="340" t="n"/>
      <c r="BN183" s="340" t="n"/>
      <c r="BO183" s="340" t="n"/>
      <c r="BP183" s="340" t="n"/>
      <c r="BQ183" s="340" t="n"/>
      <c r="BR183" s="340" t="n"/>
      <c r="BS183" s="340" t="n"/>
      <c r="BT183" s="340" t="n"/>
      <c r="BU183" s="340" t="n"/>
      <c r="BV183" s="340" t="n"/>
      <c r="BW183" s="340" t="n"/>
      <c r="BX183" s="340" t="n"/>
      <c r="BY183" s="340" t="n"/>
      <c r="BZ183" s="340" t="n"/>
      <c r="CA183" s="340" t="n"/>
      <c r="CB183" s="340" t="n"/>
      <c r="CC183" s="340" t="n"/>
      <c r="CD183" s="340" t="n"/>
      <c r="CE183" s="340" t="n"/>
      <c r="CF183" s="340" t="n"/>
      <c r="CG183" s="340" t="n"/>
      <c r="CH183" s="340" t="n"/>
      <c r="CI183" s="340" t="n"/>
      <c r="CJ183" s="340" t="n"/>
      <c r="CK183" s="340" t="n"/>
      <c r="CL183" s="340" t="n"/>
      <c r="CM183" s="340" t="n"/>
      <c r="CN183" s="340" t="n"/>
      <c r="CO183" s="340" t="n"/>
      <c r="CP183" s="340" t="n"/>
      <c r="CQ183" s="340" t="n"/>
      <c r="CR183" s="340" t="n"/>
      <c r="CS183" s="340" t="n"/>
      <c r="CT183" s="340" t="n"/>
      <c r="CU183" s="340" t="n"/>
      <c r="CV183" s="340" t="n"/>
      <c r="CW183" s="340" t="n"/>
      <c r="CX183" s="340" t="n"/>
      <c r="CY183" s="340" t="n"/>
      <c r="CZ183" s="340" t="n"/>
      <c r="DA183" s="340" t="n"/>
      <c r="DB183" s="340" t="n"/>
      <c r="DC183" s="340" t="n"/>
      <c r="DD183" s="340" t="n"/>
      <c r="DE183" s="341" t="n"/>
      <c r="DF183" s="341" t="n"/>
    </row>
    <row r="184" ht="13" customFormat="1" customHeight="1" s="119">
      <c r="A184" s="342" t="n"/>
      <c r="B184" s="317" t="n"/>
      <c r="C184" s="142" t="n"/>
      <c r="D184" s="142" t="n"/>
      <c r="E184" s="317" t="n"/>
      <c r="F184" s="142" t="n"/>
      <c r="G184" s="142" t="n"/>
      <c r="H184" s="317" t="n"/>
      <c r="I184" s="142" t="n"/>
      <c r="J184" s="142" t="n"/>
      <c r="K184" s="317" t="n"/>
      <c r="L184" s="142" t="n"/>
      <c r="M184" s="142" t="n"/>
      <c r="N184" s="317" t="n"/>
      <c r="O184" s="142" t="n"/>
      <c r="P184" s="142" t="n"/>
      <c r="Q184" s="317" t="n"/>
      <c r="R184" s="142" t="n"/>
      <c r="S184" s="142" t="n"/>
      <c r="T184" s="317" t="n"/>
      <c r="U184" s="142" t="n"/>
      <c r="V184" s="142" t="n"/>
      <c r="W184" s="317" t="n"/>
      <c r="X184" s="142" t="n"/>
      <c r="Y184" s="142" t="n"/>
      <c r="Z184" s="317" t="n"/>
      <c r="AA184" s="142" t="n"/>
      <c r="AB184" s="142" t="n"/>
      <c r="AC184" s="317" t="n"/>
      <c r="AD184" s="142" t="n"/>
      <c r="AE184" s="142" t="n"/>
      <c r="AF184" s="317" t="n"/>
      <c r="AG184" s="142" t="n"/>
      <c r="AH184" s="142" t="n"/>
      <c r="AI184" s="317" t="n"/>
      <c r="AJ184" s="142" t="n"/>
      <c r="AK184" s="142" t="n"/>
      <c r="AL184" s="317" t="n"/>
      <c r="AM184" s="317" t="n"/>
      <c r="AN184" s="182" t="n"/>
      <c r="AO184" s="317" t="n"/>
      <c r="AP184" s="317" t="n"/>
      <c r="AQ184" s="182" t="n"/>
      <c r="AR184" s="317" t="n"/>
      <c r="AS184" s="317" t="n"/>
      <c r="AT184" s="182" t="n"/>
      <c r="AU184" s="317" t="n"/>
      <c r="AV184" s="317" t="n"/>
      <c r="AW184" s="182" t="n"/>
      <c r="AX184" s="317" t="n"/>
      <c r="AY184" s="340" t="n"/>
      <c r="AZ184" s="93" t="n"/>
      <c r="BA184" s="340" t="n"/>
      <c r="BB184" s="93" t="n"/>
      <c r="BC184" s="340" t="n"/>
      <c r="BD184" s="93" t="n"/>
      <c r="BE184" s="340" t="n"/>
      <c r="BF184" s="93" t="n"/>
      <c r="BG184" s="340" t="n"/>
      <c r="BH184" s="93" t="n"/>
      <c r="BI184" s="340" t="n"/>
      <c r="BJ184" s="93" t="n"/>
      <c r="BK184" s="340" t="n"/>
      <c r="BL184" s="93" t="n"/>
      <c r="BM184" s="340" t="n"/>
      <c r="BN184" s="340" t="n"/>
      <c r="BO184" s="340" t="n"/>
      <c r="BP184" s="340" t="n"/>
      <c r="BQ184" s="340" t="n"/>
      <c r="BR184" s="340" t="n"/>
      <c r="BS184" s="340" t="n"/>
      <c r="BT184" s="340" t="n"/>
      <c r="BU184" s="340" t="n"/>
      <c r="BV184" s="340" t="n"/>
      <c r="BW184" s="340" t="n"/>
      <c r="BX184" s="340" t="n"/>
      <c r="BY184" s="340" t="n"/>
      <c r="BZ184" s="340" t="n"/>
      <c r="CA184" s="340" t="n"/>
      <c r="CB184" s="340" t="n"/>
      <c r="CC184" s="340" t="n"/>
      <c r="CD184" s="340" t="n"/>
      <c r="CE184" s="340" t="n"/>
      <c r="CF184" s="340" t="n"/>
      <c r="CG184" s="340" t="n"/>
      <c r="CH184" s="340" t="n"/>
      <c r="CI184" s="340" t="n"/>
      <c r="CJ184" s="340" t="n"/>
      <c r="CK184" s="340" t="n"/>
      <c r="CL184" s="340" t="n"/>
      <c r="CM184" s="340" t="n"/>
      <c r="CN184" s="340" t="n"/>
      <c r="CO184" s="340" t="n"/>
      <c r="CP184" s="340" t="n"/>
      <c r="CQ184" s="340" t="n"/>
      <c r="CR184" s="340" t="n"/>
      <c r="CS184" s="340" t="n"/>
      <c r="CT184" s="340" t="n"/>
      <c r="CU184" s="340" t="n"/>
      <c r="CV184" s="340" t="n"/>
      <c r="CW184" s="340" t="n"/>
      <c r="CX184" s="340" t="n"/>
      <c r="CY184" s="340" t="n"/>
      <c r="CZ184" s="340" t="n"/>
      <c r="DA184" s="340" t="n"/>
      <c r="DB184" s="340" t="n"/>
      <c r="DC184" s="340" t="n"/>
      <c r="DD184" s="340" t="n"/>
      <c r="DE184" s="341" t="n"/>
      <c r="DF184" s="341" t="n"/>
    </row>
    <row r="185" ht="13" customFormat="1" customHeight="1" s="119">
      <c r="A185" s="342" t="n"/>
      <c r="B185" s="317" t="n"/>
      <c r="C185" s="142" t="n"/>
      <c r="D185" s="142" t="n"/>
      <c r="E185" s="317" t="n"/>
      <c r="F185" s="142" t="n"/>
      <c r="G185" s="142" t="n"/>
      <c r="H185" s="317" t="n"/>
      <c r="I185" s="142" t="n"/>
      <c r="J185" s="142" t="n"/>
      <c r="K185" s="317" t="n"/>
      <c r="L185" s="142" t="n"/>
      <c r="M185" s="142" t="n"/>
      <c r="N185" s="317" t="n"/>
      <c r="O185" s="142" t="n"/>
      <c r="P185" s="142" t="n"/>
      <c r="Q185" s="317" t="n"/>
      <c r="R185" s="142" t="n"/>
      <c r="S185" s="142" t="n"/>
      <c r="T185" s="317" t="n"/>
      <c r="U185" s="142" t="n"/>
      <c r="V185" s="142" t="n"/>
      <c r="W185" s="317" t="n"/>
      <c r="X185" s="142" t="n"/>
      <c r="Y185" s="142" t="n"/>
      <c r="Z185" s="317" t="n"/>
      <c r="AA185" s="142" t="n"/>
      <c r="AB185" s="142" t="n"/>
      <c r="AC185" s="317" t="n"/>
      <c r="AD185" s="142" t="n"/>
      <c r="AE185" s="142" t="n"/>
      <c r="AF185" s="317" t="n"/>
      <c r="AG185" s="142" t="n"/>
      <c r="AH185" s="142" t="n"/>
      <c r="AI185" s="317" t="n"/>
      <c r="AJ185" s="142" t="n"/>
      <c r="AK185" s="142" t="n"/>
      <c r="AL185" s="317" t="n"/>
      <c r="AM185" s="317" t="n"/>
      <c r="AN185" s="182" t="n"/>
      <c r="AO185" s="317" t="n"/>
      <c r="AP185" s="317" t="n"/>
      <c r="AQ185" s="182" t="n"/>
      <c r="AR185" s="317" t="n"/>
      <c r="AS185" s="317" t="n"/>
      <c r="AT185" s="182" t="n"/>
      <c r="AU185" s="317" t="n"/>
      <c r="AV185" s="317" t="n"/>
      <c r="AW185" s="182" t="n"/>
      <c r="AX185" s="183" t="n"/>
      <c r="AY185" s="340" t="n"/>
      <c r="AZ185" s="93" t="n"/>
      <c r="BA185" s="340" t="n"/>
      <c r="BB185" s="93" t="n"/>
      <c r="BC185" s="340" t="n"/>
      <c r="BD185" s="93" t="n"/>
      <c r="BE185" s="340" t="n"/>
      <c r="BF185" s="93" t="n"/>
      <c r="BG185" s="340" t="n"/>
      <c r="BH185" s="93" t="n"/>
      <c r="BI185" s="340" t="n"/>
      <c r="BJ185" s="93" t="n"/>
      <c r="BK185" s="340" t="n"/>
      <c r="BL185" s="93" t="n"/>
      <c r="BM185" s="340" t="n"/>
      <c r="BN185" s="340" t="n"/>
      <c r="BO185" s="340" t="n"/>
      <c r="BP185" s="340" t="n"/>
      <c r="BQ185" s="340" t="n"/>
      <c r="BR185" s="340" t="n"/>
      <c r="BS185" s="340" t="n"/>
      <c r="BT185" s="340" t="n"/>
      <c r="BU185" s="340" t="n"/>
      <c r="BV185" s="340" t="n"/>
      <c r="BW185" s="340" t="n"/>
      <c r="BX185" s="340" t="n"/>
      <c r="BY185" s="340" t="n"/>
      <c r="BZ185" s="340" t="n"/>
      <c r="CA185" s="340" t="n"/>
      <c r="CB185" s="340" t="n"/>
      <c r="CC185" s="340" t="n"/>
      <c r="CD185" s="340" t="n"/>
      <c r="CE185" s="340" t="n"/>
      <c r="CF185" s="340" t="n"/>
      <c r="CG185" s="340" t="n"/>
      <c r="CH185" s="340" t="n"/>
      <c r="CI185" s="340" t="n"/>
      <c r="CJ185" s="340" t="n"/>
      <c r="CK185" s="340" t="n"/>
      <c r="CL185" s="340" t="n"/>
      <c r="CM185" s="340" t="n"/>
      <c r="CN185" s="340" t="n"/>
      <c r="CO185" s="340" t="n"/>
      <c r="CP185" s="340" t="n"/>
      <c r="CQ185" s="340" t="n"/>
      <c r="CR185" s="340" t="n"/>
      <c r="CS185" s="340" t="n"/>
      <c r="CT185" s="340" t="n"/>
      <c r="CU185" s="340" t="n"/>
      <c r="CV185" s="340" t="n"/>
      <c r="CW185" s="340" t="n"/>
      <c r="CX185" s="340" t="n"/>
      <c r="CY185" s="340" t="n"/>
      <c r="CZ185" s="340" t="n"/>
      <c r="DA185" s="340" t="n"/>
      <c r="DB185" s="340" t="n"/>
      <c r="DC185" s="340" t="n"/>
      <c r="DD185" s="340" t="n"/>
      <c r="DE185" s="341" t="n"/>
      <c r="DF185" s="341" t="n"/>
    </row>
    <row r="186" ht="13" customFormat="1" customHeight="1" s="119">
      <c r="A186" s="342" t="n"/>
      <c r="B186" s="317" t="n"/>
      <c r="C186" s="142" t="n"/>
      <c r="D186" s="142" t="n"/>
      <c r="E186" s="317" t="n"/>
      <c r="F186" s="142" t="n"/>
      <c r="G186" s="142" t="n"/>
      <c r="H186" s="317" t="n"/>
      <c r="I186" s="142" t="n"/>
      <c r="J186" s="142" t="n"/>
      <c r="K186" s="317" t="n"/>
      <c r="L186" s="142" t="n"/>
      <c r="M186" s="142" t="n"/>
      <c r="N186" s="317" t="n"/>
      <c r="O186" s="142" t="n"/>
      <c r="P186" s="142" t="n"/>
      <c r="Q186" s="317" t="n"/>
      <c r="R186" s="142" t="n"/>
      <c r="S186" s="142" t="n"/>
      <c r="T186" s="317" t="n"/>
      <c r="U186" s="142" t="n"/>
      <c r="V186" s="142" t="n"/>
      <c r="W186" s="317" t="n"/>
      <c r="X186" s="142" t="n"/>
      <c r="Y186" s="142" t="n"/>
      <c r="Z186" s="317" t="n"/>
      <c r="AA186" s="142" t="n"/>
      <c r="AB186" s="142" t="n"/>
      <c r="AC186" s="317" t="n"/>
      <c r="AD186" s="142" t="n"/>
      <c r="AE186" s="142" t="n"/>
      <c r="AF186" s="317" t="n"/>
      <c r="AG186" s="142" t="n"/>
      <c r="AH186" s="142" t="n"/>
      <c r="AI186" s="317" t="n"/>
      <c r="AJ186" s="142" t="n"/>
      <c r="AK186" s="142" t="n"/>
      <c r="AL186" s="317" t="n"/>
      <c r="AM186" s="317" t="n"/>
      <c r="AN186" s="182" t="n"/>
      <c r="AO186" s="317" t="n"/>
      <c r="AP186" s="317" t="n"/>
      <c r="AQ186" s="182" t="n"/>
      <c r="AR186" s="317" t="n"/>
      <c r="AS186" s="317" t="n"/>
      <c r="AT186" s="182" t="n"/>
      <c r="AU186" s="317" t="n"/>
      <c r="AV186" s="317" t="n"/>
      <c r="AW186" s="182" t="n"/>
      <c r="AX186" s="183" t="n"/>
      <c r="AY186" s="340" t="n"/>
      <c r="AZ186" s="93" t="n"/>
      <c r="BA186" s="340" t="n"/>
      <c r="BB186" s="93" t="n"/>
      <c r="BC186" s="340" t="n"/>
      <c r="BD186" s="93" t="n"/>
      <c r="BE186" s="340" t="n"/>
      <c r="BF186" s="93" t="n"/>
      <c r="BG186" s="340" t="n"/>
      <c r="BH186" s="93" t="n"/>
      <c r="BI186" s="340" t="n"/>
      <c r="BJ186" s="93" t="n"/>
      <c r="BK186" s="340" t="n"/>
      <c r="BL186" s="93" t="n"/>
      <c r="BM186" s="340" t="n"/>
      <c r="BN186" s="340" t="n"/>
      <c r="BO186" s="340" t="n"/>
      <c r="BP186" s="340" t="n"/>
      <c r="BQ186" s="340" t="n"/>
      <c r="BR186" s="340" t="n"/>
      <c r="BS186" s="340" t="n"/>
      <c r="BT186" s="340" t="n"/>
      <c r="BU186" s="340" t="n"/>
      <c r="BV186" s="340" t="n"/>
      <c r="BW186" s="340" t="n"/>
      <c r="BX186" s="340" t="n"/>
      <c r="BY186" s="340" t="n"/>
      <c r="BZ186" s="340" t="n"/>
      <c r="CA186" s="340" t="n"/>
      <c r="CB186" s="340" t="n"/>
      <c r="CC186" s="340" t="n"/>
      <c r="CD186" s="340" t="n"/>
      <c r="CE186" s="340" t="n"/>
      <c r="CF186" s="340" t="n"/>
      <c r="CG186" s="340" t="n"/>
      <c r="CH186" s="340" t="n"/>
      <c r="CI186" s="340" t="n"/>
      <c r="CJ186" s="340" t="n"/>
      <c r="CK186" s="340" t="n"/>
      <c r="CL186" s="340" t="n"/>
      <c r="CM186" s="340" t="n"/>
      <c r="CN186" s="340" t="n"/>
      <c r="CO186" s="340" t="n"/>
      <c r="CP186" s="340" t="n"/>
      <c r="CQ186" s="340" t="n"/>
      <c r="CR186" s="340" t="n"/>
      <c r="CS186" s="340" t="n"/>
      <c r="CT186" s="340" t="n"/>
      <c r="CU186" s="340" t="n"/>
      <c r="CV186" s="340" t="n"/>
      <c r="CW186" s="340" t="n"/>
      <c r="CX186" s="340" t="n"/>
      <c r="CY186" s="340" t="n"/>
      <c r="CZ186" s="340" t="n"/>
      <c r="DA186" s="340" t="n"/>
      <c r="DB186" s="340" t="n"/>
      <c r="DC186" s="340" t="n"/>
      <c r="DD186" s="340" t="n"/>
      <c r="DE186" s="341" t="n"/>
      <c r="DF186" s="341" t="n"/>
    </row>
    <row r="187" ht="13" customFormat="1" customHeight="1" s="119">
      <c r="A187" s="342" t="n"/>
      <c r="B187" s="317" t="n"/>
      <c r="C187" s="142" t="n"/>
      <c r="D187" s="142" t="n"/>
      <c r="E187" s="317" t="n"/>
      <c r="F187" s="142" t="n"/>
      <c r="G187" s="142" t="n"/>
      <c r="H187" s="317" t="n"/>
      <c r="I187" s="142" t="n"/>
      <c r="J187" s="142" t="n"/>
      <c r="K187" s="317" t="n"/>
      <c r="L187" s="142" t="n"/>
      <c r="M187" s="142" t="n"/>
      <c r="N187" s="317" t="n"/>
      <c r="O187" s="142" t="n"/>
      <c r="P187" s="142" t="n"/>
      <c r="Q187" s="317" t="n"/>
      <c r="R187" s="142" t="n"/>
      <c r="S187" s="142" t="n"/>
      <c r="T187" s="317" t="n"/>
      <c r="U187" s="142" t="n"/>
      <c r="V187" s="142" t="n"/>
      <c r="W187" s="317" t="n"/>
      <c r="X187" s="142" t="n"/>
      <c r="Y187" s="142" t="n"/>
      <c r="Z187" s="317" t="n"/>
      <c r="AA187" s="142" t="n"/>
      <c r="AB187" s="142" t="n"/>
      <c r="AC187" s="317" t="n"/>
      <c r="AD187" s="142" t="n"/>
      <c r="AE187" s="142" t="n"/>
      <c r="AF187" s="317" t="n"/>
      <c r="AG187" s="142" t="n"/>
      <c r="AH187" s="142" t="n"/>
      <c r="AI187" s="317" t="n"/>
      <c r="AJ187" s="142" t="n"/>
      <c r="AK187" s="142" t="n"/>
      <c r="AL187" s="317" t="n"/>
      <c r="AM187" s="317" t="n"/>
      <c r="AN187" s="317" t="n"/>
      <c r="AO187" s="317" t="n"/>
      <c r="AP187" s="317" t="n"/>
      <c r="AQ187" s="317" t="n"/>
      <c r="AR187" s="317" t="n"/>
      <c r="AS187" s="317" t="n"/>
      <c r="AT187" s="317" t="n"/>
      <c r="AU187" s="317" t="n"/>
      <c r="AV187" s="317" t="n"/>
      <c r="AW187" s="317" t="n"/>
      <c r="AX187" s="317" t="n"/>
      <c r="AY187" s="340" t="n"/>
      <c r="AZ187" s="93" t="n"/>
      <c r="BA187" s="340" t="n"/>
      <c r="BB187" s="93" t="n"/>
      <c r="BC187" s="340" t="n"/>
      <c r="BD187" s="93" t="n"/>
      <c r="BE187" s="340" t="n"/>
      <c r="BF187" s="93" t="n"/>
      <c r="BG187" s="340" t="n"/>
      <c r="BH187" s="93" t="n"/>
      <c r="BI187" s="340" t="n"/>
      <c r="BJ187" s="93" t="n"/>
      <c r="BK187" s="340" t="n"/>
      <c r="BL187" s="93" t="n"/>
      <c r="BM187" s="340" t="n"/>
      <c r="BN187" s="340" t="n"/>
      <c r="BO187" s="340" t="n"/>
      <c r="BP187" s="340" t="n"/>
      <c r="BQ187" s="340" t="n"/>
      <c r="BR187" s="340" t="n"/>
      <c r="BS187" s="340" t="n"/>
      <c r="BT187" s="340" t="n"/>
      <c r="BU187" s="340" t="n"/>
      <c r="BV187" s="340" t="n"/>
      <c r="BW187" s="340" t="n"/>
      <c r="BX187" s="340" t="n"/>
      <c r="BY187" s="340" t="n"/>
      <c r="BZ187" s="340" t="n"/>
      <c r="CA187" s="340" t="n"/>
      <c r="CB187" s="340" t="n"/>
      <c r="CC187" s="340" t="n"/>
      <c r="CD187" s="340" t="n"/>
      <c r="CE187" s="340" t="n"/>
      <c r="CF187" s="340" t="n"/>
      <c r="CG187" s="340" t="n"/>
      <c r="CH187" s="340" t="n"/>
      <c r="CI187" s="340" t="n"/>
      <c r="CJ187" s="340" t="n"/>
      <c r="CK187" s="340" t="n"/>
      <c r="CL187" s="340" t="n"/>
      <c r="CM187" s="340" t="n"/>
      <c r="CN187" s="340" t="n"/>
      <c r="CO187" s="340" t="n"/>
      <c r="CP187" s="340" t="n"/>
      <c r="CQ187" s="340" t="n"/>
      <c r="CR187" s="340" t="n"/>
      <c r="CS187" s="340" t="n"/>
      <c r="CT187" s="340" t="n"/>
      <c r="CU187" s="340" t="n"/>
      <c r="CV187" s="340" t="n"/>
      <c r="CW187" s="340" t="n"/>
      <c r="CX187" s="340" t="n"/>
      <c r="CY187" s="340" t="n"/>
      <c r="CZ187" s="340" t="n"/>
      <c r="DA187" s="340" t="n"/>
      <c r="DB187" s="340" t="n"/>
      <c r="DC187" s="340" t="n"/>
      <c r="DD187" s="340" t="n"/>
      <c r="DE187" s="341" t="n"/>
      <c r="DF187" s="341" t="n"/>
    </row>
    <row r="188" ht="13" customFormat="1" customHeight="1" s="119">
      <c r="A188" s="342" t="n"/>
      <c r="B188" s="317" t="n"/>
      <c r="C188" s="142" t="n"/>
      <c r="D188" s="142" t="n"/>
      <c r="E188" s="317" t="n"/>
      <c r="F188" s="142" t="n"/>
      <c r="G188" s="142" t="n"/>
      <c r="H188" s="317" t="n"/>
      <c r="I188" s="142" t="n"/>
      <c r="J188" s="142" t="n"/>
      <c r="K188" s="317" t="n"/>
      <c r="L188" s="142" t="n"/>
      <c r="M188" s="142" t="n"/>
      <c r="N188" s="317" t="n"/>
      <c r="O188" s="142" t="n"/>
      <c r="P188" s="142" t="n"/>
      <c r="Q188" s="317" t="n"/>
      <c r="R188" s="142" t="n"/>
      <c r="S188" s="142" t="n"/>
      <c r="T188" s="317" t="n"/>
      <c r="U188" s="142" t="n"/>
      <c r="V188" s="142" t="n"/>
      <c r="W188" s="317" t="n"/>
      <c r="X188" s="142" t="n"/>
      <c r="Y188" s="142" t="n"/>
      <c r="Z188" s="317" t="n"/>
      <c r="AA188" s="142" t="n"/>
      <c r="AB188" s="142" t="n"/>
      <c r="AC188" s="317" t="n"/>
      <c r="AD188" s="142" t="n"/>
      <c r="AE188" s="142" t="n"/>
      <c r="AF188" s="317" t="n"/>
      <c r="AG188" s="142" t="n"/>
      <c r="AH188" s="142" t="n"/>
      <c r="AI188" s="317" t="n"/>
      <c r="AJ188" s="142" t="n"/>
      <c r="AK188" s="142" t="n"/>
      <c r="AL188" s="317" t="n"/>
      <c r="AM188" s="317" t="n"/>
      <c r="AN188" s="182" t="n"/>
      <c r="AO188" s="317" t="n"/>
      <c r="AP188" s="317" t="n"/>
      <c r="AQ188" s="182" t="n"/>
      <c r="AR188" s="317" t="n"/>
      <c r="AS188" s="317" t="n"/>
      <c r="AT188" s="182" t="n"/>
      <c r="AU188" s="317" t="n"/>
      <c r="AV188" s="317" t="n"/>
      <c r="AW188" s="182" t="n"/>
      <c r="AX188" s="317" t="n"/>
      <c r="AY188" s="340" t="n"/>
      <c r="AZ188" s="93" t="n"/>
      <c r="BA188" s="340" t="n"/>
      <c r="BB188" s="93" t="n"/>
      <c r="BC188" s="340" t="n"/>
      <c r="BD188" s="93" t="n"/>
      <c r="BE188" s="340" t="n"/>
      <c r="BF188" s="93" t="n"/>
      <c r="BG188" s="340" t="n"/>
      <c r="BH188" s="93" t="n"/>
      <c r="BI188" s="340" t="n"/>
      <c r="BJ188" s="93" t="n"/>
      <c r="BK188" s="340" t="n"/>
      <c r="BL188" s="93" t="n"/>
      <c r="BM188" s="340" t="n"/>
      <c r="BN188" s="340" t="n"/>
      <c r="BO188" s="340" t="n"/>
      <c r="BP188" s="340" t="n"/>
      <c r="BQ188" s="340" t="n"/>
      <c r="BR188" s="340" t="n"/>
      <c r="BS188" s="340" t="n"/>
      <c r="BT188" s="340" t="n"/>
      <c r="BU188" s="340" t="n"/>
      <c r="BV188" s="340" t="n"/>
      <c r="BW188" s="340" t="n"/>
      <c r="BX188" s="340" t="n"/>
      <c r="BY188" s="340" t="n"/>
      <c r="BZ188" s="340" t="n"/>
      <c r="CA188" s="340" t="n"/>
      <c r="CB188" s="340" t="n"/>
      <c r="CC188" s="340" t="n"/>
      <c r="CD188" s="340" t="n"/>
      <c r="CE188" s="340" t="n"/>
      <c r="CF188" s="340" t="n"/>
      <c r="CG188" s="340" t="n"/>
      <c r="CH188" s="340" t="n"/>
      <c r="CI188" s="340" t="n"/>
      <c r="CJ188" s="340" t="n"/>
      <c r="CK188" s="340" t="n"/>
      <c r="CL188" s="340" t="n"/>
      <c r="CM188" s="340" t="n"/>
      <c r="CN188" s="340" t="n"/>
      <c r="CO188" s="340" t="n"/>
      <c r="CP188" s="340" t="n"/>
      <c r="CQ188" s="340" t="n"/>
      <c r="CR188" s="340" t="n"/>
      <c r="CS188" s="340" t="n"/>
      <c r="CT188" s="340" t="n"/>
      <c r="CU188" s="340" t="n"/>
      <c r="CV188" s="340" t="n"/>
      <c r="CW188" s="340" t="n"/>
      <c r="CX188" s="340" t="n"/>
      <c r="CY188" s="340" t="n"/>
      <c r="CZ188" s="340" t="n"/>
      <c r="DA188" s="340" t="n"/>
      <c r="DB188" s="340" t="n"/>
      <c r="DC188" s="340" t="n"/>
      <c r="DD188" s="340" t="n"/>
      <c r="DE188" s="341" t="n"/>
      <c r="DF188" s="341" t="n"/>
    </row>
    <row r="189" ht="13" customFormat="1" customHeight="1" s="119">
      <c r="A189" s="342" t="n"/>
      <c r="B189" s="317" t="n"/>
      <c r="C189" s="142" t="n"/>
      <c r="D189" s="142" t="n"/>
      <c r="E189" s="317" t="n"/>
      <c r="F189" s="142" t="n"/>
      <c r="G189" s="142" t="n"/>
      <c r="H189" s="317" t="n"/>
      <c r="I189" s="142" t="n"/>
      <c r="J189" s="142" t="n"/>
      <c r="K189" s="317" t="n"/>
      <c r="L189" s="142" t="n"/>
      <c r="M189" s="142" t="n"/>
      <c r="N189" s="317" t="n"/>
      <c r="O189" s="142" t="n"/>
      <c r="P189" s="142" t="n"/>
      <c r="Q189" s="317" t="n"/>
      <c r="R189" s="142" t="n"/>
      <c r="S189" s="142" t="n"/>
      <c r="T189" s="317" t="n"/>
      <c r="U189" s="142" t="n"/>
      <c r="V189" s="142" t="n"/>
      <c r="W189" s="317" t="n"/>
      <c r="X189" s="142" t="n"/>
      <c r="Y189" s="142" t="n"/>
      <c r="Z189" s="317" t="n"/>
      <c r="AA189" s="142" t="n"/>
      <c r="AB189" s="142" t="n"/>
      <c r="AC189" s="317" t="n"/>
      <c r="AD189" s="142" t="n"/>
      <c r="AE189" s="142" t="n"/>
      <c r="AF189" s="317" t="n"/>
      <c r="AG189" s="142" t="n"/>
      <c r="AH189" s="142" t="n"/>
      <c r="AI189" s="317" t="n"/>
      <c r="AJ189" s="142" t="n"/>
      <c r="AK189" s="142" t="n"/>
      <c r="AL189" s="317" t="n"/>
      <c r="AM189" s="317" t="n"/>
      <c r="AN189" s="182" t="n"/>
      <c r="AO189" s="317" t="n"/>
      <c r="AP189" s="317" t="n"/>
      <c r="AQ189" s="182" t="n"/>
      <c r="AR189" s="317" t="n"/>
      <c r="AS189" s="317" t="n"/>
      <c r="AT189" s="182" t="n"/>
      <c r="AU189" s="317" t="n"/>
      <c r="AV189" s="317" t="n"/>
      <c r="AW189" s="182" t="n"/>
      <c r="AX189" s="317" t="n"/>
      <c r="AY189" s="340" t="n"/>
      <c r="AZ189" s="93" t="n"/>
      <c r="BA189" s="340" t="n"/>
      <c r="BB189" s="93" t="n"/>
      <c r="BC189" s="340" t="n"/>
      <c r="BD189" s="93" t="n"/>
      <c r="BE189" s="340" t="n"/>
      <c r="BF189" s="93" t="n"/>
      <c r="BG189" s="340" t="n"/>
      <c r="BH189" s="93" t="n"/>
      <c r="BI189" s="340" t="n"/>
      <c r="BJ189" s="93" t="n"/>
      <c r="BK189" s="340" t="n"/>
      <c r="BL189" s="93" t="n"/>
      <c r="BM189" s="340" t="n"/>
      <c r="BN189" s="340" t="n"/>
      <c r="BO189" s="340" t="n"/>
      <c r="BP189" s="340" t="n"/>
      <c r="BQ189" s="340" t="n"/>
      <c r="BR189" s="340" t="n"/>
      <c r="BS189" s="340" t="n"/>
      <c r="BT189" s="340" t="n"/>
      <c r="BU189" s="340" t="n"/>
      <c r="BV189" s="340" t="n"/>
      <c r="BW189" s="340" t="n"/>
      <c r="BX189" s="340" t="n"/>
      <c r="BY189" s="340" t="n"/>
      <c r="BZ189" s="340" t="n"/>
      <c r="CA189" s="340" t="n"/>
      <c r="CB189" s="340" t="n"/>
      <c r="CC189" s="340" t="n"/>
      <c r="CD189" s="340" t="n"/>
      <c r="CE189" s="340" t="n"/>
      <c r="CF189" s="340" t="n"/>
      <c r="CG189" s="340" t="n"/>
      <c r="CH189" s="340" t="n"/>
      <c r="CI189" s="340" t="n"/>
      <c r="CJ189" s="340" t="n"/>
      <c r="CK189" s="340" t="n"/>
      <c r="CL189" s="340" t="n"/>
      <c r="CM189" s="340" t="n"/>
      <c r="CN189" s="340" t="n"/>
      <c r="CO189" s="340" t="n"/>
      <c r="CP189" s="340" t="n"/>
      <c r="CQ189" s="340" t="n"/>
      <c r="CR189" s="340" t="n"/>
      <c r="CS189" s="340" t="n"/>
      <c r="CT189" s="340" t="n"/>
      <c r="CU189" s="340" t="n"/>
      <c r="CV189" s="340" t="n"/>
      <c r="CW189" s="340" t="n"/>
      <c r="CX189" s="340" t="n"/>
      <c r="CY189" s="340" t="n"/>
      <c r="CZ189" s="340" t="n"/>
      <c r="DA189" s="340" t="n"/>
      <c r="DB189" s="340" t="n"/>
      <c r="DC189" s="340" t="n"/>
      <c r="DD189" s="340" t="n"/>
      <c r="DE189" s="341" t="n"/>
      <c r="DF189" s="341" t="n"/>
    </row>
    <row r="190" ht="13" customFormat="1" customHeight="1" s="119">
      <c r="A190" s="342" t="n"/>
      <c r="B190" s="317" t="n"/>
      <c r="C190" s="142" t="n"/>
      <c r="D190" s="142" t="n"/>
      <c r="E190" s="317" t="n"/>
      <c r="F190" s="142" t="n"/>
      <c r="G190" s="142" t="n"/>
      <c r="H190" s="317" t="n"/>
      <c r="I190" s="142" t="n"/>
      <c r="J190" s="142" t="n"/>
      <c r="K190" s="317" t="n"/>
      <c r="L190" s="142" t="n"/>
      <c r="M190" s="142" t="n"/>
      <c r="N190" s="317" t="n"/>
      <c r="O190" s="142" t="n"/>
      <c r="P190" s="142" t="n"/>
      <c r="Q190" s="317" t="n"/>
      <c r="R190" s="142" t="n"/>
      <c r="S190" s="142" t="n"/>
      <c r="T190" s="317" t="n"/>
      <c r="U190" s="142" t="n"/>
      <c r="V190" s="142" t="n"/>
      <c r="W190" s="317" t="n"/>
      <c r="X190" s="142" t="n"/>
      <c r="Y190" s="142" t="n"/>
      <c r="Z190" s="317" t="n"/>
      <c r="AA190" s="142" t="n"/>
      <c r="AB190" s="142" t="n"/>
      <c r="AC190" s="317" t="n"/>
      <c r="AD190" s="142" t="n"/>
      <c r="AE190" s="142" t="n"/>
      <c r="AF190" s="317" t="n"/>
      <c r="AG190" s="142" t="n"/>
      <c r="AH190" s="142" t="n"/>
      <c r="AI190" s="317" t="n"/>
      <c r="AJ190" s="142" t="n"/>
      <c r="AK190" s="142" t="n"/>
      <c r="AL190" s="317" t="n"/>
      <c r="AM190" s="317" t="n"/>
      <c r="AN190" s="182" t="n"/>
      <c r="AO190" s="317" t="n"/>
      <c r="AP190" s="317" t="n"/>
      <c r="AQ190" s="182" t="n"/>
      <c r="AR190" s="317" t="n"/>
      <c r="AS190" s="317" t="n"/>
      <c r="AT190" s="182" t="n"/>
      <c r="AU190" s="317" t="n"/>
      <c r="AV190" s="317" t="n"/>
      <c r="AW190" s="182" t="n"/>
      <c r="AX190" s="317" t="n"/>
      <c r="AY190" s="340" t="n"/>
      <c r="AZ190" s="93" t="n"/>
      <c r="BA190" s="340" t="n"/>
      <c r="BB190" s="93" t="n"/>
      <c r="BC190" s="340" t="n"/>
      <c r="BD190" s="93" t="n"/>
      <c r="BE190" s="340" t="n"/>
      <c r="BF190" s="93" t="n"/>
      <c r="BG190" s="340" t="n"/>
      <c r="BH190" s="93" t="n"/>
      <c r="BI190" s="340" t="n"/>
      <c r="BJ190" s="93" t="n"/>
      <c r="BK190" s="340" t="n"/>
      <c r="BL190" s="93" t="n"/>
      <c r="BM190" s="340" t="n"/>
      <c r="BN190" s="340" t="n"/>
      <c r="BO190" s="340" t="n"/>
      <c r="BP190" s="340" t="n"/>
      <c r="BQ190" s="340" t="n"/>
      <c r="BR190" s="340" t="n"/>
      <c r="BS190" s="340" t="n"/>
      <c r="BT190" s="340" t="n"/>
      <c r="BU190" s="340" t="n"/>
      <c r="BV190" s="340" t="n"/>
      <c r="BW190" s="340" t="n"/>
      <c r="BX190" s="340" t="n"/>
      <c r="BY190" s="340" t="n"/>
      <c r="BZ190" s="340" t="n"/>
      <c r="CA190" s="340" t="n"/>
      <c r="CB190" s="340" t="n"/>
      <c r="CC190" s="340" t="n"/>
      <c r="CD190" s="340" t="n"/>
      <c r="CE190" s="340" t="n"/>
      <c r="CF190" s="340" t="n"/>
      <c r="CG190" s="340" t="n"/>
      <c r="CH190" s="340" t="n"/>
      <c r="CI190" s="340" t="n"/>
      <c r="CJ190" s="340" t="n"/>
      <c r="CK190" s="340" t="n"/>
      <c r="CL190" s="340" t="n"/>
      <c r="CM190" s="340" t="n"/>
      <c r="CN190" s="340" t="n"/>
      <c r="CO190" s="340" t="n"/>
      <c r="CP190" s="340" t="n"/>
      <c r="CQ190" s="340" t="n"/>
      <c r="CR190" s="340" t="n"/>
      <c r="CS190" s="340" t="n"/>
      <c r="CT190" s="340" t="n"/>
      <c r="CU190" s="340" t="n"/>
      <c r="CV190" s="340" t="n"/>
      <c r="CW190" s="340" t="n"/>
      <c r="CX190" s="340" t="n"/>
      <c r="CY190" s="340" t="n"/>
      <c r="CZ190" s="340" t="n"/>
      <c r="DA190" s="340" t="n"/>
      <c r="DB190" s="340" t="n"/>
      <c r="DC190" s="340" t="n"/>
      <c r="DD190" s="340" t="n"/>
      <c r="DE190" s="341" t="n"/>
      <c r="DF190" s="341" t="n"/>
    </row>
    <row r="191" ht="13" customFormat="1" customHeight="1" s="119">
      <c r="A191" s="342" t="n"/>
      <c r="B191" s="317" t="n"/>
      <c r="C191" s="142" t="n"/>
      <c r="D191" s="142" t="n"/>
      <c r="E191" s="317" t="n"/>
      <c r="F191" s="142" t="n"/>
      <c r="G191" s="142" t="n"/>
      <c r="H191" s="317" t="n"/>
      <c r="I191" s="142" t="n"/>
      <c r="J191" s="142" t="n"/>
      <c r="K191" s="317" t="n"/>
      <c r="L191" s="142" t="n"/>
      <c r="M191" s="142" t="n"/>
      <c r="N191" s="317" t="n"/>
      <c r="O191" s="142" t="n"/>
      <c r="P191" s="142" t="n"/>
      <c r="Q191" s="317" t="n"/>
      <c r="R191" s="142" t="n"/>
      <c r="S191" s="142" t="n"/>
      <c r="T191" s="317" t="n"/>
      <c r="U191" s="142" t="n"/>
      <c r="V191" s="142" t="n"/>
      <c r="W191" s="317" t="n"/>
      <c r="X191" s="142" t="n"/>
      <c r="Y191" s="142" t="n"/>
      <c r="Z191" s="317" t="n"/>
      <c r="AA191" s="142" t="n"/>
      <c r="AB191" s="142" t="n"/>
      <c r="AC191" s="317" t="n"/>
      <c r="AD191" s="142" t="n"/>
      <c r="AE191" s="142" t="n"/>
      <c r="AF191" s="317" t="n"/>
      <c r="AG191" s="142" t="n"/>
      <c r="AH191" s="142" t="n"/>
      <c r="AI191" s="317" t="n"/>
      <c r="AJ191" s="142" t="n"/>
      <c r="AK191" s="142" t="n"/>
      <c r="AL191" s="317" t="n"/>
      <c r="AM191" s="317" t="n"/>
      <c r="AN191" s="182" t="n"/>
      <c r="AO191" s="317" t="n"/>
      <c r="AP191" s="317" t="n"/>
      <c r="AQ191" s="182" t="n"/>
      <c r="AR191" s="317" t="n"/>
      <c r="AS191" s="317" t="n"/>
      <c r="AT191" s="182" t="n"/>
      <c r="AU191" s="317" t="n"/>
      <c r="AV191" s="317" t="n"/>
      <c r="AW191" s="182" t="n"/>
      <c r="AX191" s="317" t="n"/>
      <c r="AY191" s="340" t="n"/>
      <c r="AZ191" s="93" t="n"/>
      <c r="BA191" s="340" t="n"/>
      <c r="BB191" s="93" t="n"/>
      <c r="BC191" s="340" t="n"/>
      <c r="BD191" s="93" t="n"/>
      <c r="BE191" s="340" t="n"/>
      <c r="BF191" s="93" t="n"/>
      <c r="BG191" s="340" t="n"/>
      <c r="BH191" s="93" t="n"/>
      <c r="BI191" s="340" t="n"/>
      <c r="BJ191" s="93" t="n"/>
      <c r="BK191" s="340" t="n"/>
      <c r="BL191" s="93" t="n"/>
      <c r="BM191" s="340" t="n"/>
      <c r="BN191" s="340" t="n"/>
      <c r="BO191" s="340" t="n"/>
      <c r="BP191" s="340" t="n"/>
      <c r="BQ191" s="340" t="n"/>
      <c r="BR191" s="340" t="n"/>
      <c r="BS191" s="340" t="n"/>
      <c r="BT191" s="340" t="n"/>
      <c r="BU191" s="340" t="n"/>
      <c r="BV191" s="340" t="n"/>
      <c r="BW191" s="340" t="n"/>
      <c r="BX191" s="340" t="n"/>
      <c r="BY191" s="340" t="n"/>
      <c r="BZ191" s="340" t="n"/>
      <c r="CA191" s="340" t="n"/>
      <c r="CB191" s="340" t="n"/>
      <c r="CC191" s="340" t="n"/>
      <c r="CD191" s="340" t="n"/>
      <c r="CE191" s="340" t="n"/>
      <c r="CF191" s="340" t="n"/>
      <c r="CG191" s="340" t="n"/>
      <c r="CH191" s="340" t="n"/>
      <c r="CI191" s="340" t="n"/>
      <c r="CJ191" s="340" t="n"/>
      <c r="CK191" s="340" t="n"/>
      <c r="CL191" s="340" t="n"/>
      <c r="CM191" s="340" t="n"/>
      <c r="CN191" s="340" t="n"/>
      <c r="CO191" s="340" t="n"/>
      <c r="CP191" s="340" t="n"/>
      <c r="CQ191" s="340" t="n"/>
      <c r="CR191" s="340" t="n"/>
      <c r="CS191" s="340" t="n"/>
      <c r="CT191" s="340" t="n"/>
      <c r="CU191" s="340" t="n"/>
      <c r="CV191" s="340" t="n"/>
      <c r="CW191" s="340" t="n"/>
      <c r="CX191" s="340" t="n"/>
      <c r="CY191" s="340" t="n"/>
      <c r="CZ191" s="340" t="n"/>
      <c r="DA191" s="340" t="n"/>
      <c r="DB191" s="340" t="n"/>
      <c r="DC191" s="340" t="n"/>
      <c r="DD191" s="340" t="n"/>
      <c r="DE191" s="341" t="n"/>
      <c r="DF191" s="341" t="n"/>
    </row>
    <row r="192" ht="13" customFormat="1" customHeight="1" s="119">
      <c r="A192" s="342" t="n"/>
      <c r="B192" s="317" t="n"/>
      <c r="C192" s="142" t="n"/>
      <c r="D192" s="142" t="n"/>
      <c r="E192" s="317" t="n"/>
      <c r="F192" s="142" t="n"/>
      <c r="G192" s="142" t="n"/>
      <c r="H192" s="317" t="n"/>
      <c r="I192" s="142" t="n"/>
      <c r="J192" s="142" t="n"/>
      <c r="K192" s="317" t="n"/>
      <c r="L192" s="142" t="n"/>
      <c r="M192" s="142" t="n"/>
      <c r="N192" s="317" t="n"/>
      <c r="O192" s="142" t="n"/>
      <c r="P192" s="142" t="n"/>
      <c r="Q192" s="317" t="n"/>
      <c r="R192" s="142" t="n"/>
      <c r="S192" s="142" t="n"/>
      <c r="T192" s="317" t="n"/>
      <c r="U192" s="142" t="n"/>
      <c r="V192" s="142" t="n"/>
      <c r="W192" s="317" t="n"/>
      <c r="X192" s="142" t="n"/>
      <c r="Y192" s="142" t="n"/>
      <c r="Z192" s="317" t="n"/>
      <c r="AA192" s="142" t="n"/>
      <c r="AB192" s="142" t="n"/>
      <c r="AC192" s="317" t="n"/>
      <c r="AD192" s="142" t="n"/>
      <c r="AE192" s="142" t="n"/>
      <c r="AF192" s="317" t="n"/>
      <c r="AG192" s="142" t="n"/>
      <c r="AH192" s="142" t="n"/>
      <c r="AI192" s="317" t="n"/>
      <c r="AJ192" s="142" t="n"/>
      <c r="AK192" s="142" t="n"/>
      <c r="AL192" s="317" t="n"/>
      <c r="AM192" s="317" t="n"/>
      <c r="AN192" s="182" t="n"/>
      <c r="AO192" s="317" t="n"/>
      <c r="AP192" s="317" t="n"/>
      <c r="AQ192" s="182" t="n"/>
      <c r="AR192" s="317" t="n"/>
      <c r="AS192" s="317" t="n"/>
      <c r="AT192" s="182" t="n"/>
      <c r="AU192" s="317" t="n"/>
      <c r="AV192" s="317" t="n"/>
      <c r="AW192" s="182" t="n"/>
      <c r="AX192" s="317" t="n"/>
      <c r="AY192" s="340" t="n"/>
      <c r="AZ192" s="93" t="n"/>
      <c r="BA192" s="340" t="n"/>
      <c r="BB192" s="93" t="n"/>
      <c r="BC192" s="340" t="n"/>
      <c r="BD192" s="93" t="n"/>
      <c r="BE192" s="340" t="n"/>
      <c r="BF192" s="93" t="n"/>
      <c r="BG192" s="340" t="n"/>
      <c r="BH192" s="93" t="n"/>
      <c r="BI192" s="340" t="n"/>
      <c r="BJ192" s="93" t="n"/>
      <c r="BK192" s="340" t="n"/>
      <c r="BL192" s="93" t="n"/>
      <c r="BM192" s="340" t="n"/>
      <c r="BN192" s="340" t="n"/>
      <c r="BO192" s="340" t="n"/>
      <c r="BP192" s="340" t="n"/>
      <c r="BQ192" s="340" t="n"/>
      <c r="BR192" s="340" t="n"/>
      <c r="BS192" s="340" t="n"/>
      <c r="BT192" s="340" t="n"/>
      <c r="BU192" s="340" t="n"/>
      <c r="BV192" s="340" t="n"/>
      <c r="BW192" s="340" t="n"/>
      <c r="BX192" s="340" t="n"/>
      <c r="BY192" s="340" t="n"/>
      <c r="BZ192" s="340" t="n"/>
      <c r="CA192" s="340" t="n"/>
      <c r="CB192" s="340" t="n"/>
      <c r="CC192" s="340" t="n"/>
      <c r="CD192" s="340" t="n"/>
      <c r="CE192" s="340" t="n"/>
      <c r="CF192" s="340" t="n"/>
      <c r="CG192" s="340" t="n"/>
      <c r="CH192" s="340" t="n"/>
      <c r="CI192" s="340" t="n"/>
      <c r="CJ192" s="340" t="n"/>
      <c r="CK192" s="340" t="n"/>
      <c r="CL192" s="340" t="n"/>
      <c r="CM192" s="340" t="n"/>
      <c r="CN192" s="340" t="n"/>
      <c r="CO192" s="340" t="n"/>
      <c r="CP192" s="340" t="n"/>
      <c r="CQ192" s="340" t="n"/>
      <c r="CR192" s="340" t="n"/>
      <c r="CS192" s="340" t="n"/>
      <c r="CT192" s="340" t="n"/>
      <c r="CU192" s="340" t="n"/>
      <c r="CV192" s="340" t="n"/>
      <c r="CW192" s="340" t="n"/>
      <c r="CX192" s="340" t="n"/>
      <c r="CY192" s="340" t="n"/>
      <c r="CZ192" s="340" t="n"/>
      <c r="DA192" s="340" t="n"/>
      <c r="DB192" s="340" t="n"/>
      <c r="DC192" s="340" t="n"/>
      <c r="DD192" s="340" t="n"/>
      <c r="DE192" s="341" t="n"/>
      <c r="DF192" s="341" t="n"/>
    </row>
    <row r="193" ht="13" customFormat="1" customHeight="1" s="119">
      <c r="A193" s="342" t="n"/>
      <c r="B193" s="317" t="n"/>
      <c r="C193" s="142" t="n"/>
      <c r="D193" s="142" t="n"/>
      <c r="E193" s="317" t="n"/>
      <c r="F193" s="142" t="n"/>
      <c r="G193" s="142" t="n"/>
      <c r="H193" s="317" t="n"/>
      <c r="I193" s="142" t="n"/>
      <c r="J193" s="142" t="n"/>
      <c r="K193" s="317" t="n"/>
      <c r="L193" s="142" t="n"/>
      <c r="M193" s="142" t="n"/>
      <c r="N193" s="317" t="n"/>
      <c r="O193" s="142" t="n"/>
      <c r="P193" s="142" t="n"/>
      <c r="Q193" s="317" t="n"/>
      <c r="R193" s="142" t="n"/>
      <c r="S193" s="142" t="n"/>
      <c r="T193" s="317" t="n"/>
      <c r="U193" s="142" t="n"/>
      <c r="V193" s="142" t="n"/>
      <c r="W193" s="317" t="n"/>
      <c r="X193" s="142" t="n"/>
      <c r="Y193" s="142" t="n"/>
      <c r="Z193" s="317" t="n"/>
      <c r="AA193" s="142" t="n"/>
      <c r="AB193" s="142" t="n"/>
      <c r="AC193" s="317" t="n"/>
      <c r="AD193" s="142" t="n"/>
      <c r="AE193" s="142" t="n"/>
      <c r="AF193" s="317" t="n"/>
      <c r="AG193" s="142" t="n"/>
      <c r="AH193" s="142" t="n"/>
      <c r="AI193" s="317" t="n"/>
      <c r="AJ193" s="142" t="n"/>
      <c r="AK193" s="142" t="n"/>
      <c r="AL193" s="317" t="n"/>
      <c r="AM193" s="317" t="n"/>
      <c r="AN193" s="182" t="n"/>
      <c r="AO193" s="317" t="n"/>
      <c r="AP193" s="317" t="n"/>
      <c r="AQ193" s="182" t="n"/>
      <c r="AR193" s="317" t="n"/>
      <c r="AS193" s="317" t="n"/>
      <c r="AT193" s="182" t="n"/>
      <c r="AU193" s="317" t="n"/>
      <c r="AV193" s="317" t="n"/>
      <c r="AW193" s="182" t="n"/>
      <c r="AX193" s="317" t="n"/>
      <c r="AY193" s="340" t="n"/>
      <c r="AZ193" s="93" t="n"/>
      <c r="BA193" s="340" t="n"/>
      <c r="BB193" s="93" t="n"/>
      <c r="BC193" s="340" t="n"/>
      <c r="BD193" s="93" t="n"/>
      <c r="BE193" s="340" t="n"/>
      <c r="BF193" s="93" t="n"/>
      <c r="BG193" s="340" t="n"/>
      <c r="BH193" s="93" t="n"/>
      <c r="BI193" s="340" t="n"/>
      <c r="BJ193" s="93" t="n"/>
      <c r="BK193" s="340" t="n"/>
      <c r="BL193" s="93" t="n"/>
      <c r="BM193" s="340" t="n"/>
      <c r="BN193" s="340" t="n"/>
      <c r="BO193" s="340" t="n"/>
      <c r="BP193" s="340" t="n"/>
      <c r="BQ193" s="340" t="n"/>
      <c r="BR193" s="340" t="n"/>
      <c r="BS193" s="340" t="n"/>
      <c r="BT193" s="340" t="n"/>
      <c r="BU193" s="340" t="n"/>
      <c r="BV193" s="340" t="n"/>
      <c r="BW193" s="340" t="n"/>
      <c r="BX193" s="340" t="n"/>
      <c r="BY193" s="340" t="n"/>
      <c r="BZ193" s="340" t="n"/>
      <c r="CA193" s="340" t="n"/>
      <c r="CB193" s="340" t="n"/>
      <c r="CC193" s="340" t="n"/>
      <c r="CD193" s="340" t="n"/>
      <c r="CE193" s="340" t="n"/>
      <c r="CF193" s="340" t="n"/>
      <c r="CG193" s="340" t="n"/>
      <c r="CH193" s="340" t="n"/>
      <c r="CI193" s="340" t="n"/>
      <c r="CJ193" s="340" t="n"/>
      <c r="CK193" s="340" t="n"/>
      <c r="CL193" s="340" t="n"/>
      <c r="CM193" s="340" t="n"/>
      <c r="CN193" s="340" t="n"/>
      <c r="CO193" s="340" t="n"/>
      <c r="CP193" s="340" t="n"/>
      <c r="CQ193" s="340" t="n"/>
      <c r="CR193" s="340" t="n"/>
      <c r="CS193" s="340" t="n"/>
      <c r="CT193" s="340" t="n"/>
      <c r="CU193" s="340" t="n"/>
      <c r="CV193" s="340" t="n"/>
      <c r="CW193" s="340" t="n"/>
      <c r="CX193" s="340" t="n"/>
      <c r="CY193" s="340" t="n"/>
      <c r="CZ193" s="340" t="n"/>
      <c r="DA193" s="340" t="n"/>
      <c r="DB193" s="340" t="n"/>
      <c r="DC193" s="340" t="n"/>
      <c r="DD193" s="340" t="n"/>
      <c r="DE193" s="341" t="n"/>
      <c r="DF193" s="341" t="n"/>
    </row>
    <row r="194" ht="13" customFormat="1" customHeight="1" s="119">
      <c r="A194" s="342" t="n"/>
      <c r="B194" s="317" t="n"/>
      <c r="C194" s="142" t="n"/>
      <c r="D194" s="142" t="n"/>
      <c r="E194" s="317" t="n"/>
      <c r="F194" s="142" t="n"/>
      <c r="G194" s="142" t="n"/>
      <c r="H194" s="317" t="n"/>
      <c r="I194" s="142" t="n"/>
      <c r="J194" s="142" t="n"/>
      <c r="K194" s="317" t="n"/>
      <c r="L194" s="142" t="n"/>
      <c r="M194" s="142" t="n"/>
      <c r="N194" s="317" t="n"/>
      <c r="O194" s="142" t="n"/>
      <c r="P194" s="142" t="n"/>
      <c r="Q194" s="317" t="n"/>
      <c r="R194" s="142" t="n"/>
      <c r="S194" s="142" t="n"/>
      <c r="T194" s="317" t="n"/>
      <c r="U194" s="142" t="n"/>
      <c r="V194" s="142" t="n"/>
      <c r="W194" s="317" t="n"/>
      <c r="X194" s="142" t="n"/>
      <c r="Y194" s="142" t="n"/>
      <c r="Z194" s="317" t="n"/>
      <c r="AA194" s="142" t="n"/>
      <c r="AB194" s="142" t="n"/>
      <c r="AC194" s="317" t="n"/>
      <c r="AD194" s="142" t="n"/>
      <c r="AE194" s="142" t="n"/>
      <c r="AF194" s="317" t="n"/>
      <c r="AG194" s="142" t="n"/>
      <c r="AH194" s="142" t="n"/>
      <c r="AI194" s="317" t="n"/>
      <c r="AJ194" s="142" t="n"/>
      <c r="AK194" s="142" t="n"/>
      <c r="AL194" s="317" t="n"/>
      <c r="AM194" s="317" t="n"/>
      <c r="AN194" s="317" t="n"/>
      <c r="AO194" s="317" t="n"/>
      <c r="AP194" s="317" t="n"/>
      <c r="AQ194" s="317" t="n"/>
      <c r="AR194" s="317" t="n"/>
      <c r="AS194" s="317" t="n"/>
      <c r="AT194" s="317" t="n"/>
      <c r="AU194" s="317" t="n"/>
      <c r="AV194" s="317" t="n"/>
      <c r="AW194" s="317" t="n"/>
      <c r="AX194" s="317" t="n"/>
      <c r="AY194" s="340" t="n"/>
      <c r="AZ194" s="93" t="n"/>
      <c r="BA194" s="340" t="n"/>
      <c r="BB194" s="93" t="n"/>
      <c r="BC194" s="340" t="n"/>
      <c r="BD194" s="93" t="n"/>
      <c r="BE194" s="340" t="n"/>
      <c r="BF194" s="93" t="n"/>
      <c r="BG194" s="340" t="n"/>
      <c r="BH194" s="93" t="n"/>
      <c r="BI194" s="340" t="n"/>
      <c r="BJ194" s="93" t="n"/>
      <c r="BK194" s="340" t="n"/>
      <c r="BL194" s="93" t="n"/>
      <c r="BM194" s="340" t="n"/>
      <c r="BN194" s="340" t="n"/>
      <c r="BO194" s="340" t="n"/>
      <c r="BP194" s="340" t="n"/>
      <c r="BQ194" s="340" t="n"/>
      <c r="BR194" s="340" t="n"/>
      <c r="BS194" s="340" t="n"/>
      <c r="BT194" s="340" t="n"/>
      <c r="BU194" s="340" t="n"/>
      <c r="BV194" s="340" t="n"/>
      <c r="BW194" s="340" t="n"/>
      <c r="BX194" s="340" t="n"/>
      <c r="BY194" s="340" t="n"/>
      <c r="BZ194" s="340" t="n"/>
      <c r="CA194" s="340" t="n"/>
      <c r="CB194" s="340" t="n"/>
      <c r="CC194" s="340" t="n"/>
      <c r="CD194" s="340" t="n"/>
      <c r="CE194" s="340" t="n"/>
      <c r="CF194" s="340" t="n"/>
      <c r="CG194" s="340" t="n"/>
      <c r="CH194" s="340" t="n"/>
      <c r="CI194" s="340" t="n"/>
      <c r="CJ194" s="340" t="n"/>
      <c r="CK194" s="340" t="n"/>
      <c r="CL194" s="340" t="n"/>
      <c r="CM194" s="340" t="n"/>
      <c r="CN194" s="340" t="n"/>
      <c r="CO194" s="340" t="n"/>
      <c r="CP194" s="340" t="n"/>
      <c r="CQ194" s="340" t="n"/>
      <c r="CR194" s="340" t="n"/>
      <c r="CS194" s="340" t="n"/>
      <c r="CT194" s="340" t="n"/>
      <c r="CU194" s="340" t="n"/>
      <c r="CV194" s="340" t="n"/>
      <c r="CW194" s="340" t="n"/>
      <c r="CX194" s="340" t="n"/>
      <c r="CY194" s="340" t="n"/>
      <c r="CZ194" s="340" t="n"/>
      <c r="DA194" s="340" t="n"/>
      <c r="DB194" s="340" t="n"/>
      <c r="DC194" s="340" t="n"/>
      <c r="DD194" s="340" t="n"/>
      <c r="DE194" s="341" t="n"/>
      <c r="DF194" s="341" t="n"/>
    </row>
    <row r="195" ht="13" customFormat="1" customHeight="1" s="40">
      <c r="A195" s="335" t="n"/>
      <c r="B195" s="291" t="n"/>
      <c r="C195" s="37" t="n"/>
      <c r="D195" s="37" t="n"/>
      <c r="E195" s="291" t="n"/>
      <c r="F195" s="37" t="n"/>
      <c r="G195" s="37" t="n"/>
      <c r="H195" s="291" t="n"/>
      <c r="I195" s="37" t="n"/>
      <c r="J195" s="37" t="n"/>
      <c r="K195" s="291" t="n"/>
      <c r="L195" s="37" t="n"/>
      <c r="M195" s="37" t="n"/>
      <c r="N195" s="291" t="n"/>
      <c r="O195" s="37" t="n"/>
      <c r="P195" s="37" t="n"/>
      <c r="Q195" s="291" t="n"/>
      <c r="R195" s="37" t="n"/>
      <c r="S195" s="37" t="n"/>
      <c r="T195" s="291" t="n"/>
      <c r="U195" s="37" t="n"/>
      <c r="V195" s="37" t="n"/>
      <c r="W195" s="291" t="n"/>
      <c r="X195" s="37" t="n"/>
      <c r="Y195" s="37" t="n"/>
      <c r="Z195" s="291" t="n"/>
      <c r="AA195" s="37" t="n"/>
      <c r="AB195" s="37" t="n"/>
      <c r="AC195" s="291" t="n"/>
      <c r="AD195" s="37" t="n"/>
      <c r="AE195" s="37" t="n"/>
      <c r="AF195" s="291" t="n"/>
      <c r="AG195" s="37" t="n"/>
      <c r="AH195" s="37" t="n"/>
      <c r="AI195" s="291" t="n"/>
      <c r="AJ195" s="37" t="n"/>
      <c r="AK195" s="37" t="n"/>
      <c r="AL195" s="291" t="n"/>
      <c r="AM195" s="291" t="n"/>
      <c r="AN195" s="291" t="n"/>
      <c r="AO195" s="291" t="n"/>
      <c r="AP195" s="291" t="n"/>
      <c r="AQ195" s="291" t="n"/>
      <c r="AR195" s="291" t="n"/>
      <c r="AS195" s="291" t="n"/>
      <c r="AT195" s="291" t="n"/>
      <c r="AU195" s="291" t="n"/>
      <c r="AV195" s="291" t="n"/>
      <c r="AW195" s="291" t="n"/>
      <c r="AX195" s="291" t="n"/>
      <c r="AY195" s="291" t="n"/>
      <c r="AZ195" s="291" t="n"/>
      <c r="BA195" s="291" t="n"/>
      <c r="BB195" s="291" t="n"/>
      <c r="BC195" s="291" t="n"/>
      <c r="BD195" s="291" t="n"/>
      <c r="BE195" s="291" t="n"/>
      <c r="BF195" s="291" t="n"/>
      <c r="BG195" s="291" t="n"/>
      <c r="BH195" s="291" t="n"/>
      <c r="BI195" s="291" t="n"/>
      <c r="BJ195" s="291" t="n"/>
      <c r="BK195" s="291" t="n"/>
      <c r="BL195" s="291" t="n"/>
      <c r="BM195" s="291" t="n"/>
      <c r="BN195" s="291" t="n"/>
      <c r="BO195" s="291" t="n"/>
      <c r="BP195" s="291" t="n"/>
      <c r="BQ195" s="291" t="n"/>
      <c r="BR195" s="291" t="n"/>
      <c r="BS195" s="291" t="n"/>
      <c r="BT195" s="291" t="n"/>
      <c r="BU195" s="291" t="n"/>
      <c r="BV195" s="291" t="n"/>
      <c r="BW195" s="291" t="n"/>
      <c r="BX195" s="291" t="n"/>
      <c r="BY195" s="291" t="n"/>
      <c r="BZ195" s="291" t="n"/>
      <c r="CA195" s="291" t="n"/>
      <c r="CB195" s="291" t="n"/>
      <c r="CC195" s="291" t="n"/>
      <c r="CD195" s="291" t="n"/>
      <c r="CE195" s="291" t="n"/>
      <c r="CF195" s="291" t="n"/>
      <c r="CG195" s="291" t="n"/>
      <c r="CH195" s="291" t="n"/>
      <c r="CI195" s="291" t="n"/>
      <c r="CJ195" s="291" t="n"/>
      <c r="CK195" s="291" t="n"/>
      <c r="CL195" s="291" t="n"/>
      <c r="CM195" s="291" t="n"/>
      <c r="CN195" s="291" t="n"/>
      <c r="CO195" s="291" t="n"/>
      <c r="CP195" s="343" t="n"/>
      <c r="CQ195" s="291" t="n"/>
      <c r="CR195" s="343" t="n"/>
      <c r="CS195" s="291" t="n"/>
      <c r="CT195" s="343" t="n"/>
      <c r="CU195" s="291" t="n"/>
      <c r="CV195" s="343" t="n"/>
      <c r="CW195" s="291" t="n"/>
      <c r="CX195" s="291" t="n"/>
      <c r="CY195" s="291" t="n"/>
      <c r="CZ195" s="291" t="n"/>
      <c r="DA195" s="291" t="n"/>
      <c r="DB195" s="291" t="n"/>
      <c r="DC195" s="291" t="n"/>
      <c r="DD195" s="291" t="n"/>
      <c r="DE195" s="311" t="n"/>
      <c r="DF195" s="311" t="n"/>
    </row>
    <row r="196" ht="13" customFormat="1" customHeight="1" s="40">
      <c r="B196" s="291" t="n"/>
      <c r="C196" s="37" t="n"/>
      <c r="D196" s="37" t="n"/>
      <c r="E196" s="291" t="n"/>
      <c r="F196" s="37" t="n"/>
      <c r="G196" s="37" t="n"/>
      <c r="H196" s="291" t="n"/>
      <c r="I196" s="37" t="n"/>
      <c r="J196" s="37" t="n"/>
      <c r="K196" s="291" t="n"/>
      <c r="L196" s="37" t="n"/>
      <c r="M196" s="37" t="n"/>
      <c r="N196" s="291" t="n"/>
      <c r="O196" s="37" t="n"/>
      <c r="P196" s="37" t="n"/>
      <c r="Q196" s="291" t="n"/>
      <c r="R196" s="37" t="n"/>
      <c r="S196" s="37" t="n"/>
      <c r="T196" s="291" t="n"/>
      <c r="U196" s="37" t="n"/>
      <c r="V196" s="37" t="n"/>
      <c r="W196" s="291" t="n"/>
      <c r="X196" s="37" t="n"/>
      <c r="Y196" s="37" t="n"/>
      <c r="Z196" s="291" t="n"/>
      <c r="AA196" s="37" t="n"/>
      <c r="AB196" s="37" t="n"/>
      <c r="AC196" s="291" t="n"/>
      <c r="AD196" s="37" t="n"/>
      <c r="AE196" s="37" t="n"/>
      <c r="AF196" s="291" t="n"/>
      <c r="AG196" s="37" t="n"/>
      <c r="AH196" s="37" t="n"/>
      <c r="AI196" s="291" t="n"/>
      <c r="AJ196" s="37" t="n"/>
      <c r="AK196" s="37" t="n"/>
      <c r="AL196" s="291" t="n"/>
      <c r="AM196" s="291" t="n"/>
      <c r="AN196" s="291" t="n"/>
      <c r="AO196" s="291" t="n"/>
      <c r="AP196" s="291" t="n"/>
      <c r="AQ196" s="291" t="n"/>
      <c r="AR196" s="291" t="n"/>
      <c r="AS196" s="291" t="n"/>
      <c r="AT196" s="291" t="n"/>
      <c r="AU196" s="291" t="n"/>
      <c r="AV196" s="291" t="n"/>
      <c r="AW196" s="291" t="n"/>
      <c r="AX196" s="291" t="n"/>
      <c r="AY196" s="291" t="n"/>
      <c r="AZ196" s="291" t="n"/>
      <c r="BA196" s="291" t="n"/>
      <c r="BB196" s="291" t="n"/>
      <c r="BC196" s="291" t="n"/>
      <c r="BD196" s="291" t="n"/>
      <c r="BE196" s="291" t="n"/>
      <c r="BF196" s="291" t="n"/>
      <c r="BG196" s="291" t="n"/>
      <c r="BH196" s="291" t="n"/>
      <c r="BI196" s="291" t="n"/>
      <c r="BJ196" s="291" t="n"/>
      <c r="BK196" s="291" t="n"/>
      <c r="BL196" s="291" t="n"/>
      <c r="BM196" s="291" t="n"/>
      <c r="BN196" s="291" t="n"/>
      <c r="BO196" s="291" t="n"/>
      <c r="BP196" s="291" t="n"/>
      <c r="BQ196" s="291" t="n"/>
      <c r="BR196" s="291" t="n"/>
      <c r="BS196" s="291" t="n"/>
      <c r="BT196" s="291" t="n"/>
      <c r="BU196" s="291" t="n"/>
      <c r="BV196" s="291" t="n"/>
      <c r="BW196" s="291" t="n"/>
      <c r="BX196" s="291" t="n"/>
      <c r="BY196" s="291" t="n"/>
      <c r="BZ196" s="291" t="n"/>
      <c r="CA196" s="291" t="n"/>
      <c r="CB196" s="291" t="n"/>
      <c r="CC196" s="291" t="n"/>
      <c r="CD196" s="291" t="n"/>
      <c r="CE196" s="291" t="n"/>
      <c r="CF196" s="291" t="n"/>
      <c r="CG196" s="291" t="n"/>
      <c r="CH196" s="291" t="n"/>
      <c r="CI196" s="291" t="n"/>
      <c r="CJ196" s="291" t="n"/>
      <c r="CK196" s="291" t="n"/>
      <c r="CL196" s="291" t="n"/>
      <c r="CM196" s="291" t="n"/>
      <c r="CN196" s="291" t="n"/>
      <c r="CO196" s="291" t="n"/>
      <c r="CP196" s="343" t="n"/>
      <c r="CQ196" s="291" t="n"/>
      <c r="CR196" s="343" t="n"/>
      <c r="CS196" s="291" t="n"/>
      <c r="CT196" s="343" t="n"/>
      <c r="CU196" s="291" t="n"/>
      <c r="CV196" s="343" t="n"/>
      <c r="CW196" s="291" t="n"/>
      <c r="CX196" s="291" t="n"/>
      <c r="CY196" s="291" t="n"/>
      <c r="CZ196" s="291" t="n"/>
      <c r="DA196" s="291" t="n"/>
      <c r="DB196" s="291" t="n"/>
      <c r="DC196" s="291" t="n"/>
      <c r="DD196" s="291" t="n"/>
      <c r="DE196" s="311" t="n"/>
      <c r="DF196" s="311" t="n"/>
    </row>
    <row r="197" ht="13" customFormat="1" customHeight="1" s="40">
      <c r="A197" s="344" t="n"/>
      <c r="B197" s="291" t="n"/>
      <c r="C197" s="37" t="n"/>
      <c r="D197" s="37" t="n"/>
      <c r="E197" s="291" t="n"/>
      <c r="F197" s="37" t="n"/>
      <c r="G197" s="37" t="n"/>
      <c r="H197" s="291" t="n"/>
      <c r="I197" s="37" t="n"/>
      <c r="J197" s="37" t="n"/>
      <c r="K197" s="291" t="n"/>
      <c r="L197" s="37" t="n"/>
      <c r="M197" s="37" t="n"/>
      <c r="N197" s="291" t="n"/>
      <c r="O197" s="37" t="n"/>
      <c r="P197" s="37" t="n"/>
      <c r="Q197" s="291" t="n"/>
      <c r="R197" s="37" t="n"/>
      <c r="S197" s="37" t="n"/>
      <c r="T197" s="291" t="n"/>
      <c r="U197" s="37" t="n"/>
      <c r="V197" s="37" t="n"/>
      <c r="W197" s="291" t="n"/>
      <c r="X197" s="37" t="n"/>
      <c r="Y197" s="37" t="n"/>
      <c r="Z197" s="291" t="n"/>
      <c r="AA197" s="37" t="n"/>
      <c r="AB197" s="37" t="n"/>
      <c r="AC197" s="291" t="n"/>
      <c r="AD197" s="37" t="n"/>
      <c r="AE197" s="37" t="n"/>
      <c r="AF197" s="291" t="n"/>
      <c r="AG197" s="37" t="n"/>
      <c r="AH197" s="37" t="n"/>
      <c r="AI197" s="291" t="n"/>
      <c r="AJ197" s="37" t="n"/>
      <c r="AK197" s="37" t="n"/>
      <c r="AL197" s="291" t="n"/>
      <c r="AM197" s="291" t="n"/>
      <c r="AN197" s="291" t="n"/>
      <c r="AO197" s="291" t="n"/>
      <c r="AP197" s="291" t="n"/>
      <c r="AQ197" s="291" t="n"/>
      <c r="AR197" s="291" t="n"/>
      <c r="AS197" s="291" t="n"/>
      <c r="AT197" s="291" t="n"/>
      <c r="AU197" s="291" t="n"/>
      <c r="AV197" s="291" t="n"/>
      <c r="AW197" s="291" t="n"/>
      <c r="AX197" s="291" t="n"/>
      <c r="AY197" s="291" t="n"/>
      <c r="AZ197" s="291" t="n"/>
      <c r="BA197" s="291" t="n"/>
      <c r="BB197" s="291" t="n"/>
      <c r="BC197" s="291" t="n"/>
      <c r="BD197" s="291" t="n"/>
      <c r="BE197" s="291" t="n"/>
      <c r="BF197" s="291" t="n"/>
      <c r="BG197" s="291" t="n"/>
      <c r="BH197" s="291" t="n"/>
      <c r="BI197" s="291" t="n"/>
      <c r="BJ197" s="291" t="n"/>
      <c r="BK197" s="291" t="n"/>
      <c r="BL197" s="291" t="n"/>
      <c r="BM197" s="291" t="n"/>
      <c r="BN197" s="291" t="n"/>
      <c r="BO197" s="291" t="n"/>
      <c r="BP197" s="291" t="n"/>
      <c r="BQ197" s="291" t="n"/>
      <c r="BR197" s="291" t="n"/>
      <c r="BS197" s="291" t="n"/>
      <c r="BT197" s="291" t="n"/>
      <c r="BU197" s="291" t="n"/>
      <c r="BV197" s="291" t="n"/>
      <c r="BW197" s="291" t="n"/>
      <c r="BX197" s="291" t="n"/>
      <c r="BY197" s="291" t="n"/>
      <c r="BZ197" s="291" t="n"/>
      <c r="CA197" s="291" t="n"/>
      <c r="CB197" s="291" t="n"/>
      <c r="CC197" s="291" t="n"/>
      <c r="CD197" s="291" t="n"/>
      <c r="CE197" s="291" t="n"/>
      <c r="CF197" s="291" t="n"/>
      <c r="CG197" s="291" t="n"/>
      <c r="CH197" s="291" t="n"/>
      <c r="CI197" s="291" t="n"/>
      <c r="CJ197" s="291" t="n"/>
      <c r="CK197" s="291" t="n"/>
      <c r="CL197" s="291" t="n"/>
      <c r="CM197" s="291" t="n"/>
      <c r="CN197" s="291" t="n"/>
      <c r="CO197" s="291" t="n"/>
      <c r="CP197" s="343" t="n"/>
      <c r="CQ197" s="291" t="n"/>
      <c r="CR197" s="343" t="n"/>
      <c r="CS197" s="291" t="n"/>
      <c r="CT197" s="343" t="n"/>
      <c r="CU197" s="291" t="n"/>
      <c r="CV197" s="343" t="n"/>
      <c r="CW197" s="291" t="n"/>
      <c r="CX197" s="291" t="n"/>
      <c r="CY197" s="291" t="n"/>
      <c r="CZ197" s="291" t="n"/>
      <c r="DA197" s="291" t="n"/>
      <c r="DB197" s="291" t="n"/>
      <c r="DC197" s="291" t="n"/>
      <c r="DD197" s="291" t="n"/>
      <c r="DE197" s="311" t="n"/>
      <c r="DF197" s="311" t="n"/>
    </row>
    <row r="198" ht="13" customFormat="1" customHeight="1" s="40">
      <c r="A198" s="345" t="n"/>
      <c r="B198" s="291" t="n"/>
      <c r="C198" s="97" t="n"/>
      <c r="D198" s="97" t="n"/>
      <c r="E198" s="291" t="n"/>
      <c r="F198" s="97" t="n"/>
      <c r="G198" s="97" t="n"/>
      <c r="H198" s="291" t="n"/>
      <c r="I198" s="97" t="n"/>
      <c r="J198" s="97" t="n"/>
      <c r="K198" s="291" t="n"/>
      <c r="L198" s="97" t="n"/>
      <c r="M198" s="97" t="n"/>
      <c r="N198" s="291" t="n"/>
      <c r="O198" s="97" t="n"/>
      <c r="P198" s="97" t="n"/>
      <c r="Q198" s="291" t="n"/>
      <c r="R198" s="97" t="n"/>
      <c r="S198" s="97" t="n"/>
      <c r="T198" s="291" t="n"/>
      <c r="U198" s="97" t="n"/>
      <c r="V198" s="97" t="n"/>
      <c r="W198" s="291" t="n"/>
      <c r="X198" s="97" t="n"/>
      <c r="Y198" s="97" t="n"/>
      <c r="Z198" s="291" t="n"/>
      <c r="AA198" s="97" t="n"/>
      <c r="AB198" s="97" t="n"/>
      <c r="AC198" s="291" t="n"/>
      <c r="AD198" s="97" t="n"/>
      <c r="AE198" s="97" t="n"/>
      <c r="AF198" s="291" t="n"/>
      <c r="AG198" s="97" t="n"/>
      <c r="AH198" s="97" t="n"/>
      <c r="AI198" s="291" t="n"/>
      <c r="AJ198" s="97" t="n"/>
      <c r="AK198" s="97" t="n"/>
      <c r="AL198" s="291" t="n"/>
      <c r="AM198" s="186" t="n"/>
      <c r="AN198" s="97" t="n"/>
      <c r="AO198" s="291" t="n"/>
      <c r="AP198" s="186" t="n"/>
      <c r="AQ198" s="97" t="n"/>
      <c r="AR198" s="291" t="n"/>
      <c r="AS198" s="186" t="n"/>
      <c r="AT198" s="97" t="n"/>
      <c r="AU198" s="291" t="n"/>
      <c r="AV198" s="186" t="n"/>
      <c r="AW198" s="97" t="n"/>
      <c r="AX198" s="291" t="n"/>
      <c r="AY198" s="291" t="n"/>
      <c r="AZ198" s="97" t="n"/>
      <c r="BA198" s="291" t="n"/>
      <c r="BB198" s="97" t="n"/>
      <c r="BC198" s="291" t="n"/>
      <c r="BD198" s="97" t="n"/>
      <c r="BE198" s="291" t="n"/>
      <c r="BF198" s="97" t="n"/>
      <c r="BG198" s="291" t="n"/>
      <c r="BH198" s="97" t="n"/>
      <c r="BI198" s="291" t="n"/>
      <c r="BJ198" s="97" t="n"/>
      <c r="BK198" s="291" t="n"/>
      <c r="BL198" s="97" t="n"/>
      <c r="BM198" s="291" t="n"/>
      <c r="BN198" s="97" t="n"/>
      <c r="BO198" s="291" t="n"/>
      <c r="BP198" s="291" t="n"/>
      <c r="BQ198" s="97" t="n"/>
      <c r="BR198" s="291" t="n"/>
      <c r="BS198" s="97" t="n"/>
      <c r="BT198" s="291" t="n"/>
      <c r="BU198" s="97" t="n"/>
      <c r="BV198" s="291" t="n"/>
      <c r="BW198" s="97" t="n"/>
      <c r="BX198" s="291" t="n"/>
      <c r="BY198" s="97" t="n"/>
      <c r="BZ198" s="291" t="n"/>
      <c r="CA198" s="97" t="n"/>
      <c r="CB198" s="291" t="n"/>
      <c r="CC198" s="97" t="n"/>
      <c r="CD198" s="291" t="n"/>
      <c r="CE198" s="97" t="n"/>
      <c r="CF198" s="291" t="n"/>
      <c r="CG198" s="97" t="n"/>
      <c r="CH198" s="291" t="n"/>
      <c r="CI198" s="97" t="n"/>
      <c r="CJ198" s="291" t="n"/>
      <c r="CK198" s="97" t="n"/>
      <c r="CL198" s="291" t="n"/>
      <c r="CM198" s="97" t="n"/>
      <c r="CN198" s="291" t="n"/>
      <c r="CO198" s="97" t="n"/>
      <c r="CP198" s="291" t="n"/>
      <c r="CQ198" s="97" t="n"/>
      <c r="CR198" s="291" t="n"/>
      <c r="CS198" s="97" t="n"/>
      <c r="CT198" s="291" t="n"/>
      <c r="CU198" s="97" t="n"/>
      <c r="CV198" s="346" t="n"/>
      <c r="CW198" s="291" t="n"/>
      <c r="CX198" s="97" t="n"/>
      <c r="CY198" s="291" t="n"/>
      <c r="CZ198" s="97" t="n"/>
      <c r="DA198" s="291" t="n"/>
      <c r="DB198" s="97" t="n"/>
      <c r="DC198" s="291" t="n"/>
      <c r="DD198" s="97" t="n"/>
      <c r="DE198" s="311" t="n"/>
      <c r="DF198" s="311" t="n"/>
    </row>
    <row r="199" ht="13" customFormat="1" customHeight="1" s="40">
      <c r="A199" s="52" t="n"/>
      <c r="B199" s="291" t="n"/>
      <c r="C199" s="39" t="n"/>
      <c r="D199" s="39" t="n"/>
      <c r="E199" s="291" t="n"/>
      <c r="F199" s="39" t="n"/>
      <c r="G199" s="39" t="n"/>
      <c r="H199" s="291" t="n"/>
      <c r="I199" s="39" t="n"/>
      <c r="J199" s="39" t="n"/>
      <c r="K199" s="291" t="n"/>
      <c r="L199" s="39" t="n"/>
      <c r="M199" s="39" t="n"/>
      <c r="N199" s="291" t="n"/>
      <c r="O199" s="39" t="n"/>
      <c r="P199" s="39" t="n"/>
      <c r="Q199" s="291" t="n"/>
      <c r="R199" s="39" t="n"/>
      <c r="S199" s="39" t="n"/>
      <c r="T199" s="291" t="n"/>
      <c r="U199" s="39" t="n"/>
      <c r="V199" s="39" t="n"/>
      <c r="W199" s="291" t="n"/>
      <c r="X199" s="39" t="n"/>
      <c r="Y199" s="39" t="n"/>
      <c r="Z199" s="291" t="n"/>
      <c r="AA199" s="39" t="n"/>
      <c r="AB199" s="39" t="n"/>
      <c r="AC199" s="291" t="n"/>
      <c r="AD199" s="39" t="n"/>
      <c r="AE199" s="39" t="n"/>
      <c r="AF199" s="291" t="n"/>
      <c r="AG199" s="39" t="n"/>
      <c r="AH199" s="39" t="n"/>
      <c r="AI199" s="291" t="n"/>
      <c r="AJ199" s="39" t="n"/>
      <c r="AK199" s="39" t="n"/>
      <c r="AL199" s="291" t="n"/>
      <c r="AM199" s="53" t="n"/>
      <c r="AN199" s="291" t="n"/>
      <c r="AO199" s="291" t="n"/>
      <c r="AP199" s="53" t="n"/>
      <c r="AQ199" s="291" t="n"/>
      <c r="AR199" s="291" t="n"/>
      <c r="AS199" s="53" t="n"/>
      <c r="AT199" s="291" t="n"/>
      <c r="AU199" s="291" t="n"/>
      <c r="AV199" s="53" t="n"/>
      <c r="AW199" s="291" t="n"/>
      <c r="AX199" s="291" t="n"/>
      <c r="AY199" s="291" t="n"/>
      <c r="AZ199" s="39" t="n"/>
      <c r="BA199" s="291" t="n"/>
      <c r="BB199" s="39" t="n"/>
      <c r="BC199" s="291" t="n"/>
      <c r="BD199" s="39" t="n"/>
      <c r="BE199" s="291" t="n"/>
      <c r="BF199" s="39" t="n"/>
      <c r="BG199" s="291" t="n"/>
      <c r="BH199" s="39" t="n"/>
      <c r="BI199" s="291" t="n"/>
      <c r="BJ199" s="39" t="n"/>
      <c r="BK199" s="291" t="n"/>
      <c r="BL199" s="39" t="n"/>
      <c r="BM199" s="291" t="n"/>
      <c r="BN199" s="39" t="n"/>
      <c r="BO199" s="291" t="n"/>
      <c r="BP199" s="291" t="n"/>
      <c r="BQ199" s="39" t="n"/>
      <c r="BR199" s="291" t="n"/>
      <c r="BS199" s="39" t="n"/>
      <c r="BT199" s="291" t="n"/>
      <c r="BU199" s="39" t="n"/>
      <c r="BV199" s="291" t="n"/>
      <c r="BW199" s="39" t="n"/>
      <c r="BX199" s="291" t="n"/>
      <c r="BY199" s="39" t="n"/>
      <c r="BZ199" s="291" t="n"/>
      <c r="CA199" s="39" t="n"/>
      <c r="CB199" s="291" t="n"/>
      <c r="CC199" s="39" t="n"/>
      <c r="CD199" s="291" t="n"/>
      <c r="CE199" s="39" t="n"/>
      <c r="CF199" s="291" t="n"/>
      <c r="CG199" s="291" t="n"/>
      <c r="CH199" s="291" t="n"/>
      <c r="CI199" s="291" t="n"/>
      <c r="CJ199" s="291" t="n"/>
      <c r="CK199" s="291" t="n"/>
      <c r="CL199" s="291" t="n"/>
      <c r="CM199" s="291" t="n"/>
      <c r="CN199" s="291" t="n"/>
      <c r="CO199" s="291" t="n"/>
      <c r="CP199" s="291" t="n"/>
      <c r="CQ199" s="291" t="n"/>
      <c r="CR199" s="291" t="n"/>
      <c r="CS199" s="291" t="n"/>
      <c r="CT199" s="291" t="n"/>
      <c r="CU199" s="291" t="n"/>
      <c r="CV199" s="343" t="n"/>
      <c r="CW199" s="291" t="n"/>
      <c r="CX199" s="39" t="n"/>
      <c r="CY199" s="291" t="n"/>
      <c r="CZ199" s="39" t="n"/>
      <c r="DA199" s="291" t="n"/>
      <c r="DB199" s="39" t="n"/>
      <c r="DC199" s="291" t="n"/>
      <c r="DD199" s="39" t="n"/>
      <c r="DE199" s="311" t="n"/>
      <c r="DF199" s="311" t="n"/>
    </row>
    <row r="200" ht="13" customFormat="1" customHeight="1" s="40">
      <c r="A200" s="345" t="n"/>
      <c r="B200" s="291" t="n"/>
      <c r="C200" s="39" t="n"/>
      <c r="D200" s="39" t="n"/>
      <c r="E200" s="291" t="n"/>
      <c r="F200" s="39" t="n"/>
      <c r="G200" s="39" t="n"/>
      <c r="H200" s="291" t="n"/>
      <c r="I200" s="39" t="n"/>
      <c r="J200" s="39" t="n"/>
      <c r="K200" s="291" t="n"/>
      <c r="L200" s="39" t="n"/>
      <c r="M200" s="39" t="n"/>
      <c r="N200" s="291" t="n"/>
      <c r="O200" s="39" t="n"/>
      <c r="P200" s="39" t="n"/>
      <c r="Q200" s="291" t="n"/>
      <c r="R200" s="39" t="n"/>
      <c r="S200" s="39" t="n"/>
      <c r="T200" s="291" t="n"/>
      <c r="U200" s="39" t="n"/>
      <c r="V200" s="39" t="n"/>
      <c r="W200" s="291" t="n"/>
      <c r="X200" s="39" t="n"/>
      <c r="Y200" s="39" t="n"/>
      <c r="Z200" s="291" t="n"/>
      <c r="AA200" s="39" t="n"/>
      <c r="AB200" s="39" t="n"/>
      <c r="AC200" s="291" t="n"/>
      <c r="AD200" s="39" t="n"/>
      <c r="AE200" s="39" t="n"/>
      <c r="AF200" s="291" t="n"/>
      <c r="AG200" s="39" t="n"/>
      <c r="AH200" s="39" t="n"/>
      <c r="AI200" s="291" t="n"/>
      <c r="AJ200" s="39" t="n"/>
      <c r="AK200" s="39" t="n"/>
      <c r="AL200" s="291" t="n"/>
      <c r="AM200" s="352" t="n"/>
      <c r="AN200" s="39" t="n"/>
      <c r="AO200" s="291" t="n"/>
      <c r="AP200" s="352" t="n"/>
      <c r="AQ200" s="39" t="n"/>
      <c r="AR200" s="291" t="n"/>
      <c r="AS200" s="352" t="n"/>
      <c r="AT200" s="39" t="n"/>
      <c r="AU200" s="291" t="n"/>
      <c r="AV200" s="352" t="n"/>
      <c r="AW200" s="39" t="n"/>
      <c r="AX200" s="291" t="n"/>
      <c r="AY200" s="291" t="n"/>
      <c r="AZ200" s="39" t="n"/>
      <c r="BA200" s="291" t="n"/>
      <c r="BB200" s="39" t="n"/>
      <c r="BC200" s="291" t="n"/>
      <c r="BD200" s="39" t="n"/>
      <c r="BE200" s="291" t="n"/>
      <c r="BF200" s="39" t="n"/>
      <c r="BG200" s="291" t="n"/>
      <c r="BH200" s="39" t="n"/>
      <c r="BI200" s="291" t="n"/>
      <c r="BJ200" s="39" t="n"/>
      <c r="BK200" s="291" t="n"/>
      <c r="BL200" s="39" t="n"/>
      <c r="BM200" s="291" t="n"/>
      <c r="BN200" s="39" t="n"/>
      <c r="BO200" s="291" t="n"/>
      <c r="BP200" s="291" t="n"/>
      <c r="BQ200" s="39" t="n"/>
      <c r="BR200" s="291" t="n"/>
      <c r="BS200" s="39" t="n"/>
      <c r="BT200" s="291" t="n"/>
      <c r="BU200" s="39" t="n"/>
      <c r="BV200" s="291" t="n"/>
      <c r="BW200" s="39" t="n"/>
      <c r="BX200" s="291" t="n"/>
      <c r="BY200" s="39" t="n"/>
      <c r="BZ200" s="291" t="n"/>
      <c r="CA200" s="39" t="n"/>
      <c r="CB200" s="291" t="n"/>
      <c r="CC200" s="39" t="n"/>
      <c r="CD200" s="291" t="n"/>
      <c r="CE200" s="39" t="n"/>
      <c r="CF200" s="291" t="n"/>
      <c r="CG200" s="39" t="n"/>
      <c r="CH200" s="291" t="n"/>
      <c r="CI200" s="39" t="n"/>
      <c r="CJ200" s="291" t="n"/>
      <c r="CK200" s="39" t="n"/>
      <c r="CL200" s="291" t="n"/>
      <c r="CM200" s="39" t="n"/>
      <c r="CN200" s="291" t="n"/>
      <c r="CO200" s="39" t="n"/>
      <c r="CP200" s="291" t="n"/>
      <c r="CQ200" s="39" t="n"/>
      <c r="CR200" s="291" t="n"/>
      <c r="CS200" s="39" t="n"/>
      <c r="CT200" s="291" t="n"/>
      <c r="CU200" s="39" t="n"/>
      <c r="CV200" s="343" t="n"/>
      <c r="CW200" s="291" t="n"/>
      <c r="CX200" s="39" t="n"/>
      <c r="CY200" s="291" t="n"/>
      <c r="CZ200" s="39" t="n"/>
      <c r="DA200" s="291" t="n"/>
      <c r="DB200" s="39" t="n"/>
      <c r="DC200" s="291" t="n"/>
      <c r="DD200" s="39" t="n"/>
      <c r="DE200" s="311" t="n"/>
      <c r="DF200" s="311" t="n"/>
    </row>
    <row r="201" ht="13" customFormat="1" customHeight="1" s="40">
      <c r="A201" s="52" t="n"/>
      <c r="B201" s="291" t="n"/>
      <c r="C201" s="39" t="n"/>
      <c r="D201" s="39" t="n"/>
      <c r="E201" s="291" t="n"/>
      <c r="F201" s="39" t="n"/>
      <c r="G201" s="39" t="n"/>
      <c r="H201" s="291" t="n"/>
      <c r="I201" s="39" t="n"/>
      <c r="J201" s="39" t="n"/>
      <c r="K201" s="291" t="n"/>
      <c r="L201" s="39" t="n"/>
      <c r="M201" s="39" t="n"/>
      <c r="N201" s="291" t="n"/>
      <c r="O201" s="39" t="n"/>
      <c r="P201" s="39" t="n"/>
      <c r="Q201" s="291" t="n"/>
      <c r="R201" s="39" t="n"/>
      <c r="S201" s="39" t="n"/>
      <c r="T201" s="291" t="n"/>
      <c r="U201" s="39" t="n"/>
      <c r="V201" s="39" t="n"/>
      <c r="W201" s="291" t="n"/>
      <c r="X201" s="39" t="n"/>
      <c r="Y201" s="39" t="n"/>
      <c r="Z201" s="291" t="n"/>
      <c r="AA201" s="39" t="n"/>
      <c r="AB201" s="39" t="n"/>
      <c r="AC201" s="291" t="n"/>
      <c r="AD201" s="39" t="n"/>
      <c r="AE201" s="39" t="n"/>
      <c r="AF201" s="291" t="n"/>
      <c r="AG201" s="39" t="n"/>
      <c r="AH201" s="39" t="n"/>
      <c r="AI201" s="291" t="n"/>
      <c r="AJ201" s="39" t="n"/>
      <c r="AK201" s="39" t="n"/>
      <c r="AL201" s="291" t="n"/>
      <c r="AM201" s="352" t="n"/>
      <c r="AN201" s="39" t="n"/>
      <c r="AO201" s="291" t="n"/>
      <c r="AP201" s="352" t="n"/>
      <c r="AQ201" s="39" t="n"/>
      <c r="AR201" s="291" t="n"/>
      <c r="AS201" s="352" t="n"/>
      <c r="AT201" s="39" t="n"/>
      <c r="AU201" s="291" t="n"/>
      <c r="AV201" s="352" t="n"/>
      <c r="AW201" s="39" t="n"/>
      <c r="AX201" s="291" t="n"/>
      <c r="AY201" s="291" t="n"/>
      <c r="AZ201" s="39" t="n"/>
      <c r="BA201" s="291" t="n"/>
      <c r="BB201" s="39" t="n"/>
      <c r="BC201" s="291" t="n"/>
      <c r="BD201" s="39" t="n"/>
      <c r="BE201" s="291" t="n"/>
      <c r="BF201" s="39" t="n"/>
      <c r="BG201" s="291" t="n"/>
      <c r="BH201" s="39" t="n"/>
      <c r="BI201" s="291" t="n"/>
      <c r="BJ201" s="39" t="n"/>
      <c r="BK201" s="291" t="n"/>
      <c r="BL201" s="39" t="n"/>
      <c r="BM201" s="291" t="n"/>
      <c r="BN201" s="39" t="n"/>
      <c r="BO201" s="291" t="n"/>
      <c r="BP201" s="291" t="n"/>
      <c r="BQ201" s="39" t="n"/>
      <c r="BR201" s="291" t="n"/>
      <c r="BS201" s="39" t="n"/>
      <c r="BT201" s="291" t="n"/>
      <c r="BU201" s="39" t="n"/>
      <c r="BV201" s="291" t="n"/>
      <c r="BW201" s="39" t="n"/>
      <c r="BX201" s="291" t="n"/>
      <c r="BY201" s="39" t="n"/>
      <c r="BZ201" s="291" t="n"/>
      <c r="CA201" s="39" t="n"/>
      <c r="CB201" s="291" t="n"/>
      <c r="CC201" s="39" t="n"/>
      <c r="CD201" s="291" t="n"/>
      <c r="CE201" s="39" t="n"/>
      <c r="CF201" s="291" t="n"/>
      <c r="CG201" s="39" t="n"/>
      <c r="CH201" s="291" t="n"/>
      <c r="CI201" s="39" t="n"/>
      <c r="CJ201" s="291" t="n"/>
      <c r="CK201" s="39" t="n"/>
      <c r="CL201" s="291" t="n"/>
      <c r="CM201" s="39" t="n"/>
      <c r="CN201" s="291" t="n"/>
      <c r="CO201" s="39" t="n"/>
      <c r="CP201" s="291" t="n"/>
      <c r="CQ201" s="39" t="n"/>
      <c r="CR201" s="291" t="n"/>
      <c r="CS201" s="39" t="n"/>
      <c r="CT201" s="291" t="n"/>
      <c r="CU201" s="39" t="n"/>
      <c r="CV201" s="343" t="n"/>
      <c r="CW201" s="291" t="n"/>
      <c r="CX201" s="39" t="n"/>
      <c r="CY201" s="291" t="n"/>
      <c r="CZ201" s="39" t="n"/>
      <c r="DA201" s="291" t="n"/>
      <c r="DB201" s="39" t="n"/>
      <c r="DC201" s="291" t="n"/>
      <c r="DD201" s="39" t="n"/>
      <c r="DE201" s="311" t="n"/>
      <c r="DF201" s="311" t="n"/>
    </row>
    <row r="202" ht="13" customFormat="1" customHeight="1" s="40">
      <c r="A202" s="345" t="n"/>
      <c r="B202" s="291" t="n"/>
      <c r="C202" s="39" t="n"/>
      <c r="D202" s="39" t="n"/>
      <c r="E202" s="291" t="n"/>
      <c r="F202" s="39" t="n"/>
      <c r="G202" s="39" t="n"/>
      <c r="H202" s="291" t="n"/>
      <c r="I202" s="39" t="n"/>
      <c r="J202" s="39" t="n"/>
      <c r="K202" s="291" t="n"/>
      <c r="L202" s="39" t="n"/>
      <c r="M202" s="39" t="n"/>
      <c r="N202" s="291" t="n"/>
      <c r="O202" s="39" t="n"/>
      <c r="P202" s="39" t="n"/>
      <c r="Q202" s="291" t="n"/>
      <c r="R202" s="39" t="n"/>
      <c r="S202" s="39" t="n"/>
      <c r="T202" s="291" t="n"/>
      <c r="U202" s="39" t="n"/>
      <c r="V202" s="39" t="n"/>
      <c r="W202" s="291" t="n"/>
      <c r="X202" s="39" t="n"/>
      <c r="Y202" s="39" t="n"/>
      <c r="Z202" s="291" t="n"/>
      <c r="AA202" s="39" t="n"/>
      <c r="AB202" s="39" t="n"/>
      <c r="AC202" s="291" t="n"/>
      <c r="AD202" s="39" t="n"/>
      <c r="AE202" s="39" t="n"/>
      <c r="AF202" s="291" t="n"/>
      <c r="AG202" s="39" t="n"/>
      <c r="AH202" s="39" t="n"/>
      <c r="AI202" s="291" t="n"/>
      <c r="AJ202" s="39" t="n"/>
      <c r="AK202" s="39" t="n"/>
      <c r="AL202" s="291" t="n"/>
      <c r="AM202" s="352" t="n"/>
      <c r="AN202" s="39" t="n"/>
      <c r="AO202" s="291" t="n"/>
      <c r="AP202" s="352" t="n"/>
      <c r="AQ202" s="39" t="n"/>
      <c r="AR202" s="291" t="n"/>
      <c r="AS202" s="352" t="n"/>
      <c r="AT202" s="39" t="n"/>
      <c r="AU202" s="291" t="n"/>
      <c r="AV202" s="352" t="n"/>
      <c r="AW202" s="39" t="n"/>
      <c r="AX202" s="291" t="n"/>
      <c r="AY202" s="291" t="n"/>
      <c r="AZ202" s="39" t="n"/>
      <c r="BA202" s="291" t="n"/>
      <c r="BB202" s="39" t="n"/>
      <c r="BC202" s="291" t="n"/>
      <c r="BD202" s="39" t="n"/>
      <c r="BE202" s="291" t="n"/>
      <c r="BF202" s="39" t="n"/>
      <c r="BG202" s="291" t="n"/>
      <c r="BH202" s="39" t="n"/>
      <c r="BI202" s="291" t="n"/>
      <c r="BJ202" s="39" t="n"/>
      <c r="BK202" s="291" t="n"/>
      <c r="BL202" s="39" t="n"/>
      <c r="BM202" s="291" t="n"/>
      <c r="BN202" s="39" t="n"/>
      <c r="BO202" s="291" t="n"/>
      <c r="BP202" s="291" t="n"/>
      <c r="BQ202" s="39" t="n"/>
      <c r="BR202" s="291" t="n"/>
      <c r="BS202" s="39" t="n"/>
      <c r="BT202" s="291" t="n"/>
      <c r="BU202" s="39" t="n"/>
      <c r="BV202" s="291" t="n"/>
      <c r="BW202" s="39" t="n"/>
      <c r="BX202" s="291" t="n"/>
      <c r="BY202" s="39" t="n"/>
      <c r="BZ202" s="291" t="n"/>
      <c r="CA202" s="39" t="n"/>
      <c r="CB202" s="291" t="n"/>
      <c r="CC202" s="39" t="n"/>
      <c r="CD202" s="291" t="n"/>
      <c r="CE202" s="39" t="n"/>
      <c r="CF202" s="291" t="n"/>
      <c r="CG202" s="39" t="n"/>
      <c r="CH202" s="291" t="n"/>
      <c r="CI202" s="39" t="n"/>
      <c r="CJ202" s="291" t="n"/>
      <c r="CK202" s="39" t="n"/>
      <c r="CL202" s="291" t="n"/>
      <c r="CM202" s="39" t="n"/>
      <c r="CN202" s="291" t="n"/>
      <c r="CO202" s="39" t="n"/>
      <c r="CP202" s="291" t="n"/>
      <c r="CQ202" s="39" t="n"/>
      <c r="CR202" s="291" t="n"/>
      <c r="CS202" s="39" t="n"/>
      <c r="CT202" s="291" t="n"/>
      <c r="CU202" s="39" t="n"/>
      <c r="CV202" s="343" t="n"/>
      <c r="CW202" s="291" t="n"/>
      <c r="CX202" s="39" t="n"/>
      <c r="CY202" s="291" t="n"/>
      <c r="CZ202" s="39" t="n"/>
      <c r="DA202" s="291" t="n"/>
      <c r="DB202" s="39" t="n"/>
      <c r="DC202" s="291" t="n"/>
      <c r="DD202" s="39" t="n"/>
      <c r="DE202" s="311" t="n"/>
      <c r="DF202" s="311" t="n"/>
    </row>
    <row r="203" ht="13" customFormat="1" customHeight="1" s="40">
      <c r="A203" s="52" t="n"/>
      <c r="B203" s="291" t="n"/>
      <c r="C203" s="39" t="n"/>
      <c r="D203" s="39" t="n"/>
      <c r="E203" s="291" t="n"/>
      <c r="F203" s="39" t="n"/>
      <c r="G203" s="39" t="n"/>
      <c r="H203" s="291" t="n"/>
      <c r="I203" s="39" t="n"/>
      <c r="J203" s="39" t="n"/>
      <c r="K203" s="291" t="n"/>
      <c r="L203" s="39" t="n"/>
      <c r="M203" s="39" t="n"/>
      <c r="N203" s="291" t="n"/>
      <c r="O203" s="39" t="n"/>
      <c r="P203" s="39" t="n"/>
      <c r="Q203" s="291" t="n"/>
      <c r="R203" s="39" t="n"/>
      <c r="S203" s="39" t="n"/>
      <c r="T203" s="291" t="n"/>
      <c r="U203" s="39" t="n"/>
      <c r="V203" s="39" t="n"/>
      <c r="W203" s="291" t="n"/>
      <c r="X203" s="39" t="n"/>
      <c r="Y203" s="39" t="n"/>
      <c r="Z203" s="291" t="n"/>
      <c r="AA203" s="39" t="n"/>
      <c r="AB203" s="39" t="n"/>
      <c r="AC203" s="291" t="n"/>
      <c r="AD203" s="39" t="n"/>
      <c r="AE203" s="39" t="n"/>
      <c r="AF203" s="291" t="n"/>
      <c r="AG203" s="39" t="n"/>
      <c r="AH203" s="39" t="n"/>
      <c r="AI203" s="291" t="n"/>
      <c r="AJ203" s="39" t="n"/>
      <c r="AK203" s="39" t="n"/>
      <c r="AL203" s="291" t="n"/>
      <c r="AM203" s="352" t="n"/>
      <c r="AN203" s="39" t="n"/>
      <c r="AO203" s="291" t="n"/>
      <c r="AP203" s="352" t="n"/>
      <c r="AQ203" s="39" t="n"/>
      <c r="AR203" s="291" t="n"/>
      <c r="AS203" s="352" t="n"/>
      <c r="AT203" s="39" t="n"/>
      <c r="AU203" s="291" t="n"/>
      <c r="AV203" s="352" t="n"/>
      <c r="AW203" s="39" t="n"/>
      <c r="AX203" s="291" t="n"/>
      <c r="AY203" s="291" t="n"/>
      <c r="AZ203" s="39" t="n"/>
      <c r="BA203" s="291" t="n"/>
      <c r="BB203" s="39" t="n"/>
      <c r="BC203" s="291" t="n"/>
      <c r="BD203" s="39" t="n"/>
      <c r="BE203" s="291" t="n"/>
      <c r="BF203" s="39" t="n"/>
      <c r="BG203" s="291" t="n"/>
      <c r="BH203" s="39" t="n"/>
      <c r="BI203" s="291" t="n"/>
      <c r="BJ203" s="39" t="n"/>
      <c r="BK203" s="291" t="n"/>
      <c r="BL203" s="39" t="n"/>
      <c r="BM203" s="291" t="n"/>
      <c r="BN203" s="39" t="n"/>
      <c r="BO203" s="291" t="n"/>
      <c r="BP203" s="291" t="n"/>
      <c r="BQ203" s="39" t="n"/>
      <c r="BR203" s="291" t="n"/>
      <c r="BS203" s="39" t="n"/>
      <c r="BT203" s="291" t="n"/>
      <c r="BU203" s="39" t="n"/>
      <c r="BV203" s="291" t="n"/>
      <c r="BW203" s="39" t="n"/>
      <c r="BX203" s="291" t="n"/>
      <c r="BY203" s="39" t="n"/>
      <c r="BZ203" s="291" t="n"/>
      <c r="CA203" s="39" t="n"/>
      <c r="CB203" s="291" t="n"/>
      <c r="CC203" s="39" t="n"/>
      <c r="CD203" s="291" t="n"/>
      <c r="CE203" s="39" t="n"/>
      <c r="CF203" s="291" t="n"/>
      <c r="CG203" s="39" t="n"/>
      <c r="CH203" s="291" t="n"/>
      <c r="CI203" s="39" t="n"/>
      <c r="CJ203" s="291" t="n"/>
      <c r="CK203" s="39" t="n"/>
      <c r="CL203" s="291" t="n"/>
      <c r="CM203" s="39" t="n"/>
      <c r="CN203" s="291" t="n"/>
      <c r="CO203" s="39" t="n"/>
      <c r="CP203" s="291" t="n"/>
      <c r="CQ203" s="39" t="n"/>
      <c r="CR203" s="291" t="n"/>
      <c r="CS203" s="39" t="n"/>
      <c r="CT203" s="291" t="n"/>
      <c r="CU203" s="39" t="n"/>
      <c r="CV203" s="343" t="n"/>
      <c r="CW203" s="291" t="n"/>
      <c r="CX203" s="39" t="n"/>
      <c r="CY203" s="291" t="n"/>
      <c r="CZ203" s="39" t="n"/>
      <c r="DA203" s="291" t="n"/>
      <c r="DB203" s="39" t="n"/>
      <c r="DC203" s="291" t="n"/>
      <c r="DD203" s="39" t="n"/>
      <c r="DE203" s="311" t="n"/>
      <c r="DF203" s="311" t="n"/>
    </row>
    <row r="204" ht="13" customFormat="1" customHeight="1" s="40">
      <c r="A204" s="345" t="n"/>
      <c r="B204" s="291" t="n"/>
      <c r="C204" s="39" t="n"/>
      <c r="D204" s="39" t="n"/>
      <c r="E204" s="291" t="n"/>
      <c r="F204" s="39" t="n"/>
      <c r="G204" s="39" t="n"/>
      <c r="H204" s="291" t="n"/>
      <c r="I204" s="39" t="n"/>
      <c r="J204" s="39" t="n"/>
      <c r="K204" s="291" t="n"/>
      <c r="L204" s="39" t="n"/>
      <c r="M204" s="39" t="n"/>
      <c r="N204" s="291" t="n"/>
      <c r="O204" s="39" t="n"/>
      <c r="P204" s="39" t="n"/>
      <c r="Q204" s="291" t="n"/>
      <c r="R204" s="39" t="n"/>
      <c r="S204" s="39" t="n"/>
      <c r="T204" s="291" t="n"/>
      <c r="U204" s="39" t="n"/>
      <c r="V204" s="39" t="n"/>
      <c r="W204" s="291" t="n"/>
      <c r="X204" s="39" t="n"/>
      <c r="Y204" s="39" t="n"/>
      <c r="Z204" s="291" t="n"/>
      <c r="AA204" s="39" t="n"/>
      <c r="AB204" s="39" t="n"/>
      <c r="AC204" s="291" t="n"/>
      <c r="AD204" s="39" t="n"/>
      <c r="AE204" s="39" t="n"/>
      <c r="AF204" s="291" t="n"/>
      <c r="AG204" s="39" t="n"/>
      <c r="AH204" s="39" t="n"/>
      <c r="AI204" s="291" t="n"/>
      <c r="AJ204" s="39" t="n"/>
      <c r="AK204" s="39" t="n"/>
      <c r="AL204" s="291" t="n"/>
      <c r="AM204" s="352" t="n"/>
      <c r="AN204" s="39" t="n"/>
      <c r="AO204" s="291" t="n"/>
      <c r="AP204" s="352" t="n"/>
      <c r="AQ204" s="39" t="n"/>
      <c r="AR204" s="291" t="n"/>
      <c r="AS204" s="352" t="n"/>
      <c r="AT204" s="39" t="n"/>
      <c r="AU204" s="291" t="n"/>
      <c r="AV204" s="352" t="n"/>
      <c r="AW204" s="39" t="n"/>
      <c r="AX204" s="291" t="n"/>
      <c r="AY204" s="291" t="n"/>
      <c r="AZ204" s="39" t="n"/>
      <c r="BA204" s="291" t="n"/>
      <c r="BB204" s="39" t="n"/>
      <c r="BC204" s="291" t="n"/>
      <c r="BD204" s="39" t="n"/>
      <c r="BE204" s="291" t="n"/>
      <c r="BF204" s="39" t="n"/>
      <c r="BG204" s="291" t="n"/>
      <c r="BH204" s="39" t="n"/>
      <c r="BI204" s="291" t="n"/>
      <c r="BJ204" s="39" t="n"/>
      <c r="BK204" s="291" t="n"/>
      <c r="BL204" s="39" t="n"/>
      <c r="BM204" s="291" t="n"/>
      <c r="BN204" s="39" t="n"/>
      <c r="BO204" s="291" t="n"/>
      <c r="BP204" s="291" t="n"/>
      <c r="BQ204" s="39" t="n"/>
      <c r="BR204" s="291" t="n"/>
      <c r="BS204" s="39" t="n"/>
      <c r="BT204" s="291" t="n"/>
      <c r="BU204" s="39" t="n"/>
      <c r="BV204" s="291" t="n"/>
      <c r="BW204" s="39" t="n"/>
      <c r="BX204" s="291" t="n"/>
      <c r="BY204" s="39" t="n"/>
      <c r="BZ204" s="291" t="n"/>
      <c r="CA204" s="39" t="n"/>
      <c r="CB204" s="291" t="n"/>
      <c r="CC204" s="39" t="n"/>
      <c r="CD204" s="291" t="n"/>
      <c r="CE204" s="39" t="n"/>
      <c r="CF204" s="291" t="n"/>
      <c r="CG204" s="39" t="n"/>
      <c r="CH204" s="291" t="n"/>
      <c r="CI204" s="39" t="n"/>
      <c r="CJ204" s="291" t="n"/>
      <c r="CK204" s="39" t="n"/>
      <c r="CL204" s="291" t="n"/>
      <c r="CM204" s="39" t="n"/>
      <c r="CN204" s="291" t="n"/>
      <c r="CO204" s="39" t="n"/>
      <c r="CP204" s="291" t="n"/>
      <c r="CQ204" s="39" t="n"/>
      <c r="CR204" s="291" t="n"/>
      <c r="CS204" s="39" t="n"/>
      <c r="CT204" s="291" t="n"/>
      <c r="CU204" s="39" t="n"/>
      <c r="CV204" s="343" t="n"/>
      <c r="CW204" s="291" t="n"/>
      <c r="CX204" s="39" t="n"/>
      <c r="CY204" s="291" t="n"/>
      <c r="CZ204" s="39" t="n"/>
      <c r="DA204" s="291" t="n"/>
      <c r="DB204" s="39" t="n"/>
      <c r="DC204" s="291" t="n"/>
      <c r="DD204" s="39" t="n"/>
      <c r="DE204" s="311" t="n"/>
      <c r="DF204" s="311" t="n"/>
    </row>
    <row r="205" ht="13" customFormat="1" customHeight="1" s="40">
      <c r="A205" s="345" t="n"/>
      <c r="B205" s="291" t="n"/>
      <c r="C205" s="39" t="n"/>
      <c r="D205" s="39" t="n"/>
      <c r="E205" s="291" t="n"/>
      <c r="F205" s="39" t="n"/>
      <c r="G205" s="39" t="n"/>
      <c r="H205" s="291" t="n"/>
      <c r="I205" s="39" t="n"/>
      <c r="J205" s="39" t="n"/>
      <c r="K205" s="291" t="n"/>
      <c r="L205" s="39" t="n"/>
      <c r="M205" s="39" t="n"/>
      <c r="N205" s="291" t="n"/>
      <c r="O205" s="39" t="n"/>
      <c r="P205" s="39" t="n"/>
      <c r="Q205" s="291" t="n"/>
      <c r="R205" s="39" t="n"/>
      <c r="S205" s="39" t="n"/>
      <c r="T205" s="291" t="n"/>
      <c r="U205" s="39" t="n"/>
      <c r="V205" s="39" t="n"/>
      <c r="W205" s="291" t="n"/>
      <c r="X205" s="39" t="n"/>
      <c r="Y205" s="39" t="n"/>
      <c r="Z205" s="291" t="n"/>
      <c r="AA205" s="39" t="n"/>
      <c r="AB205" s="39" t="n"/>
      <c r="AC205" s="291" t="n"/>
      <c r="AD205" s="39" t="n"/>
      <c r="AE205" s="39" t="n"/>
      <c r="AF205" s="291" t="n"/>
      <c r="AG205" s="39" t="n"/>
      <c r="AH205" s="39" t="n"/>
      <c r="AI205" s="291" t="n"/>
      <c r="AJ205" s="39" t="n"/>
      <c r="AK205" s="39" t="n"/>
      <c r="AL205" s="291" t="n"/>
      <c r="AM205" s="352" t="n"/>
      <c r="AN205" s="39" t="n"/>
      <c r="AO205" s="291" t="n"/>
      <c r="AP205" s="352" t="n"/>
      <c r="AQ205" s="39" t="n"/>
      <c r="AR205" s="291" t="n"/>
      <c r="AS205" s="352" t="n"/>
      <c r="AT205" s="39" t="n"/>
      <c r="AU205" s="291" t="n"/>
      <c r="AV205" s="352" t="n"/>
      <c r="AW205" s="39" t="n"/>
      <c r="AX205" s="291" t="n"/>
      <c r="AY205" s="291" t="n"/>
      <c r="AZ205" s="39" t="n"/>
      <c r="BA205" s="291" t="n"/>
      <c r="BB205" s="39" t="n"/>
      <c r="BC205" s="291" t="n"/>
      <c r="BD205" s="39" t="n"/>
      <c r="BE205" s="291" t="n"/>
      <c r="BF205" s="39" t="n"/>
      <c r="BG205" s="291" t="n"/>
      <c r="BH205" s="39" t="n"/>
      <c r="BI205" s="291" t="n"/>
      <c r="BJ205" s="39" t="n"/>
      <c r="BK205" s="291" t="n"/>
      <c r="BL205" s="39" t="n"/>
      <c r="BM205" s="291" t="n"/>
      <c r="BN205" s="39" t="n"/>
      <c r="BO205" s="291" t="n"/>
      <c r="BP205" s="291" t="n"/>
      <c r="BQ205" s="39" t="n"/>
      <c r="BR205" s="291" t="n"/>
      <c r="BS205" s="39" t="n"/>
      <c r="BT205" s="291" t="n"/>
      <c r="BU205" s="39" t="n"/>
      <c r="BV205" s="291" t="n"/>
      <c r="BW205" s="39" t="n"/>
      <c r="BX205" s="291" t="n"/>
      <c r="BY205" s="39" t="n"/>
      <c r="BZ205" s="291" t="n"/>
      <c r="CA205" s="39" t="n"/>
      <c r="CB205" s="291" t="n"/>
      <c r="CC205" s="39" t="n"/>
      <c r="CD205" s="291" t="n"/>
      <c r="CE205" s="39" t="n"/>
      <c r="CF205" s="291" t="n"/>
      <c r="CG205" s="39" t="n"/>
      <c r="CH205" s="291" t="n"/>
      <c r="CI205" s="39" t="n"/>
      <c r="CJ205" s="291" t="n"/>
      <c r="CK205" s="39" t="n"/>
      <c r="CL205" s="291" t="n"/>
      <c r="CM205" s="39" t="n"/>
      <c r="CN205" s="291" t="n"/>
      <c r="CO205" s="39" t="n"/>
      <c r="CP205" s="291" t="n"/>
      <c r="CQ205" s="39" t="n"/>
      <c r="CR205" s="291" t="n"/>
      <c r="CS205" s="39" t="n"/>
      <c r="CT205" s="291" t="n"/>
      <c r="CU205" s="39" t="n"/>
      <c r="CV205" s="343" t="n"/>
      <c r="CW205" s="291" t="n"/>
      <c r="CX205" s="39" t="n"/>
      <c r="CY205" s="291" t="n"/>
      <c r="CZ205" s="39" t="n"/>
      <c r="DA205" s="291" t="n"/>
      <c r="DB205" s="39" t="n"/>
      <c r="DC205" s="291" t="n"/>
      <c r="DD205" s="39" t="n"/>
      <c r="DE205" s="311" t="n"/>
      <c r="DF205" s="311" t="n"/>
    </row>
    <row r="206" customFormat="1" s="40">
      <c r="A206" s="345" t="n"/>
      <c r="B206" s="291" t="n"/>
      <c r="C206" s="39" t="n"/>
      <c r="D206" s="39" t="n"/>
      <c r="E206" s="291" t="n"/>
      <c r="F206" s="39" t="n"/>
      <c r="G206" s="39" t="n"/>
      <c r="H206" s="291" t="n"/>
      <c r="I206" s="39" t="n"/>
      <c r="J206" s="39" t="n"/>
      <c r="K206" s="291" t="n"/>
      <c r="L206" s="39" t="n"/>
      <c r="M206" s="39" t="n"/>
      <c r="N206" s="291" t="n"/>
      <c r="O206" s="39" t="n"/>
      <c r="P206" s="39" t="n"/>
      <c r="Q206" s="291" t="n"/>
      <c r="R206" s="39" t="n"/>
      <c r="S206" s="39" t="n"/>
      <c r="T206" s="291" t="n"/>
      <c r="U206" s="39" t="n"/>
      <c r="V206" s="39" t="n"/>
      <c r="W206" s="291" t="n"/>
      <c r="X206" s="39" t="n"/>
      <c r="Y206" s="39" t="n"/>
      <c r="Z206" s="291" t="n"/>
      <c r="AA206" s="39" t="n"/>
      <c r="AB206" s="39" t="n"/>
      <c r="AC206" s="291" t="n"/>
      <c r="AD206" s="39" t="n"/>
      <c r="AE206" s="39" t="n"/>
      <c r="AF206" s="291" t="n"/>
      <c r="AG206" s="39" t="n"/>
      <c r="AH206" s="39" t="n"/>
      <c r="AI206" s="291" t="n"/>
      <c r="AJ206" s="39" t="n"/>
      <c r="AK206" s="39" t="n"/>
      <c r="AL206" s="291" t="n"/>
      <c r="AM206" s="352" t="n"/>
      <c r="AN206" s="39" t="n"/>
      <c r="AO206" s="291" t="n"/>
      <c r="AP206" s="352" t="n"/>
      <c r="AQ206" s="39" t="n"/>
      <c r="AR206" s="291" t="n"/>
      <c r="AS206" s="352" t="n"/>
      <c r="AT206" s="39" t="n"/>
      <c r="AU206" s="291" t="n"/>
      <c r="AV206" s="352" t="n"/>
      <c r="AW206" s="39" t="n"/>
      <c r="AX206" s="291" t="n"/>
      <c r="AY206" s="291" t="n"/>
      <c r="AZ206" s="39" t="n"/>
      <c r="BA206" s="291" t="n"/>
      <c r="BB206" s="39" t="n"/>
      <c r="BC206" s="291" t="n"/>
      <c r="BD206" s="39" t="n"/>
      <c r="BE206" s="291" t="n"/>
      <c r="BF206" s="39" t="n"/>
      <c r="BG206" s="291" t="n"/>
      <c r="BH206" s="39" t="n"/>
      <c r="BI206" s="291" t="n"/>
      <c r="BJ206" s="39" t="n"/>
      <c r="BK206" s="291" t="n"/>
      <c r="BL206" s="39" t="n"/>
      <c r="BM206" s="291" t="n"/>
      <c r="BN206" s="39" t="n"/>
      <c r="BO206" s="291" t="n"/>
      <c r="BP206" s="349" t="n"/>
      <c r="BQ206" s="39" t="n"/>
      <c r="BR206" s="291" t="n"/>
      <c r="BS206" s="39" t="n"/>
      <c r="BT206" s="291" t="n"/>
      <c r="BU206" s="39" t="n"/>
      <c r="BV206" s="291" t="n"/>
      <c r="BW206" s="39" t="n"/>
      <c r="BX206" s="291" t="n"/>
      <c r="BY206" s="39" t="n"/>
      <c r="BZ206" s="291" t="n"/>
      <c r="CA206" s="39" t="n"/>
      <c r="CB206" s="291" t="n"/>
      <c r="CC206" s="39" t="n"/>
      <c r="CD206" s="291" t="n"/>
      <c r="CE206" s="39" t="n"/>
      <c r="CF206" s="291" t="n"/>
      <c r="CG206" s="39" t="n"/>
      <c r="CH206" s="291" t="n"/>
      <c r="CI206" s="39" t="n"/>
      <c r="CJ206" s="291" t="n"/>
      <c r="CK206" s="39" t="n"/>
      <c r="CL206" s="291" t="n"/>
      <c r="CM206" s="39" t="n"/>
      <c r="CN206" s="291" t="n"/>
      <c r="CO206" s="39" t="n"/>
      <c r="CP206" s="291" t="n"/>
      <c r="CQ206" s="39" t="n"/>
      <c r="CR206" s="291" t="n"/>
      <c r="CS206" s="39" t="n"/>
      <c r="CT206" s="291" t="n"/>
      <c r="CU206" s="39" t="n"/>
      <c r="CV206" s="39" t="n"/>
      <c r="CW206" s="350" t="n"/>
      <c r="CX206" s="39" t="n"/>
      <c r="CY206" s="350" t="n"/>
      <c r="CZ206" s="39" t="n"/>
      <c r="DA206" s="350" t="n"/>
      <c r="DB206" s="39" t="n"/>
      <c r="DC206" s="1" t="n"/>
      <c r="DD206" s="39" t="n"/>
      <c r="DE206" s="270" t="n"/>
      <c r="DF206" s="270" t="n"/>
    </row>
    <row r="207" customFormat="1" s="40">
      <c r="A207" s="345" t="n"/>
      <c r="B207" s="291" t="n"/>
      <c r="C207" s="39" t="n"/>
      <c r="D207" s="39" t="n"/>
      <c r="E207" s="291" t="n"/>
      <c r="F207" s="39" t="n"/>
      <c r="G207" s="39" t="n"/>
      <c r="H207" s="291" t="n"/>
      <c r="I207" s="39" t="n"/>
      <c r="J207" s="39" t="n"/>
      <c r="K207" s="291" t="n"/>
      <c r="L207" s="39" t="n"/>
      <c r="M207" s="39" t="n"/>
      <c r="N207" s="291" t="n"/>
      <c r="O207" s="39" t="n"/>
      <c r="P207" s="39" t="n"/>
      <c r="Q207" s="291" t="n"/>
      <c r="R207" s="39" t="n"/>
      <c r="S207" s="39" t="n"/>
      <c r="T207" s="291" t="n"/>
      <c r="U207" s="39" t="n"/>
      <c r="V207" s="39" t="n"/>
      <c r="W207" s="291" t="n"/>
      <c r="X207" s="39" t="n"/>
      <c r="Y207" s="39" t="n"/>
      <c r="Z207" s="291" t="n"/>
      <c r="AA207" s="39" t="n"/>
      <c r="AB207" s="39" t="n"/>
      <c r="AC207" s="291" t="n"/>
      <c r="AD207" s="39" t="n"/>
      <c r="AE207" s="39" t="n"/>
      <c r="AF207" s="291" t="n"/>
      <c r="AG207" s="39" t="n"/>
      <c r="AH207" s="39" t="n"/>
      <c r="AI207" s="291" t="n"/>
      <c r="AJ207" s="39" t="n"/>
      <c r="AK207" s="39" t="n"/>
      <c r="AL207" s="291" t="n"/>
      <c r="AM207" s="352" t="n"/>
      <c r="AN207" s="39" t="n"/>
      <c r="AO207" s="291" t="n"/>
      <c r="AP207" s="352" t="n"/>
      <c r="AQ207" s="39" t="n"/>
      <c r="AR207" s="291" t="n"/>
      <c r="AS207" s="352" t="n"/>
      <c r="AT207" s="39" t="n"/>
      <c r="AU207" s="291" t="n"/>
      <c r="AV207" s="352" t="n"/>
      <c r="AW207" s="39" t="n"/>
      <c r="AX207" s="291" t="n"/>
      <c r="AY207" s="291" t="n"/>
      <c r="AZ207" s="39" t="n"/>
      <c r="BA207" s="291" t="n"/>
      <c r="BB207" s="39" t="n"/>
      <c r="BC207" s="291" t="n"/>
      <c r="BD207" s="39" t="n"/>
      <c r="BE207" s="291" t="n"/>
      <c r="BF207" s="39" t="n"/>
      <c r="BG207" s="291" t="n"/>
      <c r="BH207" s="39" t="n"/>
      <c r="BI207" s="291" t="n"/>
      <c r="BJ207" s="39" t="n"/>
      <c r="BK207" s="291" t="n"/>
      <c r="BL207" s="39" t="n"/>
      <c r="BM207" s="291" t="n"/>
      <c r="BN207" s="39" t="n"/>
      <c r="BO207" s="291" t="n"/>
      <c r="BP207" s="349" t="n"/>
      <c r="BQ207" s="39" t="n"/>
      <c r="BR207" s="291" t="n"/>
      <c r="BS207" s="39" t="n"/>
      <c r="BT207" s="291" t="n"/>
      <c r="BU207" s="39" t="n"/>
      <c r="BV207" s="291" t="n"/>
      <c r="BW207" s="39" t="n"/>
      <c r="BX207" s="291" t="n"/>
      <c r="BY207" s="39" t="n"/>
      <c r="BZ207" s="291" t="n"/>
      <c r="CA207" s="39" t="n"/>
      <c r="CB207" s="291" t="n"/>
      <c r="CC207" s="39" t="n"/>
      <c r="CD207" s="291" t="n"/>
      <c r="CE207" s="39" t="n"/>
      <c r="CF207" s="291" t="n"/>
      <c r="CG207" s="39" t="n"/>
      <c r="CH207" s="291" t="n"/>
      <c r="CI207" s="39" t="n"/>
      <c r="CJ207" s="291" t="n"/>
      <c r="CK207" s="39" t="n"/>
      <c r="CL207" s="291" t="n"/>
      <c r="CM207" s="39" t="n"/>
      <c r="CN207" s="291" t="n"/>
      <c r="CO207" s="39" t="n"/>
      <c r="CP207" s="291" t="n"/>
      <c r="CQ207" s="39" t="n"/>
      <c r="CR207" s="291" t="n"/>
      <c r="CS207" s="39" t="n"/>
      <c r="CT207" s="291" t="n"/>
      <c r="CU207" s="39" t="n"/>
      <c r="CV207" s="39" t="n"/>
      <c r="CW207" s="350" t="n"/>
      <c r="CX207" s="39" t="n"/>
      <c r="CY207" s="350" t="n"/>
      <c r="CZ207" s="39" t="n"/>
      <c r="DA207" s="350" t="n"/>
      <c r="DB207" s="39" t="n"/>
      <c r="DC207" s="1" t="n"/>
      <c r="DD207" s="39" t="n"/>
      <c r="DE207" s="270" t="n"/>
      <c r="DF207" s="270" t="n"/>
    </row>
    <row r="208" customFormat="1" s="116">
      <c r="A208" s="351" t="n"/>
      <c r="B208" s="317" t="n"/>
      <c r="C208" s="39" t="n"/>
      <c r="D208" s="39" t="n"/>
      <c r="E208" s="317" t="n"/>
      <c r="F208" s="39" t="n"/>
      <c r="G208" s="39" t="n"/>
      <c r="H208" s="317" t="n"/>
      <c r="I208" s="39" t="n"/>
      <c r="J208" s="39" t="n"/>
      <c r="K208" s="317" t="n"/>
      <c r="L208" s="39" t="n"/>
      <c r="M208" s="39" t="n"/>
      <c r="N208" s="317" t="n"/>
      <c r="O208" s="39" t="n"/>
      <c r="P208" s="39" t="n"/>
      <c r="Q208" s="317" t="n"/>
      <c r="R208" s="39" t="n"/>
      <c r="S208" s="39" t="n"/>
      <c r="T208" s="317" t="n"/>
      <c r="U208" s="39" t="n"/>
      <c r="V208" s="39" t="n"/>
      <c r="W208" s="317" t="n"/>
      <c r="X208" s="39" t="n"/>
      <c r="Y208" s="39" t="n"/>
      <c r="Z208" s="317" t="n"/>
      <c r="AA208" s="39" t="n"/>
      <c r="AB208" s="39" t="n"/>
      <c r="AC208" s="317" t="n"/>
      <c r="AD208" s="39" t="n"/>
      <c r="AE208" s="39" t="n"/>
      <c r="AF208" s="317" t="n"/>
      <c r="AG208" s="39" t="n"/>
      <c r="AH208" s="39" t="n"/>
      <c r="AI208" s="317" t="n"/>
      <c r="AJ208" s="39" t="n"/>
      <c r="AK208" s="39" t="n"/>
      <c r="AL208" s="317" t="n"/>
      <c r="AM208" s="352" t="n"/>
      <c r="AN208" s="352" t="n"/>
      <c r="AO208" s="317" t="n"/>
      <c r="AP208" s="352" t="n"/>
      <c r="AQ208" s="352" t="n"/>
      <c r="AR208" s="317" t="n"/>
      <c r="AS208" s="352" t="n"/>
      <c r="AT208" s="352" t="n"/>
      <c r="AU208" s="317" t="n"/>
      <c r="AV208" s="352" t="n"/>
      <c r="AW208" s="352" t="n"/>
      <c r="AX208" s="317" t="n"/>
      <c r="AY208" s="317" t="n"/>
      <c r="AZ208" s="39" t="n"/>
      <c r="BA208" s="317" t="n"/>
      <c r="BB208" s="39" t="n"/>
      <c r="BC208" s="317" t="n"/>
      <c r="BD208" s="39" t="n"/>
      <c r="BE208" s="317" t="n"/>
      <c r="BF208" s="39" t="n"/>
      <c r="BG208" s="317" t="n"/>
      <c r="BH208" s="39" t="n"/>
      <c r="BI208" s="317" t="n"/>
      <c r="BJ208" s="39" t="n"/>
      <c r="BK208" s="317" t="n"/>
      <c r="BL208" s="39" t="n"/>
      <c r="BM208" s="317" t="n"/>
      <c r="BN208" s="39" t="n"/>
      <c r="BO208" s="317" t="n"/>
      <c r="BP208" s="354" t="n"/>
      <c r="BQ208" s="39" t="n"/>
      <c r="BR208" s="317" t="n"/>
      <c r="BS208" s="39" t="n"/>
      <c r="BT208" s="317" t="n"/>
      <c r="BU208" s="39" t="n"/>
      <c r="BV208" s="317" t="n"/>
      <c r="BW208" s="39" t="n"/>
      <c r="BX208" s="317" t="n"/>
      <c r="BY208" s="39" t="n"/>
      <c r="BZ208" s="317" t="n"/>
      <c r="CA208" s="39" t="n"/>
      <c r="CB208" s="317" t="n"/>
      <c r="CC208" s="39" t="n"/>
      <c r="CD208" s="317" t="n"/>
      <c r="CE208" s="39" t="n"/>
      <c r="CF208" s="317" t="n"/>
      <c r="CG208" s="39" t="n"/>
      <c r="CH208" s="317" t="n"/>
      <c r="CI208" s="39" t="n"/>
      <c r="CJ208" s="317" t="n"/>
      <c r="CK208" s="39" t="n"/>
      <c r="CL208" s="317" t="n"/>
      <c r="CM208" s="39" t="n"/>
      <c r="CN208" s="317" t="n"/>
      <c r="CO208" s="39" t="n"/>
      <c r="CP208" s="317" t="n"/>
      <c r="CQ208" s="39" t="n"/>
      <c r="CR208" s="317" t="n"/>
      <c r="CS208" s="39" t="n"/>
      <c r="CT208" s="317" t="n"/>
      <c r="CU208" s="39" t="n"/>
      <c r="CV208" s="39" t="n"/>
      <c r="CW208" s="355" t="n"/>
      <c r="CX208" s="39" t="n"/>
      <c r="CY208" s="355" t="n"/>
      <c r="CZ208" s="39" t="n"/>
      <c r="DA208" s="355" t="n"/>
      <c r="DB208" s="39" t="n"/>
      <c r="DC208" s="117" t="n"/>
      <c r="DD208" s="39" t="n"/>
      <c r="DE208" s="356" t="n"/>
      <c r="DF208" s="356" t="n"/>
    </row>
    <row r="209" customFormat="1" s="116">
      <c r="A209" s="351" t="n"/>
      <c r="B209" s="317" t="n"/>
      <c r="C209" s="39" t="n"/>
      <c r="D209" s="39" t="n"/>
      <c r="E209" s="317" t="n"/>
      <c r="F209" s="39" t="n"/>
      <c r="G209" s="39" t="n"/>
      <c r="H209" s="317" t="n"/>
      <c r="I209" s="39" t="n"/>
      <c r="J209" s="39" t="n"/>
      <c r="K209" s="317" t="n"/>
      <c r="L209" s="39" t="n"/>
      <c r="M209" s="39" t="n"/>
      <c r="N209" s="317" t="n"/>
      <c r="O209" s="39" t="n"/>
      <c r="P209" s="39" t="n"/>
      <c r="Q209" s="317" t="n"/>
      <c r="R209" s="39" t="n"/>
      <c r="S209" s="39" t="n"/>
      <c r="T209" s="317" t="n"/>
      <c r="U209" s="39" t="n"/>
      <c r="V209" s="39" t="n"/>
      <c r="W209" s="317" t="n"/>
      <c r="X209" s="39" t="n"/>
      <c r="Y209" s="39" t="n"/>
      <c r="Z209" s="317" t="n"/>
      <c r="AA209" s="39" t="n"/>
      <c r="AB209" s="39" t="n"/>
      <c r="AC209" s="317" t="n"/>
      <c r="AD209" s="39" t="n"/>
      <c r="AE209" s="39" t="n"/>
      <c r="AF209" s="317" t="n"/>
      <c r="AG209" s="39" t="n"/>
      <c r="AH209" s="39" t="n"/>
      <c r="AI209" s="317" t="n"/>
      <c r="AJ209" s="39" t="n"/>
      <c r="AK209" s="39" t="n"/>
      <c r="AL209" s="317" t="n"/>
      <c r="AM209" s="352" t="n"/>
      <c r="AN209" s="352" t="n"/>
      <c r="AO209" s="317" t="n"/>
      <c r="AP209" s="352" t="n"/>
      <c r="AQ209" s="352" t="n"/>
      <c r="AR209" s="317" t="n"/>
      <c r="AS209" s="352" t="n"/>
      <c r="AT209" s="352" t="n"/>
      <c r="AU209" s="317" t="n"/>
      <c r="AV209" s="352" t="n"/>
      <c r="AW209" s="352" t="n"/>
      <c r="AX209" s="317" t="n"/>
      <c r="AY209" s="317" t="n"/>
      <c r="AZ209" s="39" t="n"/>
      <c r="BA209" s="317" t="n"/>
      <c r="BB209" s="39" t="n"/>
      <c r="BC209" s="317" t="n"/>
      <c r="BD209" s="39" t="n"/>
      <c r="BE209" s="317" t="n"/>
      <c r="BF209" s="39" t="n"/>
      <c r="BG209" s="317" t="n"/>
      <c r="BH209" s="39" t="n"/>
      <c r="BI209" s="317" t="n"/>
      <c r="BJ209" s="39" t="n"/>
      <c r="BK209" s="317" t="n"/>
      <c r="BL209" s="39" t="n"/>
      <c r="BM209" s="317" t="n"/>
      <c r="BN209" s="39" t="n"/>
      <c r="BO209" s="317" t="n"/>
      <c r="BP209" s="354" t="n"/>
      <c r="BQ209" s="39" t="n"/>
      <c r="BR209" s="317" t="n"/>
      <c r="BS209" s="39" t="n"/>
      <c r="BT209" s="317" t="n"/>
      <c r="BU209" s="39" t="n"/>
      <c r="BV209" s="317" t="n"/>
      <c r="BW209" s="39" t="n"/>
      <c r="BX209" s="317" t="n"/>
      <c r="BY209" s="39" t="n"/>
      <c r="BZ209" s="317" t="n"/>
      <c r="CA209" s="39" t="n"/>
      <c r="CB209" s="317" t="n"/>
      <c r="CC209" s="39" t="n"/>
      <c r="CD209" s="317" t="n"/>
      <c r="CE209" s="39" t="n"/>
      <c r="CF209" s="317" t="n"/>
      <c r="CG209" s="39" t="n"/>
      <c r="CH209" s="317" t="n"/>
      <c r="CI209" s="39" t="n"/>
      <c r="CJ209" s="317" t="n"/>
      <c r="CK209" s="39" t="n"/>
      <c r="CL209" s="317" t="n"/>
      <c r="CM209" s="39" t="n"/>
      <c r="CN209" s="317" t="n"/>
      <c r="CO209" s="39" t="n"/>
      <c r="CP209" s="317" t="n"/>
      <c r="CQ209" s="39" t="n"/>
      <c r="CR209" s="317" t="n"/>
      <c r="CS209" s="39" t="n"/>
      <c r="CT209" s="317" t="n"/>
      <c r="CU209" s="39" t="n"/>
      <c r="CV209" s="39" t="n"/>
      <c r="CW209" s="355" t="n"/>
      <c r="CX209" s="39" t="n"/>
      <c r="CY209" s="355" t="n"/>
      <c r="CZ209" s="39" t="n"/>
      <c r="DA209" s="355" t="n"/>
      <c r="DB209" s="39" t="n"/>
      <c r="DC209" s="117" t="n"/>
      <c r="DD209" s="39" t="n"/>
      <c r="DE209" s="356" t="n"/>
      <c r="DF209" s="356" t="n"/>
    </row>
    <row r="210" customFormat="1" s="116">
      <c r="A210" s="351" t="n"/>
      <c r="B210" s="317" t="n"/>
      <c r="C210" s="39" t="n"/>
      <c r="D210" s="39" t="n"/>
      <c r="E210" s="317" t="n"/>
      <c r="F210" s="39" t="n"/>
      <c r="G210" s="39" t="n"/>
      <c r="H210" s="317" t="n"/>
      <c r="I210" s="39" t="n"/>
      <c r="J210" s="39" t="n"/>
      <c r="K210" s="317" t="n"/>
      <c r="L210" s="39" t="n"/>
      <c r="M210" s="39" t="n"/>
      <c r="N210" s="317" t="n"/>
      <c r="O210" s="39" t="n"/>
      <c r="P210" s="39" t="n"/>
      <c r="Q210" s="317" t="n"/>
      <c r="R210" s="39" t="n"/>
      <c r="S210" s="39" t="n"/>
      <c r="T210" s="317" t="n"/>
      <c r="U210" s="39" t="n"/>
      <c r="V210" s="39" t="n"/>
      <c r="W210" s="317" t="n"/>
      <c r="X210" s="39" t="n"/>
      <c r="Y210" s="39" t="n"/>
      <c r="Z210" s="317" t="n"/>
      <c r="AA210" s="39" t="n"/>
      <c r="AB210" s="39" t="n"/>
      <c r="AC210" s="317" t="n"/>
      <c r="AD210" s="39" t="n"/>
      <c r="AE210" s="39" t="n"/>
      <c r="AF210" s="317" t="n"/>
      <c r="AG210" s="39" t="n"/>
      <c r="AH210" s="39" t="n"/>
      <c r="AI210" s="317" t="n"/>
      <c r="AJ210" s="39" t="n"/>
      <c r="AK210" s="39" t="n"/>
      <c r="AL210" s="317" t="n"/>
      <c r="AM210" s="352" t="n"/>
      <c r="AN210" s="352" t="n"/>
      <c r="AO210" s="317" t="n"/>
      <c r="AP210" s="352" t="n"/>
      <c r="AQ210" s="352" t="n"/>
      <c r="AR210" s="317" t="n"/>
      <c r="AS210" s="352" t="n"/>
      <c r="AT210" s="352" t="n"/>
      <c r="AU210" s="317" t="n"/>
      <c r="AV210" s="352" t="n"/>
      <c r="AW210" s="352" t="n"/>
      <c r="AX210" s="317" t="n"/>
      <c r="AY210" s="317" t="n"/>
      <c r="AZ210" s="39" t="n"/>
      <c r="BA210" s="317" t="n"/>
      <c r="BB210" s="39" t="n"/>
      <c r="BC210" s="317" t="n"/>
      <c r="BD210" s="39" t="n"/>
      <c r="BE210" s="317" t="n"/>
      <c r="BF210" s="39" t="n"/>
      <c r="BG210" s="317" t="n"/>
      <c r="BH210" s="39" t="n"/>
      <c r="BI210" s="317" t="n"/>
      <c r="BJ210" s="39" t="n"/>
      <c r="BK210" s="317" t="n"/>
      <c r="BL210" s="39" t="n"/>
      <c r="BM210" s="317" t="n"/>
      <c r="BN210" s="39" t="n"/>
      <c r="BO210" s="317" t="n"/>
      <c r="BP210" s="354" t="n"/>
      <c r="BQ210" s="39" t="n"/>
      <c r="BR210" s="317" t="n"/>
      <c r="BS210" s="39" t="n"/>
      <c r="BT210" s="317" t="n"/>
      <c r="BU210" s="39" t="n"/>
      <c r="BV210" s="317" t="n"/>
      <c r="BW210" s="39" t="n"/>
      <c r="BX210" s="317" t="n"/>
      <c r="BY210" s="39" t="n"/>
      <c r="BZ210" s="317" t="n"/>
      <c r="CA210" s="39" t="n"/>
      <c r="CB210" s="317" t="n"/>
      <c r="CC210" s="39" t="n"/>
      <c r="CD210" s="317" t="n"/>
      <c r="CE210" s="39" t="n"/>
      <c r="CF210" s="317" t="n"/>
      <c r="CG210" s="39" t="n"/>
      <c r="CH210" s="317" t="n"/>
      <c r="CI210" s="39" t="n"/>
      <c r="CJ210" s="317" t="n"/>
      <c r="CK210" s="39" t="n"/>
      <c r="CL210" s="317" t="n"/>
      <c r="CM210" s="39" t="n"/>
      <c r="CN210" s="317" t="n"/>
      <c r="CO210" s="39" t="n"/>
      <c r="CP210" s="317" t="n"/>
      <c r="CQ210" s="39" t="n"/>
      <c r="CR210" s="317" t="n"/>
      <c r="CS210" s="39" t="n"/>
      <c r="CT210" s="317" t="n"/>
      <c r="CU210" s="39" t="n"/>
      <c r="CV210" s="39" t="n"/>
      <c r="CW210" s="355" t="n"/>
      <c r="CX210" s="39" t="n"/>
      <c r="CY210" s="355" t="n"/>
      <c r="CZ210" s="39" t="n"/>
      <c r="DA210" s="355" t="n"/>
      <c r="DB210" s="39" t="n"/>
      <c r="DC210" s="117" t="n"/>
      <c r="DD210" s="39" t="n"/>
      <c r="DE210" s="356" t="n"/>
      <c r="DF210" s="356" t="n"/>
    </row>
    <row r="211" ht="13" customFormat="1" customHeight="1" s="40">
      <c r="A211" s="326" t="n"/>
      <c r="B211" s="291" t="n"/>
      <c r="C211" s="39" t="n"/>
      <c r="D211" s="39" t="n"/>
      <c r="E211" s="291" t="n"/>
      <c r="F211" s="39" t="n"/>
      <c r="G211" s="39" t="n"/>
      <c r="H211" s="291" t="n"/>
      <c r="I211" s="39" t="n"/>
      <c r="J211" s="39" t="n"/>
      <c r="K211" s="291" t="n"/>
      <c r="L211" s="39" t="n"/>
      <c r="M211" s="39" t="n"/>
      <c r="N211" s="291" t="n"/>
      <c r="O211" s="39" t="n"/>
      <c r="P211" s="39" t="n"/>
      <c r="Q211" s="291" t="n"/>
      <c r="R211" s="39" t="n"/>
      <c r="S211" s="39" t="n"/>
      <c r="T211" s="291" t="n"/>
      <c r="U211" s="39" t="n"/>
      <c r="V211" s="39" t="n"/>
      <c r="W211" s="291" t="n"/>
      <c r="X211" s="39" t="n"/>
      <c r="Y211" s="39" t="n"/>
      <c r="Z211" s="291" t="n"/>
      <c r="AA211" s="39" t="n"/>
      <c r="AB211" s="39" t="n"/>
      <c r="AC211" s="291" t="n"/>
      <c r="AD211" s="39" t="n"/>
      <c r="AE211" s="39" t="n"/>
      <c r="AF211" s="291" t="n"/>
      <c r="AG211" s="39" t="n"/>
      <c r="AH211" s="39" t="n"/>
      <c r="AI211" s="291" t="n"/>
      <c r="AJ211" s="39" t="n"/>
      <c r="AK211" s="39" t="n"/>
      <c r="AL211" s="291" t="n"/>
      <c r="AM211" s="291" t="n"/>
      <c r="AN211" s="291" t="n"/>
      <c r="AO211" s="291" t="n"/>
      <c r="AP211" s="291" t="n"/>
      <c r="AQ211" s="291" t="n"/>
      <c r="AR211" s="291" t="n"/>
      <c r="AS211" s="291" t="n"/>
      <c r="AT211" s="291" t="n"/>
      <c r="AU211" s="291" t="n"/>
      <c r="AV211" s="291" t="n"/>
      <c r="AW211" s="291" t="n"/>
      <c r="AX211" s="291" t="n"/>
      <c r="AY211" s="291" t="n"/>
      <c r="AZ211" s="39" t="n"/>
      <c r="BA211" s="291" t="n"/>
      <c r="BB211" s="39" t="n"/>
      <c r="BC211" s="291" t="n"/>
      <c r="BD211" s="39" t="n"/>
      <c r="BE211" s="291" t="n"/>
      <c r="BF211" s="39" t="n"/>
      <c r="BG211" s="291" t="n"/>
      <c r="BH211" s="39" t="n"/>
      <c r="BI211" s="291" t="n"/>
      <c r="BJ211" s="39" t="n"/>
      <c r="BK211" s="291" t="n"/>
      <c r="BL211" s="39" t="n"/>
      <c r="BM211" s="291" t="n"/>
      <c r="BN211" s="39" t="n"/>
      <c r="BO211" s="291" t="n"/>
      <c r="BP211" s="291" t="n"/>
      <c r="BQ211" s="39" t="n"/>
      <c r="BR211" s="291" t="n"/>
      <c r="BS211" s="39" t="n"/>
      <c r="BT211" s="291" t="n"/>
      <c r="BU211" s="39" t="n"/>
      <c r="BV211" s="291" t="n"/>
      <c r="BW211" s="39" t="n"/>
      <c r="BX211" s="291" t="n"/>
      <c r="BY211" s="39" t="n"/>
      <c r="BZ211" s="291" t="n"/>
      <c r="CA211" s="39" t="n"/>
      <c r="CB211" s="291" t="n"/>
      <c r="CC211" s="39" t="n"/>
      <c r="CD211" s="291" t="n"/>
      <c r="CE211" s="39" t="n"/>
      <c r="CF211" s="291" t="n"/>
      <c r="CG211" s="291" t="n"/>
      <c r="CH211" s="291" t="n"/>
      <c r="CI211" s="291" t="n"/>
      <c r="CJ211" s="291" t="n"/>
      <c r="CK211" s="291" t="n"/>
      <c r="CL211" s="291" t="n"/>
      <c r="CM211" s="291" t="n"/>
      <c r="CN211" s="291" t="n"/>
      <c r="CO211" s="291" t="n"/>
      <c r="CP211" s="343" t="n"/>
      <c r="CQ211" s="291" t="n"/>
      <c r="CR211" s="343" t="n"/>
      <c r="CS211" s="291" t="n"/>
      <c r="CT211" s="343" t="n"/>
      <c r="CU211" s="291" t="n"/>
      <c r="CV211" s="343" t="n"/>
      <c r="CW211" s="291" t="n"/>
      <c r="CX211" s="39" t="n"/>
      <c r="CY211" s="291" t="n"/>
      <c r="CZ211" s="39" t="n"/>
      <c r="DA211" s="291" t="n"/>
      <c r="DB211" s="39" t="n"/>
      <c r="DC211" s="291" t="n"/>
      <c r="DD211" s="39" t="n"/>
      <c r="DE211" s="311" t="n"/>
      <c r="DF211" s="311" t="n"/>
    </row>
    <row r="212" ht="13" customFormat="1" customHeight="1" s="40">
      <c r="A212" s="335" t="n"/>
      <c r="B212" s="291" t="n"/>
      <c r="C212" s="37" t="n"/>
      <c r="D212" s="37" t="n"/>
      <c r="E212" s="291" t="n"/>
      <c r="F212" s="37" t="n"/>
      <c r="G212" s="37" t="n"/>
      <c r="H212" s="291" t="n"/>
      <c r="I212" s="37" t="n"/>
      <c r="J212" s="37" t="n"/>
      <c r="K212" s="291" t="n"/>
      <c r="L212" s="37" t="n"/>
      <c r="M212" s="37" t="n"/>
      <c r="N212" s="291" t="n"/>
      <c r="O212" s="37" t="n"/>
      <c r="P212" s="37" t="n"/>
      <c r="Q212" s="291" t="n"/>
      <c r="R212" s="37" t="n"/>
      <c r="S212" s="37" t="n"/>
      <c r="T212" s="291" t="n"/>
      <c r="U212" s="37" t="n"/>
      <c r="V212" s="37" t="n"/>
      <c r="W212" s="291" t="n"/>
      <c r="X212" s="37" t="n"/>
      <c r="Y212" s="37" t="n"/>
      <c r="Z212" s="291" t="n"/>
      <c r="AA212" s="37" t="n"/>
      <c r="AB212" s="37" t="n"/>
      <c r="AC212" s="291" t="n"/>
      <c r="AD212" s="37" t="n"/>
      <c r="AE212" s="37" t="n"/>
      <c r="AF212" s="291" t="n"/>
      <c r="AG212" s="37" t="n"/>
      <c r="AH212" s="37" t="n"/>
      <c r="AI212" s="291" t="n"/>
      <c r="AJ212" s="37" t="n"/>
      <c r="AK212" s="37" t="n"/>
      <c r="AL212" s="291" t="n"/>
      <c r="AM212" s="291" t="n"/>
      <c r="AN212" s="291" t="n"/>
      <c r="AO212" s="291" t="n"/>
      <c r="AP212" s="291" t="n"/>
      <c r="AQ212" s="291" t="n"/>
      <c r="AR212" s="291" t="n"/>
      <c r="AS212" s="291" t="n"/>
      <c r="AT212" s="291" t="n"/>
      <c r="AU212" s="291" t="n"/>
      <c r="AV212" s="291" t="n"/>
      <c r="AW212" s="291" t="n"/>
      <c r="AX212" s="291" t="n"/>
      <c r="AY212" s="291" t="n"/>
      <c r="AZ212" s="291" t="n"/>
      <c r="BA212" s="291" t="n"/>
      <c r="BB212" s="291" t="n"/>
      <c r="BC212" s="291" t="n"/>
      <c r="BD212" s="291" t="n"/>
      <c r="BE212" s="291" t="n"/>
      <c r="BF212" s="291" t="n"/>
      <c r="BG212" s="291" t="n"/>
      <c r="BH212" s="291" t="n"/>
      <c r="BI212" s="291" t="n"/>
      <c r="BJ212" s="291" t="n"/>
      <c r="BK212" s="291" t="n"/>
      <c r="BL212" s="291" t="n"/>
      <c r="BM212" s="291" t="n"/>
      <c r="BN212" s="291" t="n"/>
      <c r="BO212" s="291" t="n"/>
      <c r="BP212" s="291" t="n"/>
      <c r="BQ212" s="291" t="n"/>
      <c r="BR212" s="291" t="n"/>
      <c r="BS212" s="291" t="n"/>
      <c r="BT212" s="291" t="n"/>
      <c r="BU212" s="291" t="n"/>
      <c r="BV212" s="291" t="n"/>
      <c r="BW212" s="291" t="n"/>
      <c r="BX212" s="291" t="n"/>
      <c r="BY212" s="291" t="n"/>
      <c r="BZ212" s="291" t="n"/>
      <c r="CA212" s="291" t="n"/>
      <c r="CB212" s="291" t="n"/>
      <c r="CC212" s="291" t="n"/>
      <c r="CD212" s="291" t="n"/>
      <c r="CE212" s="291" t="n"/>
      <c r="CF212" s="291" t="n"/>
      <c r="CG212" s="291" t="n"/>
      <c r="CH212" s="291" t="n"/>
      <c r="CI212" s="291" t="n"/>
      <c r="CJ212" s="291" t="n"/>
      <c r="CK212" s="291" t="n"/>
      <c r="CL212" s="291" t="n"/>
      <c r="CM212" s="291" t="n"/>
      <c r="CN212" s="291" t="n"/>
      <c r="CO212" s="291" t="n"/>
      <c r="CP212" s="343" t="n"/>
      <c r="CQ212" s="291" t="n"/>
      <c r="CR212" s="343" t="n"/>
      <c r="CS212" s="291" t="n"/>
      <c r="CT212" s="343" t="n"/>
      <c r="CU212" s="291" t="n"/>
      <c r="CV212" s="343" t="n"/>
      <c r="CW212" s="291" t="n"/>
      <c r="CX212" s="291" t="n"/>
      <c r="CY212" s="291" t="n"/>
      <c r="CZ212" s="291" t="n"/>
      <c r="DA212" s="291" t="n"/>
      <c r="DB212" s="291" t="n"/>
      <c r="DC212" s="291" t="n"/>
      <c r="DD212" s="291" t="n"/>
      <c r="DE212" s="311" t="n"/>
      <c r="DF212" s="311" t="n"/>
    </row>
    <row r="213" ht="13" customFormat="1" customHeight="1" s="40">
      <c r="A213" s="326" t="n"/>
      <c r="B213" s="291" t="n"/>
      <c r="C213" s="37" t="n"/>
      <c r="D213" s="37" t="n"/>
      <c r="E213" s="291" t="n"/>
      <c r="F213" s="37" t="n"/>
      <c r="G213" s="37" t="n"/>
      <c r="H213" s="291" t="n"/>
      <c r="I213" s="37" t="n"/>
      <c r="J213" s="37" t="n"/>
      <c r="K213" s="291" t="n"/>
      <c r="L213" s="37" t="n"/>
      <c r="M213" s="37" t="n"/>
      <c r="N213" s="291" t="n"/>
      <c r="O213" s="37" t="n"/>
      <c r="P213" s="37" t="n"/>
      <c r="Q213" s="291" t="n"/>
      <c r="R213" s="37" t="n"/>
      <c r="S213" s="37" t="n"/>
      <c r="T213" s="291" t="n"/>
      <c r="U213" s="37" t="n"/>
      <c r="V213" s="37" t="n"/>
      <c r="W213" s="291" t="n"/>
      <c r="X213" s="37" t="n"/>
      <c r="Y213" s="37" t="n"/>
      <c r="Z213" s="291" t="n"/>
      <c r="AA213" s="37" t="n"/>
      <c r="AB213" s="37" t="n"/>
      <c r="AC213" s="291" t="n"/>
      <c r="AD213" s="37" t="n"/>
      <c r="AE213" s="37" t="n"/>
      <c r="AF213" s="291" t="n"/>
      <c r="AG213" s="37" t="n"/>
      <c r="AH213" s="37" t="n"/>
      <c r="AI213" s="291" t="n"/>
      <c r="AJ213" s="37" t="n"/>
      <c r="AK213" s="37" t="n"/>
      <c r="AL213" s="291" t="n"/>
      <c r="AM213" s="291" t="n"/>
      <c r="AN213" s="291" t="n"/>
      <c r="AO213" s="291" t="n"/>
      <c r="AP213" s="291" t="n"/>
      <c r="AQ213" s="291" t="n"/>
      <c r="AR213" s="291" t="n"/>
      <c r="AS213" s="291" t="n"/>
      <c r="AT213" s="291" t="n"/>
      <c r="AU213" s="291" t="n"/>
      <c r="AV213" s="39" t="n"/>
      <c r="AW213" s="39" t="n"/>
      <c r="AX213" s="291" t="n"/>
      <c r="AY213" s="291" t="n"/>
      <c r="AZ213" s="291" t="n"/>
      <c r="BA213" s="291" t="n"/>
      <c r="BB213" s="291" t="n"/>
      <c r="BC213" s="291" t="n"/>
      <c r="BD213" s="291" t="n"/>
      <c r="BE213" s="291" t="n"/>
      <c r="BF213" s="291" t="n"/>
      <c r="BG213" s="291" t="n"/>
      <c r="BH213" s="291" t="n"/>
      <c r="BI213" s="291" t="n"/>
      <c r="BJ213" s="291" t="n"/>
      <c r="BK213" s="291" t="n"/>
      <c r="BL213" s="291" t="n"/>
      <c r="BM213" s="291" t="n"/>
      <c r="BN213" s="291" t="n"/>
      <c r="BO213" s="291" t="n"/>
      <c r="BP213" s="291" t="n"/>
      <c r="BQ213" s="291" t="n"/>
      <c r="BR213" s="291" t="n"/>
      <c r="BS213" s="291" t="n"/>
      <c r="BT213" s="291" t="n"/>
      <c r="BU213" s="291" t="n"/>
      <c r="BV213" s="291" t="n"/>
      <c r="BW213" s="291" t="n"/>
      <c r="BX213" s="291" t="n"/>
      <c r="BY213" s="291" t="n"/>
      <c r="BZ213" s="291" t="n"/>
      <c r="CA213" s="291" t="n"/>
      <c r="CB213" s="291" t="n"/>
      <c r="CC213" s="291" t="n"/>
      <c r="CD213" s="291" t="n"/>
      <c r="CE213" s="291" t="n"/>
      <c r="CF213" s="291" t="n"/>
      <c r="CG213" s="291" t="n"/>
      <c r="CH213" s="291" t="n"/>
      <c r="CI213" s="291" t="n"/>
      <c r="CJ213" s="291" t="n"/>
      <c r="CK213" s="291" t="n"/>
      <c r="CL213" s="291" t="n"/>
      <c r="CM213" s="291" t="n"/>
      <c r="CN213" s="291" t="n"/>
      <c r="CO213" s="291" t="n"/>
      <c r="CP213" s="291" t="n"/>
      <c r="CQ213" s="291" t="n"/>
      <c r="CR213" s="291" t="n"/>
      <c r="CS213" s="291" t="n"/>
      <c r="CT213" s="291" t="n"/>
      <c r="CU213" s="291" t="n"/>
      <c r="CV213" s="343" t="n"/>
      <c r="CW213" s="291" t="n"/>
      <c r="CX213" s="291" t="n"/>
      <c r="CY213" s="291" t="n"/>
      <c r="CZ213" s="291" t="n"/>
      <c r="DA213" s="291" t="n"/>
      <c r="DB213" s="291" t="n"/>
      <c r="DC213" s="291" t="n"/>
      <c r="DD213" s="291" t="n"/>
      <c r="DE213" s="311" t="n"/>
      <c r="DF213" s="311" t="n"/>
    </row>
    <row r="214" ht="13" customFormat="1" customHeight="1" s="40">
      <c r="A214" s="326" t="n"/>
      <c r="B214" s="291" t="n"/>
      <c r="C214" s="37" t="n"/>
      <c r="D214" s="37" t="n"/>
      <c r="E214" s="291" t="n"/>
      <c r="F214" s="37" t="n"/>
      <c r="G214" s="37" t="n"/>
      <c r="H214" s="291" t="n"/>
      <c r="I214" s="37" t="n"/>
      <c r="J214" s="37" t="n"/>
      <c r="K214" s="291" t="n"/>
      <c r="L214" s="37" t="n"/>
      <c r="M214" s="37" t="n"/>
      <c r="N214" s="291" t="n"/>
      <c r="O214" s="37" t="n"/>
      <c r="P214" s="37" t="n"/>
      <c r="Q214" s="291" t="n"/>
      <c r="R214" s="37" t="n"/>
      <c r="S214" s="37" t="n"/>
      <c r="T214" s="291" t="n"/>
      <c r="U214" s="37" t="n"/>
      <c r="V214" s="37" t="n"/>
      <c r="W214" s="291" t="n"/>
      <c r="X214" s="37" t="n"/>
      <c r="Y214" s="37" t="n"/>
      <c r="Z214" s="291" t="n"/>
      <c r="AA214" s="37" t="n"/>
      <c r="AB214" s="37" t="n"/>
      <c r="AC214" s="291" t="n"/>
      <c r="AD214" s="37" t="n"/>
      <c r="AE214" s="37" t="n"/>
      <c r="AF214" s="291" t="n"/>
      <c r="AG214" s="37" t="n"/>
      <c r="AH214" s="37" t="n"/>
      <c r="AI214" s="291" t="n"/>
      <c r="AJ214" s="37" t="n"/>
      <c r="AK214" s="37" t="n"/>
      <c r="AL214" s="291" t="n"/>
      <c r="AM214" s="291" t="n"/>
      <c r="AN214" s="291" t="n"/>
      <c r="AO214" s="291" t="n"/>
      <c r="AP214" s="291" t="n"/>
      <c r="AQ214" s="291" t="n"/>
      <c r="AR214" s="291" t="n"/>
      <c r="AS214" s="291" t="n"/>
      <c r="AT214" s="291" t="n"/>
      <c r="AU214" s="291" t="n"/>
      <c r="AV214" s="39" t="n"/>
      <c r="AW214" s="39" t="n"/>
      <c r="AX214" s="291" t="n"/>
      <c r="AY214" s="291" t="n"/>
      <c r="AZ214" s="291" t="n"/>
      <c r="BA214" s="291" t="n"/>
      <c r="BB214" s="291" t="n"/>
      <c r="BC214" s="291" t="n"/>
      <c r="BD214" s="291" t="n"/>
      <c r="BE214" s="291" t="n"/>
      <c r="BF214" s="291" t="n"/>
      <c r="BG214" s="291" t="n"/>
      <c r="BH214" s="291" t="n"/>
      <c r="BI214" s="291" t="n"/>
      <c r="BJ214" s="291" t="n"/>
      <c r="BK214" s="291" t="n"/>
      <c r="BL214" s="291" t="n"/>
      <c r="BM214" s="291" t="n"/>
      <c r="BN214" s="291" t="n"/>
      <c r="BO214" s="291" t="n"/>
      <c r="BP214" s="291" t="n"/>
      <c r="BQ214" s="291" t="n"/>
      <c r="BR214" s="291" t="n"/>
      <c r="BS214" s="291" t="n"/>
      <c r="BT214" s="291" t="n"/>
      <c r="BU214" s="291" t="n"/>
      <c r="BV214" s="291" t="n"/>
      <c r="BW214" s="291" t="n"/>
      <c r="BX214" s="291" t="n"/>
      <c r="BY214" s="291" t="n"/>
      <c r="BZ214" s="291" t="n"/>
      <c r="CA214" s="291" t="n"/>
      <c r="CB214" s="291" t="n"/>
      <c r="CC214" s="291" t="n"/>
      <c r="CD214" s="291" t="n"/>
      <c r="CE214" s="291" t="n"/>
      <c r="CF214" s="291" t="n"/>
      <c r="CG214" s="291" t="n"/>
      <c r="CH214" s="291" t="n"/>
      <c r="CI214" s="291" t="n"/>
      <c r="CJ214" s="291" t="n"/>
      <c r="CK214" s="291" t="n"/>
      <c r="CL214" s="291" t="n"/>
      <c r="CM214" s="291" t="n"/>
      <c r="CN214" s="291" t="n"/>
      <c r="CO214" s="291" t="n"/>
      <c r="CP214" s="291" t="n"/>
      <c r="CQ214" s="291" t="n"/>
      <c r="CR214" s="291" t="n"/>
      <c r="CS214" s="291" t="n"/>
      <c r="CT214" s="291" t="n"/>
      <c r="CU214" s="291" t="n"/>
      <c r="CV214" s="343" t="n"/>
      <c r="CW214" s="291" t="n"/>
      <c r="CX214" s="291" t="n"/>
      <c r="CY214" s="291" t="n"/>
      <c r="CZ214" s="291" t="n"/>
      <c r="DA214" s="291" t="n"/>
      <c r="DB214" s="291" t="n"/>
      <c r="DC214" s="291" t="n"/>
      <c r="DD214" s="291" t="n"/>
      <c r="DE214" s="311" t="n"/>
      <c r="DF214" s="311" t="n"/>
    </row>
    <row r="215" ht="13" customFormat="1" customHeight="1" s="40">
      <c r="A215" s="326" t="n"/>
      <c r="B215" s="291" t="n"/>
      <c r="C215" s="37" t="n"/>
      <c r="D215" s="37" t="n"/>
      <c r="E215" s="291" t="n"/>
      <c r="F215" s="37" t="n"/>
      <c r="G215" s="37" t="n"/>
      <c r="H215" s="291" t="n"/>
      <c r="I215" s="37" t="n"/>
      <c r="J215" s="37" t="n"/>
      <c r="K215" s="291" t="n"/>
      <c r="L215" s="37" t="n"/>
      <c r="M215" s="37" t="n"/>
      <c r="N215" s="291" t="n"/>
      <c r="O215" s="37" t="n"/>
      <c r="P215" s="37" t="n"/>
      <c r="Q215" s="291" t="n"/>
      <c r="R215" s="37" t="n"/>
      <c r="S215" s="37" t="n"/>
      <c r="T215" s="291" t="n"/>
      <c r="U215" s="37" t="n"/>
      <c r="V215" s="37" t="n"/>
      <c r="W215" s="291" t="n"/>
      <c r="X215" s="37" t="n"/>
      <c r="Y215" s="37" t="n"/>
      <c r="Z215" s="291" t="n"/>
      <c r="AA215" s="37" t="n"/>
      <c r="AB215" s="37" t="n"/>
      <c r="AC215" s="291" t="n"/>
      <c r="AD215" s="37" t="n"/>
      <c r="AE215" s="37" t="n"/>
      <c r="AF215" s="291" t="n"/>
      <c r="AG215" s="37" t="n"/>
      <c r="AH215" s="37" t="n"/>
      <c r="AI215" s="291" t="n"/>
      <c r="AJ215" s="37" t="n"/>
      <c r="AK215" s="37" t="n"/>
      <c r="AL215" s="291" t="n"/>
      <c r="AM215" s="291" t="n"/>
      <c r="AN215" s="291" t="n"/>
      <c r="AO215" s="291" t="n"/>
      <c r="AP215" s="291" t="n"/>
      <c r="AQ215" s="291" t="n"/>
      <c r="AR215" s="291" t="n"/>
      <c r="AS215" s="291" t="n"/>
      <c r="AT215" s="291" t="n"/>
      <c r="AU215" s="291" t="n"/>
      <c r="AV215" s="39" t="n"/>
      <c r="AW215" s="39" t="n"/>
      <c r="AX215" s="291" t="n"/>
      <c r="AY215" s="291" t="n"/>
      <c r="AZ215" s="291" t="n"/>
      <c r="BA215" s="291" t="n"/>
      <c r="BB215" s="291" t="n"/>
      <c r="BC215" s="291" t="n"/>
      <c r="BD215" s="291" t="n"/>
      <c r="BE215" s="291" t="n"/>
      <c r="BF215" s="291" t="n"/>
      <c r="BG215" s="291" t="n"/>
      <c r="BH215" s="291" t="n"/>
      <c r="BI215" s="291" t="n"/>
      <c r="BJ215" s="291" t="n"/>
      <c r="BK215" s="291" t="n"/>
      <c r="BL215" s="291" t="n"/>
      <c r="BM215" s="291" t="n"/>
      <c r="BN215" s="291" t="n"/>
      <c r="BO215" s="291" t="n"/>
      <c r="BP215" s="291" t="n"/>
      <c r="BQ215" s="291" t="n"/>
      <c r="BR215" s="291" t="n"/>
      <c r="BS215" s="291" t="n"/>
      <c r="BT215" s="291" t="n"/>
      <c r="BU215" s="291" t="n"/>
      <c r="BV215" s="291" t="n"/>
      <c r="BW215" s="291" t="n"/>
      <c r="BX215" s="291" t="n"/>
      <c r="BY215" s="291" t="n"/>
      <c r="BZ215" s="291" t="n"/>
      <c r="CA215" s="291" t="n"/>
      <c r="CB215" s="291" t="n"/>
      <c r="CC215" s="291" t="n"/>
      <c r="CD215" s="291" t="n"/>
      <c r="CE215" s="291" t="n"/>
      <c r="CF215" s="291" t="n"/>
      <c r="CG215" s="291" t="n"/>
      <c r="CH215" s="291" t="n"/>
      <c r="CI215" s="291" t="n"/>
      <c r="CJ215" s="291" t="n"/>
      <c r="CK215" s="291" t="n"/>
      <c r="CL215" s="291" t="n"/>
      <c r="CM215" s="291" t="n"/>
      <c r="CN215" s="291" t="n"/>
      <c r="CO215" s="291" t="n"/>
      <c r="CP215" s="291" t="n"/>
      <c r="CQ215" s="291" t="n"/>
      <c r="CR215" s="291" t="n"/>
      <c r="CS215" s="291" t="n"/>
      <c r="CT215" s="291" t="n"/>
      <c r="CU215" s="291" t="n"/>
      <c r="CV215" s="343" t="n"/>
      <c r="CW215" s="291" t="n"/>
      <c r="CX215" s="291" t="n"/>
      <c r="CY215" s="291" t="n"/>
      <c r="CZ215" s="291" t="n"/>
      <c r="DA215" s="291" t="n"/>
      <c r="DB215" s="291" t="n"/>
      <c r="DC215" s="291" t="n"/>
      <c r="DD215" s="291" t="n"/>
      <c r="DE215" s="311" t="n"/>
      <c r="DF215" s="311" t="n"/>
    </row>
    <row r="216" ht="13" customFormat="1" customHeight="1" s="40">
      <c r="A216" s="326" t="n"/>
      <c r="B216" s="291" t="n"/>
      <c r="C216" s="39" t="n"/>
      <c r="D216" s="39" t="n"/>
      <c r="E216" s="291" t="n"/>
      <c r="F216" s="39" t="n"/>
      <c r="G216" s="39" t="n"/>
      <c r="H216" s="291" t="n"/>
      <c r="I216" s="39" t="n"/>
      <c r="J216" s="39" t="n"/>
      <c r="K216" s="291" t="n"/>
      <c r="L216" s="39" t="n"/>
      <c r="M216" s="39" t="n"/>
      <c r="N216" s="291" t="n"/>
      <c r="O216" s="39" t="n"/>
      <c r="P216" s="39" t="n"/>
      <c r="Q216" s="291" t="n"/>
      <c r="R216" s="39" t="n"/>
      <c r="S216" s="39" t="n"/>
      <c r="T216" s="291" t="n"/>
      <c r="U216" s="39" t="n"/>
      <c r="V216" s="39" t="n"/>
      <c r="W216" s="291" t="n"/>
      <c r="X216" s="39" t="n"/>
      <c r="Y216" s="39" t="n"/>
      <c r="Z216" s="291" t="n"/>
      <c r="AA216" s="39" t="n"/>
      <c r="AB216" s="39" t="n"/>
      <c r="AC216" s="291" t="n"/>
      <c r="AD216" s="39" t="n"/>
      <c r="AE216" s="39" t="n"/>
      <c r="AF216" s="291" t="n"/>
      <c r="AG216" s="39" t="n"/>
      <c r="AH216" s="39" t="n"/>
      <c r="AI216" s="291" t="n"/>
      <c r="AJ216" s="39" t="n"/>
      <c r="AK216" s="39" t="n"/>
      <c r="AL216" s="291" t="n"/>
      <c r="AM216" s="39" t="n"/>
      <c r="AN216" s="39" t="n"/>
      <c r="AO216" s="291" t="n"/>
      <c r="AP216" s="39" t="n"/>
      <c r="AQ216" s="39" t="n"/>
      <c r="AR216" s="291" t="n"/>
      <c r="AS216" s="39" t="n"/>
      <c r="AT216" s="39" t="n"/>
      <c r="AU216" s="291" t="n"/>
      <c r="AV216" s="39" t="n"/>
      <c r="AW216" s="39" t="n"/>
      <c r="AX216" s="291" t="n"/>
      <c r="AY216" s="291" t="n"/>
      <c r="AZ216" s="39" t="n"/>
      <c r="BA216" s="291" t="n"/>
      <c r="BB216" s="39" t="n"/>
      <c r="BC216" s="291" t="n"/>
      <c r="BD216" s="39" t="n"/>
      <c r="BE216" s="291" t="n"/>
      <c r="BF216" s="39" t="n"/>
      <c r="BG216" s="291" t="n"/>
      <c r="BH216" s="39" t="n"/>
      <c r="BI216" s="291" t="n"/>
      <c r="BJ216" s="39" t="n"/>
      <c r="BK216" s="291" t="n"/>
      <c r="BL216" s="39" t="n"/>
      <c r="BM216" s="291" t="n"/>
      <c r="BN216" s="39" t="n"/>
      <c r="BO216" s="291" t="n"/>
      <c r="BP216" s="291" t="n"/>
      <c r="BQ216" s="39" t="n"/>
      <c r="BR216" s="291" t="n"/>
      <c r="BS216" s="39" t="n"/>
      <c r="BT216" s="291" t="n"/>
      <c r="BU216" s="39" t="n"/>
      <c r="BV216" s="291" t="n"/>
      <c r="BW216" s="39" t="n"/>
      <c r="BX216" s="291" t="n"/>
      <c r="BY216" s="39" t="n"/>
      <c r="BZ216" s="291" t="n"/>
      <c r="CA216" s="39" t="n"/>
      <c r="CB216" s="291" t="n"/>
      <c r="CC216" s="39" t="n"/>
      <c r="CD216" s="291" t="n"/>
      <c r="CE216" s="39" t="n"/>
      <c r="CF216" s="291" t="n"/>
      <c r="CG216" s="39" t="n"/>
      <c r="CH216" s="291" t="n"/>
      <c r="CI216" s="39" t="n"/>
      <c r="CJ216" s="291" t="n"/>
      <c r="CK216" s="39" t="n"/>
      <c r="CL216" s="291" t="n"/>
      <c r="CM216" s="39" t="n"/>
      <c r="CN216" s="291" t="n"/>
      <c r="CO216" s="39" t="n"/>
      <c r="CP216" s="291" t="n"/>
      <c r="CQ216" s="39" t="n"/>
      <c r="CR216" s="291" t="n"/>
      <c r="CS216" s="39" t="n"/>
      <c r="CT216" s="291" t="n"/>
      <c r="CU216" s="39" t="n"/>
      <c r="CV216" s="343" t="n"/>
      <c r="CW216" s="291" t="n"/>
      <c r="CX216" s="39" t="n"/>
      <c r="CY216" s="291" t="n"/>
      <c r="CZ216" s="39" t="n"/>
      <c r="DA216" s="291" t="n"/>
      <c r="DB216" s="39" t="n"/>
      <c r="DC216" s="291" t="n"/>
      <c r="DD216" s="39" t="n"/>
      <c r="DE216" s="311" t="n"/>
      <c r="DF216" s="311" t="n"/>
    </row>
    <row r="217" ht="13" customFormat="1" customHeight="1" s="40">
      <c r="A217" s="326" t="n"/>
      <c r="B217" s="291" t="n"/>
      <c r="C217" s="39" t="n"/>
      <c r="D217" s="39" t="n"/>
      <c r="E217" s="291" t="n"/>
      <c r="F217" s="39" t="n"/>
      <c r="G217" s="39" t="n"/>
      <c r="H217" s="291" t="n"/>
      <c r="I217" s="39" t="n"/>
      <c r="J217" s="39" t="n"/>
      <c r="K217" s="291" t="n"/>
      <c r="L217" s="39" t="n"/>
      <c r="M217" s="39" t="n"/>
      <c r="N217" s="291" t="n"/>
      <c r="O217" s="39" t="n"/>
      <c r="P217" s="39" t="n"/>
      <c r="Q217" s="291" t="n"/>
      <c r="R217" s="39" t="n"/>
      <c r="S217" s="39" t="n"/>
      <c r="T217" s="291" t="n"/>
      <c r="U217" s="39" t="n"/>
      <c r="V217" s="39" t="n"/>
      <c r="W217" s="291" t="n"/>
      <c r="X217" s="39" t="n"/>
      <c r="Y217" s="39" t="n"/>
      <c r="Z217" s="291" t="n"/>
      <c r="AA217" s="39" t="n"/>
      <c r="AB217" s="39" t="n"/>
      <c r="AC217" s="291" t="n"/>
      <c r="AD217" s="39" t="n"/>
      <c r="AE217" s="39" t="n"/>
      <c r="AF217" s="291" t="n"/>
      <c r="AG217" s="39" t="n"/>
      <c r="AH217" s="39" t="n"/>
      <c r="AI217" s="291" t="n"/>
      <c r="AJ217" s="39" t="n"/>
      <c r="AK217" s="39" t="n"/>
      <c r="AL217" s="291" t="n"/>
      <c r="AM217" s="39" t="n"/>
      <c r="AN217" s="39" t="n"/>
      <c r="AO217" s="291" t="n"/>
      <c r="AP217" s="39" t="n"/>
      <c r="AQ217" s="39" t="n"/>
      <c r="AR217" s="291" t="n"/>
      <c r="AS217" s="39" t="n"/>
      <c r="AT217" s="39" t="n"/>
      <c r="AU217" s="291" t="n"/>
      <c r="AV217" s="39" t="n"/>
      <c r="AW217" s="39" t="n"/>
      <c r="AX217" s="291" t="n"/>
      <c r="AY217" s="291" t="n"/>
      <c r="AZ217" s="39" t="n"/>
      <c r="BA217" s="291" t="n"/>
      <c r="BB217" s="39" t="n"/>
      <c r="BC217" s="291" t="n"/>
      <c r="BD217" s="39" t="n"/>
      <c r="BE217" s="291" t="n"/>
      <c r="BF217" s="39" t="n"/>
      <c r="BG217" s="291" t="n"/>
      <c r="BH217" s="39" t="n"/>
      <c r="BI217" s="291" t="n"/>
      <c r="BJ217" s="39" t="n"/>
      <c r="BK217" s="291" t="n"/>
      <c r="BL217" s="39" t="n"/>
      <c r="BM217" s="291" t="n"/>
      <c r="BN217" s="39" t="n"/>
      <c r="BO217" s="291" t="n"/>
      <c r="BP217" s="291" t="n"/>
      <c r="BQ217" s="39" t="n"/>
      <c r="BR217" s="291" t="n"/>
      <c r="BS217" s="39" t="n"/>
      <c r="BT217" s="291" t="n"/>
      <c r="BU217" s="39" t="n"/>
      <c r="BV217" s="291" t="n"/>
      <c r="BW217" s="39" t="n"/>
      <c r="BX217" s="291" t="n"/>
      <c r="BY217" s="39" t="n"/>
      <c r="BZ217" s="291" t="n"/>
      <c r="CA217" s="39" t="n"/>
      <c r="CB217" s="291" t="n"/>
      <c r="CC217" s="39" t="n"/>
      <c r="CD217" s="291" t="n"/>
      <c r="CE217" s="39" t="n"/>
      <c r="CF217" s="291" t="n"/>
      <c r="CG217" s="39" t="n"/>
      <c r="CH217" s="291" t="n"/>
      <c r="CI217" s="39" t="n"/>
      <c r="CJ217" s="291" t="n"/>
      <c r="CK217" s="39" t="n"/>
      <c r="CL217" s="291" t="n"/>
      <c r="CM217" s="39" t="n"/>
      <c r="CN217" s="291" t="n"/>
      <c r="CO217" s="39" t="n"/>
      <c r="CP217" s="291" t="n"/>
      <c r="CQ217" s="39" t="n"/>
      <c r="CR217" s="291" t="n"/>
      <c r="CS217" s="39" t="n"/>
      <c r="CT217" s="291" t="n"/>
      <c r="CU217" s="39" t="n"/>
      <c r="CV217" s="343" t="n"/>
      <c r="CW217" s="291" t="n"/>
      <c r="CX217" s="39" t="n"/>
      <c r="CY217" s="291" t="n"/>
      <c r="CZ217" s="39" t="n"/>
      <c r="DA217" s="291" t="n"/>
      <c r="DB217" s="39" t="n"/>
      <c r="DC217" s="291" t="n"/>
      <c r="DD217" s="39" t="n"/>
      <c r="DE217" s="311" t="n"/>
      <c r="DF217" s="311" t="n"/>
    </row>
    <row r="218" ht="13" customFormat="1" customHeight="1" s="40">
      <c r="A218" s="326" t="n"/>
      <c r="B218" s="291" t="n"/>
      <c r="C218" s="39" t="n"/>
      <c r="D218" s="39" t="n"/>
      <c r="E218" s="291" t="n"/>
      <c r="F218" s="39" t="n"/>
      <c r="G218" s="39" t="n"/>
      <c r="H218" s="291" t="n"/>
      <c r="I218" s="39" t="n"/>
      <c r="J218" s="39" t="n"/>
      <c r="K218" s="291" t="n"/>
      <c r="L218" s="39" t="n"/>
      <c r="M218" s="39" t="n"/>
      <c r="N218" s="291" t="n"/>
      <c r="O218" s="39" t="n"/>
      <c r="P218" s="39" t="n"/>
      <c r="Q218" s="291" t="n"/>
      <c r="R218" s="39" t="n"/>
      <c r="S218" s="39" t="n"/>
      <c r="T218" s="291" t="n"/>
      <c r="U218" s="39" t="n"/>
      <c r="V218" s="39" t="n"/>
      <c r="W218" s="291" t="n"/>
      <c r="X218" s="39" t="n"/>
      <c r="Y218" s="39" t="n"/>
      <c r="Z218" s="291" t="n"/>
      <c r="AA218" s="39" t="n"/>
      <c r="AB218" s="39" t="n"/>
      <c r="AC218" s="291" t="n"/>
      <c r="AD218" s="39" t="n"/>
      <c r="AE218" s="39" t="n"/>
      <c r="AF218" s="291" t="n"/>
      <c r="AG218" s="39" t="n"/>
      <c r="AH218" s="39" t="n"/>
      <c r="AI218" s="291" t="n"/>
      <c r="AJ218" s="39" t="n"/>
      <c r="AK218" s="39" t="n"/>
      <c r="AL218" s="291" t="n"/>
      <c r="AM218" s="39" t="n"/>
      <c r="AN218" s="39" t="n"/>
      <c r="AO218" s="291" t="n"/>
      <c r="AP218" s="39" t="n"/>
      <c r="AQ218" s="39" t="n"/>
      <c r="AR218" s="291" t="n"/>
      <c r="AS218" s="39" t="n"/>
      <c r="AT218" s="39" t="n"/>
      <c r="AU218" s="291" t="n"/>
      <c r="AV218" s="39" t="n"/>
      <c r="AW218" s="39" t="n"/>
      <c r="AX218" s="291" t="n"/>
      <c r="AY218" s="291" t="n"/>
      <c r="AZ218" s="39" t="n"/>
      <c r="BA218" s="291" t="n"/>
      <c r="BB218" s="39" t="n"/>
      <c r="BC218" s="291" t="n"/>
      <c r="BD218" s="39" t="n"/>
      <c r="BE218" s="291" t="n"/>
      <c r="BF218" s="39" t="n"/>
      <c r="BG218" s="291" t="n"/>
      <c r="BH218" s="39" t="n"/>
      <c r="BI218" s="291" t="n"/>
      <c r="BJ218" s="39" t="n"/>
      <c r="BK218" s="291" t="n"/>
      <c r="BL218" s="39" t="n"/>
      <c r="BM218" s="291" t="n"/>
      <c r="BN218" s="39" t="n"/>
      <c r="BO218" s="291" t="n"/>
      <c r="BP218" s="291" t="n"/>
      <c r="BQ218" s="39" t="n"/>
      <c r="BR218" s="291" t="n"/>
      <c r="BS218" s="39" t="n"/>
      <c r="BT218" s="291" t="n"/>
      <c r="BU218" s="39" t="n"/>
      <c r="BV218" s="291" t="n"/>
      <c r="BW218" s="39" t="n"/>
      <c r="BX218" s="291" t="n"/>
      <c r="BY218" s="39" t="n"/>
      <c r="BZ218" s="291" t="n"/>
      <c r="CA218" s="39" t="n"/>
      <c r="CB218" s="291" t="n"/>
      <c r="CC218" s="39" t="n"/>
      <c r="CD218" s="291" t="n"/>
      <c r="CE218" s="39" t="n"/>
      <c r="CF218" s="291" t="n"/>
      <c r="CG218" s="39" t="n"/>
      <c r="CH218" s="291" t="n"/>
      <c r="CI218" s="39" t="n"/>
      <c r="CJ218" s="291" t="n"/>
      <c r="CK218" s="39" t="n"/>
      <c r="CL218" s="291" t="n"/>
      <c r="CM218" s="39" t="n"/>
      <c r="CN218" s="291" t="n"/>
      <c r="CO218" s="39" t="n"/>
      <c r="CP218" s="291" t="n"/>
      <c r="CQ218" s="39" t="n"/>
      <c r="CR218" s="291" t="n"/>
      <c r="CS218" s="39" t="n"/>
      <c r="CT218" s="291" t="n"/>
      <c r="CU218" s="39" t="n"/>
      <c r="CV218" s="343" t="n"/>
      <c r="CW218" s="291" t="n"/>
      <c r="CX218" s="39" t="n"/>
      <c r="CY218" s="291" t="n"/>
      <c r="CZ218" s="39" t="n"/>
      <c r="DA218" s="291" t="n"/>
      <c r="DB218" s="39" t="n"/>
      <c r="DC218" s="291" t="n"/>
      <c r="DD218" s="39" t="n"/>
      <c r="DE218" s="311" t="n"/>
      <c r="DF218" s="311" t="n"/>
    </row>
    <row r="219" ht="13" customFormat="1" customHeight="1" s="40">
      <c r="A219" s="326" t="n"/>
      <c r="B219" s="291" t="n"/>
      <c r="C219" s="39" t="n"/>
      <c r="D219" s="39" t="n"/>
      <c r="E219" s="291" t="n"/>
      <c r="F219" s="39" t="n"/>
      <c r="G219" s="39" t="n"/>
      <c r="H219" s="291" t="n"/>
      <c r="I219" s="39" t="n"/>
      <c r="J219" s="39" t="n"/>
      <c r="K219" s="291" t="n"/>
      <c r="L219" s="39" t="n"/>
      <c r="M219" s="39" t="n"/>
      <c r="N219" s="291" t="n"/>
      <c r="O219" s="39" t="n"/>
      <c r="P219" s="39" t="n"/>
      <c r="Q219" s="291" t="n"/>
      <c r="R219" s="39" t="n"/>
      <c r="S219" s="39" t="n"/>
      <c r="T219" s="291" t="n"/>
      <c r="U219" s="39" t="n"/>
      <c r="V219" s="39" t="n"/>
      <c r="W219" s="291" t="n"/>
      <c r="X219" s="39" t="n"/>
      <c r="Y219" s="39" t="n"/>
      <c r="Z219" s="291" t="n"/>
      <c r="AA219" s="39" t="n"/>
      <c r="AB219" s="39" t="n"/>
      <c r="AC219" s="291" t="n"/>
      <c r="AD219" s="39" t="n"/>
      <c r="AE219" s="39" t="n"/>
      <c r="AF219" s="291" t="n"/>
      <c r="AG219" s="39" t="n"/>
      <c r="AH219" s="39" t="n"/>
      <c r="AI219" s="291" t="n"/>
      <c r="AJ219" s="39" t="n"/>
      <c r="AK219" s="39" t="n"/>
      <c r="AL219" s="291" t="n"/>
      <c r="AM219" s="39" t="n"/>
      <c r="AN219" s="39" t="n"/>
      <c r="AO219" s="291" t="n"/>
      <c r="AP219" s="39" t="n"/>
      <c r="AQ219" s="39" t="n"/>
      <c r="AR219" s="291" t="n"/>
      <c r="AS219" s="39" t="n"/>
      <c r="AT219" s="39" t="n"/>
      <c r="AU219" s="291" t="n"/>
      <c r="AV219" s="39" t="n"/>
      <c r="AW219" s="39" t="n"/>
      <c r="AX219" s="291" t="n"/>
      <c r="AY219" s="291" t="n"/>
      <c r="AZ219" s="39" t="n"/>
      <c r="BA219" s="291" t="n"/>
      <c r="BB219" s="39" t="n"/>
      <c r="BC219" s="291" t="n"/>
      <c r="BD219" s="39" t="n"/>
      <c r="BE219" s="291" t="n"/>
      <c r="BF219" s="39" t="n"/>
      <c r="BG219" s="291" t="n"/>
      <c r="BH219" s="39" t="n"/>
      <c r="BI219" s="291" t="n"/>
      <c r="BJ219" s="39" t="n"/>
      <c r="BK219" s="291" t="n"/>
      <c r="BL219" s="39" t="n"/>
      <c r="BM219" s="291" t="n"/>
      <c r="BN219" s="39" t="n"/>
      <c r="BO219" s="291" t="n"/>
      <c r="BP219" s="291" t="n"/>
      <c r="BQ219" s="39" t="n"/>
      <c r="BR219" s="291" t="n"/>
      <c r="BS219" s="39" t="n"/>
      <c r="BT219" s="291" t="n"/>
      <c r="BU219" s="39" t="n"/>
      <c r="BV219" s="291" t="n"/>
      <c r="BW219" s="39" t="n"/>
      <c r="BX219" s="291" t="n"/>
      <c r="BY219" s="39" t="n"/>
      <c r="BZ219" s="291" t="n"/>
      <c r="CA219" s="39" t="n"/>
      <c r="CB219" s="291" t="n"/>
      <c r="CC219" s="39" t="n"/>
      <c r="CD219" s="291" t="n"/>
      <c r="CE219" s="39" t="n"/>
      <c r="CF219" s="291" t="n"/>
      <c r="CG219" s="39" t="n"/>
      <c r="CH219" s="291" t="n"/>
      <c r="CI219" s="39" t="n"/>
      <c r="CJ219" s="291" t="n"/>
      <c r="CK219" s="39" t="n"/>
      <c r="CL219" s="291" t="n"/>
      <c r="CM219" s="39" t="n"/>
      <c r="CN219" s="291" t="n"/>
      <c r="CO219" s="39" t="n"/>
      <c r="CP219" s="291" t="n"/>
      <c r="CQ219" s="39" t="n"/>
      <c r="CR219" s="291" t="n"/>
      <c r="CS219" s="39" t="n"/>
      <c r="CT219" s="291" t="n"/>
      <c r="CU219" s="39" t="n"/>
      <c r="CV219" s="343" t="n"/>
      <c r="CW219" s="291" t="n"/>
      <c r="CX219" s="39" t="n"/>
      <c r="CY219" s="291" t="n"/>
      <c r="CZ219" s="39" t="n"/>
      <c r="DA219" s="291" t="n"/>
      <c r="DB219" s="39" t="n"/>
      <c r="DC219" s="291" t="n"/>
      <c r="DD219" s="39" t="n"/>
      <c r="DE219" s="311" t="n"/>
      <c r="DF219" s="311" t="n"/>
    </row>
    <row r="220" ht="13" customFormat="1" customHeight="1" s="40">
      <c r="A220" s="326" t="n"/>
      <c r="B220" s="291" t="n"/>
      <c r="C220" s="39" t="n"/>
      <c r="D220" s="39" t="n"/>
      <c r="E220" s="291" t="n"/>
      <c r="F220" s="39" t="n"/>
      <c r="G220" s="39" t="n"/>
      <c r="H220" s="291" t="n"/>
      <c r="I220" s="39" t="n"/>
      <c r="J220" s="39" t="n"/>
      <c r="K220" s="291" t="n"/>
      <c r="L220" s="39" t="n"/>
      <c r="M220" s="39" t="n"/>
      <c r="N220" s="291" t="n"/>
      <c r="O220" s="39" t="n"/>
      <c r="P220" s="39" t="n"/>
      <c r="Q220" s="291" t="n"/>
      <c r="R220" s="39" t="n"/>
      <c r="S220" s="39" t="n"/>
      <c r="T220" s="291" t="n"/>
      <c r="U220" s="39" t="n"/>
      <c r="V220" s="39" t="n"/>
      <c r="W220" s="291" t="n"/>
      <c r="X220" s="39" t="n"/>
      <c r="Y220" s="39" t="n"/>
      <c r="Z220" s="291" t="n"/>
      <c r="AA220" s="39" t="n"/>
      <c r="AB220" s="39" t="n"/>
      <c r="AC220" s="291" t="n"/>
      <c r="AD220" s="39" t="n"/>
      <c r="AE220" s="39" t="n"/>
      <c r="AF220" s="291" t="n"/>
      <c r="AG220" s="39" t="n"/>
      <c r="AH220" s="39" t="n"/>
      <c r="AI220" s="291" t="n"/>
      <c r="AJ220" s="39" t="n"/>
      <c r="AK220" s="39" t="n"/>
      <c r="AL220" s="291" t="n"/>
      <c r="AM220" s="39" t="n"/>
      <c r="AN220" s="39" t="n"/>
      <c r="AO220" s="291" t="n"/>
      <c r="AP220" s="39" t="n"/>
      <c r="AQ220" s="39" t="n"/>
      <c r="AR220" s="291" t="n"/>
      <c r="AS220" s="39" t="n"/>
      <c r="AT220" s="39" t="n"/>
      <c r="AU220" s="291" t="n"/>
      <c r="AV220" s="39" t="n"/>
      <c r="AW220" s="39" t="n"/>
      <c r="AX220" s="291" t="n"/>
      <c r="AY220" s="291" t="n"/>
      <c r="AZ220" s="39" t="n"/>
      <c r="BA220" s="291" t="n"/>
      <c r="BB220" s="39" t="n"/>
      <c r="BC220" s="291" t="n"/>
      <c r="BD220" s="39" t="n"/>
      <c r="BE220" s="291" t="n"/>
      <c r="BF220" s="39" t="n"/>
      <c r="BG220" s="291" t="n"/>
      <c r="BH220" s="39" t="n"/>
      <c r="BI220" s="291" t="n"/>
      <c r="BJ220" s="39" t="n"/>
      <c r="BK220" s="291" t="n"/>
      <c r="BL220" s="39" t="n"/>
      <c r="BM220" s="291" t="n"/>
      <c r="BN220" s="39" t="n"/>
      <c r="BO220" s="291" t="n"/>
      <c r="BP220" s="291" t="n"/>
      <c r="BQ220" s="39" t="n"/>
      <c r="BR220" s="291" t="n"/>
      <c r="BS220" s="39" t="n"/>
      <c r="BT220" s="291" t="n"/>
      <c r="BU220" s="39" t="n"/>
      <c r="BV220" s="291" t="n"/>
      <c r="BW220" s="39" t="n"/>
      <c r="BX220" s="291" t="n"/>
      <c r="BY220" s="39" t="n"/>
      <c r="BZ220" s="291" t="n"/>
      <c r="CA220" s="39" t="n"/>
      <c r="CB220" s="291" t="n"/>
      <c r="CC220" s="39" t="n"/>
      <c r="CD220" s="291" t="n"/>
      <c r="CE220" s="39" t="n"/>
      <c r="CF220" s="291" t="n"/>
      <c r="CG220" s="39" t="n"/>
      <c r="CH220" s="291" t="n"/>
      <c r="CI220" s="39" t="n"/>
      <c r="CJ220" s="291" t="n"/>
      <c r="CK220" s="39" t="n"/>
      <c r="CL220" s="291" t="n"/>
      <c r="CM220" s="39" t="n"/>
      <c r="CN220" s="291" t="n"/>
      <c r="CO220" s="39" t="n"/>
      <c r="CP220" s="291" t="n"/>
      <c r="CQ220" s="39" t="n"/>
      <c r="CR220" s="291" t="n"/>
      <c r="CS220" s="39" t="n"/>
      <c r="CT220" s="291" t="n"/>
      <c r="CU220" s="39" t="n"/>
      <c r="CV220" s="343" t="n"/>
      <c r="CW220" s="291" t="n"/>
      <c r="CX220" s="39" t="n"/>
      <c r="CY220" s="291" t="n"/>
      <c r="CZ220" s="39" t="n"/>
      <c r="DA220" s="291" t="n"/>
      <c r="DB220" s="39" t="n"/>
      <c r="DC220" s="291" t="n"/>
      <c r="DD220" s="39" t="n"/>
      <c r="DE220" s="311" t="n"/>
      <c r="DF220" s="311" t="n"/>
    </row>
    <row r="221" ht="13" customFormat="1" customHeight="1" s="116">
      <c r="A221" s="342" t="n"/>
      <c r="B221" s="317" t="n"/>
      <c r="C221" s="39" t="n"/>
      <c r="D221" s="39" t="n"/>
      <c r="E221" s="317" t="n"/>
      <c r="F221" s="39" t="n"/>
      <c r="G221" s="39" t="n"/>
      <c r="H221" s="317" t="n"/>
      <c r="I221" s="39" t="n"/>
      <c r="J221" s="39" t="n"/>
      <c r="K221" s="317" t="n"/>
      <c r="L221" s="39" t="n"/>
      <c r="M221" s="39" t="n"/>
      <c r="N221" s="317" t="n"/>
      <c r="O221" s="39" t="n"/>
      <c r="P221" s="39" t="n"/>
      <c r="Q221" s="317" t="n"/>
      <c r="R221" s="39" t="n"/>
      <c r="S221" s="39" t="n"/>
      <c r="T221" s="317" t="n"/>
      <c r="U221" s="39" t="n"/>
      <c r="V221" s="39" t="n"/>
      <c r="W221" s="317" t="n"/>
      <c r="X221" s="39" t="n"/>
      <c r="Y221" s="39" t="n"/>
      <c r="Z221" s="317" t="n"/>
      <c r="AA221" s="39" t="n"/>
      <c r="AB221" s="39" t="n"/>
      <c r="AC221" s="317" t="n"/>
      <c r="AD221" s="39" t="n"/>
      <c r="AE221" s="39" t="n"/>
      <c r="AF221" s="317" t="n"/>
      <c r="AG221" s="39" t="n"/>
      <c r="AH221" s="39" t="n"/>
      <c r="AI221" s="317" t="n"/>
      <c r="AJ221" s="39" t="n"/>
      <c r="AK221" s="39" t="n"/>
      <c r="AL221" s="317" t="n"/>
      <c r="AM221" s="39" t="n"/>
      <c r="AN221" s="39" t="n"/>
      <c r="AO221" s="317" t="n"/>
      <c r="AP221" s="39" t="n"/>
      <c r="AQ221" s="39" t="n"/>
      <c r="AR221" s="317" t="n"/>
      <c r="AS221" s="39" t="n"/>
      <c r="AT221" s="39" t="n"/>
      <c r="AU221" s="317" t="n"/>
      <c r="AV221" s="39" t="n"/>
      <c r="AW221" s="39" t="n"/>
      <c r="AX221" s="317" t="n"/>
      <c r="AY221" s="317" t="n"/>
      <c r="AZ221" s="39" t="n"/>
      <c r="BA221" s="317" t="n"/>
      <c r="BB221" s="39" t="n"/>
      <c r="BC221" s="317" t="n"/>
      <c r="BD221" s="39" t="n"/>
      <c r="BE221" s="317" t="n"/>
      <c r="BF221" s="39" t="n"/>
      <c r="BG221" s="317" t="n"/>
      <c r="BH221" s="39" t="n"/>
      <c r="BI221" s="317" t="n"/>
      <c r="BJ221" s="39" t="n"/>
      <c r="BK221" s="317" t="n"/>
      <c r="BL221" s="39" t="n"/>
      <c r="BM221" s="317" t="n"/>
      <c r="BN221" s="39" t="n"/>
      <c r="BO221" s="317" t="n"/>
      <c r="BP221" s="317" t="n"/>
      <c r="BQ221" s="39" t="n"/>
      <c r="BR221" s="317" t="n"/>
      <c r="BS221" s="39" t="n"/>
      <c r="BT221" s="317" t="n"/>
      <c r="BU221" s="39" t="n"/>
      <c r="BV221" s="317" t="n"/>
      <c r="BW221" s="39" t="n"/>
      <c r="BX221" s="317" t="n"/>
      <c r="BY221" s="39" t="n"/>
      <c r="BZ221" s="317" t="n"/>
      <c r="CA221" s="39" t="n"/>
      <c r="CB221" s="317" t="n"/>
      <c r="CC221" s="39" t="n"/>
      <c r="CD221" s="317" t="n"/>
      <c r="CE221" s="39" t="n"/>
      <c r="CF221" s="317" t="n"/>
      <c r="CG221" s="39" t="n"/>
      <c r="CH221" s="317" t="n"/>
      <c r="CI221" s="39" t="n"/>
      <c r="CJ221" s="317" t="n"/>
      <c r="CK221" s="39" t="n"/>
      <c r="CL221" s="317" t="n"/>
      <c r="CM221" s="39" t="n"/>
      <c r="CN221" s="317" t="n"/>
      <c r="CO221" s="39" t="n"/>
      <c r="CP221" s="317" t="n"/>
      <c r="CQ221" s="39" t="n"/>
      <c r="CR221" s="317" t="n"/>
      <c r="CS221" s="39" t="n"/>
      <c r="CT221" s="317" t="n"/>
      <c r="CU221" s="39" t="n"/>
      <c r="CV221" s="343" t="n"/>
      <c r="CW221" s="317" t="n"/>
      <c r="CX221" s="39" t="n"/>
      <c r="CY221" s="317" t="n"/>
      <c r="CZ221" s="39" t="n"/>
      <c r="DA221" s="317" t="n"/>
      <c r="DB221" s="39" t="n"/>
      <c r="DC221" s="317" t="n"/>
      <c r="DD221" s="39" t="n"/>
      <c r="DE221" s="319" t="n"/>
      <c r="DF221" s="319" t="n"/>
    </row>
    <row r="222" ht="13" customFormat="1" customHeight="1" s="40">
      <c r="A222" s="326" t="n"/>
      <c r="B222" s="291" t="n"/>
      <c r="C222" s="39" t="n"/>
      <c r="D222" s="39" t="n"/>
      <c r="E222" s="291" t="n"/>
      <c r="F222" s="39" t="n"/>
      <c r="G222" s="39" t="n"/>
      <c r="H222" s="291" t="n"/>
      <c r="I222" s="39" t="n"/>
      <c r="J222" s="39" t="n"/>
      <c r="K222" s="291" t="n"/>
      <c r="L222" s="39" t="n"/>
      <c r="M222" s="39" t="n"/>
      <c r="N222" s="291" t="n"/>
      <c r="O222" s="39" t="n"/>
      <c r="P222" s="39" t="n"/>
      <c r="Q222" s="291" t="n"/>
      <c r="R222" s="39" t="n"/>
      <c r="S222" s="39" t="n"/>
      <c r="T222" s="291" t="n"/>
      <c r="U222" s="39" t="n"/>
      <c r="V222" s="39" t="n"/>
      <c r="W222" s="291" t="n"/>
      <c r="X222" s="39" t="n"/>
      <c r="Y222" s="39" t="n"/>
      <c r="Z222" s="291" t="n"/>
      <c r="AA222" s="39" t="n"/>
      <c r="AB222" s="39" t="n"/>
      <c r="AC222" s="291" t="n"/>
      <c r="AD222" s="39" t="n"/>
      <c r="AE222" s="39" t="n"/>
      <c r="AF222" s="291" t="n"/>
      <c r="AG222" s="39" t="n"/>
      <c r="AH222" s="39" t="n"/>
      <c r="AI222" s="291" t="n"/>
      <c r="AJ222" s="39" t="n"/>
      <c r="AK222" s="39" t="n"/>
      <c r="AL222" s="291" t="n"/>
      <c r="AM222" s="39" t="n"/>
      <c r="AN222" s="39" t="n"/>
      <c r="AO222" s="291" t="n"/>
      <c r="AP222" s="39" t="n"/>
      <c r="AQ222" s="39" t="n"/>
      <c r="AR222" s="291" t="n"/>
      <c r="AS222" s="39" t="n"/>
      <c r="AT222" s="39" t="n"/>
      <c r="AU222" s="291" t="n"/>
      <c r="AV222" s="39" t="n"/>
      <c r="AW222" s="39" t="n"/>
      <c r="AX222" s="291" t="n"/>
      <c r="AY222" s="291" t="n"/>
      <c r="AZ222" s="39" t="n"/>
      <c r="BA222" s="291" t="n"/>
      <c r="BB222" s="39" t="n"/>
      <c r="BC222" s="291" t="n"/>
      <c r="BD222" s="39" t="n"/>
      <c r="BE222" s="291" t="n"/>
      <c r="BF222" s="39" t="n"/>
      <c r="BG222" s="291" t="n"/>
      <c r="BH222" s="39" t="n"/>
      <c r="BI222" s="291" t="n"/>
      <c r="BJ222" s="39" t="n"/>
      <c r="BK222" s="291" t="n"/>
      <c r="BL222" s="39" t="n"/>
      <c r="BM222" s="291" t="n"/>
      <c r="BN222" s="39" t="n"/>
      <c r="BO222" s="291" t="n"/>
      <c r="BP222" s="291" t="n"/>
      <c r="BQ222" s="39" t="n"/>
      <c r="BR222" s="291" t="n"/>
      <c r="BS222" s="39" t="n"/>
      <c r="BT222" s="291" t="n"/>
      <c r="BU222" s="39" t="n"/>
      <c r="BV222" s="291" t="n"/>
      <c r="BW222" s="39" t="n"/>
      <c r="BX222" s="291" t="n"/>
      <c r="BY222" s="39" t="n"/>
      <c r="BZ222" s="291" t="n"/>
      <c r="CA222" s="39" t="n"/>
      <c r="CB222" s="291" t="n"/>
      <c r="CC222" s="39" t="n"/>
      <c r="CD222" s="291" t="n"/>
      <c r="CE222" s="39" t="n"/>
      <c r="CF222" s="291" t="n"/>
      <c r="CG222" s="39" t="n"/>
      <c r="CH222" s="291" t="n"/>
      <c r="CI222" s="39" t="n"/>
      <c r="CJ222" s="291" t="n"/>
      <c r="CK222" s="39" t="n"/>
      <c r="CL222" s="291" t="n"/>
      <c r="CM222" s="39" t="n"/>
      <c r="CN222" s="291" t="n"/>
      <c r="CO222" s="39" t="n"/>
      <c r="CP222" s="291" t="n"/>
      <c r="CQ222" s="39" t="n"/>
      <c r="CR222" s="291" t="n"/>
      <c r="CS222" s="39" t="n"/>
      <c r="CT222" s="291" t="n"/>
      <c r="CU222" s="39" t="n"/>
      <c r="CV222" s="343" t="n"/>
      <c r="CW222" s="291" t="n"/>
      <c r="CX222" s="39" t="n"/>
      <c r="CY222" s="291" t="n"/>
      <c r="CZ222" s="39" t="n"/>
      <c r="DA222" s="291" t="n"/>
      <c r="DB222" s="39" t="n"/>
      <c r="DC222" s="291" t="n"/>
      <c r="DD222" s="39" t="n"/>
      <c r="DE222" s="311" t="n"/>
      <c r="DF222" s="311" t="n"/>
    </row>
    <row r="223" ht="13" customFormat="1" customHeight="1" s="64">
      <c r="A223" s="342" t="n"/>
      <c r="B223" s="317" t="n"/>
      <c r="C223" s="39" t="n"/>
      <c r="D223" s="39" t="n"/>
      <c r="E223" s="317" t="n"/>
      <c r="F223" s="39" t="n"/>
      <c r="G223" s="39" t="n"/>
      <c r="H223" s="317" t="n"/>
      <c r="I223" s="39" t="n"/>
      <c r="J223" s="39" t="n"/>
      <c r="K223" s="317" t="n"/>
      <c r="L223" s="39" t="n"/>
      <c r="M223" s="39" t="n"/>
      <c r="N223" s="317" t="n"/>
      <c r="O223" s="39" t="n"/>
      <c r="P223" s="39" t="n"/>
      <c r="Q223" s="317" t="n"/>
      <c r="R223" s="39" t="n"/>
      <c r="S223" s="39" t="n"/>
      <c r="T223" s="317" t="n"/>
      <c r="U223" s="39" t="n"/>
      <c r="V223" s="39" t="n"/>
      <c r="W223" s="317" t="n"/>
      <c r="X223" s="39" t="n"/>
      <c r="Y223" s="39" t="n"/>
      <c r="Z223" s="317" t="n"/>
      <c r="AA223" s="39" t="n"/>
      <c r="AB223" s="39" t="n"/>
      <c r="AC223" s="317" t="n"/>
      <c r="AD223" s="39" t="n"/>
      <c r="AE223" s="39" t="n"/>
      <c r="AF223" s="317" t="n"/>
      <c r="AG223" s="39" t="n"/>
      <c r="AH223" s="39" t="n"/>
      <c r="AI223" s="317" t="n"/>
      <c r="AJ223" s="39" t="n"/>
      <c r="AK223" s="39" t="n"/>
      <c r="AL223" s="317" t="n"/>
      <c r="AM223" s="39" t="n"/>
      <c r="AN223" s="39" t="n"/>
      <c r="AO223" s="317" t="n"/>
      <c r="AP223" s="39" t="n"/>
      <c r="AQ223" s="39" t="n"/>
      <c r="AR223" s="317" t="n"/>
      <c r="AS223" s="39" t="n"/>
      <c r="AT223" s="39" t="n"/>
      <c r="AU223" s="317" t="n"/>
      <c r="AV223" s="39" t="n"/>
      <c r="AW223" s="39" t="n"/>
      <c r="AX223" s="357" t="n"/>
      <c r="AY223" s="357" t="n"/>
      <c r="AZ223" s="357" t="n"/>
      <c r="BA223" s="357" t="n"/>
      <c r="BB223" s="357" t="n"/>
      <c r="BC223" s="357" t="n"/>
      <c r="BD223" s="357" t="n"/>
      <c r="BE223" s="357" t="n"/>
      <c r="BF223" s="357" t="n"/>
      <c r="BG223" s="357" t="n"/>
      <c r="BH223" s="357" t="n"/>
      <c r="BI223" s="357" t="n"/>
      <c r="BJ223" s="357" t="n"/>
      <c r="BK223" s="357" t="n"/>
      <c r="BL223" s="357" t="n"/>
      <c r="BM223" s="357" t="n"/>
      <c r="BN223" s="357" t="n"/>
      <c r="BO223" s="357" t="n"/>
      <c r="BP223" s="357" t="n"/>
      <c r="BQ223" s="357" t="n"/>
      <c r="BR223" s="357" t="n"/>
      <c r="BS223" s="357" t="n"/>
      <c r="BT223" s="357" t="n"/>
      <c r="BU223" s="357" t="n"/>
      <c r="BV223" s="357" t="n"/>
      <c r="BW223" s="357" t="n"/>
      <c r="BX223" s="357" t="n"/>
      <c r="BY223" s="357" t="n"/>
      <c r="BZ223" s="357" t="n"/>
      <c r="CA223" s="357" t="n"/>
      <c r="CB223" s="357" t="n"/>
      <c r="CC223" s="357" t="n"/>
      <c r="CD223" s="357" t="n"/>
      <c r="CE223" s="357" t="n"/>
      <c r="CF223" s="357" t="n"/>
      <c r="CG223" s="357" t="n"/>
      <c r="CH223" s="357" t="n"/>
      <c r="CI223" s="357" t="n"/>
      <c r="CJ223" s="357" t="n"/>
      <c r="CK223" s="357" t="n"/>
      <c r="CL223" s="357" t="n"/>
      <c r="CM223" s="357" t="n"/>
      <c r="CN223" s="357" t="n"/>
      <c r="CO223" s="357" t="n"/>
      <c r="CP223" s="357" t="n"/>
      <c r="CQ223" s="357" t="n"/>
      <c r="CR223" s="357" t="n"/>
      <c r="CS223" s="357" t="n"/>
      <c r="CT223" s="357" t="n"/>
      <c r="CU223" s="357" t="n"/>
      <c r="CV223" s="357" t="n"/>
      <c r="CW223" s="357" t="n"/>
      <c r="CX223" s="357" t="n"/>
      <c r="CY223" s="357" t="n"/>
      <c r="CZ223" s="357" t="n"/>
      <c r="DA223" s="357" t="n"/>
      <c r="DB223" s="357" t="n"/>
      <c r="DC223" s="357" t="n"/>
      <c r="DD223" s="357" t="n"/>
      <c r="DE223" s="357" t="n"/>
      <c r="DF223" s="357" t="n"/>
    </row>
    <row r="224" ht="13" customFormat="1" customHeight="1" s="64">
      <c r="A224" s="358" t="n"/>
      <c r="B224" s="357" t="n"/>
      <c r="C224" s="39" t="n"/>
      <c r="D224" s="39" t="n"/>
      <c r="E224" s="357" t="n"/>
      <c r="F224" s="39" t="n"/>
      <c r="G224" s="39" t="n"/>
      <c r="H224" s="357" t="n"/>
      <c r="I224" s="39" t="n"/>
      <c r="J224" s="39" t="n"/>
      <c r="K224" s="357" t="n"/>
      <c r="L224" s="39" t="n"/>
      <c r="M224" s="39" t="n"/>
      <c r="N224" s="357" t="n"/>
      <c r="O224" s="39" t="n"/>
      <c r="P224" s="39" t="n"/>
      <c r="Q224" s="357" t="n"/>
      <c r="R224" s="39" t="n"/>
      <c r="S224" s="39" t="n"/>
      <c r="T224" s="357" t="n"/>
      <c r="U224" s="39" t="n"/>
      <c r="V224" s="39" t="n"/>
      <c r="W224" s="357" t="n"/>
      <c r="X224" s="39" t="n"/>
      <c r="Y224" s="39" t="n"/>
      <c r="Z224" s="357" t="n"/>
      <c r="AA224" s="39" t="n"/>
      <c r="AB224" s="39" t="n"/>
      <c r="AC224" s="357" t="n"/>
      <c r="AD224" s="39" t="n"/>
      <c r="AE224" s="39" t="n"/>
      <c r="AF224" s="357" t="n"/>
      <c r="AG224" s="39" t="n"/>
      <c r="AH224" s="39" t="n"/>
      <c r="AI224" s="357" t="n"/>
      <c r="AJ224" s="39" t="n"/>
      <c r="AK224" s="39" t="n"/>
      <c r="AL224" s="357" t="n"/>
      <c r="AM224" s="357" t="n"/>
      <c r="AN224" s="357" t="n"/>
      <c r="AO224" s="357" t="n"/>
      <c r="AP224" s="357" t="n"/>
      <c r="AQ224" s="357" t="n"/>
      <c r="AR224" s="357" t="n"/>
      <c r="AS224" s="357" t="n"/>
      <c r="AT224" s="357" t="n"/>
      <c r="AU224" s="357" t="n"/>
      <c r="AV224" s="357" t="n"/>
      <c r="AW224" s="357" t="n"/>
      <c r="AX224" s="357" t="n"/>
      <c r="AY224" s="357" t="n"/>
      <c r="AZ224" s="357" t="n"/>
      <c r="BA224" s="357" t="n"/>
      <c r="BB224" s="357" t="n"/>
      <c r="BC224" s="357" t="n"/>
      <c r="BD224" s="357" t="n"/>
      <c r="BE224" s="357" t="n"/>
      <c r="BF224" s="357" t="n"/>
      <c r="BG224" s="357" t="n"/>
      <c r="BH224" s="357" t="n"/>
      <c r="BI224" s="357" t="n"/>
      <c r="BJ224" s="357" t="n"/>
      <c r="BK224" s="357" t="n"/>
      <c r="BL224" s="357" t="n"/>
      <c r="BM224" s="357" t="n"/>
      <c r="BN224" s="357" t="n"/>
      <c r="BO224" s="357" t="n"/>
      <c r="BP224" s="357" t="n"/>
      <c r="BQ224" s="357" t="n"/>
      <c r="BR224" s="357" t="n"/>
      <c r="BS224" s="357" t="n"/>
      <c r="BT224" s="357" t="n"/>
      <c r="BU224" s="357" t="n"/>
      <c r="BV224" s="357" t="n"/>
      <c r="BW224" s="357" t="n"/>
      <c r="BX224" s="357" t="n"/>
      <c r="BY224" s="357" t="n"/>
      <c r="BZ224" s="357" t="n"/>
      <c r="CA224" s="357" t="n"/>
      <c r="CB224" s="357" t="n"/>
      <c r="CC224" s="357" t="n"/>
      <c r="CD224" s="357" t="n"/>
      <c r="CE224" s="357" t="n"/>
      <c r="CF224" s="357" t="n"/>
      <c r="CG224" s="357" t="n"/>
      <c r="CH224" s="357" t="n"/>
      <c r="CI224" s="357" t="n"/>
      <c r="CJ224" s="357" t="n"/>
      <c r="CK224" s="357" t="n"/>
      <c r="CL224" s="357" t="n"/>
      <c r="CM224" s="357" t="n"/>
      <c r="CN224" s="357" t="n"/>
      <c r="CO224" s="357" t="n"/>
      <c r="CP224" s="357" t="n"/>
      <c r="CQ224" s="357" t="n"/>
      <c r="CR224" s="357" t="n"/>
      <c r="CS224" s="357" t="n"/>
      <c r="CT224" s="357" t="n"/>
      <c r="CU224" s="357" t="n"/>
      <c r="CV224" s="357" t="n"/>
      <c r="CW224" s="357" t="n"/>
      <c r="CX224" s="357" t="n"/>
      <c r="CY224" s="357" t="n"/>
      <c r="CZ224" s="357" t="n"/>
      <c r="DA224" s="357" t="n"/>
      <c r="DB224" s="357" t="n"/>
      <c r="DC224" s="357" t="n"/>
      <c r="DD224" s="357" t="n"/>
      <c r="DE224" s="357" t="n"/>
      <c r="DF224" s="357" t="n"/>
    </row>
    <row r="225" ht="13" customFormat="1" customHeight="1" s="40">
      <c r="A225" s="326" t="n"/>
      <c r="B225" s="291" t="n"/>
      <c r="C225" s="37" t="n"/>
      <c r="D225" s="37" t="n"/>
      <c r="E225" s="291" t="n"/>
      <c r="F225" s="37" t="n"/>
      <c r="G225" s="37" t="n"/>
      <c r="H225" s="291" t="n"/>
      <c r="I225" s="37" t="n"/>
      <c r="J225" s="37" t="n"/>
      <c r="K225" s="291" t="n"/>
      <c r="L225" s="37" t="n"/>
      <c r="M225" s="37" t="n"/>
      <c r="N225" s="291" t="n"/>
      <c r="O225" s="37" t="n"/>
      <c r="P225" s="37" t="n"/>
      <c r="Q225" s="291" t="n"/>
      <c r="R225" s="37" t="n"/>
      <c r="S225" s="37" t="n"/>
      <c r="T225" s="291" t="n"/>
      <c r="U225" s="37" t="n"/>
      <c r="V225" s="37" t="n"/>
      <c r="W225" s="291" t="n"/>
      <c r="X225" s="37" t="n"/>
      <c r="Y225" s="37" t="n"/>
      <c r="Z225" s="291" t="n"/>
      <c r="AA225" s="37" t="n"/>
      <c r="AB225" s="37" t="n"/>
      <c r="AC225" s="291" t="n"/>
      <c r="AD225" s="37" t="n"/>
      <c r="AE225" s="37" t="n"/>
      <c r="AF225" s="291" t="n"/>
      <c r="AG225" s="37" t="n"/>
      <c r="AH225" s="37" t="n"/>
      <c r="AI225" s="291" t="n"/>
      <c r="AJ225" s="37" t="n"/>
      <c r="AK225" s="37" t="n"/>
      <c r="AL225" s="291" t="n"/>
      <c r="AM225" s="291" t="n"/>
      <c r="AN225" s="291" t="n"/>
      <c r="AO225" s="291" t="n"/>
      <c r="AP225" s="291" t="n"/>
      <c r="AQ225" s="291" t="n"/>
      <c r="AR225" s="291" t="n"/>
      <c r="AS225" s="291" t="n"/>
      <c r="AT225" s="291" t="n"/>
      <c r="AU225" s="291" t="n"/>
      <c r="AV225" s="359" t="n"/>
      <c r="AW225" s="359" t="n"/>
      <c r="AX225" s="291" t="n"/>
      <c r="AY225" s="291" t="n"/>
      <c r="AZ225" s="37" t="n"/>
      <c r="BA225" s="291" t="n"/>
      <c r="BB225" s="37" t="n"/>
      <c r="BC225" s="291" t="n"/>
      <c r="BD225" s="37" t="n"/>
      <c r="BE225" s="291" t="n"/>
      <c r="BF225" s="37" t="n"/>
      <c r="BG225" s="291" t="n"/>
      <c r="BH225" s="291" t="n"/>
      <c r="BI225" s="291" t="n"/>
      <c r="BJ225" s="291" t="n"/>
      <c r="BK225" s="291" t="n"/>
      <c r="BL225" s="291" t="n"/>
      <c r="BM225" s="291" t="n"/>
      <c r="BN225" s="291" t="n"/>
      <c r="BO225" s="291" t="n"/>
      <c r="BP225" s="291" t="n"/>
      <c r="BQ225" s="37" t="n"/>
      <c r="BR225" s="291" t="n"/>
      <c r="BS225" s="37" t="n"/>
      <c r="BT225" s="291" t="n"/>
      <c r="BU225" s="37" t="n"/>
      <c r="BV225" s="291" t="n"/>
      <c r="BW225" s="37" t="n"/>
      <c r="BX225" s="291" t="n"/>
      <c r="BY225" s="37" t="n"/>
      <c r="BZ225" s="291" t="n"/>
      <c r="CA225" s="37" t="n"/>
      <c r="CB225" s="291" t="n"/>
      <c r="CC225" s="37" t="n"/>
      <c r="CD225" s="291" t="n"/>
      <c r="CE225" s="37" t="n"/>
      <c r="CF225" s="291" t="n"/>
      <c r="CG225" s="291" t="n"/>
      <c r="CH225" s="291" t="n"/>
      <c r="CI225" s="291" t="n"/>
      <c r="CJ225" s="291" t="n"/>
      <c r="CK225" s="291" t="n"/>
      <c r="CL225" s="291" t="n"/>
      <c r="CM225" s="291" t="n"/>
      <c r="CN225" s="291" t="n"/>
      <c r="CO225" s="291" t="n"/>
      <c r="CP225" s="37" t="n"/>
      <c r="CQ225" s="291" t="n"/>
      <c r="CR225" s="37" t="n"/>
      <c r="CS225" s="291" t="n"/>
      <c r="CT225" s="37" t="n"/>
      <c r="CU225" s="291" t="n"/>
      <c r="CV225" s="37" t="n"/>
      <c r="CW225" s="291" t="n"/>
      <c r="CX225" s="37" t="n"/>
      <c r="CY225" s="291" t="n"/>
      <c r="CZ225" s="37" t="n"/>
      <c r="DA225" s="291" t="n"/>
      <c r="DB225" s="37" t="n"/>
      <c r="DC225" s="291" t="n"/>
      <c r="DD225" s="37" t="n"/>
      <c r="DE225" s="291" t="n"/>
      <c r="DF225" s="291" t="n"/>
    </row>
    <row r="226" ht="13" customFormat="1" customHeight="1" s="64">
      <c r="A226" s="358" t="n"/>
      <c r="B226" s="357" t="n"/>
      <c r="C226" s="58" t="n"/>
      <c r="D226" s="58" t="n"/>
      <c r="E226" s="357" t="n"/>
      <c r="F226" s="58" t="n"/>
      <c r="G226" s="58" t="n"/>
      <c r="H226" s="357" t="n"/>
      <c r="I226" s="58" t="n"/>
      <c r="J226" s="58" t="n"/>
      <c r="K226" s="357" t="n"/>
      <c r="L226" s="58" t="n"/>
      <c r="M226" s="58" t="n"/>
      <c r="N226" s="357" t="n"/>
      <c r="O226" s="58" t="n"/>
      <c r="P226" s="58" t="n"/>
      <c r="Q226" s="357" t="n"/>
      <c r="R226" s="58" t="n"/>
      <c r="S226" s="58" t="n"/>
      <c r="T226" s="357" t="n"/>
      <c r="U226" s="58" t="n"/>
      <c r="V226" s="58" t="n"/>
      <c r="W226" s="357" t="n"/>
      <c r="X226" s="58" t="n"/>
      <c r="Y226" s="58" t="n"/>
      <c r="Z226" s="357" t="n"/>
      <c r="AA226" s="58" t="n"/>
      <c r="AB226" s="58" t="n"/>
      <c r="AC226" s="357" t="n"/>
      <c r="AD226" s="58" t="n"/>
      <c r="AE226" s="58" t="n"/>
      <c r="AF226" s="357" t="n"/>
      <c r="AG226" s="58" t="n"/>
      <c r="AH226" s="58" t="n"/>
      <c r="AI226" s="357" t="n"/>
      <c r="AJ226" s="58" t="n"/>
      <c r="AK226" s="58" t="n"/>
      <c r="AL226" s="357" t="n"/>
      <c r="AM226" s="357" t="n"/>
      <c r="AN226" s="357" t="n"/>
      <c r="AO226" s="357" t="n"/>
      <c r="AP226" s="357" t="n"/>
      <c r="AQ226" s="357" t="n"/>
      <c r="AR226" s="357" t="n"/>
      <c r="AS226" s="357" t="n"/>
      <c r="AT226" s="357" t="n"/>
      <c r="AU226" s="357" t="n"/>
      <c r="AV226" s="357" t="n"/>
      <c r="AW226" s="357" t="n"/>
      <c r="AX226" s="357" t="n"/>
      <c r="AY226" s="357" t="n"/>
      <c r="AZ226" s="357" t="n"/>
      <c r="BA226" s="357" t="n"/>
      <c r="BB226" s="357" t="n"/>
      <c r="BC226" s="357" t="n"/>
      <c r="BD226" s="357" t="n"/>
      <c r="BE226" s="357" t="n"/>
      <c r="BF226" s="357" t="n"/>
      <c r="BG226" s="357" t="n"/>
      <c r="BH226" s="357" t="n"/>
      <c r="BI226" s="357" t="n"/>
      <c r="BJ226" s="357" t="n"/>
      <c r="BK226" s="357" t="n"/>
      <c r="BL226" s="357" t="n"/>
      <c r="BM226" s="357" t="n"/>
      <c r="BN226" s="357" t="n"/>
      <c r="BO226" s="357" t="n"/>
      <c r="BP226" s="357" t="n"/>
      <c r="BQ226" s="357" t="n"/>
      <c r="BR226" s="357" t="n"/>
      <c r="BS226" s="357" t="n"/>
      <c r="BT226" s="357" t="n"/>
      <c r="BU226" s="357" t="n"/>
      <c r="BV226" s="357" t="n"/>
      <c r="BW226" s="357" t="n"/>
      <c r="BX226" s="357" t="n"/>
      <c r="BY226" s="357" t="n"/>
      <c r="BZ226" s="357" t="n"/>
      <c r="CA226" s="357" t="n"/>
      <c r="CB226" s="357" t="n"/>
      <c r="CC226" s="357" t="n"/>
      <c r="CD226" s="357" t="n"/>
      <c r="CE226" s="357" t="n"/>
      <c r="CF226" s="357" t="n"/>
      <c r="CG226" s="357" t="n"/>
      <c r="CH226" s="357" t="n"/>
      <c r="CI226" s="357" t="n"/>
      <c r="CJ226" s="357" t="n"/>
      <c r="CK226" s="357" t="n"/>
      <c r="CL226" s="357" t="n"/>
      <c r="CM226" s="357" t="n"/>
      <c r="CN226" s="357" t="n"/>
      <c r="CO226" s="357" t="n"/>
      <c r="CP226" s="357" t="n"/>
      <c r="CQ226" s="357" t="n"/>
      <c r="CR226" s="357" t="n"/>
      <c r="CS226" s="357" t="n"/>
      <c r="CT226" s="357" t="n"/>
      <c r="CU226" s="357" t="n"/>
      <c r="CV226" s="357" t="n"/>
      <c r="CW226" s="357" t="n"/>
      <c r="CX226" s="357" t="n"/>
      <c r="CY226" s="357" t="n"/>
      <c r="CZ226" s="357" t="n"/>
      <c r="DA226" s="357" t="n"/>
      <c r="DB226" s="357" t="n"/>
      <c r="DC226" s="357" t="n"/>
      <c r="DD226" s="357" t="n"/>
      <c r="DE226" s="357" t="n"/>
      <c r="DF226" s="357" t="n"/>
      <c r="DG226" s="357" t="n"/>
    </row>
    <row r="227" ht="13" customFormat="1" customHeight="1" s="64">
      <c r="A227" s="358" t="n"/>
      <c r="B227" s="357" t="n"/>
      <c r="C227" s="58" t="n"/>
      <c r="D227" s="58" t="n"/>
      <c r="E227" s="357" t="n"/>
      <c r="F227" s="58" t="n"/>
      <c r="G227" s="58" t="n"/>
      <c r="H227" s="357" t="n"/>
      <c r="I227" s="58" t="n"/>
      <c r="J227" s="58" t="n"/>
      <c r="K227" s="357" t="n"/>
      <c r="L227" s="58" t="n"/>
      <c r="M227" s="58" t="n"/>
      <c r="N227" s="357" t="n"/>
      <c r="O227" s="58" t="n"/>
      <c r="P227" s="58" t="n"/>
      <c r="Q227" s="357" t="n"/>
      <c r="R227" s="58" t="n"/>
      <c r="S227" s="58" t="n"/>
      <c r="T227" s="357" t="n"/>
      <c r="U227" s="58" t="n"/>
      <c r="V227" s="58" t="n"/>
      <c r="W227" s="357" t="n"/>
      <c r="X227" s="58" t="n"/>
      <c r="Y227" s="58" t="n"/>
      <c r="Z227" s="357" t="n"/>
      <c r="AA227" s="58" t="n"/>
      <c r="AB227" s="58" t="n"/>
      <c r="AC227" s="357" t="n"/>
      <c r="AD227" s="58" t="n"/>
      <c r="AE227" s="58" t="n"/>
      <c r="AF227" s="357" t="n"/>
      <c r="AG227" s="58" t="n"/>
      <c r="AH227" s="58" t="n"/>
      <c r="AI227" s="357" t="n"/>
      <c r="AJ227" s="58" t="n"/>
      <c r="AK227" s="58" t="n"/>
      <c r="AL227" s="357" t="n"/>
      <c r="AM227" s="357" t="n"/>
      <c r="AN227" s="357" t="n"/>
      <c r="AO227" s="357" t="n"/>
      <c r="AP227" s="357" t="n"/>
      <c r="AQ227" s="357" t="n"/>
      <c r="AR227" s="357" t="n"/>
      <c r="AS227" s="357" t="n"/>
      <c r="AT227" s="357" t="n"/>
      <c r="AU227" s="357" t="n"/>
      <c r="AV227" s="357" t="n"/>
      <c r="AW227" s="357" t="n"/>
      <c r="AX227" s="357" t="n"/>
      <c r="AY227" s="357" t="n"/>
      <c r="AZ227" s="357" t="n"/>
      <c r="BA227" s="357" t="n"/>
      <c r="BB227" s="357" t="n"/>
      <c r="BC227" s="357" t="n"/>
      <c r="BD227" s="357" t="n"/>
      <c r="BE227" s="357" t="n"/>
      <c r="BF227" s="357" t="n"/>
      <c r="BG227" s="357" t="n"/>
      <c r="BH227" s="357" t="n"/>
      <c r="BI227" s="357" t="n"/>
      <c r="BJ227" s="357" t="n"/>
      <c r="BK227" s="357" t="n"/>
      <c r="BL227" s="357" t="n"/>
      <c r="BM227" s="357" t="n"/>
      <c r="BN227" s="357" t="n"/>
      <c r="BO227" s="357" t="n"/>
      <c r="BP227" s="357" t="n"/>
      <c r="BQ227" s="357" t="n"/>
      <c r="BR227" s="357" t="n"/>
      <c r="BS227" s="357" t="n"/>
      <c r="BT227" s="357" t="n"/>
      <c r="BU227" s="357" t="n"/>
      <c r="BV227" s="357" t="n"/>
      <c r="BW227" s="357" t="n"/>
      <c r="BX227" s="357" t="n"/>
      <c r="BY227" s="357" t="n"/>
      <c r="BZ227" s="357" t="n"/>
      <c r="CA227" s="357" t="n"/>
      <c r="CB227" s="357" t="n"/>
      <c r="CC227" s="357" t="n"/>
      <c r="CD227" s="357" t="n"/>
      <c r="CE227" s="357" t="n"/>
      <c r="CF227" s="357" t="n"/>
      <c r="CG227" s="357" t="n"/>
      <c r="CH227" s="357" t="n"/>
      <c r="CI227" s="357" t="n"/>
      <c r="CJ227" s="357" t="n"/>
      <c r="CK227" s="357" t="n"/>
      <c r="CL227" s="357" t="n"/>
      <c r="CM227" s="357" t="n"/>
      <c r="CN227" s="357" t="n"/>
      <c r="CO227" s="357" t="n"/>
      <c r="CP227" s="357" t="n"/>
      <c r="CQ227" s="357" t="n"/>
      <c r="CR227" s="357" t="n"/>
      <c r="CS227" s="357" t="n"/>
      <c r="CT227" s="357" t="n"/>
      <c r="CU227" s="357" t="n"/>
      <c r="CV227" s="357" t="n"/>
      <c r="CW227" s="357" t="n"/>
      <c r="CX227" s="357" t="n"/>
      <c r="CY227" s="357" t="n"/>
      <c r="CZ227" s="357" t="n"/>
      <c r="DA227" s="357" t="n"/>
      <c r="DB227" s="357" t="n"/>
      <c r="DC227" s="357" t="n"/>
      <c r="DD227" s="357" t="n"/>
      <c r="DE227" s="357" t="n"/>
      <c r="DF227" s="357" t="n"/>
      <c r="DG227" s="357" t="n"/>
    </row>
    <row r="228" ht="13" customFormat="1" customHeight="1" s="64">
      <c r="A228" s="358" t="n"/>
      <c r="B228" s="357" t="n"/>
      <c r="C228" s="58" t="n"/>
      <c r="D228" s="58" t="n"/>
      <c r="E228" s="357" t="n"/>
      <c r="F228" s="58" t="n"/>
      <c r="G228" s="58" t="n"/>
      <c r="H228" s="357" t="n"/>
      <c r="I228" s="58" t="n"/>
      <c r="J228" s="58" t="n"/>
      <c r="K228" s="357" t="n"/>
      <c r="L228" s="58" t="n"/>
      <c r="M228" s="58" t="n"/>
      <c r="N228" s="357" t="n"/>
      <c r="O228" s="58" t="n"/>
      <c r="P228" s="58" t="n"/>
      <c r="Q228" s="357" t="n"/>
      <c r="R228" s="58" t="n"/>
      <c r="S228" s="58" t="n"/>
      <c r="T228" s="357" t="n"/>
      <c r="U228" s="58" t="n"/>
      <c r="V228" s="58" t="n"/>
      <c r="W228" s="357" t="n"/>
      <c r="X228" s="58" t="n"/>
      <c r="Y228" s="58" t="n"/>
      <c r="Z228" s="357" t="n"/>
      <c r="AA228" s="58" t="n"/>
      <c r="AB228" s="58" t="n"/>
      <c r="AC228" s="357" t="n"/>
      <c r="AD228" s="58" t="n"/>
      <c r="AE228" s="58" t="n"/>
      <c r="AF228" s="357" t="n"/>
      <c r="AG228" s="58" t="n"/>
      <c r="AH228" s="58" t="n"/>
      <c r="AI228" s="357" t="n"/>
      <c r="AJ228" s="58" t="n"/>
      <c r="AK228" s="58" t="n"/>
      <c r="AL228" s="357" t="n"/>
      <c r="AM228" s="357" t="n"/>
      <c r="AN228" s="357" t="n"/>
      <c r="AO228" s="357" t="n"/>
      <c r="AP228" s="357" t="n"/>
      <c r="AQ228" s="357" t="n"/>
      <c r="AR228" s="357" t="n"/>
      <c r="AS228" s="357" t="n"/>
      <c r="AT228" s="357" t="n"/>
      <c r="AU228" s="357" t="n"/>
      <c r="AV228" s="360" t="n"/>
      <c r="AW228" s="360" t="n"/>
      <c r="AX228" s="357" t="n"/>
      <c r="AY228" s="357" t="n"/>
      <c r="AZ228" s="58" t="n"/>
      <c r="BA228" s="357" t="n"/>
      <c r="BB228" s="58" t="n"/>
      <c r="BC228" s="357" t="n"/>
      <c r="BD228" s="58" t="n"/>
      <c r="BE228" s="357" t="n"/>
      <c r="BF228" s="58" t="n"/>
      <c r="BG228" s="357" t="n"/>
      <c r="BH228" s="357" t="n"/>
      <c r="BI228" s="357" t="n"/>
      <c r="BJ228" s="357" t="n"/>
      <c r="BK228" s="357" t="n"/>
      <c r="BL228" s="357" t="n"/>
      <c r="BM228" s="357" t="n"/>
      <c r="BN228" s="357" t="n"/>
      <c r="BO228" s="357" t="n"/>
      <c r="BP228" s="357" t="n"/>
      <c r="BQ228" s="58" t="n"/>
      <c r="BR228" s="357" t="n"/>
      <c r="BS228" s="58" t="n"/>
      <c r="BT228" s="357" t="n"/>
      <c r="BU228" s="58" t="n"/>
      <c r="BV228" s="357" t="n"/>
      <c r="BW228" s="58" t="n"/>
      <c r="BX228" s="357" t="n"/>
      <c r="BY228" s="58" t="n"/>
      <c r="BZ228" s="357" t="n"/>
      <c r="CA228" s="58" t="n"/>
      <c r="CB228" s="357" t="n"/>
      <c r="CC228" s="58" t="n"/>
      <c r="CD228" s="357" t="n"/>
      <c r="CE228" s="58" t="n"/>
      <c r="CF228" s="357" t="n"/>
      <c r="CG228" s="357" t="n"/>
      <c r="CH228" s="357" t="n"/>
      <c r="CI228" s="357" t="n"/>
      <c r="CJ228" s="357" t="n"/>
      <c r="CK228" s="357" t="n"/>
      <c r="CL228" s="357" t="n"/>
      <c r="CM228" s="357" t="n"/>
      <c r="CN228" s="357" t="n"/>
      <c r="CO228" s="357" t="n"/>
      <c r="CP228" s="58" t="n"/>
      <c r="CQ228" s="357" t="n"/>
      <c r="CR228" s="58" t="n"/>
      <c r="CS228" s="357" t="n"/>
      <c r="CT228" s="58" t="n"/>
      <c r="CU228" s="357" t="n"/>
      <c r="CV228" s="58" t="n"/>
      <c r="CW228" s="357" t="n"/>
      <c r="CX228" s="58" t="n"/>
      <c r="CY228" s="357" t="n"/>
      <c r="CZ228" s="58" t="n"/>
      <c r="DA228" s="357" t="n"/>
      <c r="DB228" s="58" t="n"/>
      <c r="DC228" s="357" t="n"/>
      <c r="DD228" s="58" t="n"/>
      <c r="DE228" s="357" t="n"/>
      <c r="DF228" s="357" t="n"/>
    </row>
    <row r="229" ht="13" customFormat="1" customHeight="1" s="64">
      <c r="A229" s="358" t="n"/>
      <c r="B229" s="357" t="n"/>
      <c r="C229" s="58" t="n"/>
      <c r="D229" s="58" t="n"/>
      <c r="E229" s="357" t="n"/>
      <c r="F229" s="58" t="n"/>
      <c r="G229" s="58" t="n"/>
      <c r="H229" s="357" t="n"/>
      <c r="I229" s="58" t="n"/>
      <c r="J229" s="58" t="n"/>
      <c r="K229" s="357" t="n"/>
      <c r="L229" s="58" t="n"/>
      <c r="M229" s="58" t="n"/>
      <c r="N229" s="357" t="n"/>
      <c r="O229" s="58" t="n"/>
      <c r="P229" s="58" t="n"/>
      <c r="Q229" s="357" t="n"/>
      <c r="R229" s="58" t="n"/>
      <c r="S229" s="58" t="n"/>
      <c r="T229" s="357" t="n"/>
      <c r="U229" s="58" t="n"/>
      <c r="V229" s="58" t="n"/>
      <c r="W229" s="357" t="n"/>
      <c r="X229" s="58" t="n"/>
      <c r="Y229" s="58" t="n"/>
      <c r="Z229" s="357" t="n"/>
      <c r="AA229" s="58" t="n"/>
      <c r="AB229" s="58" t="n"/>
      <c r="AC229" s="357" t="n"/>
      <c r="AD229" s="58" t="n"/>
      <c r="AE229" s="58" t="n"/>
      <c r="AF229" s="357" t="n"/>
      <c r="AG229" s="58" t="n"/>
      <c r="AH229" s="58" t="n"/>
      <c r="AI229" s="357" t="n"/>
      <c r="AJ229" s="58" t="n"/>
      <c r="AK229" s="58" t="n"/>
      <c r="AL229" s="357" t="n"/>
      <c r="AM229" s="357" t="n"/>
      <c r="AN229" s="357" t="n"/>
      <c r="AO229" s="357" t="n"/>
      <c r="AP229" s="357" t="n"/>
      <c r="AQ229" s="357" t="n"/>
      <c r="AR229" s="357" t="n"/>
      <c r="AS229" s="357" t="n"/>
      <c r="AT229" s="357" t="n"/>
      <c r="AU229" s="357" t="n"/>
      <c r="AV229" s="360" t="n"/>
      <c r="AW229" s="360" t="n"/>
      <c r="AX229" s="357" t="n"/>
      <c r="AY229" s="357" t="n"/>
      <c r="AZ229" s="58" t="n"/>
      <c r="BA229" s="357" t="n"/>
      <c r="BB229" s="58" t="n"/>
      <c r="BC229" s="357" t="n"/>
      <c r="BD229" s="58" t="n"/>
      <c r="BE229" s="357" t="n"/>
      <c r="BF229" s="58" t="n"/>
      <c r="BG229" s="357" t="n"/>
      <c r="BH229" s="357" t="n"/>
      <c r="BI229" s="357" t="n"/>
      <c r="BJ229" s="357" t="n"/>
      <c r="BK229" s="357" t="n"/>
      <c r="BL229" s="357" t="n"/>
      <c r="BM229" s="357" t="n"/>
      <c r="BN229" s="357" t="n"/>
      <c r="BO229" s="357" t="n"/>
      <c r="BP229" s="357" t="n"/>
      <c r="BQ229" s="58" t="n"/>
      <c r="BR229" s="357" t="n"/>
      <c r="BS229" s="58" t="n"/>
      <c r="BT229" s="357" t="n"/>
      <c r="BU229" s="58" t="n"/>
      <c r="BV229" s="357" t="n"/>
      <c r="BW229" s="58" t="n"/>
      <c r="BX229" s="357" t="n"/>
      <c r="BY229" s="58" t="n"/>
      <c r="BZ229" s="357" t="n"/>
      <c r="CA229" s="58" t="n"/>
      <c r="CB229" s="357" t="n"/>
      <c r="CC229" s="58" t="n"/>
      <c r="CD229" s="357" t="n"/>
      <c r="CE229" s="58" t="n"/>
      <c r="CF229" s="357" t="n"/>
      <c r="CG229" s="357" t="n"/>
      <c r="CH229" s="357" t="n"/>
      <c r="CI229" s="357" t="n"/>
      <c r="CJ229" s="357" t="n"/>
      <c r="CK229" s="357" t="n"/>
      <c r="CL229" s="357" t="n"/>
      <c r="CM229" s="357" t="n"/>
      <c r="CN229" s="357" t="n"/>
      <c r="CO229" s="357" t="n"/>
      <c r="CP229" s="58" t="n"/>
      <c r="CQ229" s="357" t="n"/>
      <c r="CR229" s="58" t="n"/>
      <c r="CS229" s="357" t="n"/>
      <c r="CT229" s="58" t="n"/>
      <c r="CU229" s="357" t="n"/>
      <c r="CV229" s="58" t="n"/>
      <c r="CW229" s="357" t="n"/>
      <c r="CX229" s="58" t="n"/>
      <c r="CY229" s="357" t="n"/>
      <c r="CZ229" s="58" t="n"/>
      <c r="DA229" s="357" t="n"/>
      <c r="DB229" s="58" t="n"/>
      <c r="DC229" s="357" t="n"/>
      <c r="DD229" s="58" t="n"/>
      <c r="DE229" s="357" t="n"/>
      <c r="DF229" s="357" t="n"/>
    </row>
    <row r="230" ht="13" customFormat="1" customHeight="1" s="64">
      <c r="A230" s="358" t="n"/>
      <c r="B230" s="357" t="n"/>
      <c r="C230" s="58" t="n"/>
      <c r="D230" s="58" t="n"/>
      <c r="E230" s="357" t="n"/>
      <c r="F230" s="58" t="n"/>
      <c r="G230" s="58" t="n"/>
      <c r="H230" s="357" t="n"/>
      <c r="I230" s="58" t="n"/>
      <c r="J230" s="58" t="n"/>
      <c r="K230" s="357" t="n"/>
      <c r="L230" s="58" t="n"/>
      <c r="M230" s="58" t="n"/>
      <c r="N230" s="357" t="n"/>
      <c r="O230" s="58" t="n"/>
      <c r="P230" s="58" t="n"/>
      <c r="Q230" s="357" t="n"/>
      <c r="R230" s="58" t="n"/>
      <c r="S230" s="58" t="n"/>
      <c r="T230" s="357" t="n"/>
      <c r="U230" s="58" t="n"/>
      <c r="V230" s="58" t="n"/>
      <c r="W230" s="357" t="n"/>
      <c r="X230" s="58" t="n"/>
      <c r="Y230" s="58" t="n"/>
      <c r="Z230" s="357" t="n"/>
      <c r="AA230" s="58" t="n"/>
      <c r="AB230" s="58" t="n"/>
      <c r="AC230" s="357" t="n"/>
      <c r="AD230" s="58" t="n"/>
      <c r="AE230" s="58" t="n"/>
      <c r="AF230" s="357" t="n"/>
      <c r="AG230" s="58" t="n"/>
      <c r="AH230" s="58" t="n"/>
      <c r="AI230" s="357" t="n"/>
      <c r="AJ230" s="58" t="n"/>
      <c r="AK230" s="58" t="n"/>
      <c r="AL230" s="357" t="n"/>
      <c r="AM230" s="357" t="n"/>
      <c r="AN230" s="357" t="n"/>
      <c r="AO230" s="357" t="n"/>
      <c r="AP230" s="357" t="n"/>
      <c r="AQ230" s="357" t="n"/>
      <c r="AR230" s="357" t="n"/>
      <c r="AS230" s="357" t="n"/>
      <c r="AT230" s="357" t="n"/>
      <c r="AU230" s="357" t="n"/>
      <c r="AV230" s="357" t="n"/>
      <c r="AW230" s="357" t="n"/>
      <c r="AX230" s="357" t="n"/>
      <c r="AY230" s="357" t="n"/>
      <c r="AZ230" s="357" t="n"/>
      <c r="BA230" s="357" t="n"/>
      <c r="BB230" s="357" t="n"/>
      <c r="BC230" s="357" t="n"/>
      <c r="BD230" s="357" t="n"/>
      <c r="BE230" s="357" t="n"/>
      <c r="BF230" s="357" t="n"/>
      <c r="BG230" s="357" t="n"/>
      <c r="BH230" s="357" t="n"/>
      <c r="BI230" s="357" t="n"/>
      <c r="BJ230" s="357" t="n"/>
      <c r="BK230" s="357" t="n"/>
      <c r="BL230" s="357" t="n"/>
      <c r="BM230" s="357" t="n"/>
      <c r="BN230" s="357" t="n"/>
      <c r="BO230" s="357" t="n"/>
      <c r="BP230" s="357" t="n"/>
      <c r="BQ230" s="357" t="n"/>
      <c r="BR230" s="357" t="n"/>
      <c r="BS230" s="357" t="n"/>
      <c r="BT230" s="357" t="n"/>
      <c r="BU230" s="357" t="n"/>
      <c r="BV230" s="357" t="n"/>
      <c r="BW230" s="357" t="n"/>
      <c r="BX230" s="357" t="n"/>
      <c r="BY230" s="357" t="n"/>
      <c r="BZ230" s="357" t="n"/>
      <c r="CA230" s="357" t="n"/>
      <c r="CB230" s="357" t="n"/>
      <c r="CC230" s="357" t="n"/>
      <c r="CD230" s="357" t="n"/>
      <c r="CE230" s="357" t="n"/>
      <c r="CF230" s="357" t="n"/>
      <c r="CG230" s="357" t="n"/>
      <c r="CH230" s="357" t="n"/>
      <c r="CI230" s="357" t="n"/>
      <c r="CJ230" s="357" t="n"/>
      <c r="CK230" s="357" t="n"/>
      <c r="CL230" s="357" t="n"/>
      <c r="CM230" s="357" t="n"/>
      <c r="CN230" s="357" t="n"/>
      <c r="CO230" s="357" t="n"/>
      <c r="CP230" s="357" t="n"/>
      <c r="CQ230" s="357" t="n"/>
      <c r="CR230" s="357" t="n"/>
      <c r="CS230" s="357" t="n"/>
      <c r="CT230" s="357" t="n"/>
      <c r="CU230" s="357" t="n"/>
      <c r="CV230" s="357" t="n"/>
      <c r="CW230" s="357" t="n"/>
      <c r="CX230" s="357" t="n"/>
      <c r="CY230" s="357" t="n"/>
      <c r="CZ230" s="357" t="n"/>
      <c r="DA230" s="357" t="n"/>
      <c r="DB230" s="357" t="n"/>
      <c r="DC230" s="357" t="n"/>
      <c r="DD230" s="357" t="n"/>
      <c r="DE230" s="357" t="n"/>
      <c r="DF230" s="357" t="n"/>
      <c r="DG230" s="357" t="n"/>
      <c r="DH230" s="357" t="n"/>
      <c r="DI230" s="357" t="n"/>
      <c r="DJ230" s="357" t="n"/>
      <c r="DK230" s="357" t="n"/>
      <c r="DL230" s="357" t="n"/>
      <c r="DM230" s="357" t="n"/>
      <c r="DN230" s="357" t="n"/>
      <c r="DO230" s="357" t="n"/>
      <c r="DP230" s="357" t="n"/>
      <c r="DQ230" s="357" t="n"/>
      <c r="DR230" s="357" t="n"/>
      <c r="DS230" s="357" t="n"/>
      <c r="DT230" s="357" t="n"/>
      <c r="DU230" s="357" t="n"/>
      <c r="DV230" s="357" t="n"/>
    </row>
    <row r="231" ht="13" customFormat="1" customHeight="1" s="64">
      <c r="A231" s="358" t="n"/>
      <c r="B231" s="357" t="n"/>
      <c r="C231" s="58" t="n"/>
      <c r="D231" s="58" t="n"/>
      <c r="E231" s="357" t="n"/>
      <c r="F231" s="58" t="n"/>
      <c r="G231" s="58" t="n"/>
      <c r="H231" s="357" t="n"/>
      <c r="I231" s="58" t="n"/>
      <c r="J231" s="58" t="n"/>
      <c r="K231" s="357" t="n"/>
      <c r="L231" s="58" t="n"/>
      <c r="M231" s="58" t="n"/>
      <c r="N231" s="357" t="n"/>
      <c r="O231" s="58" t="n"/>
      <c r="P231" s="58" t="n"/>
      <c r="Q231" s="357" t="n"/>
      <c r="R231" s="58" t="n"/>
      <c r="S231" s="58" t="n"/>
      <c r="T231" s="357" t="n"/>
      <c r="U231" s="58" t="n"/>
      <c r="V231" s="58" t="n"/>
      <c r="W231" s="357" t="n"/>
      <c r="X231" s="58" t="n"/>
      <c r="Y231" s="58" t="n"/>
      <c r="Z231" s="357" t="n"/>
      <c r="AA231" s="58" t="n"/>
      <c r="AB231" s="58" t="n"/>
      <c r="AC231" s="357" t="n"/>
      <c r="AD231" s="58" t="n"/>
      <c r="AE231" s="58" t="n"/>
      <c r="AF231" s="357" t="n"/>
      <c r="AG231" s="58" t="n"/>
      <c r="AH231" s="58" t="n"/>
      <c r="AI231" s="357" t="n"/>
      <c r="AJ231" s="58" t="n"/>
      <c r="AK231" s="58" t="n"/>
      <c r="AL231" s="357" t="n"/>
      <c r="AM231" s="357" t="n"/>
      <c r="AN231" s="357" t="n"/>
      <c r="AO231" s="357" t="n"/>
      <c r="AP231" s="357" t="n"/>
      <c r="AQ231" s="357" t="n"/>
      <c r="AR231" s="357" t="n"/>
      <c r="AS231" s="357" t="n"/>
      <c r="AT231" s="357" t="n"/>
      <c r="AU231" s="357" t="n"/>
      <c r="AV231" s="357" t="n"/>
      <c r="AW231" s="357" t="n"/>
      <c r="AX231" s="357" t="n"/>
      <c r="AY231" s="357" t="n"/>
      <c r="AZ231" s="357" t="n"/>
      <c r="BA231" s="357" t="n"/>
      <c r="BB231" s="357" t="n"/>
      <c r="BC231" s="357" t="n"/>
      <c r="BD231" s="357" t="n"/>
      <c r="BE231" s="357" t="n"/>
      <c r="BF231" s="357" t="n"/>
      <c r="BG231" s="357" t="n"/>
      <c r="BH231" s="357" t="n"/>
      <c r="BI231" s="357" t="n"/>
      <c r="BJ231" s="357" t="n"/>
      <c r="BK231" s="357" t="n"/>
      <c r="BL231" s="357" t="n"/>
      <c r="BM231" s="357" t="n"/>
      <c r="BN231" s="357" t="n"/>
      <c r="BO231" s="357" t="n"/>
      <c r="BP231" s="357" t="n"/>
      <c r="BQ231" s="357" t="n"/>
      <c r="BR231" s="357" t="n"/>
      <c r="BS231" s="357" t="n"/>
      <c r="BT231" s="357" t="n"/>
      <c r="BU231" s="357" t="n"/>
      <c r="BV231" s="357" t="n"/>
      <c r="BW231" s="357" t="n"/>
      <c r="BX231" s="357" t="n"/>
      <c r="BY231" s="357" t="n"/>
      <c r="BZ231" s="357" t="n"/>
      <c r="CA231" s="357" t="n"/>
      <c r="CB231" s="357" t="n"/>
      <c r="CC231" s="357" t="n"/>
      <c r="CD231" s="357" t="n"/>
      <c r="CE231" s="357" t="n"/>
      <c r="CF231" s="357" t="n"/>
      <c r="CG231" s="357" t="n"/>
      <c r="CH231" s="357" t="n"/>
      <c r="CI231" s="357" t="n"/>
      <c r="CJ231" s="357" t="n"/>
      <c r="CK231" s="357" t="n"/>
      <c r="CL231" s="357" t="n"/>
      <c r="CM231" s="357" t="n"/>
      <c r="CN231" s="357" t="n"/>
      <c r="CO231" s="357" t="n"/>
      <c r="CP231" s="357" t="n"/>
      <c r="CQ231" s="357" t="n"/>
      <c r="CR231" s="357" t="n"/>
      <c r="CS231" s="357" t="n"/>
      <c r="CT231" s="357" t="n"/>
      <c r="CU231" s="357" t="n"/>
      <c r="CV231" s="357" t="n"/>
      <c r="CW231" s="357" t="n"/>
      <c r="CX231" s="357" t="n"/>
      <c r="CY231" s="357" t="n"/>
      <c r="CZ231" s="357" t="n"/>
      <c r="DA231" s="357" t="n"/>
      <c r="DB231" s="357" t="n"/>
      <c r="DC231" s="357" t="n"/>
      <c r="DD231" s="357" t="n"/>
      <c r="DE231" s="357" t="n"/>
      <c r="DF231" s="357" t="n"/>
      <c r="DG231" s="357" t="n"/>
      <c r="DH231" s="357" t="n"/>
      <c r="DI231" s="357" t="n"/>
      <c r="DJ231" s="357" t="n"/>
      <c r="DK231" s="357" t="n"/>
      <c r="DL231" s="357" t="n"/>
      <c r="DM231" s="357" t="n"/>
      <c r="DN231" s="357" t="n"/>
      <c r="DO231" s="357" t="n"/>
      <c r="DP231" s="357" t="n"/>
      <c r="DQ231" s="357" t="n"/>
      <c r="DR231" s="357" t="n"/>
      <c r="DS231" s="357" t="n"/>
      <c r="DT231" s="357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AK231"/>
  <sheetViews>
    <sheetView tabSelected="1" zoomScale="80" zoomScaleNormal="80"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O14" sqref="O14"/>
    </sheetView>
  </sheetViews>
  <sheetFormatPr baseColWidth="8" defaultColWidth="9" defaultRowHeight="14"/>
  <cols>
    <col width="9" customWidth="1" style="1" min="1" max="1"/>
    <col width="16.75" customWidth="1" style="1" min="2" max="2"/>
    <col width="9.75" customWidth="1" style="2" min="3" max="3"/>
    <col width="8" customWidth="1" style="2" min="4" max="4"/>
    <col width="16.75" customWidth="1" style="1" min="5" max="5"/>
    <col width="9.75" customWidth="1" style="2" min="6" max="6"/>
    <col width="8" customWidth="1" style="2" min="7" max="7"/>
    <col width="16.75" customWidth="1" style="1" min="8" max="8"/>
    <col width="9.75" customWidth="1" style="2" min="9" max="9"/>
    <col width="8" customWidth="1" style="2" min="10" max="10"/>
    <col width="16.75" customWidth="1" style="1" min="11" max="11"/>
    <col width="9.75" customWidth="1" style="2" min="12" max="12"/>
    <col width="8" customWidth="1" style="2" min="13" max="13"/>
    <col width="16.75" customWidth="1" style="1" min="14" max="14"/>
    <col width="9.75" customWidth="1" style="2" min="15" max="15"/>
    <col width="8" customWidth="1" style="2" min="16" max="16"/>
    <col width="16.75" customWidth="1" style="1" min="17" max="17"/>
    <col width="9.75" customWidth="1" style="2" min="18" max="18"/>
    <col width="8" customWidth="1" style="2" min="19" max="19"/>
    <col width="16.75" customWidth="1" style="1" min="20" max="20"/>
    <col width="9.75" customWidth="1" style="2" min="21" max="21"/>
    <col width="8" customWidth="1" style="2" min="22" max="22"/>
    <col width="16.75" customWidth="1" style="1" min="23" max="23"/>
    <col width="9.75" customWidth="1" style="2" min="24" max="24"/>
    <col width="8" customWidth="1" style="2" min="25" max="25"/>
    <col width="16.75" customWidth="1" style="1" min="26" max="26"/>
    <col width="9.75" customWidth="1" style="2" min="27" max="27"/>
    <col width="8" customWidth="1" style="2" min="28" max="28"/>
    <col width="16.75" customWidth="1" style="1" min="29" max="29"/>
    <col width="9.75" customWidth="1" style="2" min="30" max="30"/>
    <col width="8" customWidth="1" style="2" min="31" max="31"/>
    <col width="16.75" customWidth="1" style="1" min="32" max="32"/>
    <col width="9.75" customWidth="1" style="1" min="33" max="33"/>
    <col width="10" customWidth="1" style="1" min="34" max="34"/>
    <col width="16.75" customWidth="1" style="1" min="35" max="35"/>
    <col width="9.75" customWidth="1" style="1" min="36" max="36"/>
    <col width="7.875" customWidth="1" style="1" min="37" max="37"/>
    <col width="9" customWidth="1" style="1" min="38" max="16384"/>
  </cols>
  <sheetData>
    <row r="1">
      <c r="A1" s="271" t="inlineStr">
        <is>
          <t>指标名称</t>
        </is>
      </c>
      <c r="B1" s="271" t="inlineStr">
        <is>
          <t>可用座公里（百万）</t>
        </is>
      </c>
      <c r="C1" s="4" t="inlineStr">
        <is>
          <t>同比上年</t>
        </is>
      </c>
      <c r="D1" s="4" t="inlineStr">
        <is>
          <t>同比19</t>
        </is>
      </c>
      <c r="E1" s="271" t="inlineStr">
        <is>
          <t>可用座公里:内地</t>
        </is>
      </c>
      <c r="F1" s="4" t="inlineStr">
        <is>
          <t>同比上年</t>
        </is>
      </c>
      <c r="G1" s="4" t="inlineStr">
        <is>
          <t>同比19</t>
        </is>
      </c>
      <c r="H1" s="271" t="inlineStr">
        <is>
          <t>可用座公里:国际</t>
        </is>
      </c>
      <c r="I1" s="4" t="inlineStr">
        <is>
          <t>同比上年</t>
        </is>
      </c>
      <c r="J1" s="4" t="inlineStr">
        <is>
          <t>同比19</t>
        </is>
      </c>
      <c r="K1" s="271" t="inlineStr">
        <is>
          <t>收入客公里（百万）</t>
        </is>
      </c>
      <c r="L1" s="4" t="inlineStr">
        <is>
          <t>同比上年</t>
        </is>
      </c>
      <c r="M1" s="4" t="inlineStr">
        <is>
          <t>同比19</t>
        </is>
      </c>
      <c r="N1" s="271" t="inlineStr">
        <is>
          <t>收入客公里:内地</t>
        </is>
      </c>
      <c r="O1" s="4" t="inlineStr">
        <is>
          <t>同比上年</t>
        </is>
      </c>
      <c r="P1" s="4" t="inlineStr">
        <is>
          <t>同比19</t>
        </is>
      </c>
      <c r="Q1" s="271" t="inlineStr">
        <is>
          <t>收入客公里:国际</t>
        </is>
      </c>
      <c r="R1" s="4" t="inlineStr">
        <is>
          <t>同比上年</t>
        </is>
      </c>
      <c r="S1" s="4" t="inlineStr">
        <is>
          <t>同比19</t>
        </is>
      </c>
      <c r="T1" s="271" t="inlineStr">
        <is>
          <t>可用货邮吨公里</t>
        </is>
      </c>
      <c r="U1" s="4" t="inlineStr">
        <is>
          <t>同比上年</t>
        </is>
      </c>
      <c r="V1" s="4" t="inlineStr">
        <is>
          <t>同比19</t>
        </is>
      </c>
      <c r="W1" s="271" t="inlineStr">
        <is>
          <t>货邮吨公里</t>
        </is>
      </c>
      <c r="X1" s="4" t="inlineStr">
        <is>
          <t>同比上年</t>
        </is>
      </c>
      <c r="Y1" s="4" t="inlineStr">
        <is>
          <t>同比19</t>
        </is>
      </c>
      <c r="Z1" s="271" t="inlineStr">
        <is>
          <t>客运量（千人次）</t>
        </is>
      </c>
      <c r="AA1" s="4" t="inlineStr">
        <is>
          <t>同比上年</t>
        </is>
      </c>
      <c r="AB1" s="4" t="inlineStr">
        <is>
          <t>同比19</t>
        </is>
      </c>
      <c r="AC1" s="271" t="inlineStr">
        <is>
          <t>货邮运输量</t>
        </is>
      </c>
      <c r="AD1" s="4" t="inlineStr">
        <is>
          <t>同比上年</t>
        </is>
      </c>
      <c r="AE1" s="4" t="inlineStr">
        <is>
          <t>同比19</t>
        </is>
      </c>
      <c r="AF1" s="271" t="inlineStr">
        <is>
          <t>客座率</t>
        </is>
      </c>
      <c r="AG1" s="4" t="inlineStr">
        <is>
          <t>同比上年</t>
        </is>
      </c>
      <c r="AH1" s="4" t="inlineStr">
        <is>
          <t>同比19</t>
        </is>
      </c>
      <c r="AI1" s="271" t="inlineStr">
        <is>
          <t>货邮载运率</t>
        </is>
      </c>
      <c r="AJ1" s="4" t="inlineStr">
        <is>
          <t>同比上年</t>
        </is>
      </c>
      <c r="AK1" s="4" t="inlineStr">
        <is>
          <t>同比19</t>
        </is>
      </c>
    </row>
    <row r="2">
      <c r="A2" s="273" t="inlineStr">
        <is>
          <t>频率</t>
        </is>
      </c>
      <c r="B2" s="274" t="inlineStr">
        <is>
          <t>月</t>
        </is>
      </c>
      <c r="C2" s="7" t="n"/>
      <c r="D2" s="7" t="n"/>
      <c r="E2" s="274" t="inlineStr">
        <is>
          <t>月</t>
        </is>
      </c>
      <c r="F2" s="7" t="n"/>
      <c r="G2" s="7" t="n"/>
      <c r="H2" s="274" t="inlineStr">
        <is>
          <t>月</t>
        </is>
      </c>
      <c r="I2" s="7" t="n"/>
      <c r="J2" s="7" t="n"/>
      <c r="K2" s="274" t="inlineStr">
        <is>
          <t>月</t>
        </is>
      </c>
      <c r="L2" s="7" t="n"/>
      <c r="M2" s="7" t="n"/>
      <c r="N2" s="274" t="inlineStr">
        <is>
          <t>月</t>
        </is>
      </c>
      <c r="O2" s="7" t="n"/>
      <c r="P2" s="7" t="n"/>
      <c r="Q2" s="274" t="inlineStr">
        <is>
          <t>月</t>
        </is>
      </c>
      <c r="R2" s="7" t="n"/>
      <c r="S2" s="7" t="n"/>
      <c r="T2" s="274" t="inlineStr">
        <is>
          <t>月</t>
        </is>
      </c>
      <c r="U2" s="7" t="n"/>
      <c r="V2" s="7" t="n"/>
      <c r="W2" s="274" t="inlineStr">
        <is>
          <t>月</t>
        </is>
      </c>
      <c r="X2" s="7" t="n"/>
      <c r="Y2" s="7" t="n"/>
      <c r="Z2" s="274" t="inlineStr">
        <is>
          <t>月</t>
        </is>
      </c>
      <c r="AA2" s="7" t="n"/>
      <c r="AB2" s="7" t="n"/>
      <c r="AC2" s="274" t="inlineStr">
        <is>
          <t>月</t>
        </is>
      </c>
      <c r="AD2" s="7" t="n"/>
      <c r="AE2" s="7" t="n"/>
      <c r="AF2" s="274" t="inlineStr">
        <is>
          <t>月</t>
        </is>
      </c>
      <c r="AG2" s="8" t="n"/>
      <c r="AH2" s="8" t="n"/>
      <c r="AI2" s="274" t="inlineStr">
        <is>
          <t>月</t>
        </is>
      </c>
      <c r="AJ2" s="8" t="n"/>
      <c r="AK2" s="8" t="n"/>
    </row>
    <row r="3">
      <c r="A3" s="276" t="n"/>
      <c r="B3" s="277" t="inlineStr">
        <is>
          <t>ASK</t>
        </is>
      </c>
      <c r="C3" s="11" t="n"/>
      <c r="D3" s="11" t="n"/>
      <c r="E3" s="277" t="inlineStr">
        <is>
          <t>Domestic</t>
        </is>
      </c>
      <c r="F3" s="11" t="n"/>
      <c r="G3" s="11" t="n"/>
      <c r="H3" s="277" t="inlineStr">
        <is>
          <t>International</t>
        </is>
      </c>
      <c r="I3" s="11" t="n"/>
      <c r="J3" s="11" t="n"/>
      <c r="K3" s="277" t="inlineStr">
        <is>
          <t>RPK</t>
        </is>
      </c>
      <c r="L3" s="11" t="n"/>
      <c r="M3" s="11" t="n"/>
      <c r="N3" s="277" t="inlineStr">
        <is>
          <t>Domestic</t>
        </is>
      </c>
      <c r="O3" s="11" t="n"/>
      <c r="P3" s="11" t="n"/>
      <c r="Q3" s="277" t="inlineStr">
        <is>
          <t>International</t>
        </is>
      </c>
      <c r="R3" s="11" t="n"/>
      <c r="S3" s="11" t="n"/>
      <c r="T3" s="277" t="inlineStr">
        <is>
          <t>AFTK</t>
        </is>
      </c>
      <c r="U3" s="11" t="n"/>
      <c r="V3" s="11" t="n"/>
      <c r="W3" s="277" t="inlineStr">
        <is>
          <t>RFTK</t>
        </is>
      </c>
      <c r="X3" s="11" t="n"/>
      <c r="Y3" s="11" t="n"/>
      <c r="Z3" s="277" t="inlineStr">
        <is>
          <t>Pax volume</t>
        </is>
      </c>
      <c r="AA3" s="11" t="n"/>
      <c r="AB3" s="11" t="n"/>
      <c r="AC3" s="277" t="inlineStr">
        <is>
          <t>Cargo volume</t>
        </is>
      </c>
      <c r="AD3" s="11" t="n"/>
      <c r="AE3" s="11" t="n"/>
      <c r="AF3" s="277" t="inlineStr">
        <is>
          <t>PLF</t>
        </is>
      </c>
      <c r="AG3" s="12" t="n"/>
      <c r="AH3" s="12" t="n"/>
      <c r="AI3" s="277" t="inlineStr">
        <is>
          <t>CLF</t>
        </is>
      </c>
      <c r="AJ3" s="12" t="n"/>
      <c r="AK3" s="12" t="n"/>
    </row>
    <row r="4">
      <c r="A4" s="330" t="n"/>
      <c r="B4" s="281" t="n"/>
      <c r="C4" s="15" t="n"/>
      <c r="D4" s="15" t="n"/>
      <c r="E4" s="281" t="n"/>
      <c r="F4" s="15" t="n"/>
      <c r="G4" s="15" t="n"/>
      <c r="H4" s="281" t="n"/>
      <c r="I4" s="15" t="n"/>
      <c r="J4" s="15" t="n"/>
      <c r="K4" s="281" t="n"/>
      <c r="L4" s="15" t="n"/>
      <c r="M4" s="15" t="n"/>
      <c r="N4" s="281" t="n"/>
      <c r="O4" s="15" t="n"/>
      <c r="P4" s="15" t="n"/>
      <c r="Q4" s="281" t="n"/>
      <c r="R4" s="15" t="n"/>
      <c r="S4" s="15" t="n"/>
      <c r="T4" s="281" t="n"/>
      <c r="U4" s="15" t="n"/>
      <c r="V4" s="15" t="n"/>
      <c r="W4" s="281" t="n"/>
      <c r="X4" s="15" t="n"/>
      <c r="Y4" s="15" t="n"/>
      <c r="Z4" s="281" t="n"/>
      <c r="AA4" s="15" t="n"/>
      <c r="AB4" s="15" t="n"/>
      <c r="AC4" s="281" t="n"/>
      <c r="AD4" s="15" t="n"/>
      <c r="AE4" s="15" t="n"/>
      <c r="AF4" s="281" t="n"/>
      <c r="AG4" s="15" t="n"/>
      <c r="AH4" s="15" t="n"/>
      <c r="AI4" s="281" t="n"/>
      <c r="AJ4" s="15" t="n"/>
      <c r="AK4" s="15" t="n"/>
    </row>
    <row r="5">
      <c r="A5" s="428" t="n"/>
      <c r="B5" s="285" t="n"/>
      <c r="C5" s="18" t="n"/>
      <c r="D5" s="18" t="n"/>
      <c r="E5" s="285" t="n"/>
      <c r="F5" s="18" t="n"/>
      <c r="G5" s="18" t="n"/>
      <c r="H5" s="285" t="n"/>
      <c r="I5" s="18" t="n"/>
      <c r="J5" s="18" t="n"/>
      <c r="K5" s="285" t="n"/>
      <c r="L5" s="18" t="n"/>
      <c r="M5" s="18" t="n"/>
      <c r="N5" s="285" t="n"/>
      <c r="O5" s="18" t="n"/>
      <c r="P5" s="18" t="n"/>
      <c r="Q5" s="285" t="n"/>
      <c r="R5" s="18" t="n"/>
      <c r="S5" s="18" t="n"/>
      <c r="T5" s="285" t="n"/>
      <c r="U5" s="18" t="n"/>
      <c r="V5" s="18" t="n"/>
      <c r="W5" s="285" t="n"/>
      <c r="X5" s="18" t="n"/>
      <c r="Y5" s="18" t="n"/>
      <c r="Z5" s="285" t="n"/>
      <c r="AA5" s="18" t="n"/>
      <c r="AB5" s="18" t="n"/>
      <c r="AC5" s="285" t="n"/>
      <c r="AD5" s="18" t="n"/>
      <c r="AE5" s="18" t="n"/>
      <c r="AF5" s="285" t="n"/>
      <c r="AG5" s="19" t="n"/>
      <c r="AH5" s="19" t="n"/>
      <c r="AI5" s="285" t="n"/>
      <c r="AJ5" s="19" t="n"/>
      <c r="AK5" s="19" t="n"/>
    </row>
    <row r="6">
      <c r="A6" s="428" t="n"/>
      <c r="B6" s="285" t="n"/>
      <c r="C6" s="18" t="n"/>
      <c r="D6" s="18" t="n"/>
      <c r="E6" s="285" t="n"/>
      <c r="F6" s="18" t="n"/>
      <c r="G6" s="18" t="n"/>
      <c r="H6" s="285" t="n"/>
      <c r="I6" s="18" t="n"/>
      <c r="J6" s="18" t="n"/>
      <c r="K6" s="285" t="n"/>
      <c r="L6" s="18" t="n"/>
      <c r="M6" s="18" t="n"/>
      <c r="N6" s="285" t="n"/>
      <c r="O6" s="18" t="n"/>
      <c r="P6" s="18" t="n"/>
      <c r="Q6" s="285" t="n"/>
      <c r="R6" s="18" t="n"/>
      <c r="S6" s="18" t="n"/>
      <c r="T6" s="285" t="n"/>
      <c r="U6" s="18" t="n"/>
      <c r="V6" s="18" t="n"/>
      <c r="W6" s="285" t="n"/>
      <c r="X6" s="18" t="n"/>
      <c r="Y6" s="18" t="n"/>
      <c r="Z6" s="285" t="n"/>
      <c r="AA6" s="18" t="n"/>
      <c r="AB6" s="18" t="n"/>
      <c r="AC6" s="285" t="n"/>
      <c r="AD6" s="18" t="n"/>
      <c r="AE6" s="18" t="n"/>
      <c r="AF6" s="285" t="n"/>
      <c r="AG6" s="19" t="n"/>
      <c r="AH6" s="19" t="n"/>
      <c r="AI6" s="285" t="n"/>
      <c r="AJ6" s="19" t="n"/>
      <c r="AK6" s="19" t="n"/>
    </row>
    <row r="7">
      <c r="A7" s="428" t="n"/>
      <c r="B7" s="285" t="n"/>
      <c r="C7" s="18" t="n"/>
      <c r="D7" s="18" t="n"/>
      <c r="E7" s="285" t="n"/>
      <c r="F7" s="18" t="n"/>
      <c r="G7" s="18" t="n"/>
      <c r="H7" s="285" t="n"/>
      <c r="I7" s="18" t="n"/>
      <c r="J7" s="18" t="n"/>
      <c r="K7" s="285" t="n"/>
      <c r="L7" s="18" t="n"/>
      <c r="M7" s="18" t="n"/>
      <c r="N7" s="285" t="n"/>
      <c r="O7" s="18" t="n"/>
      <c r="P7" s="18" t="n"/>
      <c r="Q7" s="285" t="n"/>
      <c r="R7" s="18" t="n"/>
      <c r="S7" s="18" t="n"/>
      <c r="T7" s="285" t="n"/>
      <c r="U7" s="18" t="n"/>
      <c r="V7" s="18" t="n"/>
      <c r="W7" s="285" t="n"/>
      <c r="X7" s="18" t="n"/>
      <c r="Y7" s="18" t="n"/>
      <c r="Z7" s="285" t="n"/>
      <c r="AA7" s="18" t="n"/>
      <c r="AB7" s="18" t="n"/>
      <c r="AC7" s="285" t="n"/>
      <c r="AD7" s="18" t="n"/>
      <c r="AE7" s="18" t="n"/>
      <c r="AF7" s="285" t="n"/>
      <c r="AG7" s="19" t="n"/>
      <c r="AH7" s="19" t="n"/>
      <c r="AI7" s="285" t="n"/>
      <c r="AJ7" s="19" t="n"/>
      <c r="AK7" s="19" t="n"/>
    </row>
    <row r="8">
      <c r="A8" s="428" t="n"/>
      <c r="B8" s="285" t="n"/>
      <c r="C8" s="18" t="n"/>
      <c r="D8" s="18" t="n"/>
      <c r="E8" s="285" t="n"/>
      <c r="F8" s="18" t="n"/>
      <c r="G8" s="18" t="n"/>
      <c r="H8" s="285" t="n"/>
      <c r="I8" s="18" t="n"/>
      <c r="J8" s="18" t="n"/>
      <c r="K8" s="285" t="n"/>
      <c r="L8" s="18" t="n"/>
      <c r="M8" s="18" t="n"/>
      <c r="N8" s="285" t="n"/>
      <c r="O8" s="18" t="n"/>
      <c r="P8" s="18" t="n"/>
      <c r="Q8" s="285" t="n"/>
      <c r="R8" s="18" t="n"/>
      <c r="S8" s="18" t="n"/>
      <c r="T8" s="285" t="n"/>
      <c r="U8" s="18" t="n"/>
      <c r="V8" s="18" t="n"/>
      <c r="W8" s="285" t="n"/>
      <c r="X8" s="18" t="n"/>
      <c r="Y8" s="18" t="n"/>
      <c r="Z8" s="285" t="n"/>
      <c r="AA8" s="18" t="n"/>
      <c r="AB8" s="18" t="n"/>
      <c r="AC8" s="285" t="n"/>
      <c r="AD8" s="18" t="n"/>
      <c r="AE8" s="18" t="n"/>
      <c r="AF8" s="285" t="n"/>
      <c r="AG8" s="19" t="n"/>
      <c r="AH8" s="19" t="n"/>
      <c r="AI8" s="285" t="n"/>
      <c r="AJ8" s="19" t="n"/>
      <c r="AK8" s="19" t="n"/>
    </row>
    <row r="9">
      <c r="A9" s="428" t="n"/>
      <c r="B9" s="285" t="n"/>
      <c r="C9" s="18" t="n"/>
      <c r="D9" s="18" t="n"/>
      <c r="E9" s="285" t="n"/>
      <c r="F9" s="18" t="n"/>
      <c r="G9" s="18" t="n"/>
      <c r="H9" s="285" t="n"/>
      <c r="I9" s="18" t="n"/>
      <c r="J9" s="18" t="n"/>
      <c r="K9" s="285" t="n"/>
      <c r="L9" s="18" t="n"/>
      <c r="M9" s="18" t="n"/>
      <c r="N9" s="285" t="n"/>
      <c r="O9" s="18" t="n"/>
      <c r="P9" s="18" t="n"/>
      <c r="Q9" s="285" t="n"/>
      <c r="R9" s="18" t="n"/>
      <c r="S9" s="18" t="n"/>
      <c r="T9" s="285" t="n"/>
      <c r="U9" s="18" t="n"/>
      <c r="V9" s="18" t="n"/>
      <c r="W9" s="285" t="n"/>
      <c r="X9" s="18" t="n"/>
      <c r="Y9" s="18" t="n"/>
      <c r="Z9" s="285" t="n"/>
      <c r="AA9" s="18" t="n"/>
      <c r="AB9" s="18" t="n"/>
      <c r="AC9" s="285" t="n"/>
      <c r="AD9" s="18" t="n"/>
      <c r="AE9" s="18" t="n"/>
      <c r="AF9" s="285" t="n"/>
      <c r="AG9" s="19" t="n"/>
      <c r="AH9" s="19" t="n"/>
      <c r="AI9" s="285" t="n"/>
      <c r="AJ9" s="19" t="n"/>
      <c r="AK9" s="19" t="n"/>
    </row>
    <row r="10">
      <c r="A10" s="428" t="n"/>
      <c r="B10" s="285" t="n"/>
      <c r="C10" s="18" t="n"/>
      <c r="D10" s="18" t="n"/>
      <c r="E10" s="285" t="n"/>
      <c r="F10" s="18" t="n"/>
      <c r="G10" s="18" t="n"/>
      <c r="H10" s="285" t="n"/>
      <c r="I10" s="18" t="n"/>
      <c r="J10" s="18" t="n"/>
      <c r="K10" s="285" t="n"/>
      <c r="L10" s="18" t="n"/>
      <c r="M10" s="18" t="n"/>
      <c r="N10" s="285" t="n"/>
      <c r="O10" s="18" t="n"/>
      <c r="P10" s="18" t="n"/>
      <c r="Q10" s="285" t="n"/>
      <c r="R10" s="18" t="n"/>
      <c r="S10" s="18" t="n"/>
      <c r="T10" s="285" t="n"/>
      <c r="U10" s="18" t="n"/>
      <c r="V10" s="18" t="n"/>
      <c r="W10" s="285" t="n"/>
      <c r="X10" s="18" t="n"/>
      <c r="Y10" s="18" t="n"/>
      <c r="Z10" s="285" t="n"/>
      <c r="AA10" s="18" t="n"/>
      <c r="AB10" s="18" t="n"/>
      <c r="AC10" s="285" t="n"/>
      <c r="AD10" s="18" t="n"/>
      <c r="AE10" s="18" t="n"/>
      <c r="AF10" s="285" t="n"/>
      <c r="AG10" s="19" t="n"/>
      <c r="AH10" s="19" t="n"/>
      <c r="AI10" s="285" t="n"/>
      <c r="AJ10" s="19" t="n"/>
      <c r="AK10" s="19" t="n"/>
    </row>
    <row r="11">
      <c r="A11" s="428" t="n"/>
      <c r="B11" s="285" t="n"/>
      <c r="C11" s="18" t="n"/>
      <c r="D11" s="18" t="n"/>
      <c r="E11" s="285" t="n"/>
      <c r="F11" s="18" t="n"/>
      <c r="G11" s="18" t="n"/>
      <c r="H11" s="285" t="n"/>
      <c r="I11" s="18" t="n"/>
      <c r="J11" s="18" t="n"/>
      <c r="K11" s="285" t="n"/>
      <c r="L11" s="18" t="n"/>
      <c r="M11" s="18" t="n"/>
      <c r="N11" s="285" t="n"/>
      <c r="O11" s="18" t="n"/>
      <c r="P11" s="18" t="n"/>
      <c r="Q11" s="285" t="n"/>
      <c r="R11" s="18" t="n"/>
      <c r="S11" s="18" t="n"/>
      <c r="T11" s="285" t="n"/>
      <c r="U11" s="18" t="n"/>
      <c r="V11" s="18" t="n"/>
      <c r="W11" s="285" t="n"/>
      <c r="X11" s="18" t="n"/>
      <c r="Y11" s="18" t="n"/>
      <c r="Z11" s="285" t="n"/>
      <c r="AA11" s="18" t="n"/>
      <c r="AB11" s="18" t="n"/>
      <c r="AC11" s="285" t="n"/>
      <c r="AD11" s="18" t="n"/>
      <c r="AE11" s="18" t="n"/>
      <c r="AF11" s="285" t="n"/>
      <c r="AG11" s="19" t="n"/>
      <c r="AH11" s="19" t="n"/>
      <c r="AI11" s="285" t="n"/>
      <c r="AJ11" s="19" t="n"/>
      <c r="AK11" s="19" t="n"/>
    </row>
    <row r="12">
      <c r="A12" s="428" t="n"/>
      <c r="B12" s="285" t="n"/>
      <c r="C12" s="18" t="n"/>
      <c r="D12" s="18" t="n"/>
      <c r="E12" s="285" t="n"/>
      <c r="F12" s="18" t="n"/>
      <c r="G12" s="18" t="n"/>
      <c r="H12" s="285" t="n"/>
      <c r="I12" s="18" t="n"/>
      <c r="J12" s="18" t="n"/>
      <c r="K12" s="285" t="n"/>
      <c r="L12" s="18" t="n"/>
      <c r="M12" s="18" t="n"/>
      <c r="N12" s="285" t="n"/>
      <c r="O12" s="18" t="n"/>
      <c r="P12" s="18" t="n"/>
      <c r="Q12" s="285" t="n"/>
      <c r="R12" s="18" t="n"/>
      <c r="S12" s="18" t="n"/>
      <c r="T12" s="285" t="n"/>
      <c r="U12" s="18" t="n"/>
      <c r="V12" s="18" t="n"/>
      <c r="W12" s="285" t="n"/>
      <c r="X12" s="18" t="n"/>
      <c r="Y12" s="18" t="n"/>
      <c r="Z12" s="285" t="n"/>
      <c r="AA12" s="18" t="n"/>
      <c r="AB12" s="18" t="n"/>
      <c r="AC12" s="285" t="n"/>
      <c r="AD12" s="18" t="n"/>
      <c r="AE12" s="18" t="n"/>
      <c r="AF12" s="285" t="n"/>
      <c r="AG12" s="19" t="n"/>
      <c r="AH12" s="19" t="n"/>
      <c r="AI12" s="285" t="n"/>
      <c r="AJ12" s="19" t="n"/>
      <c r="AK12" s="19" t="n"/>
    </row>
    <row r="13">
      <c r="A13" s="428" t="n"/>
      <c r="B13" s="285" t="n"/>
      <c r="C13" s="18" t="n"/>
      <c r="D13" s="18" t="n"/>
      <c r="E13" s="285" t="n"/>
      <c r="F13" s="18" t="n"/>
      <c r="G13" s="18" t="n"/>
      <c r="H13" s="285" t="n"/>
      <c r="I13" s="18" t="n"/>
      <c r="J13" s="18" t="n"/>
      <c r="K13" s="285" t="n"/>
      <c r="L13" s="18" t="n"/>
      <c r="M13" s="18" t="n"/>
      <c r="N13" s="285" t="n"/>
      <c r="O13" s="18" t="n"/>
      <c r="P13" s="18" t="n"/>
      <c r="Q13" s="285" t="n"/>
      <c r="R13" s="18" t="n"/>
      <c r="S13" s="18" t="n"/>
      <c r="T13" s="285" t="n"/>
      <c r="U13" s="18" t="n"/>
      <c r="V13" s="18" t="n"/>
      <c r="W13" s="285" t="n"/>
      <c r="X13" s="18" t="n"/>
      <c r="Y13" s="18" t="n"/>
      <c r="Z13" s="285" t="n"/>
      <c r="AA13" s="18" t="n"/>
      <c r="AB13" s="18" t="n"/>
      <c r="AC13" s="285" t="n"/>
      <c r="AD13" s="18" t="n"/>
      <c r="AE13" s="18" t="n"/>
      <c r="AF13" s="285" t="n"/>
      <c r="AG13" s="19" t="n"/>
      <c r="AH13" s="19" t="n"/>
      <c r="AI13" s="285" t="n"/>
      <c r="AJ13" s="19" t="n"/>
      <c r="AK13" s="19" t="n"/>
    </row>
    <row r="14">
      <c r="A14" s="428" t="n"/>
      <c r="B14" s="285" t="n"/>
      <c r="C14" s="18" t="n"/>
      <c r="D14" s="18" t="n"/>
      <c r="E14" s="285" t="n"/>
      <c r="F14" s="18" t="n"/>
      <c r="G14" s="18" t="n"/>
      <c r="H14" s="285" t="n"/>
      <c r="I14" s="18" t="n"/>
      <c r="J14" s="18" t="n"/>
      <c r="K14" s="285" t="n"/>
      <c r="L14" s="18" t="n"/>
      <c r="M14" s="18" t="n"/>
      <c r="N14" s="285" t="n"/>
      <c r="O14" s="18" t="n"/>
      <c r="P14" s="18" t="n"/>
      <c r="Q14" s="285" t="n"/>
      <c r="R14" s="18" t="n"/>
      <c r="S14" s="18" t="n"/>
      <c r="T14" s="285" t="n"/>
      <c r="U14" s="18" t="n"/>
      <c r="V14" s="18" t="n"/>
      <c r="W14" s="285" t="n"/>
      <c r="X14" s="18" t="n"/>
      <c r="Y14" s="18" t="n"/>
      <c r="Z14" s="285" t="n"/>
      <c r="AA14" s="18" t="n"/>
      <c r="AB14" s="18" t="n"/>
      <c r="AC14" s="285" t="n"/>
      <c r="AD14" s="18" t="n"/>
      <c r="AE14" s="18" t="n"/>
      <c r="AF14" s="285" t="n"/>
      <c r="AG14" s="19" t="n"/>
      <c r="AH14" s="19" t="n"/>
      <c r="AI14" s="285" t="n"/>
      <c r="AJ14" s="19" t="n"/>
      <c r="AK14" s="19" t="n"/>
    </row>
    <row r="15">
      <c r="A15" s="428" t="n"/>
      <c r="B15" s="285" t="n"/>
      <c r="C15" s="18" t="n"/>
      <c r="D15" s="18" t="n"/>
      <c r="E15" s="285" t="n"/>
      <c r="F15" s="18" t="n"/>
      <c r="G15" s="18" t="n"/>
      <c r="H15" s="285" t="n"/>
      <c r="I15" s="18" t="n"/>
      <c r="J15" s="18" t="n"/>
      <c r="K15" s="285" t="n"/>
      <c r="L15" s="18" t="n"/>
      <c r="M15" s="18" t="n"/>
      <c r="N15" s="285" t="n"/>
      <c r="O15" s="18" t="n"/>
      <c r="P15" s="18" t="n"/>
      <c r="Q15" s="285" t="n"/>
      <c r="R15" s="18" t="n"/>
      <c r="S15" s="18" t="n"/>
      <c r="T15" s="285" t="n"/>
      <c r="U15" s="18" t="n"/>
      <c r="V15" s="18" t="n"/>
      <c r="W15" s="285" t="n"/>
      <c r="X15" s="18" t="n"/>
      <c r="Y15" s="18" t="n"/>
      <c r="Z15" s="285" t="n"/>
      <c r="AA15" s="18" t="n"/>
      <c r="AB15" s="18" t="n"/>
      <c r="AC15" s="285" t="n"/>
      <c r="AD15" s="18" t="n"/>
      <c r="AE15" s="18" t="n"/>
      <c r="AF15" s="285" t="n"/>
      <c r="AG15" s="19" t="n"/>
      <c r="AH15" s="19" t="n"/>
      <c r="AI15" s="285" t="n"/>
      <c r="AJ15" s="19" t="n"/>
      <c r="AK15" s="19" t="n"/>
    </row>
    <row r="16">
      <c r="A16" s="330" t="n"/>
      <c r="B16" s="281" t="n"/>
      <c r="C16" s="15" t="n"/>
      <c r="D16" s="15" t="n"/>
      <c r="E16" s="281" t="n"/>
      <c r="F16" s="15" t="n"/>
      <c r="G16" s="15" t="n"/>
      <c r="H16" s="281" t="n"/>
      <c r="I16" s="15" t="n"/>
      <c r="J16" s="15" t="n"/>
      <c r="K16" s="281" t="n"/>
      <c r="L16" s="15" t="n"/>
      <c r="M16" s="15" t="n"/>
      <c r="N16" s="281" t="n"/>
      <c r="O16" s="15" t="n"/>
      <c r="P16" s="15" t="n"/>
      <c r="Q16" s="281" t="n"/>
      <c r="R16" s="15" t="n"/>
      <c r="S16" s="15" t="n"/>
      <c r="T16" s="281" t="n"/>
      <c r="U16" s="15" t="n"/>
      <c r="V16" s="15" t="n"/>
      <c r="W16" s="281" t="n"/>
      <c r="X16" s="15" t="n"/>
      <c r="Y16" s="15" t="n"/>
      <c r="Z16" s="281" t="n"/>
      <c r="AA16" s="15" t="n"/>
      <c r="AB16" s="15" t="n"/>
      <c r="AC16" s="281" t="n"/>
      <c r="AD16" s="15" t="n"/>
      <c r="AE16" s="15" t="n"/>
      <c r="AF16" s="281" t="n"/>
      <c r="AG16" s="327" t="n"/>
      <c r="AH16" s="15" t="n"/>
      <c r="AI16" s="281" t="n"/>
      <c r="AJ16" s="327" t="n"/>
      <c r="AK16" s="15" t="n"/>
    </row>
    <row r="17">
      <c r="A17" s="428" t="n"/>
      <c r="B17" s="285" t="n"/>
      <c r="C17" s="15" t="n"/>
      <c r="D17" s="15" t="n"/>
      <c r="E17" s="285" t="n"/>
      <c r="F17" s="15" t="n"/>
      <c r="G17" s="15" t="n"/>
      <c r="H17" s="285" t="n"/>
      <c r="I17" s="15" t="n"/>
      <c r="J17" s="15" t="n"/>
      <c r="K17" s="285" t="n"/>
      <c r="L17" s="15" t="n"/>
      <c r="M17" s="15" t="n"/>
      <c r="N17" s="285" t="n"/>
      <c r="O17" s="15" t="n"/>
      <c r="P17" s="15" t="n"/>
      <c r="Q17" s="285" t="n"/>
      <c r="R17" s="15" t="n"/>
      <c r="S17" s="15" t="n"/>
      <c r="T17" s="285" t="n"/>
      <c r="U17" s="15" t="n"/>
      <c r="V17" s="15" t="n"/>
      <c r="W17" s="285" t="n"/>
      <c r="X17" s="15" t="n"/>
      <c r="Y17" s="15" t="n"/>
      <c r="Z17" s="285" t="n"/>
      <c r="AA17" s="15" t="n"/>
      <c r="AB17" s="15" t="n"/>
      <c r="AC17" s="285" t="n"/>
      <c r="AD17" s="15" t="n"/>
      <c r="AE17" s="15" t="n"/>
      <c r="AF17" s="285" t="n"/>
      <c r="AG17" s="327" t="n"/>
      <c r="AH17" s="15" t="n"/>
      <c r="AI17" s="285" t="n"/>
      <c r="AJ17" s="327" t="n"/>
      <c r="AK17" s="15" t="n"/>
    </row>
    <row r="18">
      <c r="A18" s="428" t="n"/>
      <c r="B18" s="285" t="n"/>
      <c r="C18" s="15" t="n"/>
      <c r="D18" s="15" t="n"/>
      <c r="E18" s="285" t="n"/>
      <c r="F18" s="15" t="n"/>
      <c r="G18" s="15" t="n"/>
      <c r="H18" s="285" t="n"/>
      <c r="I18" s="15" t="n"/>
      <c r="J18" s="15" t="n"/>
      <c r="K18" s="285" t="n"/>
      <c r="L18" s="15" t="n"/>
      <c r="M18" s="15" t="n"/>
      <c r="N18" s="285" t="n"/>
      <c r="O18" s="15" t="n"/>
      <c r="P18" s="15" t="n"/>
      <c r="Q18" s="285" t="n"/>
      <c r="R18" s="15" t="n"/>
      <c r="S18" s="15" t="n"/>
      <c r="T18" s="285" t="n"/>
      <c r="U18" s="15" t="n"/>
      <c r="V18" s="15" t="n"/>
      <c r="W18" s="285" t="n"/>
      <c r="X18" s="15" t="n"/>
      <c r="Y18" s="15" t="n"/>
      <c r="Z18" s="285" t="n"/>
      <c r="AA18" s="15" t="n"/>
      <c r="AB18" s="15" t="n"/>
      <c r="AC18" s="285" t="n"/>
      <c r="AD18" s="15" t="n"/>
      <c r="AE18" s="15" t="n"/>
      <c r="AF18" s="285" t="n"/>
      <c r="AG18" s="327" t="n"/>
      <c r="AH18" s="15" t="n"/>
      <c r="AI18" s="285" t="n"/>
      <c r="AJ18" s="327" t="n"/>
      <c r="AK18" s="15" t="n"/>
    </row>
    <row r="19">
      <c r="A19" s="428" t="n"/>
      <c r="B19" s="285" t="n"/>
      <c r="C19" s="15" t="n"/>
      <c r="D19" s="15" t="n"/>
      <c r="E19" s="285" t="n"/>
      <c r="F19" s="15" t="n"/>
      <c r="G19" s="15" t="n"/>
      <c r="H19" s="285" t="n"/>
      <c r="I19" s="15" t="n"/>
      <c r="J19" s="15" t="n"/>
      <c r="K19" s="285" t="n"/>
      <c r="L19" s="15" t="n"/>
      <c r="M19" s="15" t="n"/>
      <c r="N19" s="285" t="n"/>
      <c r="O19" s="15" t="n"/>
      <c r="P19" s="15" t="n"/>
      <c r="Q19" s="285" t="n"/>
      <c r="R19" s="15" t="n"/>
      <c r="S19" s="15" t="n"/>
      <c r="T19" s="285" t="n"/>
      <c r="U19" s="15" t="n"/>
      <c r="V19" s="15" t="n"/>
      <c r="W19" s="285" t="n"/>
      <c r="X19" s="15" t="n"/>
      <c r="Y19" s="15" t="n"/>
      <c r="Z19" s="285" t="n"/>
      <c r="AA19" s="15" t="n"/>
      <c r="AB19" s="15" t="n"/>
      <c r="AC19" s="285" t="n"/>
      <c r="AD19" s="15" t="n"/>
      <c r="AE19" s="15" t="n"/>
      <c r="AF19" s="285" t="n"/>
      <c r="AG19" s="327" t="n"/>
      <c r="AH19" s="15" t="n"/>
      <c r="AI19" s="285" t="n"/>
      <c r="AJ19" s="327" t="n"/>
      <c r="AK19" s="15" t="n"/>
    </row>
    <row r="20">
      <c r="A20" s="428" t="n"/>
      <c r="B20" s="285" t="n"/>
      <c r="C20" s="15" t="n"/>
      <c r="D20" s="15" t="n"/>
      <c r="E20" s="285" t="n"/>
      <c r="F20" s="15" t="n"/>
      <c r="G20" s="15" t="n"/>
      <c r="H20" s="285" t="n"/>
      <c r="I20" s="15" t="n"/>
      <c r="J20" s="15" t="n"/>
      <c r="K20" s="285" t="n"/>
      <c r="L20" s="15" t="n"/>
      <c r="M20" s="15" t="n"/>
      <c r="N20" s="285" t="n"/>
      <c r="O20" s="15" t="n"/>
      <c r="P20" s="15" t="n"/>
      <c r="Q20" s="285" t="n"/>
      <c r="R20" s="15" t="n"/>
      <c r="S20" s="15" t="n"/>
      <c r="T20" s="285" t="n"/>
      <c r="U20" s="15" t="n"/>
      <c r="V20" s="15" t="n"/>
      <c r="W20" s="285" t="n"/>
      <c r="X20" s="15" t="n"/>
      <c r="Y20" s="15" t="n"/>
      <c r="Z20" s="285" t="n"/>
      <c r="AA20" s="15" t="n"/>
      <c r="AB20" s="15" t="n"/>
      <c r="AC20" s="285" t="n"/>
      <c r="AD20" s="15" t="n"/>
      <c r="AE20" s="15" t="n"/>
      <c r="AF20" s="285" t="n"/>
      <c r="AG20" s="327" t="n"/>
      <c r="AH20" s="15" t="n"/>
      <c r="AI20" s="285" t="n"/>
      <c r="AJ20" s="327" t="n"/>
      <c r="AK20" s="15" t="n"/>
    </row>
    <row r="21">
      <c r="A21" s="428" t="n"/>
      <c r="B21" s="285" t="n"/>
      <c r="C21" s="15" t="n"/>
      <c r="D21" s="15" t="n"/>
      <c r="E21" s="285" t="n"/>
      <c r="F21" s="15" t="n"/>
      <c r="G21" s="15" t="n"/>
      <c r="H21" s="285" t="n"/>
      <c r="I21" s="15" t="n"/>
      <c r="J21" s="15" t="n"/>
      <c r="K21" s="285" t="n"/>
      <c r="L21" s="15" t="n"/>
      <c r="M21" s="15" t="n"/>
      <c r="N21" s="285" t="n"/>
      <c r="O21" s="15" t="n"/>
      <c r="P21" s="15" t="n"/>
      <c r="Q21" s="285" t="n"/>
      <c r="R21" s="15" t="n"/>
      <c r="S21" s="15" t="n"/>
      <c r="T21" s="285" t="n"/>
      <c r="U21" s="15" t="n"/>
      <c r="V21" s="15" t="n"/>
      <c r="W21" s="285" t="n"/>
      <c r="X21" s="15" t="n"/>
      <c r="Y21" s="15" t="n"/>
      <c r="Z21" s="285" t="n"/>
      <c r="AA21" s="15" t="n"/>
      <c r="AB21" s="15" t="n"/>
      <c r="AC21" s="285" t="n"/>
      <c r="AD21" s="15" t="n"/>
      <c r="AE21" s="15" t="n"/>
      <c r="AF21" s="285" t="n"/>
      <c r="AG21" s="327" t="n"/>
      <c r="AH21" s="15" t="n"/>
      <c r="AI21" s="285" t="n"/>
      <c r="AJ21" s="327" t="n"/>
      <c r="AK21" s="15" t="n"/>
    </row>
    <row r="22">
      <c r="A22" s="428" t="n"/>
      <c r="B22" s="285" t="n"/>
      <c r="C22" s="15" t="n"/>
      <c r="D22" s="15" t="n"/>
      <c r="E22" s="285" t="n"/>
      <c r="F22" s="15" t="n"/>
      <c r="G22" s="15" t="n"/>
      <c r="H22" s="285" t="n"/>
      <c r="I22" s="15" t="n"/>
      <c r="J22" s="15" t="n"/>
      <c r="K22" s="285" t="n"/>
      <c r="L22" s="15" t="n"/>
      <c r="M22" s="15" t="n"/>
      <c r="N22" s="285" t="n"/>
      <c r="O22" s="15" t="n"/>
      <c r="P22" s="15" t="n"/>
      <c r="Q22" s="285" t="n"/>
      <c r="R22" s="15" t="n"/>
      <c r="S22" s="15" t="n"/>
      <c r="T22" s="285" t="n"/>
      <c r="U22" s="15" t="n"/>
      <c r="V22" s="15" t="n"/>
      <c r="W22" s="285" t="n"/>
      <c r="X22" s="15" t="n"/>
      <c r="Y22" s="15" t="n"/>
      <c r="Z22" s="285" t="n"/>
      <c r="AA22" s="15" t="n"/>
      <c r="AB22" s="15" t="n"/>
      <c r="AC22" s="285" t="n"/>
      <c r="AD22" s="15" t="n"/>
      <c r="AE22" s="15" t="n"/>
      <c r="AF22" s="285" t="n"/>
      <c r="AG22" s="327" t="n"/>
      <c r="AH22" s="15" t="n"/>
      <c r="AI22" s="285" t="n"/>
      <c r="AJ22" s="327" t="n"/>
      <c r="AK22" s="15" t="n"/>
    </row>
    <row r="23">
      <c r="A23" s="428" t="n"/>
      <c r="B23" s="285" t="n"/>
      <c r="C23" s="15" t="n"/>
      <c r="D23" s="15" t="n"/>
      <c r="E23" s="285" t="n"/>
      <c r="F23" s="15" t="n"/>
      <c r="G23" s="15" t="n"/>
      <c r="H23" s="285" t="n"/>
      <c r="I23" s="15" t="n"/>
      <c r="J23" s="15" t="n"/>
      <c r="K23" s="285" t="n"/>
      <c r="L23" s="15" t="n"/>
      <c r="M23" s="15" t="n"/>
      <c r="N23" s="285" t="n"/>
      <c r="O23" s="15" t="n"/>
      <c r="P23" s="15" t="n"/>
      <c r="Q23" s="285" t="n"/>
      <c r="R23" s="15" t="n"/>
      <c r="S23" s="15" t="n"/>
      <c r="T23" s="285" t="n"/>
      <c r="U23" s="15" t="n"/>
      <c r="V23" s="15" t="n"/>
      <c r="W23" s="285" t="n"/>
      <c r="X23" s="15" t="n"/>
      <c r="Y23" s="15" t="n"/>
      <c r="Z23" s="285" t="n"/>
      <c r="AA23" s="15" t="n"/>
      <c r="AB23" s="15" t="n"/>
      <c r="AC23" s="285" t="n"/>
      <c r="AD23" s="15" t="n"/>
      <c r="AE23" s="15" t="n"/>
      <c r="AF23" s="285" t="n"/>
      <c r="AG23" s="327" t="n"/>
      <c r="AH23" s="15" t="n"/>
      <c r="AI23" s="285" t="n"/>
      <c r="AJ23" s="327" t="n"/>
      <c r="AK23" s="15" t="n"/>
    </row>
    <row r="24">
      <c r="A24" s="428" t="n"/>
      <c r="B24" s="285" t="n"/>
      <c r="C24" s="15" t="n"/>
      <c r="D24" s="15" t="n"/>
      <c r="E24" s="285" t="n"/>
      <c r="F24" s="15" t="n"/>
      <c r="G24" s="15" t="n"/>
      <c r="H24" s="285" t="n"/>
      <c r="I24" s="15" t="n"/>
      <c r="J24" s="15" t="n"/>
      <c r="K24" s="285" t="n"/>
      <c r="L24" s="15" t="n"/>
      <c r="M24" s="15" t="n"/>
      <c r="N24" s="285" t="n"/>
      <c r="O24" s="15" t="n"/>
      <c r="P24" s="15" t="n"/>
      <c r="Q24" s="285" t="n"/>
      <c r="R24" s="15" t="n"/>
      <c r="S24" s="15" t="n"/>
      <c r="T24" s="285" t="n"/>
      <c r="U24" s="15" t="n"/>
      <c r="V24" s="15" t="n"/>
      <c r="W24" s="285" t="n"/>
      <c r="X24" s="15" t="n"/>
      <c r="Y24" s="15" t="n"/>
      <c r="Z24" s="285" t="n"/>
      <c r="AA24" s="15" t="n"/>
      <c r="AB24" s="15" t="n"/>
      <c r="AC24" s="285" t="n"/>
      <c r="AD24" s="15" t="n"/>
      <c r="AE24" s="15" t="n"/>
      <c r="AF24" s="285" t="n"/>
      <c r="AG24" s="327" t="n"/>
      <c r="AH24" s="15" t="n"/>
      <c r="AI24" s="285" t="n"/>
      <c r="AJ24" s="327" t="n"/>
      <c r="AK24" s="15" t="n"/>
    </row>
    <row r="25">
      <c r="A25" s="428" t="n"/>
      <c r="B25" s="285" t="n"/>
      <c r="C25" s="15" t="n"/>
      <c r="D25" s="15" t="n"/>
      <c r="E25" s="285" t="n"/>
      <c r="F25" s="15" t="n"/>
      <c r="G25" s="15" t="n"/>
      <c r="H25" s="285" t="n"/>
      <c r="I25" s="15" t="n"/>
      <c r="J25" s="15" t="n"/>
      <c r="K25" s="285" t="n"/>
      <c r="L25" s="15" t="n"/>
      <c r="M25" s="15" t="n"/>
      <c r="N25" s="285" t="n"/>
      <c r="O25" s="15" t="n"/>
      <c r="P25" s="15" t="n"/>
      <c r="Q25" s="285" t="n"/>
      <c r="R25" s="15" t="n"/>
      <c r="S25" s="15" t="n"/>
      <c r="T25" s="285" t="n"/>
      <c r="U25" s="15" t="n"/>
      <c r="V25" s="15" t="n"/>
      <c r="W25" s="285" t="n"/>
      <c r="X25" s="15" t="n"/>
      <c r="Y25" s="15" t="n"/>
      <c r="Z25" s="285" t="n"/>
      <c r="AA25" s="15" t="n"/>
      <c r="AB25" s="15" t="n"/>
      <c r="AC25" s="285" t="n"/>
      <c r="AD25" s="15" t="n"/>
      <c r="AE25" s="15" t="n"/>
      <c r="AF25" s="285" t="n"/>
      <c r="AG25" s="327" t="n"/>
      <c r="AH25" s="15" t="n"/>
      <c r="AI25" s="285" t="n"/>
      <c r="AJ25" s="327" t="n"/>
      <c r="AK25" s="15" t="n"/>
    </row>
    <row r="26">
      <c r="A26" s="428" t="n"/>
      <c r="B26" s="285" t="n"/>
      <c r="C26" s="15" t="n"/>
      <c r="D26" s="15" t="n"/>
      <c r="E26" s="285" t="n"/>
      <c r="F26" s="15" t="n"/>
      <c r="G26" s="15" t="n"/>
      <c r="H26" s="285" t="n"/>
      <c r="I26" s="15" t="n"/>
      <c r="J26" s="15" t="n"/>
      <c r="K26" s="285" t="n"/>
      <c r="L26" s="15" t="n"/>
      <c r="M26" s="15" t="n"/>
      <c r="N26" s="285" t="n"/>
      <c r="O26" s="15" t="n"/>
      <c r="P26" s="15" t="n"/>
      <c r="Q26" s="285" t="n"/>
      <c r="R26" s="15" t="n"/>
      <c r="S26" s="15" t="n"/>
      <c r="T26" s="285" t="n"/>
      <c r="U26" s="15" t="n"/>
      <c r="V26" s="15" t="n"/>
      <c r="W26" s="285" t="n"/>
      <c r="X26" s="15" t="n"/>
      <c r="Y26" s="15" t="n"/>
      <c r="Z26" s="285" t="n"/>
      <c r="AA26" s="15" t="n"/>
      <c r="AB26" s="15" t="n"/>
      <c r="AC26" s="285" t="n"/>
      <c r="AD26" s="15" t="n"/>
      <c r="AE26" s="15" t="n"/>
      <c r="AF26" s="285" t="n"/>
      <c r="AG26" s="327" t="n"/>
      <c r="AH26" s="15" t="n"/>
      <c r="AI26" s="285" t="n"/>
      <c r="AJ26" s="327" t="n"/>
      <c r="AK26" s="15" t="n"/>
    </row>
    <row r="27">
      <c r="A27" s="428" t="n"/>
      <c r="B27" s="285" t="n"/>
      <c r="C27" s="15" t="n"/>
      <c r="D27" s="15" t="n"/>
      <c r="E27" s="285" t="n"/>
      <c r="F27" s="15" t="n"/>
      <c r="G27" s="15" t="n"/>
      <c r="H27" s="285" t="n"/>
      <c r="I27" s="15" t="n"/>
      <c r="J27" s="15" t="n"/>
      <c r="K27" s="285" t="n"/>
      <c r="L27" s="15" t="n"/>
      <c r="M27" s="15" t="n"/>
      <c r="N27" s="285" t="n"/>
      <c r="O27" s="15" t="n"/>
      <c r="P27" s="15" t="n"/>
      <c r="Q27" s="285" t="n"/>
      <c r="R27" s="15" t="n"/>
      <c r="S27" s="15" t="n"/>
      <c r="T27" s="285" t="n"/>
      <c r="U27" s="15" t="n"/>
      <c r="V27" s="15" t="n"/>
      <c r="W27" s="285" t="n"/>
      <c r="X27" s="15" t="n"/>
      <c r="Y27" s="15" t="n"/>
      <c r="Z27" s="285" t="n"/>
      <c r="AA27" s="15" t="n"/>
      <c r="AB27" s="15" t="n"/>
      <c r="AC27" s="285" t="n"/>
      <c r="AD27" s="15" t="n"/>
      <c r="AE27" s="15" t="n"/>
      <c r="AF27" s="285" t="n"/>
      <c r="AG27" s="327" t="n"/>
      <c r="AH27" s="15" t="n"/>
      <c r="AI27" s="285" t="n"/>
      <c r="AJ27" s="327" t="n"/>
      <c r="AK27" s="15" t="n"/>
    </row>
    <row r="28">
      <c r="A28" s="330" t="n"/>
      <c r="B28" s="292" t="n"/>
      <c r="C28" s="15" t="n"/>
      <c r="D28" s="15" t="n"/>
      <c r="E28" s="292" t="n"/>
      <c r="F28" s="15" t="n"/>
      <c r="G28" s="15" t="n"/>
      <c r="H28" s="292" t="n"/>
      <c r="I28" s="15" t="n"/>
      <c r="J28" s="15" t="n"/>
      <c r="K28" s="292" t="n"/>
      <c r="L28" s="15" t="n"/>
      <c r="M28" s="15" t="n"/>
      <c r="N28" s="292" t="n"/>
      <c r="O28" s="15" t="n"/>
      <c r="P28" s="15" t="n"/>
      <c r="Q28" s="292" t="n"/>
      <c r="R28" s="15" t="n"/>
      <c r="S28" s="15" t="n"/>
      <c r="T28" s="292" t="n"/>
      <c r="U28" s="15" t="n"/>
      <c r="V28" s="15" t="n"/>
      <c r="W28" s="292" t="n"/>
      <c r="X28" s="15" t="n"/>
      <c r="Y28" s="15" t="n"/>
      <c r="Z28" s="292" t="n"/>
      <c r="AA28" s="15" t="n"/>
      <c r="AB28" s="15" t="n"/>
      <c r="AC28" s="292" t="n"/>
      <c r="AD28" s="15" t="n"/>
      <c r="AE28" s="15" t="n"/>
      <c r="AF28" s="292" t="n"/>
      <c r="AG28" s="327" t="n"/>
      <c r="AH28" s="15" t="n"/>
      <c r="AI28" s="292" t="n"/>
      <c r="AJ28" s="327" t="n"/>
      <c r="AK28" s="15" t="n"/>
    </row>
    <row r="29">
      <c r="A29" s="428" t="n"/>
      <c r="B29" s="285" t="n"/>
      <c r="C29" s="15" t="n"/>
      <c r="D29" s="15" t="n"/>
      <c r="E29" s="285" t="n"/>
      <c r="F29" s="15" t="n"/>
      <c r="G29" s="15" t="n"/>
      <c r="H29" s="285" t="n"/>
      <c r="I29" s="15" t="n"/>
      <c r="J29" s="15" t="n"/>
      <c r="K29" s="285" t="n"/>
      <c r="L29" s="15" t="n"/>
      <c r="M29" s="15" t="n"/>
      <c r="N29" s="285" t="n"/>
      <c r="O29" s="15" t="n"/>
      <c r="P29" s="15" t="n"/>
      <c r="Q29" s="285" t="n"/>
      <c r="R29" s="15" t="n"/>
      <c r="S29" s="15" t="n"/>
      <c r="T29" s="285" t="n"/>
      <c r="U29" s="15" t="n"/>
      <c r="V29" s="15" t="n"/>
      <c r="W29" s="285" t="n"/>
      <c r="X29" s="15" t="n"/>
      <c r="Y29" s="15" t="n"/>
      <c r="Z29" s="285" t="n"/>
      <c r="AA29" s="15" t="n"/>
      <c r="AB29" s="15" t="n"/>
      <c r="AC29" s="285" t="n"/>
      <c r="AD29" s="15" t="n"/>
      <c r="AE29" s="15" t="n"/>
      <c r="AF29" s="285" t="n"/>
      <c r="AG29" s="327" t="n"/>
      <c r="AH29" s="15" t="n"/>
      <c r="AI29" s="285" t="n"/>
      <c r="AJ29" s="327" t="n"/>
      <c r="AK29" s="15" t="n"/>
    </row>
    <row r="30">
      <c r="A30" s="428" t="n"/>
      <c r="B30" s="285" t="n"/>
      <c r="C30" s="15" t="n"/>
      <c r="D30" s="15" t="n"/>
      <c r="E30" s="285" t="n"/>
      <c r="F30" s="15" t="n"/>
      <c r="G30" s="15" t="n"/>
      <c r="H30" s="285" t="n"/>
      <c r="I30" s="15" t="n"/>
      <c r="J30" s="15" t="n"/>
      <c r="K30" s="285" t="n"/>
      <c r="L30" s="15" t="n"/>
      <c r="M30" s="15" t="n"/>
      <c r="N30" s="285" t="n"/>
      <c r="O30" s="15" t="n"/>
      <c r="P30" s="15" t="n"/>
      <c r="Q30" s="285" t="n"/>
      <c r="R30" s="15" t="n"/>
      <c r="S30" s="15" t="n"/>
      <c r="T30" s="285" t="n"/>
      <c r="U30" s="15" t="n"/>
      <c r="V30" s="15" t="n"/>
      <c r="W30" s="285" t="n"/>
      <c r="X30" s="15" t="n"/>
      <c r="Y30" s="15" t="n"/>
      <c r="Z30" s="285" t="n"/>
      <c r="AA30" s="15" t="n"/>
      <c r="AB30" s="15" t="n"/>
      <c r="AC30" s="285" t="n"/>
      <c r="AD30" s="15" t="n"/>
      <c r="AE30" s="15" t="n"/>
      <c r="AF30" s="285" t="n"/>
      <c r="AG30" s="327" t="n"/>
      <c r="AH30" s="15" t="n"/>
      <c r="AI30" s="285" t="n"/>
      <c r="AJ30" s="327" t="n"/>
      <c r="AK30" s="15" t="n"/>
    </row>
    <row r="31">
      <c r="A31" s="428" t="n"/>
      <c r="B31" s="285" t="n"/>
      <c r="C31" s="15" t="n"/>
      <c r="D31" s="15" t="n"/>
      <c r="E31" s="285" t="n"/>
      <c r="F31" s="15" t="n"/>
      <c r="G31" s="15" t="n"/>
      <c r="H31" s="285" t="n"/>
      <c r="I31" s="15" t="n"/>
      <c r="J31" s="15" t="n"/>
      <c r="K31" s="285" t="n"/>
      <c r="L31" s="15" t="n"/>
      <c r="M31" s="15" t="n"/>
      <c r="N31" s="285" t="n"/>
      <c r="O31" s="15" t="n"/>
      <c r="P31" s="15" t="n"/>
      <c r="Q31" s="285" t="n"/>
      <c r="R31" s="15" t="n"/>
      <c r="S31" s="15" t="n"/>
      <c r="T31" s="285" t="n"/>
      <c r="U31" s="15" t="n"/>
      <c r="V31" s="15" t="n"/>
      <c r="W31" s="285" t="n"/>
      <c r="X31" s="15" t="n"/>
      <c r="Y31" s="15" t="n"/>
      <c r="Z31" s="285" t="n"/>
      <c r="AA31" s="15" t="n"/>
      <c r="AB31" s="15" t="n"/>
      <c r="AC31" s="285" t="n"/>
      <c r="AD31" s="15" t="n"/>
      <c r="AE31" s="15" t="n"/>
      <c r="AF31" s="285" t="n"/>
      <c r="AG31" s="327" t="n"/>
      <c r="AH31" s="15" t="n"/>
      <c r="AI31" s="285" t="n"/>
      <c r="AJ31" s="327" t="n"/>
      <c r="AK31" s="15" t="n"/>
    </row>
    <row r="32">
      <c r="A32" s="428" t="n"/>
      <c r="B32" s="285" t="n"/>
      <c r="C32" s="15" t="n"/>
      <c r="D32" s="15" t="n"/>
      <c r="E32" s="285" t="n"/>
      <c r="F32" s="15" t="n"/>
      <c r="G32" s="15" t="n"/>
      <c r="H32" s="285" t="n"/>
      <c r="I32" s="15" t="n"/>
      <c r="J32" s="15" t="n"/>
      <c r="K32" s="285" t="n"/>
      <c r="L32" s="15" t="n"/>
      <c r="M32" s="15" t="n"/>
      <c r="N32" s="285" t="n"/>
      <c r="O32" s="15" t="n"/>
      <c r="P32" s="15" t="n"/>
      <c r="Q32" s="285" t="n"/>
      <c r="R32" s="15" t="n"/>
      <c r="S32" s="15" t="n"/>
      <c r="T32" s="285" t="n"/>
      <c r="U32" s="15" t="n"/>
      <c r="V32" s="15" t="n"/>
      <c r="W32" s="285" t="n"/>
      <c r="X32" s="15" t="n"/>
      <c r="Y32" s="15" t="n"/>
      <c r="Z32" s="285" t="n"/>
      <c r="AA32" s="15" t="n"/>
      <c r="AB32" s="15" t="n"/>
      <c r="AC32" s="285" t="n"/>
      <c r="AD32" s="15" t="n"/>
      <c r="AE32" s="15" t="n"/>
      <c r="AF32" s="285" t="n"/>
      <c r="AG32" s="327" t="n"/>
      <c r="AH32" s="15" t="n"/>
      <c r="AI32" s="285" t="n"/>
      <c r="AJ32" s="327" t="n"/>
      <c r="AK32" s="15" t="n"/>
    </row>
    <row r="33">
      <c r="A33" s="428" t="n"/>
      <c r="B33" s="285" t="n"/>
      <c r="C33" s="15" t="n"/>
      <c r="D33" s="15" t="n"/>
      <c r="E33" s="285" t="n"/>
      <c r="F33" s="15" t="n"/>
      <c r="G33" s="15" t="n"/>
      <c r="H33" s="285" t="n"/>
      <c r="I33" s="15" t="n"/>
      <c r="J33" s="15" t="n"/>
      <c r="K33" s="285" t="n"/>
      <c r="L33" s="15" t="n"/>
      <c r="M33" s="15" t="n"/>
      <c r="N33" s="285" t="n"/>
      <c r="O33" s="15" t="n"/>
      <c r="P33" s="15" t="n"/>
      <c r="Q33" s="285" t="n"/>
      <c r="R33" s="15" t="n"/>
      <c r="S33" s="15" t="n"/>
      <c r="T33" s="285" t="n"/>
      <c r="U33" s="15" t="n"/>
      <c r="V33" s="15" t="n"/>
      <c r="W33" s="285" t="n"/>
      <c r="X33" s="15" t="n"/>
      <c r="Y33" s="15" t="n"/>
      <c r="Z33" s="285" t="n"/>
      <c r="AA33" s="15" t="n"/>
      <c r="AB33" s="15" t="n"/>
      <c r="AC33" s="285" t="n"/>
      <c r="AD33" s="15" t="n"/>
      <c r="AE33" s="15" t="n"/>
      <c r="AF33" s="285" t="n"/>
      <c r="AG33" s="327" t="n"/>
      <c r="AH33" s="15" t="n"/>
      <c r="AI33" s="285" t="n"/>
      <c r="AJ33" s="327" t="n"/>
      <c r="AK33" s="15" t="n"/>
    </row>
    <row r="34">
      <c r="A34" s="428" t="n"/>
      <c r="B34" s="285" t="n"/>
      <c r="C34" s="15" t="n"/>
      <c r="D34" s="15" t="n"/>
      <c r="E34" s="285" t="n"/>
      <c r="F34" s="15" t="n"/>
      <c r="G34" s="15" t="n"/>
      <c r="H34" s="285" t="n"/>
      <c r="I34" s="15" t="n"/>
      <c r="J34" s="15" t="n"/>
      <c r="K34" s="285" t="n"/>
      <c r="L34" s="15" t="n"/>
      <c r="M34" s="15" t="n"/>
      <c r="N34" s="285" t="n"/>
      <c r="O34" s="15" t="n"/>
      <c r="P34" s="15" t="n"/>
      <c r="Q34" s="285" t="n"/>
      <c r="R34" s="15" t="n"/>
      <c r="S34" s="15" t="n"/>
      <c r="T34" s="285" t="n"/>
      <c r="U34" s="15" t="n"/>
      <c r="V34" s="15" t="n"/>
      <c r="W34" s="285" t="n"/>
      <c r="X34" s="15" t="n"/>
      <c r="Y34" s="15" t="n"/>
      <c r="Z34" s="285" t="n"/>
      <c r="AA34" s="15" t="n"/>
      <c r="AB34" s="15" t="n"/>
      <c r="AC34" s="285" t="n"/>
      <c r="AD34" s="15" t="n"/>
      <c r="AE34" s="15" t="n"/>
      <c r="AF34" s="285" t="n"/>
      <c r="AG34" s="327" t="n"/>
      <c r="AH34" s="15" t="n"/>
      <c r="AI34" s="285" t="n"/>
      <c r="AJ34" s="327" t="n"/>
      <c r="AK34" s="15" t="n"/>
    </row>
    <row r="35">
      <c r="A35" s="428" t="n"/>
      <c r="B35" s="285" t="n"/>
      <c r="C35" s="15" t="n"/>
      <c r="D35" s="15" t="n"/>
      <c r="E35" s="285" t="n"/>
      <c r="F35" s="15" t="n"/>
      <c r="G35" s="15" t="n"/>
      <c r="H35" s="285" t="n"/>
      <c r="I35" s="15" t="n"/>
      <c r="J35" s="15" t="n"/>
      <c r="K35" s="285" t="n"/>
      <c r="L35" s="15" t="n"/>
      <c r="M35" s="15" t="n"/>
      <c r="N35" s="285" t="n"/>
      <c r="O35" s="15" t="n"/>
      <c r="P35" s="15" t="n"/>
      <c r="Q35" s="285" t="n"/>
      <c r="R35" s="15" t="n"/>
      <c r="S35" s="15" t="n"/>
      <c r="T35" s="285" t="n"/>
      <c r="U35" s="15" t="n"/>
      <c r="V35" s="15" t="n"/>
      <c r="W35" s="285" t="n"/>
      <c r="X35" s="15" t="n"/>
      <c r="Y35" s="15" t="n"/>
      <c r="Z35" s="285" t="n"/>
      <c r="AA35" s="15" t="n"/>
      <c r="AB35" s="15" t="n"/>
      <c r="AC35" s="285" t="n"/>
      <c r="AD35" s="15" t="n"/>
      <c r="AE35" s="15" t="n"/>
      <c r="AF35" s="285" t="n"/>
      <c r="AG35" s="327" t="n"/>
      <c r="AH35" s="15" t="n"/>
      <c r="AI35" s="285" t="n"/>
      <c r="AJ35" s="327" t="n"/>
      <c r="AK35" s="15" t="n"/>
    </row>
    <row r="36">
      <c r="A36" s="428" t="n"/>
      <c r="B36" s="285" t="n"/>
      <c r="C36" s="15" t="n"/>
      <c r="D36" s="15" t="n"/>
      <c r="E36" s="285" t="n"/>
      <c r="F36" s="15" t="n"/>
      <c r="G36" s="15" t="n"/>
      <c r="H36" s="285" t="n"/>
      <c r="I36" s="15" t="n"/>
      <c r="J36" s="15" t="n"/>
      <c r="K36" s="285" t="n"/>
      <c r="L36" s="15" t="n"/>
      <c r="M36" s="15" t="n"/>
      <c r="N36" s="285" t="n"/>
      <c r="O36" s="15" t="n"/>
      <c r="P36" s="15" t="n"/>
      <c r="Q36" s="285" t="n"/>
      <c r="R36" s="15" t="n"/>
      <c r="S36" s="15" t="n"/>
      <c r="T36" s="285" t="n"/>
      <c r="U36" s="15" t="n"/>
      <c r="V36" s="15" t="n"/>
      <c r="W36" s="285" t="n"/>
      <c r="X36" s="15" t="n"/>
      <c r="Y36" s="15" t="n"/>
      <c r="Z36" s="285" t="n"/>
      <c r="AA36" s="15" t="n"/>
      <c r="AB36" s="15" t="n"/>
      <c r="AC36" s="285" t="n"/>
      <c r="AD36" s="15" t="n"/>
      <c r="AE36" s="15" t="n"/>
      <c r="AF36" s="285" t="n"/>
      <c r="AG36" s="327" t="n"/>
      <c r="AH36" s="15" t="n"/>
      <c r="AI36" s="285" t="n"/>
      <c r="AJ36" s="327" t="n"/>
      <c r="AK36" s="15" t="n"/>
    </row>
    <row r="37">
      <c r="A37" s="428" t="n"/>
      <c r="B37" s="285" t="n"/>
      <c r="C37" s="15" t="n"/>
      <c r="D37" s="15" t="n"/>
      <c r="E37" s="285" t="n"/>
      <c r="F37" s="15" t="n"/>
      <c r="G37" s="15" t="n"/>
      <c r="H37" s="285" t="n"/>
      <c r="I37" s="15" t="n"/>
      <c r="J37" s="15" t="n"/>
      <c r="K37" s="285" t="n"/>
      <c r="L37" s="15" t="n"/>
      <c r="M37" s="15" t="n"/>
      <c r="N37" s="285" t="n"/>
      <c r="O37" s="15" t="n"/>
      <c r="P37" s="15" t="n"/>
      <c r="Q37" s="285" t="n"/>
      <c r="R37" s="15" t="n"/>
      <c r="S37" s="15" t="n"/>
      <c r="T37" s="285" t="n"/>
      <c r="U37" s="15" t="n"/>
      <c r="V37" s="15" t="n"/>
      <c r="W37" s="285" t="n"/>
      <c r="X37" s="15" t="n"/>
      <c r="Y37" s="15" t="n"/>
      <c r="Z37" s="285" t="n"/>
      <c r="AA37" s="15" t="n"/>
      <c r="AB37" s="15" t="n"/>
      <c r="AC37" s="285" t="n"/>
      <c r="AD37" s="15" t="n"/>
      <c r="AE37" s="15" t="n"/>
      <c r="AF37" s="285" t="n"/>
      <c r="AG37" s="327" t="n"/>
      <c r="AH37" s="15" t="n"/>
      <c r="AI37" s="285" t="n"/>
      <c r="AJ37" s="327" t="n"/>
      <c r="AK37" s="15" t="n"/>
    </row>
    <row r="38">
      <c r="A38" s="428" t="n"/>
      <c r="B38" s="285" t="n"/>
      <c r="C38" s="15" t="n"/>
      <c r="D38" s="15" t="n"/>
      <c r="E38" s="285" t="n"/>
      <c r="F38" s="15" t="n"/>
      <c r="G38" s="15" t="n"/>
      <c r="H38" s="285" t="n"/>
      <c r="I38" s="15" t="n"/>
      <c r="J38" s="15" t="n"/>
      <c r="K38" s="285" t="n"/>
      <c r="L38" s="15" t="n"/>
      <c r="M38" s="15" t="n"/>
      <c r="N38" s="285" t="n"/>
      <c r="O38" s="15" t="n"/>
      <c r="P38" s="15" t="n"/>
      <c r="Q38" s="285" t="n"/>
      <c r="R38" s="15" t="n"/>
      <c r="S38" s="15" t="n"/>
      <c r="T38" s="285" t="n"/>
      <c r="U38" s="15" t="n"/>
      <c r="V38" s="15" t="n"/>
      <c r="W38" s="285" t="n"/>
      <c r="X38" s="15" t="n"/>
      <c r="Y38" s="15" t="n"/>
      <c r="Z38" s="285" t="n"/>
      <c r="AA38" s="15" t="n"/>
      <c r="AB38" s="15" t="n"/>
      <c r="AC38" s="285" t="n"/>
      <c r="AD38" s="15" t="n"/>
      <c r="AE38" s="15" t="n"/>
      <c r="AF38" s="285" t="n"/>
      <c r="AG38" s="327" t="n"/>
      <c r="AH38" s="15" t="n"/>
      <c r="AI38" s="285" t="n"/>
      <c r="AJ38" s="327" t="n"/>
      <c r="AK38" s="15" t="n"/>
    </row>
    <row r="39">
      <c r="A39" s="428" t="n"/>
      <c r="B39" s="285" t="n"/>
      <c r="C39" s="15" t="n"/>
      <c r="D39" s="15" t="n"/>
      <c r="E39" s="285" t="n"/>
      <c r="F39" s="15" t="n"/>
      <c r="G39" s="15" t="n"/>
      <c r="H39" s="285" t="n"/>
      <c r="I39" s="15" t="n"/>
      <c r="J39" s="15" t="n"/>
      <c r="K39" s="285" t="n"/>
      <c r="L39" s="15" t="n"/>
      <c r="M39" s="15" t="n"/>
      <c r="N39" s="285" t="n"/>
      <c r="O39" s="15" t="n"/>
      <c r="P39" s="15" t="n"/>
      <c r="Q39" s="285" t="n"/>
      <c r="R39" s="15" t="n"/>
      <c r="S39" s="15" t="n"/>
      <c r="T39" s="285" t="n"/>
      <c r="U39" s="15" t="n"/>
      <c r="V39" s="15" t="n"/>
      <c r="W39" s="285" t="n"/>
      <c r="X39" s="15" t="n"/>
      <c r="Y39" s="15" t="n"/>
      <c r="Z39" s="285" t="n"/>
      <c r="AA39" s="15" t="n"/>
      <c r="AB39" s="15" t="n"/>
      <c r="AC39" s="285" t="n"/>
      <c r="AD39" s="15" t="n"/>
      <c r="AE39" s="15" t="n"/>
      <c r="AF39" s="285" t="n"/>
      <c r="AG39" s="327" t="n"/>
      <c r="AH39" s="15" t="n"/>
      <c r="AI39" s="285" t="n"/>
      <c r="AJ39" s="327" t="n"/>
      <c r="AK39" s="15" t="n"/>
    </row>
    <row r="40">
      <c r="A40" s="330" t="n"/>
      <c r="B40" s="292" t="n"/>
      <c r="C40" s="15" t="n"/>
      <c r="D40" s="15" t="n"/>
      <c r="E40" s="292" t="n"/>
      <c r="F40" s="15" t="n"/>
      <c r="G40" s="15" t="n"/>
      <c r="H40" s="292" t="n"/>
      <c r="I40" s="15" t="n"/>
      <c r="J40" s="15" t="n"/>
      <c r="K40" s="292" t="n"/>
      <c r="L40" s="15" t="n"/>
      <c r="M40" s="15" t="n"/>
      <c r="N40" s="292" t="n"/>
      <c r="O40" s="15" t="n"/>
      <c r="P40" s="15" t="n"/>
      <c r="Q40" s="292" t="n"/>
      <c r="R40" s="15" t="n"/>
      <c r="S40" s="15" t="n"/>
      <c r="T40" s="292" t="n"/>
      <c r="U40" s="15" t="n"/>
      <c r="V40" s="15" t="n"/>
      <c r="W40" s="292" t="n"/>
      <c r="X40" s="15" t="n"/>
      <c r="Y40" s="15" t="n"/>
      <c r="Z40" s="292" t="n"/>
      <c r="AA40" s="15" t="n"/>
      <c r="AB40" s="15" t="n"/>
      <c r="AC40" s="292" t="n"/>
      <c r="AD40" s="15" t="n"/>
      <c r="AE40" s="15" t="n"/>
      <c r="AF40" s="292" t="n"/>
      <c r="AG40" s="327" t="n"/>
      <c r="AH40" s="15" t="n"/>
      <c r="AI40" s="292" t="n"/>
      <c r="AJ40" s="327" t="n"/>
      <c r="AK40" s="15" t="n"/>
    </row>
    <row r="41">
      <c r="A41" s="428" t="n"/>
      <c r="B41" s="285" t="n"/>
      <c r="C41" s="15" t="n"/>
      <c r="D41" s="15" t="n"/>
      <c r="E41" s="285" t="n"/>
      <c r="F41" s="15" t="n"/>
      <c r="G41" s="15" t="n"/>
      <c r="H41" s="285" t="n"/>
      <c r="I41" s="15" t="n"/>
      <c r="J41" s="15" t="n"/>
      <c r="K41" s="285" t="n"/>
      <c r="L41" s="15" t="n"/>
      <c r="M41" s="15" t="n"/>
      <c r="N41" s="285" t="n"/>
      <c r="O41" s="15" t="n"/>
      <c r="P41" s="15" t="n"/>
      <c r="Q41" s="285" t="n"/>
      <c r="R41" s="15" t="n"/>
      <c r="S41" s="15" t="n"/>
      <c r="T41" s="285" t="n"/>
      <c r="U41" s="15" t="n"/>
      <c r="V41" s="15" t="n"/>
      <c r="W41" s="285" t="n"/>
      <c r="X41" s="15" t="n"/>
      <c r="Y41" s="15" t="n"/>
      <c r="Z41" s="285" t="n"/>
      <c r="AA41" s="15" t="n"/>
      <c r="AB41" s="15" t="n"/>
      <c r="AC41" s="285" t="n"/>
      <c r="AD41" s="15" t="n"/>
      <c r="AE41" s="15" t="n"/>
      <c r="AF41" s="285" t="n"/>
      <c r="AG41" s="327" t="n"/>
      <c r="AH41" s="15" t="n"/>
      <c r="AI41" s="285" t="n"/>
      <c r="AJ41" s="327" t="n"/>
      <c r="AK41" s="15" t="n"/>
    </row>
    <row r="42">
      <c r="A42" s="428" t="n"/>
      <c r="B42" s="285" t="n"/>
      <c r="C42" s="15" t="n"/>
      <c r="D42" s="15" t="n"/>
      <c r="E42" s="285" t="n"/>
      <c r="F42" s="15" t="n"/>
      <c r="G42" s="15" t="n"/>
      <c r="H42" s="285" t="n"/>
      <c r="I42" s="15" t="n"/>
      <c r="J42" s="15" t="n"/>
      <c r="K42" s="285" t="n"/>
      <c r="L42" s="15" t="n"/>
      <c r="M42" s="15" t="n"/>
      <c r="N42" s="285" t="n"/>
      <c r="O42" s="15" t="n"/>
      <c r="P42" s="15" t="n"/>
      <c r="Q42" s="285" t="n"/>
      <c r="R42" s="15" t="n"/>
      <c r="S42" s="15" t="n"/>
      <c r="T42" s="285" t="n"/>
      <c r="U42" s="15" t="n"/>
      <c r="V42" s="15" t="n"/>
      <c r="W42" s="285" t="n"/>
      <c r="X42" s="15" t="n"/>
      <c r="Y42" s="15" t="n"/>
      <c r="Z42" s="285" t="n"/>
      <c r="AA42" s="15" t="n"/>
      <c r="AB42" s="15" t="n"/>
      <c r="AC42" s="285" t="n"/>
      <c r="AD42" s="15" t="n"/>
      <c r="AE42" s="15" t="n"/>
      <c r="AF42" s="285" t="n"/>
      <c r="AG42" s="327" t="n"/>
      <c r="AH42" s="15" t="n"/>
      <c r="AI42" s="285" t="n"/>
      <c r="AJ42" s="327" t="n"/>
      <c r="AK42" s="15" t="n"/>
    </row>
    <row r="43">
      <c r="A43" s="428" t="n"/>
      <c r="B43" s="285" t="n"/>
      <c r="C43" s="15" t="n"/>
      <c r="D43" s="15" t="n"/>
      <c r="E43" s="285" t="n"/>
      <c r="F43" s="15" t="n"/>
      <c r="G43" s="15" t="n"/>
      <c r="H43" s="285" t="n"/>
      <c r="I43" s="15" t="n"/>
      <c r="J43" s="15" t="n"/>
      <c r="K43" s="285" t="n"/>
      <c r="L43" s="15" t="n"/>
      <c r="M43" s="15" t="n"/>
      <c r="N43" s="285" t="n"/>
      <c r="O43" s="15" t="n"/>
      <c r="P43" s="15" t="n"/>
      <c r="Q43" s="285" t="n"/>
      <c r="R43" s="15" t="n"/>
      <c r="S43" s="15" t="n"/>
      <c r="T43" s="285" t="n"/>
      <c r="U43" s="15" t="n"/>
      <c r="V43" s="15" t="n"/>
      <c r="W43" s="285" t="n"/>
      <c r="X43" s="15" t="n"/>
      <c r="Y43" s="15" t="n"/>
      <c r="Z43" s="285" t="n"/>
      <c r="AA43" s="15" t="n"/>
      <c r="AB43" s="15" t="n"/>
      <c r="AC43" s="285" t="n"/>
      <c r="AD43" s="15" t="n"/>
      <c r="AE43" s="15" t="n"/>
      <c r="AF43" s="285" t="n"/>
      <c r="AG43" s="327" t="n"/>
      <c r="AH43" s="15" t="n"/>
      <c r="AI43" s="285" t="n"/>
      <c r="AJ43" s="327" t="n"/>
      <c r="AK43" s="15" t="n"/>
    </row>
    <row r="44">
      <c r="A44" s="428" t="n"/>
      <c r="B44" s="285" t="n"/>
      <c r="C44" s="15" t="n"/>
      <c r="D44" s="15" t="n"/>
      <c r="E44" s="285" t="n"/>
      <c r="F44" s="15" t="n"/>
      <c r="G44" s="15" t="n"/>
      <c r="H44" s="285" t="n"/>
      <c r="I44" s="15" t="n"/>
      <c r="J44" s="15" t="n"/>
      <c r="K44" s="285" t="n"/>
      <c r="L44" s="15" t="n"/>
      <c r="M44" s="15" t="n"/>
      <c r="N44" s="285" t="n"/>
      <c r="O44" s="15" t="n"/>
      <c r="P44" s="15" t="n"/>
      <c r="Q44" s="285" t="n"/>
      <c r="R44" s="15" t="n"/>
      <c r="S44" s="15" t="n"/>
      <c r="T44" s="285" t="n"/>
      <c r="U44" s="15" t="n"/>
      <c r="V44" s="15" t="n"/>
      <c r="W44" s="285" t="n"/>
      <c r="X44" s="15" t="n"/>
      <c r="Y44" s="15" t="n"/>
      <c r="Z44" s="285" t="n"/>
      <c r="AA44" s="15" t="n"/>
      <c r="AB44" s="15" t="n"/>
      <c r="AC44" s="285" t="n"/>
      <c r="AD44" s="15" t="n"/>
      <c r="AE44" s="15" t="n"/>
      <c r="AF44" s="285" t="n"/>
      <c r="AG44" s="327" t="n"/>
      <c r="AH44" s="15" t="n"/>
      <c r="AI44" s="285" t="n"/>
      <c r="AJ44" s="327" t="n"/>
      <c r="AK44" s="15" t="n"/>
    </row>
    <row r="45">
      <c r="A45" s="428" t="n"/>
      <c r="B45" s="285" t="n"/>
      <c r="C45" s="15" t="n"/>
      <c r="D45" s="15" t="n"/>
      <c r="E45" s="285" t="n"/>
      <c r="F45" s="15" t="n"/>
      <c r="G45" s="15" t="n"/>
      <c r="H45" s="285" t="n"/>
      <c r="I45" s="15" t="n"/>
      <c r="J45" s="15" t="n"/>
      <c r="K45" s="285" t="n"/>
      <c r="L45" s="15" t="n"/>
      <c r="M45" s="15" t="n"/>
      <c r="N45" s="285" t="n"/>
      <c r="O45" s="15" t="n"/>
      <c r="P45" s="15" t="n"/>
      <c r="Q45" s="285" t="n"/>
      <c r="R45" s="15" t="n"/>
      <c r="S45" s="15" t="n"/>
      <c r="T45" s="285" t="n"/>
      <c r="U45" s="15" t="n"/>
      <c r="V45" s="15" t="n"/>
      <c r="W45" s="285" t="n"/>
      <c r="X45" s="15" t="n"/>
      <c r="Y45" s="15" t="n"/>
      <c r="Z45" s="285" t="n"/>
      <c r="AA45" s="15" t="n"/>
      <c r="AB45" s="15" t="n"/>
      <c r="AC45" s="285" t="n"/>
      <c r="AD45" s="15" t="n"/>
      <c r="AE45" s="15" t="n"/>
      <c r="AF45" s="285" t="n"/>
      <c r="AG45" s="327" t="n"/>
      <c r="AH45" s="15" t="n"/>
      <c r="AI45" s="285" t="n"/>
      <c r="AJ45" s="327" t="n"/>
      <c r="AK45" s="15" t="n"/>
    </row>
    <row r="46">
      <c r="A46" s="428" t="n"/>
      <c r="B46" s="285" t="n"/>
      <c r="C46" s="15" t="n"/>
      <c r="D46" s="15" t="n"/>
      <c r="E46" s="285" t="n"/>
      <c r="F46" s="15" t="n"/>
      <c r="G46" s="15" t="n"/>
      <c r="H46" s="285" t="n"/>
      <c r="I46" s="15" t="n"/>
      <c r="J46" s="15" t="n"/>
      <c r="K46" s="285" t="n"/>
      <c r="L46" s="15" t="n"/>
      <c r="M46" s="15" t="n"/>
      <c r="N46" s="285" t="n"/>
      <c r="O46" s="15" t="n"/>
      <c r="P46" s="15" t="n"/>
      <c r="Q46" s="285" t="n"/>
      <c r="R46" s="15" t="n"/>
      <c r="S46" s="15" t="n"/>
      <c r="T46" s="285" t="n"/>
      <c r="U46" s="15" t="n"/>
      <c r="V46" s="15" t="n"/>
      <c r="W46" s="285" t="n"/>
      <c r="X46" s="15" t="n"/>
      <c r="Y46" s="15" t="n"/>
      <c r="Z46" s="285" t="n"/>
      <c r="AA46" s="15" t="n"/>
      <c r="AB46" s="15" t="n"/>
      <c r="AC46" s="285" t="n"/>
      <c r="AD46" s="15" t="n"/>
      <c r="AE46" s="15" t="n"/>
      <c r="AF46" s="285" t="n"/>
      <c r="AG46" s="327" t="n"/>
      <c r="AH46" s="15" t="n"/>
      <c r="AI46" s="285" t="n"/>
      <c r="AJ46" s="327" t="n"/>
      <c r="AK46" s="15" t="n"/>
    </row>
    <row r="47">
      <c r="A47" s="428" t="n"/>
      <c r="B47" s="285" t="n"/>
      <c r="C47" s="15" t="n"/>
      <c r="D47" s="15" t="n"/>
      <c r="E47" s="285" t="n"/>
      <c r="F47" s="15" t="n"/>
      <c r="G47" s="15" t="n"/>
      <c r="H47" s="285" t="n"/>
      <c r="I47" s="15" t="n"/>
      <c r="J47" s="15" t="n"/>
      <c r="K47" s="285" t="n"/>
      <c r="L47" s="15" t="n"/>
      <c r="M47" s="15" t="n"/>
      <c r="N47" s="285" t="n"/>
      <c r="O47" s="15" t="n"/>
      <c r="P47" s="15" t="n"/>
      <c r="Q47" s="285" t="n"/>
      <c r="R47" s="15" t="n"/>
      <c r="S47" s="15" t="n"/>
      <c r="T47" s="285" t="n"/>
      <c r="U47" s="15" t="n"/>
      <c r="V47" s="15" t="n"/>
      <c r="W47" s="285" t="n"/>
      <c r="X47" s="15" t="n"/>
      <c r="Y47" s="15" t="n"/>
      <c r="Z47" s="285" t="n"/>
      <c r="AA47" s="15" t="n"/>
      <c r="AB47" s="15" t="n"/>
      <c r="AC47" s="285" t="n"/>
      <c r="AD47" s="15" t="n"/>
      <c r="AE47" s="15" t="n"/>
      <c r="AF47" s="285" t="n"/>
      <c r="AG47" s="327" t="n"/>
      <c r="AH47" s="15" t="n"/>
      <c r="AI47" s="285" t="n"/>
      <c r="AJ47" s="327" t="n"/>
      <c r="AK47" s="15" t="n"/>
    </row>
    <row r="48">
      <c r="A48" s="428" t="n"/>
      <c r="B48" s="285" t="n"/>
      <c r="C48" s="15" t="n"/>
      <c r="D48" s="15" t="n"/>
      <c r="E48" s="285" t="n"/>
      <c r="F48" s="15" t="n"/>
      <c r="G48" s="15" t="n"/>
      <c r="H48" s="285" t="n"/>
      <c r="I48" s="15" t="n"/>
      <c r="J48" s="15" t="n"/>
      <c r="K48" s="285" t="n"/>
      <c r="L48" s="15" t="n"/>
      <c r="M48" s="15" t="n"/>
      <c r="N48" s="285" t="n"/>
      <c r="O48" s="15" t="n"/>
      <c r="P48" s="15" t="n"/>
      <c r="Q48" s="285" t="n"/>
      <c r="R48" s="15" t="n"/>
      <c r="S48" s="15" t="n"/>
      <c r="T48" s="285" t="n"/>
      <c r="U48" s="15" t="n"/>
      <c r="V48" s="15" t="n"/>
      <c r="W48" s="285" t="n"/>
      <c r="X48" s="15" t="n"/>
      <c r="Y48" s="15" t="n"/>
      <c r="Z48" s="285" t="n"/>
      <c r="AA48" s="15" t="n"/>
      <c r="AB48" s="15" t="n"/>
      <c r="AC48" s="285" t="n"/>
      <c r="AD48" s="15" t="n"/>
      <c r="AE48" s="15" t="n"/>
      <c r="AF48" s="285" t="n"/>
      <c r="AG48" s="327" t="n"/>
      <c r="AH48" s="15" t="n"/>
      <c r="AI48" s="285" t="n"/>
      <c r="AJ48" s="327" t="n"/>
      <c r="AK48" s="15" t="n"/>
    </row>
    <row r="49">
      <c r="A49" s="428" t="n"/>
      <c r="B49" s="285" t="n"/>
      <c r="C49" s="15" t="n"/>
      <c r="D49" s="15" t="n"/>
      <c r="E49" s="285" t="n"/>
      <c r="F49" s="15" t="n"/>
      <c r="G49" s="15" t="n"/>
      <c r="H49" s="285" t="n"/>
      <c r="I49" s="15" t="n"/>
      <c r="J49" s="15" t="n"/>
      <c r="K49" s="285" t="n"/>
      <c r="L49" s="15" t="n"/>
      <c r="M49" s="15" t="n"/>
      <c r="N49" s="285" t="n"/>
      <c r="O49" s="15" t="n"/>
      <c r="P49" s="15" t="n"/>
      <c r="Q49" s="285" t="n"/>
      <c r="R49" s="15" t="n"/>
      <c r="S49" s="15" t="n"/>
      <c r="T49" s="285" t="n"/>
      <c r="U49" s="15" t="n"/>
      <c r="V49" s="15" t="n"/>
      <c r="W49" s="285" t="n"/>
      <c r="X49" s="15" t="n"/>
      <c r="Y49" s="15" t="n"/>
      <c r="Z49" s="285" t="n"/>
      <c r="AA49" s="15" t="n"/>
      <c r="AB49" s="15" t="n"/>
      <c r="AC49" s="285" t="n"/>
      <c r="AD49" s="15" t="n"/>
      <c r="AE49" s="15" t="n"/>
      <c r="AF49" s="285" t="n"/>
      <c r="AG49" s="327" t="n"/>
      <c r="AH49" s="15" t="n"/>
      <c r="AI49" s="285" t="n"/>
      <c r="AJ49" s="327" t="n"/>
      <c r="AK49" s="15" t="n"/>
    </row>
    <row r="50">
      <c r="A50" s="428" t="n"/>
      <c r="B50" s="285" t="n"/>
      <c r="C50" s="15" t="n"/>
      <c r="D50" s="15" t="n"/>
      <c r="E50" s="285" t="n"/>
      <c r="F50" s="15" t="n"/>
      <c r="G50" s="15" t="n"/>
      <c r="H50" s="285" t="n"/>
      <c r="I50" s="15" t="n"/>
      <c r="J50" s="15" t="n"/>
      <c r="K50" s="285" t="n"/>
      <c r="L50" s="15" t="n"/>
      <c r="M50" s="15" t="n"/>
      <c r="N50" s="285" t="n"/>
      <c r="O50" s="15" t="n"/>
      <c r="P50" s="15" t="n"/>
      <c r="Q50" s="285" t="n"/>
      <c r="R50" s="15" t="n"/>
      <c r="S50" s="15" t="n"/>
      <c r="T50" s="285" t="n"/>
      <c r="U50" s="15" t="n"/>
      <c r="V50" s="15" t="n"/>
      <c r="W50" s="285" t="n"/>
      <c r="X50" s="15" t="n"/>
      <c r="Y50" s="15" t="n"/>
      <c r="Z50" s="285" t="n"/>
      <c r="AA50" s="15" t="n"/>
      <c r="AB50" s="15" t="n"/>
      <c r="AC50" s="285" t="n"/>
      <c r="AD50" s="15" t="n"/>
      <c r="AE50" s="15" t="n"/>
      <c r="AF50" s="285" t="n"/>
      <c r="AG50" s="327" t="n"/>
      <c r="AH50" s="15" t="n"/>
      <c r="AI50" s="285" t="n"/>
      <c r="AJ50" s="327" t="n"/>
      <c r="AK50" s="15" t="n"/>
    </row>
    <row r="51">
      <c r="A51" s="428" t="n"/>
      <c r="B51" s="285" t="n"/>
      <c r="C51" s="15" t="n"/>
      <c r="D51" s="15" t="n"/>
      <c r="E51" s="285" t="n"/>
      <c r="F51" s="15" t="n"/>
      <c r="G51" s="15" t="n"/>
      <c r="H51" s="285" t="n"/>
      <c r="I51" s="15" t="n"/>
      <c r="J51" s="15" t="n"/>
      <c r="K51" s="285" t="n"/>
      <c r="L51" s="15" t="n"/>
      <c r="M51" s="15" t="n"/>
      <c r="N51" s="285" t="n"/>
      <c r="O51" s="15" t="n"/>
      <c r="P51" s="15" t="n"/>
      <c r="Q51" s="285" t="n"/>
      <c r="R51" s="15" t="n"/>
      <c r="S51" s="15" t="n"/>
      <c r="T51" s="285" t="n"/>
      <c r="U51" s="15" t="n"/>
      <c r="V51" s="15" t="n"/>
      <c r="W51" s="285" t="n"/>
      <c r="X51" s="15" t="n"/>
      <c r="Y51" s="15" t="n"/>
      <c r="Z51" s="285" t="n"/>
      <c r="AA51" s="15" t="n"/>
      <c r="AB51" s="15" t="n"/>
      <c r="AC51" s="285" t="n"/>
      <c r="AD51" s="15" t="n"/>
      <c r="AE51" s="15" t="n"/>
      <c r="AF51" s="285" t="n"/>
      <c r="AG51" s="327" t="n"/>
      <c r="AH51" s="15" t="n"/>
      <c r="AI51" s="285" t="n"/>
      <c r="AJ51" s="327" t="n"/>
      <c r="AK51" s="15" t="n"/>
    </row>
    <row r="52">
      <c r="A52" s="330" t="n"/>
      <c r="B52" s="292" t="n"/>
      <c r="C52" s="15" t="n"/>
      <c r="D52" s="15" t="n"/>
      <c r="E52" s="292" t="n"/>
      <c r="F52" s="15" t="n"/>
      <c r="G52" s="15" t="n"/>
      <c r="H52" s="292" t="n"/>
      <c r="I52" s="15" t="n"/>
      <c r="J52" s="15" t="n"/>
      <c r="K52" s="292" t="n"/>
      <c r="L52" s="15" t="n"/>
      <c r="M52" s="15" t="n"/>
      <c r="N52" s="292" t="n"/>
      <c r="O52" s="15" t="n"/>
      <c r="P52" s="15" t="n"/>
      <c r="Q52" s="292" t="n"/>
      <c r="R52" s="15" t="n"/>
      <c r="S52" s="15" t="n"/>
      <c r="T52" s="292" t="n"/>
      <c r="U52" s="15" t="n"/>
      <c r="V52" s="15" t="n"/>
      <c r="W52" s="292" t="n"/>
      <c r="X52" s="15" t="n"/>
      <c r="Y52" s="15" t="n"/>
      <c r="Z52" s="292" t="n"/>
      <c r="AA52" s="15" t="n"/>
      <c r="AB52" s="15" t="n"/>
      <c r="AC52" s="292" t="n"/>
      <c r="AD52" s="15" t="n"/>
      <c r="AE52" s="15" t="n"/>
      <c r="AF52" s="292" t="n"/>
      <c r="AG52" s="327" t="n"/>
      <c r="AH52" s="15" t="n"/>
      <c r="AI52" s="292" t="n"/>
      <c r="AJ52" s="327" t="n"/>
      <c r="AK52" s="15" t="n"/>
    </row>
    <row r="53">
      <c r="A53" s="428" t="n"/>
      <c r="B53" s="285" t="n"/>
      <c r="C53" s="15" t="n"/>
      <c r="D53" s="15" t="n"/>
      <c r="E53" s="285" t="n"/>
      <c r="F53" s="15" t="n"/>
      <c r="G53" s="15" t="n"/>
      <c r="H53" s="285" t="n"/>
      <c r="I53" s="15" t="n"/>
      <c r="J53" s="15" t="n"/>
      <c r="K53" s="285" t="n"/>
      <c r="L53" s="15" t="n"/>
      <c r="M53" s="15" t="n"/>
      <c r="N53" s="285" t="n"/>
      <c r="O53" s="15" t="n"/>
      <c r="P53" s="15" t="n"/>
      <c r="Q53" s="285" t="n"/>
      <c r="R53" s="15" t="n"/>
      <c r="S53" s="15" t="n"/>
      <c r="T53" s="285" t="n"/>
      <c r="U53" s="15" t="n"/>
      <c r="V53" s="15" t="n"/>
      <c r="W53" s="285" t="n"/>
      <c r="X53" s="15" t="n"/>
      <c r="Y53" s="15" t="n"/>
      <c r="Z53" s="285" t="n"/>
      <c r="AA53" s="15" t="n"/>
      <c r="AB53" s="15" t="n"/>
      <c r="AC53" s="285" t="n"/>
      <c r="AD53" s="15" t="n"/>
      <c r="AE53" s="15" t="n"/>
      <c r="AF53" s="285" t="n"/>
      <c r="AG53" s="327" t="n"/>
      <c r="AH53" s="15" t="n"/>
      <c r="AI53" s="285" t="n"/>
      <c r="AJ53" s="327" t="n"/>
      <c r="AK53" s="15" t="n"/>
    </row>
    <row r="54">
      <c r="A54" s="428" t="n"/>
      <c r="B54" s="285" t="n"/>
      <c r="C54" s="15" t="n"/>
      <c r="D54" s="15" t="n"/>
      <c r="E54" s="285" t="n"/>
      <c r="F54" s="15" t="n"/>
      <c r="G54" s="15" t="n"/>
      <c r="H54" s="285" t="n"/>
      <c r="I54" s="15" t="n"/>
      <c r="J54" s="15" t="n"/>
      <c r="K54" s="285" t="n"/>
      <c r="L54" s="15" t="n"/>
      <c r="M54" s="15" t="n"/>
      <c r="N54" s="285" t="n"/>
      <c r="O54" s="15" t="n"/>
      <c r="P54" s="15" t="n"/>
      <c r="Q54" s="285" t="n"/>
      <c r="R54" s="15" t="n"/>
      <c r="S54" s="15" t="n"/>
      <c r="T54" s="285" t="n"/>
      <c r="U54" s="15" t="n"/>
      <c r="V54" s="15" t="n"/>
      <c r="W54" s="285" t="n"/>
      <c r="X54" s="15" t="n"/>
      <c r="Y54" s="15" t="n"/>
      <c r="Z54" s="285" t="n"/>
      <c r="AA54" s="15" t="n"/>
      <c r="AB54" s="15" t="n"/>
      <c r="AC54" s="285" t="n"/>
      <c r="AD54" s="15" t="n"/>
      <c r="AE54" s="15" t="n"/>
      <c r="AF54" s="285" t="n"/>
      <c r="AG54" s="327" t="n"/>
      <c r="AH54" s="15" t="n"/>
      <c r="AI54" s="285" t="n"/>
      <c r="AJ54" s="327" t="n"/>
      <c r="AK54" s="15" t="n"/>
    </row>
    <row r="55">
      <c r="A55" s="428" t="n"/>
      <c r="B55" s="285" t="n"/>
      <c r="C55" s="15" t="n"/>
      <c r="D55" s="15" t="n"/>
      <c r="E55" s="285" t="n"/>
      <c r="F55" s="15" t="n"/>
      <c r="G55" s="15" t="n"/>
      <c r="H55" s="285" t="n"/>
      <c r="I55" s="15" t="n"/>
      <c r="J55" s="15" t="n"/>
      <c r="K55" s="285" t="n"/>
      <c r="L55" s="15" t="n"/>
      <c r="M55" s="15" t="n"/>
      <c r="N55" s="285" t="n"/>
      <c r="O55" s="15" t="n"/>
      <c r="P55" s="15" t="n"/>
      <c r="Q55" s="285" t="n"/>
      <c r="R55" s="15" t="n"/>
      <c r="S55" s="15" t="n"/>
      <c r="T55" s="285" t="n"/>
      <c r="U55" s="15" t="n"/>
      <c r="V55" s="15" t="n"/>
      <c r="W55" s="285" t="n"/>
      <c r="X55" s="15" t="n"/>
      <c r="Y55" s="15" t="n"/>
      <c r="Z55" s="285" t="n"/>
      <c r="AA55" s="15" t="n"/>
      <c r="AB55" s="15" t="n"/>
      <c r="AC55" s="285" t="n"/>
      <c r="AD55" s="15" t="n"/>
      <c r="AE55" s="15" t="n"/>
      <c r="AF55" s="285" t="n"/>
      <c r="AG55" s="327" t="n"/>
      <c r="AH55" s="15" t="n"/>
      <c r="AI55" s="285" t="n"/>
      <c r="AJ55" s="327" t="n"/>
      <c r="AK55" s="15" t="n"/>
    </row>
    <row r="56">
      <c r="A56" s="428" t="n"/>
      <c r="B56" s="285" t="n"/>
      <c r="C56" s="15" t="n"/>
      <c r="D56" s="15" t="n"/>
      <c r="E56" s="285" t="n"/>
      <c r="F56" s="15" t="n"/>
      <c r="G56" s="15" t="n"/>
      <c r="H56" s="285" t="n"/>
      <c r="I56" s="15" t="n"/>
      <c r="J56" s="15" t="n"/>
      <c r="K56" s="285" t="n"/>
      <c r="L56" s="15" t="n"/>
      <c r="M56" s="15" t="n"/>
      <c r="N56" s="285" t="n"/>
      <c r="O56" s="15" t="n"/>
      <c r="P56" s="15" t="n"/>
      <c r="Q56" s="285" t="n"/>
      <c r="R56" s="15" t="n"/>
      <c r="S56" s="15" t="n"/>
      <c r="T56" s="285" t="n"/>
      <c r="U56" s="15" t="n"/>
      <c r="V56" s="15" t="n"/>
      <c r="W56" s="285" t="n"/>
      <c r="X56" s="15" t="n"/>
      <c r="Y56" s="15" t="n"/>
      <c r="Z56" s="285" t="n"/>
      <c r="AA56" s="15" t="n"/>
      <c r="AB56" s="15" t="n"/>
      <c r="AC56" s="285" t="n"/>
      <c r="AD56" s="15" t="n"/>
      <c r="AE56" s="15" t="n"/>
      <c r="AF56" s="285" t="n"/>
      <c r="AG56" s="327" t="n"/>
      <c r="AH56" s="15" t="n"/>
      <c r="AI56" s="285" t="n"/>
      <c r="AJ56" s="327" t="n"/>
      <c r="AK56" s="15" t="n"/>
    </row>
    <row r="57">
      <c r="A57" s="428" t="n"/>
      <c r="B57" s="285" t="n"/>
      <c r="C57" s="15" t="n"/>
      <c r="D57" s="15" t="n"/>
      <c r="E57" s="285" t="n"/>
      <c r="F57" s="15" t="n"/>
      <c r="G57" s="15" t="n"/>
      <c r="H57" s="285" t="n"/>
      <c r="I57" s="15" t="n"/>
      <c r="J57" s="15" t="n"/>
      <c r="K57" s="285" t="n"/>
      <c r="L57" s="15" t="n"/>
      <c r="M57" s="15" t="n"/>
      <c r="N57" s="285" t="n"/>
      <c r="O57" s="15" t="n"/>
      <c r="P57" s="15" t="n"/>
      <c r="Q57" s="285" t="n"/>
      <c r="R57" s="15" t="n"/>
      <c r="S57" s="15" t="n"/>
      <c r="T57" s="285" t="n"/>
      <c r="U57" s="15" t="n"/>
      <c r="V57" s="15" t="n"/>
      <c r="W57" s="285" t="n"/>
      <c r="X57" s="15" t="n"/>
      <c r="Y57" s="15" t="n"/>
      <c r="Z57" s="285" t="n"/>
      <c r="AA57" s="15" t="n"/>
      <c r="AB57" s="15" t="n"/>
      <c r="AC57" s="285" t="n"/>
      <c r="AD57" s="15" t="n"/>
      <c r="AE57" s="15" t="n"/>
      <c r="AF57" s="285" t="n"/>
      <c r="AG57" s="327" t="n"/>
      <c r="AH57" s="15" t="n"/>
      <c r="AI57" s="285" t="n"/>
      <c r="AJ57" s="327" t="n"/>
      <c r="AK57" s="15" t="n"/>
    </row>
    <row r="58">
      <c r="A58" s="428" t="n"/>
      <c r="B58" s="285" t="n"/>
      <c r="C58" s="15" t="n"/>
      <c r="D58" s="15" t="n"/>
      <c r="E58" s="285" t="n"/>
      <c r="F58" s="15" t="n"/>
      <c r="G58" s="15" t="n"/>
      <c r="H58" s="285" t="n"/>
      <c r="I58" s="15" t="n"/>
      <c r="J58" s="15" t="n"/>
      <c r="K58" s="285" t="n"/>
      <c r="L58" s="15" t="n"/>
      <c r="M58" s="15" t="n"/>
      <c r="N58" s="285" t="n"/>
      <c r="O58" s="15" t="n"/>
      <c r="P58" s="15" t="n"/>
      <c r="Q58" s="285" t="n"/>
      <c r="R58" s="15" t="n"/>
      <c r="S58" s="15" t="n"/>
      <c r="T58" s="285" t="n"/>
      <c r="U58" s="15" t="n"/>
      <c r="V58" s="15" t="n"/>
      <c r="W58" s="285" t="n"/>
      <c r="X58" s="15" t="n"/>
      <c r="Y58" s="15" t="n"/>
      <c r="Z58" s="285" t="n"/>
      <c r="AA58" s="15" t="n"/>
      <c r="AB58" s="15" t="n"/>
      <c r="AC58" s="285" t="n"/>
      <c r="AD58" s="15" t="n"/>
      <c r="AE58" s="15" t="n"/>
      <c r="AF58" s="285" t="n"/>
      <c r="AG58" s="327" t="n"/>
      <c r="AH58" s="15" t="n"/>
      <c r="AI58" s="285" t="n"/>
      <c r="AJ58" s="327" t="n"/>
      <c r="AK58" s="15" t="n"/>
    </row>
    <row r="59">
      <c r="A59" s="428" t="n"/>
      <c r="B59" s="285" t="n"/>
      <c r="C59" s="15" t="n"/>
      <c r="D59" s="15" t="n"/>
      <c r="E59" s="285" t="n"/>
      <c r="F59" s="15" t="n"/>
      <c r="G59" s="15" t="n"/>
      <c r="H59" s="285" t="n"/>
      <c r="I59" s="15" t="n"/>
      <c r="J59" s="15" t="n"/>
      <c r="K59" s="285" t="n"/>
      <c r="L59" s="15" t="n"/>
      <c r="M59" s="15" t="n"/>
      <c r="N59" s="285" t="n"/>
      <c r="O59" s="15" t="n"/>
      <c r="P59" s="15" t="n"/>
      <c r="Q59" s="285" t="n"/>
      <c r="R59" s="15" t="n"/>
      <c r="S59" s="15" t="n"/>
      <c r="T59" s="285" t="n"/>
      <c r="U59" s="15" t="n"/>
      <c r="V59" s="15" t="n"/>
      <c r="W59" s="285" t="n"/>
      <c r="X59" s="15" t="n"/>
      <c r="Y59" s="15" t="n"/>
      <c r="Z59" s="285" t="n"/>
      <c r="AA59" s="15" t="n"/>
      <c r="AB59" s="15" t="n"/>
      <c r="AC59" s="285" t="n"/>
      <c r="AD59" s="15" t="n"/>
      <c r="AE59" s="15" t="n"/>
      <c r="AF59" s="285" t="n"/>
      <c r="AG59" s="327" t="n"/>
      <c r="AH59" s="15" t="n"/>
      <c r="AI59" s="285" t="n"/>
      <c r="AJ59" s="327" t="n"/>
      <c r="AK59" s="15" t="n"/>
    </row>
    <row r="60">
      <c r="A60" s="428" t="n"/>
      <c r="B60" s="285" t="n"/>
      <c r="C60" s="15" t="n"/>
      <c r="D60" s="15" t="n"/>
      <c r="E60" s="285" t="n"/>
      <c r="F60" s="15" t="n"/>
      <c r="G60" s="15" t="n"/>
      <c r="H60" s="285" t="n"/>
      <c r="I60" s="15" t="n"/>
      <c r="J60" s="15" t="n"/>
      <c r="K60" s="285" t="n"/>
      <c r="L60" s="15" t="n"/>
      <c r="M60" s="15" t="n"/>
      <c r="N60" s="285" t="n"/>
      <c r="O60" s="15" t="n"/>
      <c r="P60" s="15" t="n"/>
      <c r="Q60" s="285" t="n"/>
      <c r="R60" s="15" t="n"/>
      <c r="S60" s="15" t="n"/>
      <c r="T60" s="285" t="n"/>
      <c r="U60" s="15" t="n"/>
      <c r="V60" s="15" t="n"/>
      <c r="W60" s="285" t="n"/>
      <c r="X60" s="15" t="n"/>
      <c r="Y60" s="15" t="n"/>
      <c r="Z60" s="285" t="n"/>
      <c r="AA60" s="15" t="n"/>
      <c r="AB60" s="15" t="n"/>
      <c r="AC60" s="285" t="n"/>
      <c r="AD60" s="15" t="n"/>
      <c r="AE60" s="15" t="n"/>
      <c r="AF60" s="285" t="n"/>
      <c r="AG60" s="327" t="n"/>
      <c r="AH60" s="15" t="n"/>
      <c r="AI60" s="285" t="n"/>
      <c r="AJ60" s="327" t="n"/>
      <c r="AK60" s="15" t="n"/>
    </row>
    <row r="61">
      <c r="A61" s="428" t="n"/>
      <c r="B61" s="285" t="n"/>
      <c r="C61" s="15" t="n"/>
      <c r="D61" s="15" t="n"/>
      <c r="E61" s="285" t="n"/>
      <c r="F61" s="15" t="n"/>
      <c r="G61" s="15" t="n"/>
      <c r="H61" s="285" t="n"/>
      <c r="I61" s="15" t="n"/>
      <c r="J61" s="15" t="n"/>
      <c r="K61" s="285" t="n"/>
      <c r="L61" s="15" t="n"/>
      <c r="M61" s="15" t="n"/>
      <c r="N61" s="285" t="n"/>
      <c r="O61" s="15" t="n"/>
      <c r="P61" s="15" t="n"/>
      <c r="Q61" s="285" t="n"/>
      <c r="R61" s="15" t="n"/>
      <c r="S61" s="15" t="n"/>
      <c r="T61" s="285" t="n"/>
      <c r="U61" s="15" t="n"/>
      <c r="V61" s="15" t="n"/>
      <c r="W61" s="285" t="n"/>
      <c r="X61" s="15" t="n"/>
      <c r="Y61" s="15" t="n"/>
      <c r="Z61" s="285" t="n"/>
      <c r="AA61" s="15" t="n"/>
      <c r="AB61" s="15" t="n"/>
      <c r="AC61" s="285" t="n"/>
      <c r="AD61" s="15" t="n"/>
      <c r="AE61" s="15" t="n"/>
      <c r="AF61" s="285" t="n"/>
      <c r="AG61" s="327" t="n"/>
      <c r="AH61" s="15" t="n"/>
      <c r="AI61" s="285" t="n"/>
      <c r="AJ61" s="327" t="n"/>
      <c r="AK61" s="15" t="n"/>
    </row>
    <row r="62">
      <c r="A62" s="428" t="n"/>
      <c r="B62" s="285" t="n"/>
      <c r="C62" s="15" t="n"/>
      <c r="D62" s="15" t="n"/>
      <c r="E62" s="285" t="n"/>
      <c r="F62" s="15" t="n"/>
      <c r="G62" s="15" t="n"/>
      <c r="H62" s="285" t="n"/>
      <c r="I62" s="15" t="n"/>
      <c r="J62" s="15" t="n"/>
      <c r="K62" s="285" t="n"/>
      <c r="L62" s="15" t="n"/>
      <c r="M62" s="15" t="n"/>
      <c r="N62" s="285" t="n"/>
      <c r="O62" s="15" t="n"/>
      <c r="P62" s="15" t="n"/>
      <c r="Q62" s="285" t="n"/>
      <c r="R62" s="15" t="n"/>
      <c r="S62" s="15" t="n"/>
      <c r="T62" s="285" t="n"/>
      <c r="U62" s="15" t="n"/>
      <c r="V62" s="15" t="n"/>
      <c r="W62" s="285" t="n"/>
      <c r="X62" s="15" t="n"/>
      <c r="Y62" s="15" t="n"/>
      <c r="Z62" s="285" t="n"/>
      <c r="AA62" s="15" t="n"/>
      <c r="AB62" s="15" t="n"/>
      <c r="AC62" s="285" t="n"/>
      <c r="AD62" s="15" t="n"/>
      <c r="AE62" s="15" t="n"/>
      <c r="AF62" s="285" t="n"/>
      <c r="AG62" s="327" t="n"/>
      <c r="AH62" s="15" t="n"/>
      <c r="AI62" s="285" t="n"/>
      <c r="AJ62" s="327" t="n"/>
      <c r="AK62" s="15" t="n"/>
    </row>
    <row r="63">
      <c r="A63" s="428" t="n"/>
      <c r="B63" s="285" t="n"/>
      <c r="C63" s="15" t="n"/>
      <c r="D63" s="15" t="n"/>
      <c r="E63" s="285" t="n"/>
      <c r="F63" s="15" t="n"/>
      <c r="G63" s="15" t="n"/>
      <c r="H63" s="285" t="n"/>
      <c r="I63" s="15" t="n"/>
      <c r="J63" s="15" t="n"/>
      <c r="K63" s="285" t="n"/>
      <c r="L63" s="15" t="n"/>
      <c r="M63" s="15" t="n"/>
      <c r="N63" s="285" t="n"/>
      <c r="O63" s="15" t="n"/>
      <c r="P63" s="15" t="n"/>
      <c r="Q63" s="285" t="n"/>
      <c r="R63" s="15" t="n"/>
      <c r="S63" s="15" t="n"/>
      <c r="T63" s="285" t="n"/>
      <c r="U63" s="15" t="n"/>
      <c r="V63" s="15" t="n"/>
      <c r="W63" s="285" t="n"/>
      <c r="X63" s="15" t="n"/>
      <c r="Y63" s="15" t="n"/>
      <c r="Z63" s="285" t="n"/>
      <c r="AA63" s="15" t="n"/>
      <c r="AB63" s="15" t="n"/>
      <c r="AC63" s="285" t="n"/>
      <c r="AD63" s="15" t="n"/>
      <c r="AE63" s="15" t="n"/>
      <c r="AF63" s="285" t="n"/>
      <c r="AG63" s="327" t="n"/>
      <c r="AH63" s="15" t="n"/>
      <c r="AI63" s="285" t="n"/>
      <c r="AJ63" s="327" t="n"/>
      <c r="AK63" s="15" t="n"/>
    </row>
    <row r="64">
      <c r="A64" s="330" t="n"/>
      <c r="B64" s="292" t="n"/>
      <c r="C64" s="15" t="n"/>
      <c r="D64" s="15" t="n"/>
      <c r="E64" s="292" t="n"/>
      <c r="F64" s="15" t="n"/>
      <c r="G64" s="15" t="n"/>
      <c r="H64" s="292" t="n"/>
      <c r="I64" s="15" t="n"/>
      <c r="J64" s="15" t="n"/>
      <c r="K64" s="292" t="n"/>
      <c r="L64" s="15" t="n"/>
      <c r="M64" s="15" t="n"/>
      <c r="N64" s="292" t="n"/>
      <c r="O64" s="15" t="n"/>
      <c r="P64" s="15" t="n"/>
      <c r="Q64" s="292" t="n"/>
      <c r="R64" s="15" t="n"/>
      <c r="S64" s="15" t="n"/>
      <c r="T64" s="292" t="n"/>
      <c r="U64" s="15" t="n"/>
      <c r="V64" s="15" t="n"/>
      <c r="W64" s="292" t="n"/>
      <c r="X64" s="15" t="n"/>
      <c r="Y64" s="15" t="n"/>
      <c r="Z64" s="292" t="n"/>
      <c r="AA64" s="15" t="n"/>
      <c r="AB64" s="15" t="n"/>
      <c r="AC64" s="292" t="n"/>
      <c r="AD64" s="15" t="n"/>
      <c r="AE64" s="15" t="n"/>
      <c r="AF64" s="292" t="n"/>
      <c r="AG64" s="327" t="n"/>
      <c r="AH64" s="15" t="n"/>
      <c r="AI64" s="292" t="n"/>
      <c r="AJ64" s="327" t="n"/>
      <c r="AK64" s="15" t="n"/>
    </row>
    <row r="65">
      <c r="A65" s="428" t="n"/>
      <c r="B65" s="285" t="n"/>
      <c r="C65" s="15" t="n"/>
      <c r="D65" s="15" t="n"/>
      <c r="E65" s="285" t="n"/>
      <c r="F65" s="15" t="n"/>
      <c r="G65" s="15" t="n"/>
      <c r="H65" s="285" t="n"/>
      <c r="I65" s="15" t="n"/>
      <c r="J65" s="15" t="n"/>
      <c r="K65" s="285" t="n"/>
      <c r="L65" s="15" t="n"/>
      <c r="M65" s="15" t="n"/>
      <c r="N65" s="285" t="n"/>
      <c r="O65" s="15" t="n"/>
      <c r="P65" s="15" t="n"/>
      <c r="Q65" s="285" t="n"/>
      <c r="R65" s="15" t="n"/>
      <c r="S65" s="15" t="n"/>
      <c r="T65" s="285" t="n"/>
      <c r="U65" s="15" t="n"/>
      <c r="V65" s="15" t="n"/>
      <c r="W65" s="285" t="n"/>
      <c r="X65" s="15" t="n"/>
      <c r="Y65" s="15" t="n"/>
      <c r="Z65" s="285" t="n"/>
      <c r="AA65" s="15" t="n"/>
      <c r="AB65" s="15" t="n"/>
      <c r="AC65" s="285" t="n"/>
      <c r="AD65" s="15" t="n"/>
      <c r="AE65" s="15" t="n"/>
      <c r="AF65" s="285" t="n"/>
      <c r="AG65" s="327" t="n"/>
      <c r="AH65" s="15" t="n"/>
      <c r="AI65" s="285" t="n"/>
      <c r="AJ65" s="327" t="n"/>
      <c r="AK65" s="15" t="n"/>
    </row>
    <row r="66">
      <c r="A66" s="428" t="n"/>
      <c r="B66" s="285" t="n"/>
      <c r="C66" s="15" t="n"/>
      <c r="D66" s="15" t="n"/>
      <c r="E66" s="285" t="n"/>
      <c r="F66" s="15" t="n"/>
      <c r="G66" s="15" t="n"/>
      <c r="H66" s="285" t="n"/>
      <c r="I66" s="15" t="n"/>
      <c r="J66" s="15" t="n"/>
      <c r="K66" s="285" t="n"/>
      <c r="L66" s="15" t="n"/>
      <c r="M66" s="15" t="n"/>
      <c r="N66" s="285" t="n"/>
      <c r="O66" s="15" t="n"/>
      <c r="P66" s="15" t="n"/>
      <c r="Q66" s="285" t="n"/>
      <c r="R66" s="15" t="n"/>
      <c r="S66" s="15" t="n"/>
      <c r="T66" s="285" t="n"/>
      <c r="U66" s="15" t="n"/>
      <c r="V66" s="15" t="n"/>
      <c r="W66" s="285" t="n"/>
      <c r="X66" s="15" t="n"/>
      <c r="Y66" s="15" t="n"/>
      <c r="Z66" s="285" t="n"/>
      <c r="AA66" s="15" t="n"/>
      <c r="AB66" s="15" t="n"/>
      <c r="AC66" s="285" t="n"/>
      <c r="AD66" s="15" t="n"/>
      <c r="AE66" s="15" t="n"/>
      <c r="AF66" s="285" t="n"/>
      <c r="AG66" s="327" t="n"/>
      <c r="AH66" s="15" t="n"/>
      <c r="AI66" s="285" t="n"/>
      <c r="AJ66" s="327" t="n"/>
      <c r="AK66" s="15" t="n"/>
    </row>
    <row r="67">
      <c r="A67" s="428" t="n"/>
      <c r="B67" s="285" t="n"/>
      <c r="C67" s="15" t="n"/>
      <c r="D67" s="15" t="n"/>
      <c r="E67" s="285" t="n"/>
      <c r="F67" s="15" t="n"/>
      <c r="G67" s="15" t="n"/>
      <c r="H67" s="285" t="n"/>
      <c r="I67" s="15" t="n"/>
      <c r="J67" s="15" t="n"/>
      <c r="K67" s="285" t="n"/>
      <c r="L67" s="15" t="n"/>
      <c r="M67" s="15" t="n"/>
      <c r="N67" s="285" t="n"/>
      <c r="O67" s="15" t="n"/>
      <c r="P67" s="15" t="n"/>
      <c r="Q67" s="285" t="n"/>
      <c r="R67" s="15" t="n"/>
      <c r="S67" s="15" t="n"/>
      <c r="T67" s="285" t="n"/>
      <c r="U67" s="15" t="n"/>
      <c r="V67" s="15" t="n"/>
      <c r="W67" s="285" t="n"/>
      <c r="X67" s="15" t="n"/>
      <c r="Y67" s="15" t="n"/>
      <c r="Z67" s="285" t="n"/>
      <c r="AA67" s="15" t="n"/>
      <c r="AB67" s="15" t="n"/>
      <c r="AC67" s="285" t="n"/>
      <c r="AD67" s="15" t="n"/>
      <c r="AE67" s="15" t="n"/>
      <c r="AF67" s="285" t="n"/>
      <c r="AG67" s="327" t="n"/>
      <c r="AH67" s="15" t="n"/>
      <c r="AI67" s="285" t="n"/>
      <c r="AJ67" s="327" t="n"/>
      <c r="AK67" s="15" t="n"/>
    </row>
    <row r="68">
      <c r="A68" s="428" t="n"/>
      <c r="B68" s="285" t="n"/>
      <c r="C68" s="15" t="n"/>
      <c r="D68" s="15" t="n"/>
      <c r="E68" s="285" t="n"/>
      <c r="F68" s="15" t="n"/>
      <c r="G68" s="15" t="n"/>
      <c r="H68" s="285" t="n"/>
      <c r="I68" s="15" t="n"/>
      <c r="J68" s="15" t="n"/>
      <c r="K68" s="285" t="n"/>
      <c r="L68" s="15" t="n"/>
      <c r="M68" s="15" t="n"/>
      <c r="N68" s="285" t="n"/>
      <c r="O68" s="15" t="n"/>
      <c r="P68" s="15" t="n"/>
      <c r="Q68" s="285" t="n"/>
      <c r="R68" s="15" t="n"/>
      <c r="S68" s="15" t="n"/>
      <c r="T68" s="285" t="n"/>
      <c r="U68" s="15" t="n"/>
      <c r="V68" s="15" t="n"/>
      <c r="W68" s="285" t="n"/>
      <c r="X68" s="15" t="n"/>
      <c r="Y68" s="15" t="n"/>
      <c r="Z68" s="285" t="n"/>
      <c r="AA68" s="15" t="n"/>
      <c r="AB68" s="15" t="n"/>
      <c r="AC68" s="285" t="n"/>
      <c r="AD68" s="15" t="n"/>
      <c r="AE68" s="15" t="n"/>
      <c r="AF68" s="285" t="n"/>
      <c r="AG68" s="327" t="n"/>
      <c r="AH68" s="15" t="n"/>
      <c r="AI68" s="285" t="n"/>
      <c r="AJ68" s="327" t="n"/>
      <c r="AK68" s="15" t="n"/>
    </row>
    <row r="69">
      <c r="A69" s="428" t="n"/>
      <c r="B69" s="285" t="n"/>
      <c r="C69" s="15" t="n"/>
      <c r="D69" s="15" t="n"/>
      <c r="E69" s="285" t="n"/>
      <c r="F69" s="15" t="n"/>
      <c r="G69" s="15" t="n"/>
      <c r="H69" s="285" t="n"/>
      <c r="I69" s="15" t="n"/>
      <c r="J69" s="15" t="n"/>
      <c r="K69" s="285" t="n"/>
      <c r="L69" s="15" t="n"/>
      <c r="M69" s="15" t="n"/>
      <c r="N69" s="285" t="n"/>
      <c r="O69" s="15" t="n"/>
      <c r="P69" s="15" t="n"/>
      <c r="Q69" s="285" t="n"/>
      <c r="R69" s="15" t="n"/>
      <c r="S69" s="15" t="n"/>
      <c r="T69" s="285" t="n"/>
      <c r="U69" s="15" t="n"/>
      <c r="V69" s="15" t="n"/>
      <c r="W69" s="285" t="n"/>
      <c r="X69" s="15" t="n"/>
      <c r="Y69" s="15" t="n"/>
      <c r="Z69" s="285" t="n"/>
      <c r="AA69" s="15" t="n"/>
      <c r="AB69" s="15" t="n"/>
      <c r="AC69" s="285" t="n"/>
      <c r="AD69" s="15" t="n"/>
      <c r="AE69" s="15" t="n"/>
      <c r="AF69" s="285" t="n"/>
      <c r="AG69" s="327" t="n"/>
      <c r="AH69" s="15" t="n"/>
      <c r="AI69" s="285" t="n"/>
      <c r="AJ69" s="327" t="n"/>
      <c r="AK69" s="15" t="n"/>
    </row>
    <row r="70">
      <c r="A70" s="428" t="n"/>
      <c r="B70" s="285" t="n"/>
      <c r="C70" s="15" t="n"/>
      <c r="D70" s="15" t="n"/>
      <c r="E70" s="285" t="n"/>
      <c r="F70" s="15" t="n"/>
      <c r="G70" s="15" t="n"/>
      <c r="H70" s="285" t="n"/>
      <c r="I70" s="15" t="n"/>
      <c r="J70" s="15" t="n"/>
      <c r="K70" s="285" t="n"/>
      <c r="L70" s="15" t="n"/>
      <c r="M70" s="15" t="n"/>
      <c r="N70" s="285" t="n"/>
      <c r="O70" s="15" t="n"/>
      <c r="P70" s="15" t="n"/>
      <c r="Q70" s="285" t="n"/>
      <c r="R70" s="15" t="n"/>
      <c r="S70" s="15" t="n"/>
      <c r="T70" s="285" t="n"/>
      <c r="U70" s="15" t="n"/>
      <c r="V70" s="15" t="n"/>
      <c r="W70" s="285" t="n"/>
      <c r="X70" s="15" t="n"/>
      <c r="Y70" s="15" t="n"/>
      <c r="Z70" s="285" t="n"/>
      <c r="AA70" s="15" t="n"/>
      <c r="AB70" s="15" t="n"/>
      <c r="AC70" s="285" t="n"/>
      <c r="AD70" s="15" t="n"/>
      <c r="AE70" s="15" t="n"/>
      <c r="AF70" s="285" t="n"/>
      <c r="AG70" s="327" t="n"/>
      <c r="AH70" s="15" t="n"/>
      <c r="AI70" s="285" t="n"/>
      <c r="AJ70" s="327" t="n"/>
      <c r="AK70" s="15" t="n"/>
    </row>
    <row r="71">
      <c r="A71" s="428" t="n"/>
      <c r="B71" s="285" t="n"/>
      <c r="C71" s="15" t="n"/>
      <c r="D71" s="15" t="n"/>
      <c r="E71" s="285" t="n"/>
      <c r="F71" s="15" t="n"/>
      <c r="G71" s="15" t="n"/>
      <c r="H71" s="285" t="n"/>
      <c r="I71" s="15" t="n"/>
      <c r="J71" s="15" t="n"/>
      <c r="K71" s="285" t="n"/>
      <c r="L71" s="15" t="n"/>
      <c r="M71" s="15" t="n"/>
      <c r="N71" s="285" t="n"/>
      <c r="O71" s="15" t="n"/>
      <c r="P71" s="15" t="n"/>
      <c r="Q71" s="285" t="n"/>
      <c r="R71" s="15" t="n"/>
      <c r="S71" s="15" t="n"/>
      <c r="T71" s="285" t="n"/>
      <c r="U71" s="15" t="n"/>
      <c r="V71" s="15" t="n"/>
      <c r="W71" s="285" t="n"/>
      <c r="X71" s="15" t="n"/>
      <c r="Y71" s="15" t="n"/>
      <c r="Z71" s="285" t="n"/>
      <c r="AA71" s="15" t="n"/>
      <c r="AB71" s="15" t="n"/>
      <c r="AC71" s="285" t="n"/>
      <c r="AD71" s="15" t="n"/>
      <c r="AE71" s="15" t="n"/>
      <c r="AF71" s="285" t="n"/>
      <c r="AG71" s="327" t="n"/>
      <c r="AH71" s="15" t="n"/>
      <c r="AI71" s="285" t="n"/>
      <c r="AJ71" s="327" t="n"/>
      <c r="AK71" s="15" t="n"/>
    </row>
    <row r="72">
      <c r="A72" s="428" t="n"/>
      <c r="B72" s="285" t="n"/>
      <c r="C72" s="15" t="n"/>
      <c r="D72" s="15" t="n"/>
      <c r="E72" s="285" t="n"/>
      <c r="F72" s="15" t="n"/>
      <c r="G72" s="15" t="n"/>
      <c r="H72" s="285" t="n"/>
      <c r="I72" s="15" t="n"/>
      <c r="J72" s="15" t="n"/>
      <c r="K72" s="285" t="n"/>
      <c r="L72" s="15" t="n"/>
      <c r="M72" s="15" t="n"/>
      <c r="N72" s="285" t="n"/>
      <c r="O72" s="15" t="n"/>
      <c r="P72" s="15" t="n"/>
      <c r="Q72" s="285" t="n"/>
      <c r="R72" s="15" t="n"/>
      <c r="S72" s="15" t="n"/>
      <c r="T72" s="285" t="n"/>
      <c r="U72" s="15" t="n"/>
      <c r="V72" s="15" t="n"/>
      <c r="W72" s="285" t="n"/>
      <c r="X72" s="15" t="n"/>
      <c r="Y72" s="15" t="n"/>
      <c r="Z72" s="285" t="n"/>
      <c r="AA72" s="15" t="n"/>
      <c r="AB72" s="15" t="n"/>
      <c r="AC72" s="285" t="n"/>
      <c r="AD72" s="15" t="n"/>
      <c r="AE72" s="15" t="n"/>
      <c r="AF72" s="285" t="n"/>
      <c r="AG72" s="327" t="n"/>
      <c r="AH72" s="15" t="n"/>
      <c r="AI72" s="285" t="n"/>
      <c r="AJ72" s="327" t="n"/>
      <c r="AK72" s="15" t="n"/>
    </row>
    <row r="73">
      <c r="A73" s="428" t="n"/>
      <c r="B73" s="285" t="n"/>
      <c r="C73" s="15" t="n"/>
      <c r="D73" s="15" t="n"/>
      <c r="E73" s="285" t="n"/>
      <c r="F73" s="15" t="n"/>
      <c r="G73" s="15" t="n"/>
      <c r="H73" s="285" t="n"/>
      <c r="I73" s="15" t="n"/>
      <c r="J73" s="15" t="n"/>
      <c r="K73" s="285" t="n"/>
      <c r="L73" s="15" t="n"/>
      <c r="M73" s="15" t="n"/>
      <c r="N73" s="285" t="n"/>
      <c r="O73" s="15" t="n"/>
      <c r="P73" s="15" t="n"/>
      <c r="Q73" s="285" t="n"/>
      <c r="R73" s="15" t="n"/>
      <c r="S73" s="15" t="n"/>
      <c r="T73" s="285" t="n"/>
      <c r="U73" s="15" t="n"/>
      <c r="V73" s="15" t="n"/>
      <c r="W73" s="285" t="n"/>
      <c r="X73" s="15" t="n"/>
      <c r="Y73" s="15" t="n"/>
      <c r="Z73" s="285" t="n"/>
      <c r="AA73" s="15" t="n"/>
      <c r="AB73" s="15" t="n"/>
      <c r="AC73" s="285" t="n"/>
      <c r="AD73" s="15" t="n"/>
      <c r="AE73" s="15" t="n"/>
      <c r="AF73" s="285" t="n"/>
      <c r="AG73" s="327" t="n"/>
      <c r="AH73" s="15" t="n"/>
      <c r="AI73" s="285" t="n"/>
      <c r="AJ73" s="327" t="n"/>
      <c r="AK73" s="15" t="n"/>
    </row>
    <row r="74">
      <c r="A74" s="428" t="n"/>
      <c r="B74" s="285" t="n"/>
      <c r="C74" s="15" t="n"/>
      <c r="D74" s="15" t="n"/>
      <c r="E74" s="285" t="n"/>
      <c r="F74" s="15" t="n"/>
      <c r="G74" s="15" t="n"/>
      <c r="H74" s="285" t="n"/>
      <c r="I74" s="15" t="n"/>
      <c r="J74" s="15" t="n"/>
      <c r="K74" s="285" t="n"/>
      <c r="L74" s="15" t="n"/>
      <c r="M74" s="15" t="n"/>
      <c r="N74" s="285" t="n"/>
      <c r="O74" s="15" t="n"/>
      <c r="P74" s="15" t="n"/>
      <c r="Q74" s="285" t="n"/>
      <c r="R74" s="15" t="n"/>
      <c r="S74" s="15" t="n"/>
      <c r="T74" s="285" t="n"/>
      <c r="U74" s="15" t="n"/>
      <c r="V74" s="15" t="n"/>
      <c r="W74" s="285" t="n"/>
      <c r="X74" s="15" t="n"/>
      <c r="Y74" s="15" t="n"/>
      <c r="Z74" s="285" t="n"/>
      <c r="AA74" s="15" t="n"/>
      <c r="AB74" s="15" t="n"/>
      <c r="AC74" s="285" t="n"/>
      <c r="AD74" s="15" t="n"/>
      <c r="AE74" s="15" t="n"/>
      <c r="AF74" s="285" t="n"/>
      <c r="AG74" s="327" t="n"/>
      <c r="AH74" s="15" t="n"/>
      <c r="AI74" s="285" t="n"/>
      <c r="AJ74" s="327" t="n"/>
      <c r="AK74" s="15" t="n"/>
    </row>
    <row r="75">
      <c r="A75" s="428" t="n"/>
      <c r="B75" s="285" t="n"/>
      <c r="C75" s="15" t="n"/>
      <c r="D75" s="15" t="n"/>
      <c r="E75" s="285" t="n"/>
      <c r="F75" s="15" t="n"/>
      <c r="G75" s="15" t="n"/>
      <c r="H75" s="285" t="n"/>
      <c r="I75" s="15" t="n"/>
      <c r="J75" s="15" t="n"/>
      <c r="K75" s="285" t="n"/>
      <c r="L75" s="15" t="n"/>
      <c r="M75" s="15" t="n"/>
      <c r="N75" s="285" t="n"/>
      <c r="O75" s="15" t="n"/>
      <c r="P75" s="15" t="n"/>
      <c r="Q75" s="285" t="n"/>
      <c r="R75" s="15" t="n"/>
      <c r="S75" s="15" t="n"/>
      <c r="T75" s="285" t="n"/>
      <c r="U75" s="15" t="n"/>
      <c r="V75" s="15" t="n"/>
      <c r="W75" s="285" t="n"/>
      <c r="X75" s="15" t="n"/>
      <c r="Y75" s="15" t="n"/>
      <c r="Z75" s="285" t="n"/>
      <c r="AA75" s="15" t="n"/>
      <c r="AB75" s="15" t="n"/>
      <c r="AC75" s="285" t="n"/>
      <c r="AD75" s="15" t="n"/>
      <c r="AE75" s="15" t="n"/>
      <c r="AF75" s="285" t="n"/>
      <c r="AG75" s="327" t="n"/>
      <c r="AH75" s="15" t="n"/>
      <c r="AI75" s="285" t="n"/>
      <c r="AJ75" s="327" t="n"/>
      <c r="AK75" s="15" t="n"/>
    </row>
    <row r="76">
      <c r="A76" s="330" t="n"/>
      <c r="B76" s="292" t="n"/>
      <c r="C76" s="15" t="n"/>
      <c r="D76" s="15" t="n"/>
      <c r="E76" s="292" t="n"/>
      <c r="F76" s="15" t="n"/>
      <c r="G76" s="15" t="n"/>
      <c r="H76" s="292" t="n"/>
      <c r="I76" s="15" t="n"/>
      <c r="J76" s="15" t="n"/>
      <c r="K76" s="292" t="n"/>
      <c r="L76" s="15" t="n"/>
      <c r="M76" s="15" t="n"/>
      <c r="N76" s="292" t="n"/>
      <c r="O76" s="15" t="n"/>
      <c r="P76" s="15" t="n"/>
      <c r="Q76" s="292" t="n"/>
      <c r="R76" s="15" t="n"/>
      <c r="S76" s="15" t="n"/>
      <c r="T76" s="292" t="n"/>
      <c r="U76" s="15" t="n"/>
      <c r="V76" s="15" t="n"/>
      <c r="W76" s="292" t="n"/>
      <c r="X76" s="15" t="n"/>
      <c r="Y76" s="15" t="n"/>
      <c r="Z76" s="292" t="n"/>
      <c r="AA76" s="15" t="n"/>
      <c r="AB76" s="15" t="n"/>
      <c r="AC76" s="292" t="n"/>
      <c r="AD76" s="15" t="n"/>
      <c r="AE76" s="15" t="n"/>
      <c r="AF76" s="292" t="n"/>
      <c r="AG76" s="327" t="n"/>
      <c r="AH76" s="15" t="n"/>
      <c r="AI76" s="292" t="n"/>
      <c r="AJ76" s="327" t="n"/>
      <c r="AK76" s="15" t="n"/>
    </row>
    <row r="77">
      <c r="A77" s="428" t="n"/>
      <c r="B77" s="285" t="n"/>
      <c r="C77" s="15" t="n"/>
      <c r="D77" s="15" t="n"/>
      <c r="E77" s="285" t="n"/>
      <c r="F77" s="15" t="n"/>
      <c r="G77" s="15" t="n"/>
      <c r="H77" s="285" t="n"/>
      <c r="I77" s="15" t="n"/>
      <c r="J77" s="15" t="n"/>
      <c r="K77" s="285" t="n"/>
      <c r="L77" s="15" t="n"/>
      <c r="M77" s="15" t="n"/>
      <c r="N77" s="285" t="n"/>
      <c r="O77" s="15" t="n"/>
      <c r="P77" s="15" t="n"/>
      <c r="Q77" s="285" t="n"/>
      <c r="R77" s="15" t="n"/>
      <c r="S77" s="15" t="n"/>
      <c r="T77" s="285" t="n"/>
      <c r="U77" s="15" t="n"/>
      <c r="V77" s="15" t="n"/>
      <c r="W77" s="285" t="n"/>
      <c r="X77" s="15" t="n"/>
      <c r="Y77" s="15" t="n"/>
      <c r="Z77" s="285" t="n"/>
      <c r="AA77" s="15" t="n"/>
      <c r="AB77" s="15" t="n"/>
      <c r="AC77" s="285" t="n"/>
      <c r="AD77" s="15" t="n"/>
      <c r="AE77" s="15" t="n"/>
      <c r="AF77" s="285" t="n"/>
      <c r="AG77" s="327" t="n"/>
      <c r="AH77" s="15" t="n"/>
      <c r="AI77" s="285" t="n"/>
      <c r="AJ77" s="327" t="n"/>
      <c r="AK77" s="15" t="n"/>
    </row>
    <row r="78">
      <c r="A78" s="428" t="n"/>
      <c r="B78" s="285" t="n"/>
      <c r="C78" s="15" t="n"/>
      <c r="D78" s="15" t="n"/>
      <c r="E78" s="285" t="n"/>
      <c r="F78" s="15" t="n"/>
      <c r="G78" s="15" t="n"/>
      <c r="H78" s="285" t="n"/>
      <c r="I78" s="15" t="n"/>
      <c r="J78" s="15" t="n"/>
      <c r="K78" s="285" t="n"/>
      <c r="L78" s="15" t="n"/>
      <c r="M78" s="15" t="n"/>
      <c r="N78" s="285" t="n"/>
      <c r="O78" s="15" t="n"/>
      <c r="P78" s="15" t="n"/>
      <c r="Q78" s="285" t="n"/>
      <c r="R78" s="15" t="n"/>
      <c r="S78" s="15" t="n"/>
      <c r="T78" s="285" t="n"/>
      <c r="U78" s="15" t="n"/>
      <c r="V78" s="15" t="n"/>
      <c r="W78" s="285" t="n"/>
      <c r="X78" s="15" t="n"/>
      <c r="Y78" s="15" t="n"/>
      <c r="Z78" s="285" t="n"/>
      <c r="AA78" s="15" t="n"/>
      <c r="AB78" s="15" t="n"/>
      <c r="AC78" s="285" t="n"/>
      <c r="AD78" s="15" t="n"/>
      <c r="AE78" s="15" t="n"/>
      <c r="AF78" s="285" t="n"/>
      <c r="AG78" s="327" t="n"/>
      <c r="AH78" s="15" t="n"/>
      <c r="AI78" s="285" t="n"/>
      <c r="AJ78" s="327" t="n"/>
      <c r="AK78" s="15" t="n"/>
    </row>
    <row r="79">
      <c r="A79" s="428" t="n"/>
      <c r="B79" s="285" t="n"/>
      <c r="C79" s="15" t="n"/>
      <c r="D79" s="15" t="n"/>
      <c r="E79" s="285" t="n"/>
      <c r="F79" s="15" t="n"/>
      <c r="G79" s="15" t="n"/>
      <c r="H79" s="285" t="n"/>
      <c r="I79" s="15" t="n"/>
      <c r="J79" s="15" t="n"/>
      <c r="K79" s="285" t="n"/>
      <c r="L79" s="15" t="n"/>
      <c r="M79" s="15" t="n"/>
      <c r="N79" s="285" t="n"/>
      <c r="O79" s="15" t="n"/>
      <c r="P79" s="15" t="n"/>
      <c r="Q79" s="285" t="n"/>
      <c r="R79" s="15" t="n"/>
      <c r="S79" s="15" t="n"/>
      <c r="T79" s="285" t="n"/>
      <c r="U79" s="15" t="n"/>
      <c r="V79" s="15" t="n"/>
      <c r="W79" s="285" t="n"/>
      <c r="X79" s="15" t="n"/>
      <c r="Y79" s="15" t="n"/>
      <c r="Z79" s="285" t="n"/>
      <c r="AA79" s="15" t="n"/>
      <c r="AB79" s="15" t="n"/>
      <c r="AC79" s="285" t="n"/>
      <c r="AD79" s="15" t="n"/>
      <c r="AE79" s="15" t="n"/>
      <c r="AF79" s="285" t="n"/>
      <c r="AG79" s="327" t="n"/>
      <c r="AH79" s="15" t="n"/>
      <c r="AI79" s="285" t="n"/>
      <c r="AJ79" s="327" t="n"/>
      <c r="AK79" s="15" t="n"/>
    </row>
    <row r="80">
      <c r="A80" s="428" t="n"/>
      <c r="B80" s="285" t="n"/>
      <c r="C80" s="15" t="n"/>
      <c r="D80" s="15" t="n"/>
      <c r="E80" s="285" t="n"/>
      <c r="F80" s="15" t="n"/>
      <c r="G80" s="15" t="n"/>
      <c r="H80" s="285" t="n"/>
      <c r="I80" s="15" t="n"/>
      <c r="J80" s="15" t="n"/>
      <c r="K80" s="285" t="n"/>
      <c r="L80" s="15" t="n"/>
      <c r="M80" s="15" t="n"/>
      <c r="N80" s="285" t="n"/>
      <c r="O80" s="15" t="n"/>
      <c r="P80" s="15" t="n"/>
      <c r="Q80" s="285" t="n"/>
      <c r="R80" s="15" t="n"/>
      <c r="S80" s="15" t="n"/>
      <c r="T80" s="285" t="n"/>
      <c r="U80" s="15" t="n"/>
      <c r="V80" s="15" t="n"/>
      <c r="W80" s="285" t="n"/>
      <c r="X80" s="15" t="n"/>
      <c r="Y80" s="15" t="n"/>
      <c r="Z80" s="285" t="n"/>
      <c r="AA80" s="15" t="n"/>
      <c r="AB80" s="15" t="n"/>
      <c r="AC80" s="285" t="n"/>
      <c r="AD80" s="15" t="n"/>
      <c r="AE80" s="15" t="n"/>
      <c r="AF80" s="285" t="n"/>
      <c r="AG80" s="327" t="n"/>
      <c r="AH80" s="15" t="n"/>
      <c r="AI80" s="285" t="n"/>
      <c r="AJ80" s="327" t="n"/>
      <c r="AK80" s="15" t="n"/>
    </row>
    <row r="81">
      <c r="A81" s="428" t="n"/>
      <c r="B81" s="285" t="n"/>
      <c r="C81" s="15" t="n"/>
      <c r="D81" s="15" t="n"/>
      <c r="E81" s="285" t="n"/>
      <c r="F81" s="15" t="n"/>
      <c r="G81" s="15" t="n"/>
      <c r="H81" s="285" t="n"/>
      <c r="I81" s="15" t="n"/>
      <c r="J81" s="15" t="n"/>
      <c r="K81" s="285" t="n"/>
      <c r="L81" s="15" t="n"/>
      <c r="M81" s="15" t="n"/>
      <c r="N81" s="285" t="n"/>
      <c r="O81" s="15" t="n"/>
      <c r="P81" s="15" t="n"/>
      <c r="Q81" s="285" t="n"/>
      <c r="R81" s="15" t="n"/>
      <c r="S81" s="15" t="n"/>
      <c r="T81" s="285" t="n"/>
      <c r="U81" s="15" t="n"/>
      <c r="V81" s="15" t="n"/>
      <c r="W81" s="285" t="n"/>
      <c r="X81" s="15" t="n"/>
      <c r="Y81" s="15" t="n"/>
      <c r="Z81" s="285" t="n"/>
      <c r="AA81" s="15" t="n"/>
      <c r="AB81" s="15" t="n"/>
      <c r="AC81" s="285" t="n"/>
      <c r="AD81" s="15" t="n"/>
      <c r="AE81" s="15" t="n"/>
      <c r="AF81" s="285" t="n"/>
      <c r="AG81" s="327" t="n"/>
      <c r="AH81" s="15" t="n"/>
      <c r="AI81" s="285" t="n"/>
      <c r="AJ81" s="327" t="n"/>
      <c r="AK81" s="15" t="n"/>
    </row>
    <row r="82">
      <c r="A82" s="428" t="n"/>
      <c r="B82" s="285" t="n"/>
      <c r="C82" s="15" t="n"/>
      <c r="D82" s="15" t="n"/>
      <c r="E82" s="285" t="n"/>
      <c r="F82" s="15" t="n"/>
      <c r="G82" s="15" t="n"/>
      <c r="H82" s="285" t="n"/>
      <c r="I82" s="15" t="n"/>
      <c r="J82" s="15" t="n"/>
      <c r="K82" s="285" t="n"/>
      <c r="L82" s="15" t="n"/>
      <c r="M82" s="15" t="n"/>
      <c r="N82" s="285" t="n"/>
      <c r="O82" s="15" t="n"/>
      <c r="P82" s="15" t="n"/>
      <c r="Q82" s="285" t="n"/>
      <c r="R82" s="15" t="n"/>
      <c r="S82" s="15" t="n"/>
      <c r="T82" s="285" t="n"/>
      <c r="U82" s="15" t="n"/>
      <c r="V82" s="15" t="n"/>
      <c r="W82" s="285" t="n"/>
      <c r="X82" s="15" t="n"/>
      <c r="Y82" s="15" t="n"/>
      <c r="Z82" s="285" t="n"/>
      <c r="AA82" s="15" t="n"/>
      <c r="AB82" s="15" t="n"/>
      <c r="AC82" s="285" t="n"/>
      <c r="AD82" s="15" t="n"/>
      <c r="AE82" s="15" t="n"/>
      <c r="AF82" s="285" t="n"/>
      <c r="AG82" s="327" t="n"/>
      <c r="AH82" s="15" t="n"/>
      <c r="AI82" s="285" t="n"/>
      <c r="AJ82" s="327" t="n"/>
      <c r="AK82" s="15" t="n"/>
    </row>
    <row r="83">
      <c r="A83" s="428" t="n"/>
      <c r="B83" s="285" t="n"/>
      <c r="C83" s="15" t="n"/>
      <c r="D83" s="15" t="n"/>
      <c r="E83" s="285" t="n"/>
      <c r="F83" s="15" t="n"/>
      <c r="G83" s="15" t="n"/>
      <c r="H83" s="285" t="n"/>
      <c r="I83" s="15" t="n"/>
      <c r="J83" s="15" t="n"/>
      <c r="K83" s="285" t="n"/>
      <c r="L83" s="15" t="n"/>
      <c r="M83" s="15" t="n"/>
      <c r="N83" s="285" t="n"/>
      <c r="O83" s="15" t="n"/>
      <c r="P83" s="15" t="n"/>
      <c r="Q83" s="285" t="n"/>
      <c r="R83" s="15" t="n"/>
      <c r="S83" s="15" t="n"/>
      <c r="T83" s="285" t="n"/>
      <c r="U83" s="15" t="n"/>
      <c r="V83" s="15" t="n"/>
      <c r="W83" s="285" t="n"/>
      <c r="X83" s="15" t="n"/>
      <c r="Y83" s="15" t="n"/>
      <c r="Z83" s="285" t="n"/>
      <c r="AA83" s="15" t="n"/>
      <c r="AB83" s="15" t="n"/>
      <c r="AC83" s="285" t="n"/>
      <c r="AD83" s="15" t="n"/>
      <c r="AE83" s="15" t="n"/>
      <c r="AF83" s="285" t="n"/>
      <c r="AG83" s="327" t="n"/>
      <c r="AH83" s="15" t="n"/>
      <c r="AI83" s="285" t="n"/>
      <c r="AJ83" s="327" t="n"/>
      <c r="AK83" s="15" t="n"/>
    </row>
    <row r="84">
      <c r="A84" s="428" t="n"/>
      <c r="B84" s="285" t="n"/>
      <c r="C84" s="15" t="n"/>
      <c r="D84" s="15" t="n"/>
      <c r="E84" s="285" t="n"/>
      <c r="F84" s="15" t="n"/>
      <c r="G84" s="15" t="n"/>
      <c r="H84" s="285" t="n"/>
      <c r="I84" s="15" t="n"/>
      <c r="J84" s="15" t="n"/>
      <c r="K84" s="285" t="n"/>
      <c r="L84" s="15" t="n"/>
      <c r="M84" s="15" t="n"/>
      <c r="N84" s="285" t="n"/>
      <c r="O84" s="15" t="n"/>
      <c r="P84" s="15" t="n"/>
      <c r="Q84" s="285" t="n"/>
      <c r="R84" s="15" t="n"/>
      <c r="S84" s="15" t="n"/>
      <c r="T84" s="285" t="n"/>
      <c r="U84" s="15" t="n"/>
      <c r="V84" s="15" t="n"/>
      <c r="W84" s="285" t="n"/>
      <c r="X84" s="15" t="n"/>
      <c r="Y84" s="15" t="n"/>
      <c r="Z84" s="285" t="n"/>
      <c r="AA84" s="15" t="n"/>
      <c r="AB84" s="15" t="n"/>
      <c r="AC84" s="285" t="n"/>
      <c r="AD84" s="15" t="n"/>
      <c r="AE84" s="15" t="n"/>
      <c r="AF84" s="285" t="n"/>
      <c r="AG84" s="327" t="n"/>
      <c r="AH84" s="15" t="n"/>
      <c r="AI84" s="285" t="n"/>
      <c r="AJ84" s="327" t="n"/>
      <c r="AK84" s="15" t="n"/>
    </row>
    <row r="85">
      <c r="A85" s="428" t="n"/>
      <c r="B85" s="285" t="n"/>
      <c r="C85" s="15" t="n"/>
      <c r="D85" s="15" t="n"/>
      <c r="E85" s="285" t="n"/>
      <c r="F85" s="15" t="n"/>
      <c r="G85" s="15" t="n"/>
      <c r="H85" s="285" t="n"/>
      <c r="I85" s="15" t="n"/>
      <c r="J85" s="15" t="n"/>
      <c r="K85" s="285" t="n"/>
      <c r="L85" s="15" t="n"/>
      <c r="M85" s="15" t="n"/>
      <c r="N85" s="285" t="n"/>
      <c r="O85" s="15" t="n"/>
      <c r="P85" s="15" t="n"/>
      <c r="Q85" s="285" t="n"/>
      <c r="R85" s="15" t="n"/>
      <c r="S85" s="15" t="n"/>
      <c r="T85" s="285" t="n"/>
      <c r="U85" s="15" t="n"/>
      <c r="V85" s="15" t="n"/>
      <c r="W85" s="285" t="n"/>
      <c r="X85" s="15" t="n"/>
      <c r="Y85" s="15" t="n"/>
      <c r="Z85" s="285" t="n"/>
      <c r="AA85" s="15" t="n"/>
      <c r="AB85" s="15" t="n"/>
      <c r="AC85" s="285" t="n"/>
      <c r="AD85" s="15" t="n"/>
      <c r="AE85" s="15" t="n"/>
      <c r="AF85" s="285" t="n"/>
      <c r="AG85" s="327" t="n"/>
      <c r="AH85" s="15" t="n"/>
      <c r="AI85" s="285" t="n"/>
      <c r="AJ85" s="327" t="n"/>
      <c r="AK85" s="15" t="n"/>
    </row>
    <row r="86">
      <c r="A86" s="428" t="n"/>
      <c r="B86" s="285" t="n"/>
      <c r="C86" s="15" t="n"/>
      <c r="D86" s="15" t="n"/>
      <c r="E86" s="285" t="n"/>
      <c r="F86" s="15" t="n"/>
      <c r="G86" s="15" t="n"/>
      <c r="H86" s="285" t="n"/>
      <c r="I86" s="15" t="n"/>
      <c r="J86" s="15" t="n"/>
      <c r="K86" s="285" t="n"/>
      <c r="L86" s="15" t="n"/>
      <c r="M86" s="15" t="n"/>
      <c r="N86" s="285" t="n"/>
      <c r="O86" s="15" t="n"/>
      <c r="P86" s="15" t="n"/>
      <c r="Q86" s="285" t="n"/>
      <c r="R86" s="15" t="n"/>
      <c r="S86" s="15" t="n"/>
      <c r="T86" s="285" t="n"/>
      <c r="U86" s="15" t="n"/>
      <c r="V86" s="15" t="n"/>
      <c r="W86" s="285" t="n"/>
      <c r="X86" s="15" t="n"/>
      <c r="Y86" s="15" t="n"/>
      <c r="Z86" s="285" t="n"/>
      <c r="AA86" s="15" t="n"/>
      <c r="AB86" s="15" t="n"/>
      <c r="AC86" s="285" t="n"/>
      <c r="AD86" s="15" t="n"/>
      <c r="AE86" s="15" t="n"/>
      <c r="AF86" s="285" t="n"/>
      <c r="AG86" s="327" t="n"/>
      <c r="AH86" s="15" t="n"/>
      <c r="AI86" s="285" t="n"/>
      <c r="AJ86" s="327" t="n"/>
      <c r="AK86" s="15" t="n"/>
    </row>
    <row r="87">
      <c r="A87" s="428" t="n"/>
      <c r="B87" s="285" t="n"/>
      <c r="C87" s="15" t="n"/>
      <c r="D87" s="15" t="n"/>
      <c r="E87" s="285" t="n"/>
      <c r="F87" s="15" t="n"/>
      <c r="G87" s="15" t="n"/>
      <c r="H87" s="285" t="n"/>
      <c r="I87" s="15" t="n"/>
      <c r="J87" s="15" t="n"/>
      <c r="K87" s="285" t="n"/>
      <c r="L87" s="15" t="n"/>
      <c r="M87" s="15" t="n"/>
      <c r="N87" s="285" t="n"/>
      <c r="O87" s="15" t="n"/>
      <c r="P87" s="15" t="n"/>
      <c r="Q87" s="285" t="n"/>
      <c r="R87" s="15" t="n"/>
      <c r="S87" s="15" t="n"/>
      <c r="T87" s="285" t="n"/>
      <c r="U87" s="15" t="n"/>
      <c r="V87" s="15" t="n"/>
      <c r="W87" s="285" t="n"/>
      <c r="X87" s="15" t="n"/>
      <c r="Y87" s="15" t="n"/>
      <c r="Z87" s="285" t="n"/>
      <c r="AA87" s="15" t="n"/>
      <c r="AB87" s="15" t="n"/>
      <c r="AC87" s="285" t="n"/>
      <c r="AD87" s="15" t="n"/>
      <c r="AE87" s="15" t="n"/>
      <c r="AF87" s="285" t="n"/>
      <c r="AG87" s="327" t="n"/>
      <c r="AH87" s="15" t="n"/>
      <c r="AI87" s="285" t="n"/>
      <c r="AJ87" s="327" t="n"/>
      <c r="AK87" s="15" t="n"/>
    </row>
    <row r="88">
      <c r="A88" s="330" t="n"/>
      <c r="B88" s="292" t="n"/>
      <c r="C88" s="15" t="n"/>
      <c r="D88" s="15" t="n"/>
      <c r="E88" s="292" t="n"/>
      <c r="F88" s="15" t="n"/>
      <c r="G88" s="15" t="n"/>
      <c r="H88" s="292" t="n"/>
      <c r="I88" s="15" t="n"/>
      <c r="J88" s="15" t="n"/>
      <c r="K88" s="292" t="n"/>
      <c r="L88" s="15" t="n"/>
      <c r="M88" s="15" t="n"/>
      <c r="N88" s="292" t="n"/>
      <c r="O88" s="15" t="n"/>
      <c r="P88" s="15" t="n"/>
      <c r="Q88" s="292" t="n"/>
      <c r="R88" s="15" t="n"/>
      <c r="S88" s="15" t="n"/>
      <c r="T88" s="292" t="n"/>
      <c r="U88" s="15" t="n"/>
      <c r="V88" s="15" t="n"/>
      <c r="W88" s="292" t="n"/>
      <c r="X88" s="15" t="n"/>
      <c r="Y88" s="15" t="n"/>
      <c r="Z88" s="292" t="n"/>
      <c r="AA88" s="15" t="n"/>
      <c r="AB88" s="15" t="n"/>
      <c r="AC88" s="292" t="n"/>
      <c r="AD88" s="15" t="n"/>
      <c r="AE88" s="15" t="n"/>
      <c r="AF88" s="292" t="n"/>
      <c r="AG88" s="327" t="n"/>
      <c r="AH88" s="15" t="n"/>
      <c r="AI88" s="292" t="n"/>
      <c r="AJ88" s="327" t="n"/>
      <c r="AK88" s="15" t="n"/>
    </row>
    <row r="89">
      <c r="A89" s="428" t="n"/>
      <c r="B89" s="285" t="n"/>
      <c r="C89" s="15" t="n"/>
      <c r="D89" s="15" t="n"/>
      <c r="E89" s="285" t="n"/>
      <c r="F89" s="15" t="n"/>
      <c r="G89" s="15" t="n"/>
      <c r="H89" s="285" t="n"/>
      <c r="I89" s="15" t="n"/>
      <c r="J89" s="15" t="n"/>
      <c r="K89" s="285" t="n"/>
      <c r="L89" s="15" t="n"/>
      <c r="M89" s="15" t="n"/>
      <c r="N89" s="285" t="n"/>
      <c r="O89" s="15" t="n"/>
      <c r="P89" s="15" t="n"/>
      <c r="Q89" s="285" t="n"/>
      <c r="R89" s="15" t="n"/>
      <c r="S89" s="15" t="n"/>
      <c r="T89" s="285" t="n"/>
      <c r="U89" s="15" t="n"/>
      <c r="V89" s="15" t="n"/>
      <c r="W89" s="285" t="n"/>
      <c r="X89" s="15" t="n"/>
      <c r="Y89" s="15" t="n"/>
      <c r="Z89" s="285" t="n"/>
      <c r="AA89" s="15" t="n"/>
      <c r="AB89" s="15" t="n"/>
      <c r="AC89" s="285" t="n"/>
      <c r="AD89" s="15" t="n"/>
      <c r="AE89" s="15" t="n"/>
      <c r="AF89" s="285" t="n"/>
      <c r="AG89" s="327" t="n"/>
      <c r="AH89" s="15" t="n"/>
      <c r="AI89" s="285" t="n"/>
      <c r="AJ89" s="327" t="n"/>
      <c r="AK89" s="15" t="n"/>
    </row>
    <row r="90">
      <c r="A90" s="428" t="n"/>
      <c r="B90" s="285" t="n"/>
      <c r="C90" s="15" t="n"/>
      <c r="D90" s="15" t="n"/>
      <c r="E90" s="285" t="n"/>
      <c r="F90" s="15" t="n"/>
      <c r="G90" s="15" t="n"/>
      <c r="H90" s="285" t="n"/>
      <c r="I90" s="15" t="n"/>
      <c r="J90" s="15" t="n"/>
      <c r="K90" s="285" t="n"/>
      <c r="L90" s="15" t="n"/>
      <c r="M90" s="15" t="n"/>
      <c r="N90" s="285" t="n"/>
      <c r="O90" s="15" t="n"/>
      <c r="P90" s="15" t="n"/>
      <c r="Q90" s="285" t="n"/>
      <c r="R90" s="15" t="n"/>
      <c r="S90" s="15" t="n"/>
      <c r="T90" s="285" t="n"/>
      <c r="U90" s="15" t="n"/>
      <c r="V90" s="15" t="n"/>
      <c r="W90" s="285" t="n"/>
      <c r="X90" s="15" t="n"/>
      <c r="Y90" s="15" t="n"/>
      <c r="Z90" s="285" t="n"/>
      <c r="AA90" s="15" t="n"/>
      <c r="AB90" s="15" t="n"/>
      <c r="AC90" s="285" t="n"/>
      <c r="AD90" s="15" t="n"/>
      <c r="AE90" s="15" t="n"/>
      <c r="AF90" s="285" t="n"/>
      <c r="AG90" s="327" t="n"/>
      <c r="AH90" s="15" t="n"/>
      <c r="AI90" s="285" t="n"/>
      <c r="AJ90" s="327" t="n"/>
      <c r="AK90" s="15" t="n"/>
    </row>
    <row r="91">
      <c r="A91" s="428" t="n"/>
      <c r="B91" s="285" t="n"/>
      <c r="C91" s="15" t="n"/>
      <c r="D91" s="15" t="n"/>
      <c r="E91" s="285" t="n"/>
      <c r="F91" s="15" t="n"/>
      <c r="G91" s="15" t="n"/>
      <c r="H91" s="285" t="n"/>
      <c r="I91" s="15" t="n"/>
      <c r="J91" s="15" t="n"/>
      <c r="K91" s="285" t="n"/>
      <c r="L91" s="15" t="n"/>
      <c r="M91" s="15" t="n"/>
      <c r="N91" s="285" t="n"/>
      <c r="O91" s="15" t="n"/>
      <c r="P91" s="15" t="n"/>
      <c r="Q91" s="285" t="n"/>
      <c r="R91" s="15" t="n"/>
      <c r="S91" s="15" t="n"/>
      <c r="T91" s="285" t="n"/>
      <c r="U91" s="15" t="n"/>
      <c r="V91" s="15" t="n"/>
      <c r="W91" s="285" t="n"/>
      <c r="X91" s="15" t="n"/>
      <c r="Y91" s="15" t="n"/>
      <c r="Z91" s="285" t="n"/>
      <c r="AA91" s="15" t="n"/>
      <c r="AB91" s="15" t="n"/>
      <c r="AC91" s="285" t="n"/>
      <c r="AD91" s="15" t="n"/>
      <c r="AE91" s="15" t="n"/>
      <c r="AF91" s="285" t="n"/>
      <c r="AG91" s="327" t="n"/>
      <c r="AH91" s="15" t="n"/>
      <c r="AI91" s="285" t="n"/>
      <c r="AJ91" s="327" t="n"/>
      <c r="AK91" s="15" t="n"/>
    </row>
    <row r="92">
      <c r="A92" s="428" t="n"/>
      <c r="B92" s="285" t="n"/>
      <c r="C92" s="15" t="n"/>
      <c r="D92" s="15" t="n"/>
      <c r="E92" s="285" t="n"/>
      <c r="F92" s="15" t="n"/>
      <c r="G92" s="15" t="n"/>
      <c r="H92" s="285" t="n"/>
      <c r="I92" s="15" t="n"/>
      <c r="J92" s="15" t="n"/>
      <c r="K92" s="285" t="n"/>
      <c r="L92" s="15" t="n"/>
      <c r="M92" s="15" t="n"/>
      <c r="N92" s="285" t="n"/>
      <c r="O92" s="15" t="n"/>
      <c r="P92" s="15" t="n"/>
      <c r="Q92" s="285" t="n"/>
      <c r="R92" s="15" t="n"/>
      <c r="S92" s="15" t="n"/>
      <c r="T92" s="285" t="n"/>
      <c r="U92" s="15" t="n"/>
      <c r="V92" s="15" t="n"/>
      <c r="W92" s="285" t="n"/>
      <c r="X92" s="15" t="n"/>
      <c r="Y92" s="15" t="n"/>
      <c r="Z92" s="285" t="n"/>
      <c r="AA92" s="15" t="n"/>
      <c r="AB92" s="15" t="n"/>
      <c r="AC92" s="285" t="n"/>
      <c r="AD92" s="15" t="n"/>
      <c r="AE92" s="15" t="n"/>
      <c r="AF92" s="285" t="n"/>
      <c r="AG92" s="327" t="n"/>
      <c r="AH92" s="15" t="n"/>
      <c r="AI92" s="285" t="n"/>
      <c r="AJ92" s="327" t="n"/>
      <c r="AK92" s="15" t="n"/>
    </row>
    <row r="93">
      <c r="A93" s="428" t="n"/>
      <c r="B93" s="285" t="n"/>
      <c r="C93" s="15" t="n"/>
      <c r="D93" s="15" t="n"/>
      <c r="E93" s="285" t="n"/>
      <c r="F93" s="15" t="n"/>
      <c r="G93" s="15" t="n"/>
      <c r="H93" s="285" t="n"/>
      <c r="I93" s="15" t="n"/>
      <c r="J93" s="15" t="n"/>
      <c r="K93" s="285" t="n"/>
      <c r="L93" s="15" t="n"/>
      <c r="M93" s="15" t="n"/>
      <c r="N93" s="285" t="n"/>
      <c r="O93" s="15" t="n"/>
      <c r="P93" s="15" t="n"/>
      <c r="Q93" s="285" t="n"/>
      <c r="R93" s="15" t="n"/>
      <c r="S93" s="15" t="n"/>
      <c r="T93" s="285" t="n"/>
      <c r="U93" s="15" t="n"/>
      <c r="V93" s="15" t="n"/>
      <c r="W93" s="285" t="n"/>
      <c r="X93" s="15" t="n"/>
      <c r="Y93" s="15" t="n"/>
      <c r="Z93" s="285" t="n"/>
      <c r="AA93" s="15" t="n"/>
      <c r="AB93" s="15" t="n"/>
      <c r="AC93" s="285" t="n"/>
      <c r="AD93" s="15" t="n"/>
      <c r="AE93" s="15" t="n"/>
      <c r="AF93" s="285" t="n"/>
      <c r="AG93" s="327" t="n"/>
      <c r="AH93" s="15" t="n"/>
      <c r="AI93" s="285" t="n"/>
      <c r="AJ93" s="327" t="n"/>
      <c r="AK93" s="15" t="n"/>
    </row>
    <row r="94">
      <c r="A94" s="428" t="n"/>
      <c r="B94" s="285" t="n"/>
      <c r="C94" s="15" t="n"/>
      <c r="D94" s="15" t="n"/>
      <c r="E94" s="285" t="n"/>
      <c r="F94" s="15" t="n"/>
      <c r="G94" s="15" t="n"/>
      <c r="H94" s="285" t="n"/>
      <c r="I94" s="15" t="n"/>
      <c r="J94" s="15" t="n"/>
      <c r="K94" s="285" t="n"/>
      <c r="L94" s="15" t="n"/>
      <c r="M94" s="15" t="n"/>
      <c r="N94" s="285" t="n"/>
      <c r="O94" s="15" t="n"/>
      <c r="P94" s="15" t="n"/>
      <c r="Q94" s="285" t="n"/>
      <c r="R94" s="15" t="n"/>
      <c r="S94" s="15" t="n"/>
      <c r="T94" s="285" t="n"/>
      <c r="U94" s="15" t="n"/>
      <c r="V94" s="15" t="n"/>
      <c r="W94" s="285" t="n"/>
      <c r="X94" s="15" t="n"/>
      <c r="Y94" s="15" t="n"/>
      <c r="Z94" s="285" t="n"/>
      <c r="AA94" s="15" t="n"/>
      <c r="AB94" s="15" t="n"/>
      <c r="AC94" s="285" t="n"/>
      <c r="AD94" s="15" t="n"/>
      <c r="AE94" s="15" t="n"/>
      <c r="AF94" s="285" t="n"/>
      <c r="AG94" s="327" t="n"/>
      <c r="AH94" s="15" t="n"/>
      <c r="AI94" s="285" t="n"/>
      <c r="AJ94" s="327" t="n"/>
      <c r="AK94" s="15" t="n"/>
    </row>
    <row r="95">
      <c r="A95" s="428" t="n"/>
      <c r="B95" s="285" t="n"/>
      <c r="C95" s="15" t="n"/>
      <c r="D95" s="15" t="n"/>
      <c r="E95" s="285" t="n"/>
      <c r="F95" s="15" t="n"/>
      <c r="G95" s="15" t="n"/>
      <c r="H95" s="285" t="n"/>
      <c r="I95" s="15" t="n"/>
      <c r="J95" s="15" t="n"/>
      <c r="K95" s="285" t="n"/>
      <c r="L95" s="15" t="n"/>
      <c r="M95" s="15" t="n"/>
      <c r="N95" s="285" t="n"/>
      <c r="O95" s="15" t="n"/>
      <c r="P95" s="15" t="n"/>
      <c r="Q95" s="285" t="n"/>
      <c r="R95" s="15" t="n"/>
      <c r="S95" s="15" t="n"/>
      <c r="T95" s="285" t="n"/>
      <c r="U95" s="15" t="n"/>
      <c r="V95" s="15" t="n"/>
      <c r="W95" s="285" t="n"/>
      <c r="X95" s="15" t="n"/>
      <c r="Y95" s="15" t="n"/>
      <c r="Z95" s="285" t="n"/>
      <c r="AA95" s="15" t="n"/>
      <c r="AB95" s="15" t="n"/>
      <c r="AC95" s="285" t="n"/>
      <c r="AD95" s="15" t="n"/>
      <c r="AE95" s="15" t="n"/>
      <c r="AF95" s="285" t="n"/>
      <c r="AG95" s="327" t="n"/>
      <c r="AH95" s="15" t="n"/>
      <c r="AI95" s="285" t="n"/>
      <c r="AJ95" s="327" t="n"/>
      <c r="AK95" s="15" t="n"/>
    </row>
    <row r="96">
      <c r="A96" s="428" t="n"/>
      <c r="B96" s="285" t="n"/>
      <c r="C96" s="15" t="n"/>
      <c r="D96" s="15" t="n"/>
      <c r="E96" s="285" t="n"/>
      <c r="F96" s="15" t="n"/>
      <c r="G96" s="15" t="n"/>
      <c r="H96" s="285" t="n"/>
      <c r="I96" s="15" t="n"/>
      <c r="J96" s="15" t="n"/>
      <c r="K96" s="285" t="n"/>
      <c r="L96" s="15" t="n"/>
      <c r="M96" s="15" t="n"/>
      <c r="N96" s="285" t="n"/>
      <c r="O96" s="15" t="n"/>
      <c r="P96" s="15" t="n"/>
      <c r="Q96" s="285" t="n"/>
      <c r="R96" s="15" t="n"/>
      <c r="S96" s="15" t="n"/>
      <c r="T96" s="285" t="n"/>
      <c r="U96" s="15" t="n"/>
      <c r="V96" s="15" t="n"/>
      <c r="W96" s="285" t="n"/>
      <c r="X96" s="15" t="n"/>
      <c r="Y96" s="15" t="n"/>
      <c r="Z96" s="285" t="n"/>
      <c r="AA96" s="15" t="n"/>
      <c r="AB96" s="15" t="n"/>
      <c r="AC96" s="285" t="n"/>
      <c r="AD96" s="15" t="n"/>
      <c r="AE96" s="15" t="n"/>
      <c r="AF96" s="285" t="n"/>
      <c r="AG96" s="327" t="n"/>
      <c r="AH96" s="15" t="n"/>
      <c r="AI96" s="285" t="n"/>
      <c r="AJ96" s="327" t="n"/>
      <c r="AK96" s="15" t="n"/>
    </row>
    <row r="97">
      <c r="A97" s="428" t="n"/>
      <c r="B97" s="285" t="n"/>
      <c r="C97" s="15" t="n"/>
      <c r="D97" s="15" t="n"/>
      <c r="E97" s="285" t="n"/>
      <c r="F97" s="15" t="n"/>
      <c r="G97" s="15" t="n"/>
      <c r="H97" s="285" t="n"/>
      <c r="I97" s="15" t="n"/>
      <c r="J97" s="15" t="n"/>
      <c r="K97" s="285" t="n"/>
      <c r="L97" s="15" t="n"/>
      <c r="M97" s="15" t="n"/>
      <c r="N97" s="285" t="n"/>
      <c r="O97" s="15" t="n"/>
      <c r="P97" s="15" t="n"/>
      <c r="Q97" s="285" t="n"/>
      <c r="R97" s="15" t="n"/>
      <c r="S97" s="15" t="n"/>
      <c r="T97" s="285" t="n"/>
      <c r="U97" s="15" t="n"/>
      <c r="V97" s="15" t="n"/>
      <c r="W97" s="285" t="n"/>
      <c r="X97" s="15" t="n"/>
      <c r="Y97" s="15" t="n"/>
      <c r="Z97" s="285" t="n"/>
      <c r="AA97" s="15" t="n"/>
      <c r="AB97" s="15" t="n"/>
      <c r="AC97" s="285" t="n"/>
      <c r="AD97" s="15" t="n"/>
      <c r="AE97" s="15" t="n"/>
      <c r="AF97" s="285" t="n"/>
      <c r="AG97" s="327" t="n"/>
      <c r="AH97" s="15" t="n"/>
      <c r="AI97" s="285" t="n"/>
      <c r="AJ97" s="327" t="n"/>
      <c r="AK97" s="15" t="n"/>
    </row>
    <row r="98">
      <c r="A98" s="428" t="n"/>
      <c r="B98" s="285" t="n"/>
      <c r="C98" s="15" t="n"/>
      <c r="D98" s="15" t="n"/>
      <c r="E98" s="285" t="n"/>
      <c r="F98" s="15" t="n"/>
      <c r="G98" s="15" t="n"/>
      <c r="H98" s="285" t="n"/>
      <c r="I98" s="15" t="n"/>
      <c r="J98" s="15" t="n"/>
      <c r="K98" s="285" t="n"/>
      <c r="L98" s="15" t="n"/>
      <c r="M98" s="15" t="n"/>
      <c r="N98" s="285" t="n"/>
      <c r="O98" s="15" t="n"/>
      <c r="P98" s="15" t="n"/>
      <c r="Q98" s="285" t="n"/>
      <c r="R98" s="15" t="n"/>
      <c r="S98" s="15" t="n"/>
      <c r="T98" s="285" t="n"/>
      <c r="U98" s="15" t="n"/>
      <c r="V98" s="15" t="n"/>
      <c r="W98" s="285" t="n"/>
      <c r="X98" s="15" t="n"/>
      <c r="Y98" s="15" t="n"/>
      <c r="Z98" s="285" t="n"/>
      <c r="AA98" s="15" t="n"/>
      <c r="AB98" s="15" t="n"/>
      <c r="AC98" s="285" t="n"/>
      <c r="AD98" s="15" t="n"/>
      <c r="AE98" s="15" t="n"/>
      <c r="AF98" s="285" t="n"/>
      <c r="AG98" s="327" t="n"/>
      <c r="AH98" s="15" t="n"/>
      <c r="AI98" s="285" t="n"/>
      <c r="AJ98" s="327" t="n"/>
      <c r="AK98" s="15" t="n"/>
    </row>
    <row r="99">
      <c r="A99" s="428" t="n"/>
      <c r="B99" s="285" t="n"/>
      <c r="C99" s="15" t="n"/>
      <c r="D99" s="15" t="n"/>
      <c r="E99" s="285" t="n"/>
      <c r="F99" s="15" t="n"/>
      <c r="G99" s="15" t="n"/>
      <c r="H99" s="285" t="n"/>
      <c r="I99" s="15" t="n"/>
      <c r="J99" s="15" t="n"/>
      <c r="K99" s="285" t="n"/>
      <c r="L99" s="15" t="n"/>
      <c r="M99" s="15" t="n"/>
      <c r="N99" s="285" t="n"/>
      <c r="O99" s="15" t="n"/>
      <c r="P99" s="15" t="n"/>
      <c r="Q99" s="285" t="n"/>
      <c r="R99" s="15" t="n"/>
      <c r="S99" s="15" t="n"/>
      <c r="T99" s="285" t="n"/>
      <c r="U99" s="15" t="n"/>
      <c r="V99" s="15" t="n"/>
      <c r="W99" s="285" t="n"/>
      <c r="X99" s="15" t="n"/>
      <c r="Y99" s="15" t="n"/>
      <c r="Z99" s="285" t="n"/>
      <c r="AA99" s="15" t="n"/>
      <c r="AB99" s="15" t="n"/>
      <c r="AC99" s="285" t="n"/>
      <c r="AD99" s="15" t="n"/>
      <c r="AE99" s="15" t="n"/>
      <c r="AF99" s="285" t="n"/>
      <c r="AG99" s="327" t="n"/>
      <c r="AH99" s="15" t="n"/>
      <c r="AI99" s="285" t="n"/>
      <c r="AJ99" s="327" t="n"/>
      <c r="AK99" s="15" t="n"/>
    </row>
    <row r="100">
      <c r="A100" s="330" t="n"/>
      <c r="B100" s="22" t="n"/>
      <c r="C100" s="15" t="n"/>
      <c r="D100" s="15" t="n"/>
      <c r="E100" s="22" t="n"/>
      <c r="F100" s="15" t="n"/>
      <c r="G100" s="15" t="n"/>
      <c r="H100" s="22" t="n"/>
      <c r="I100" s="15" t="n"/>
      <c r="J100" s="15" t="n"/>
      <c r="K100" s="22" t="n"/>
      <c r="L100" s="15" t="n"/>
      <c r="M100" s="15" t="n"/>
      <c r="N100" s="22" t="n"/>
      <c r="O100" s="15" t="n"/>
      <c r="P100" s="15" t="n"/>
      <c r="Q100" s="22" t="n"/>
      <c r="R100" s="15" t="n"/>
      <c r="S100" s="15" t="n"/>
      <c r="T100" s="22" t="n"/>
      <c r="U100" s="15" t="n"/>
      <c r="V100" s="15" t="n"/>
      <c r="W100" s="22" t="n"/>
      <c r="X100" s="15" t="n"/>
      <c r="Y100" s="15" t="n"/>
      <c r="Z100" s="22" t="n"/>
      <c r="AA100" s="15" t="n"/>
      <c r="AB100" s="15" t="n"/>
      <c r="AC100" s="22" t="n"/>
      <c r="AD100" s="15" t="n"/>
      <c r="AE100" s="15" t="n"/>
      <c r="AF100" s="22" t="n"/>
      <c r="AG100" s="327" t="n"/>
      <c r="AH100" s="15" t="n"/>
      <c r="AI100" s="22" t="n"/>
      <c r="AJ100" s="327" t="n"/>
      <c r="AK100" s="15" t="n"/>
    </row>
    <row r="101">
      <c r="A101" s="428" t="n"/>
      <c r="B101" s="285" t="n"/>
      <c r="C101" s="15" t="n"/>
      <c r="D101" s="15" t="n"/>
      <c r="E101" s="285" t="n"/>
      <c r="F101" s="15" t="n"/>
      <c r="G101" s="15" t="n"/>
      <c r="H101" s="285" t="n"/>
      <c r="I101" s="15" t="n"/>
      <c r="J101" s="15" t="n"/>
      <c r="K101" s="285" t="n"/>
      <c r="L101" s="15" t="n"/>
      <c r="M101" s="15" t="n"/>
      <c r="N101" s="285" t="n"/>
      <c r="O101" s="15" t="n"/>
      <c r="P101" s="15" t="n"/>
      <c r="Q101" s="285" t="n"/>
      <c r="R101" s="15" t="n"/>
      <c r="S101" s="15" t="n"/>
      <c r="T101" s="285" t="n"/>
      <c r="U101" s="15" t="n"/>
      <c r="V101" s="15" t="n"/>
      <c r="W101" s="285" t="n"/>
      <c r="X101" s="15" t="n"/>
      <c r="Y101" s="15" t="n"/>
      <c r="Z101" s="285" t="n"/>
      <c r="AA101" s="15" t="n"/>
      <c r="AB101" s="15" t="n"/>
      <c r="AC101" s="285" t="n"/>
      <c r="AD101" s="15" t="n"/>
      <c r="AE101" s="15" t="n"/>
      <c r="AF101" s="285" t="n"/>
      <c r="AG101" s="327" t="n"/>
      <c r="AH101" s="15" t="n"/>
      <c r="AI101" s="285" t="n"/>
      <c r="AJ101" s="327" t="n"/>
      <c r="AK101" s="15" t="n"/>
    </row>
    <row r="102">
      <c r="A102" s="428" t="n"/>
      <c r="B102" s="285" t="n"/>
      <c r="C102" s="15" t="n"/>
      <c r="D102" s="15" t="n"/>
      <c r="E102" s="285" t="n"/>
      <c r="F102" s="15" t="n"/>
      <c r="G102" s="15" t="n"/>
      <c r="H102" s="285" t="n"/>
      <c r="I102" s="15" t="n"/>
      <c r="J102" s="15" t="n"/>
      <c r="K102" s="285" t="n"/>
      <c r="L102" s="15" t="n"/>
      <c r="M102" s="15" t="n"/>
      <c r="N102" s="285" t="n"/>
      <c r="O102" s="15" t="n"/>
      <c r="P102" s="15" t="n"/>
      <c r="Q102" s="285" t="n"/>
      <c r="R102" s="15" t="n"/>
      <c r="S102" s="15" t="n"/>
      <c r="T102" s="285" t="n"/>
      <c r="U102" s="15" t="n"/>
      <c r="V102" s="15" t="n"/>
      <c r="W102" s="285" t="n"/>
      <c r="X102" s="15" t="n"/>
      <c r="Y102" s="15" t="n"/>
      <c r="Z102" s="285" t="n"/>
      <c r="AA102" s="15" t="n"/>
      <c r="AB102" s="15" t="n"/>
      <c r="AC102" s="285" t="n"/>
      <c r="AD102" s="15" t="n"/>
      <c r="AE102" s="15" t="n"/>
      <c r="AF102" s="285" t="n"/>
      <c r="AG102" s="327" t="n"/>
      <c r="AH102" s="15" t="n"/>
      <c r="AI102" s="285" t="n"/>
      <c r="AJ102" s="327" t="n"/>
      <c r="AK102" s="15" t="n"/>
    </row>
    <row r="103">
      <c r="A103" s="428" t="n"/>
      <c r="B103" s="285" t="n"/>
      <c r="C103" s="15" t="n"/>
      <c r="D103" s="15" t="n"/>
      <c r="E103" s="285" t="n"/>
      <c r="F103" s="15" t="n"/>
      <c r="G103" s="15" t="n"/>
      <c r="H103" s="285" t="n"/>
      <c r="I103" s="15" t="n"/>
      <c r="J103" s="15" t="n"/>
      <c r="K103" s="285" t="n"/>
      <c r="L103" s="15" t="n"/>
      <c r="M103" s="15" t="n"/>
      <c r="N103" s="285" t="n"/>
      <c r="O103" s="15" t="n"/>
      <c r="P103" s="15" t="n"/>
      <c r="Q103" s="285" t="n"/>
      <c r="R103" s="15" t="n"/>
      <c r="S103" s="15" t="n"/>
      <c r="T103" s="285" t="n"/>
      <c r="U103" s="15" t="n"/>
      <c r="V103" s="15" t="n"/>
      <c r="W103" s="285" t="n"/>
      <c r="X103" s="15" t="n"/>
      <c r="Y103" s="15" t="n"/>
      <c r="Z103" s="285" t="n"/>
      <c r="AA103" s="15" t="n"/>
      <c r="AB103" s="15" t="n"/>
      <c r="AC103" s="285" t="n"/>
      <c r="AD103" s="15" t="n"/>
      <c r="AE103" s="15" t="n"/>
      <c r="AF103" s="285" t="n"/>
      <c r="AG103" s="327" t="n"/>
      <c r="AH103" s="15" t="n"/>
      <c r="AI103" s="285" t="n"/>
      <c r="AJ103" s="327" t="n"/>
      <c r="AK103" s="15" t="n"/>
    </row>
    <row r="104">
      <c r="A104" s="428" t="n"/>
      <c r="B104" s="285" t="n"/>
      <c r="C104" s="15" t="n"/>
      <c r="D104" s="15" t="n"/>
      <c r="E104" s="285" t="n"/>
      <c r="F104" s="15" t="n"/>
      <c r="G104" s="15" t="n"/>
      <c r="H104" s="285" t="n"/>
      <c r="I104" s="15" t="n"/>
      <c r="J104" s="15" t="n"/>
      <c r="K104" s="285" t="n"/>
      <c r="L104" s="15" t="n"/>
      <c r="M104" s="15" t="n"/>
      <c r="N104" s="285" t="n"/>
      <c r="O104" s="15" t="n"/>
      <c r="P104" s="15" t="n"/>
      <c r="Q104" s="285" t="n"/>
      <c r="R104" s="15" t="n"/>
      <c r="S104" s="15" t="n"/>
      <c r="T104" s="285" t="n"/>
      <c r="U104" s="15" t="n"/>
      <c r="V104" s="15" t="n"/>
      <c r="W104" s="285" t="n"/>
      <c r="X104" s="15" t="n"/>
      <c r="Y104" s="15" t="n"/>
      <c r="Z104" s="285" t="n"/>
      <c r="AA104" s="15" t="n"/>
      <c r="AB104" s="15" t="n"/>
      <c r="AC104" s="285" t="n"/>
      <c r="AD104" s="15" t="n"/>
      <c r="AE104" s="15" t="n"/>
      <c r="AF104" s="285" t="n"/>
      <c r="AG104" s="327" t="n"/>
      <c r="AH104" s="15" t="n"/>
      <c r="AI104" s="285" t="n"/>
      <c r="AJ104" s="327" t="n"/>
      <c r="AK104" s="15" t="n"/>
    </row>
    <row r="105">
      <c r="A105" s="428" t="n"/>
      <c r="B105" s="285" t="n"/>
      <c r="C105" s="15" t="n"/>
      <c r="D105" s="15" t="n"/>
      <c r="E105" s="285" t="n"/>
      <c r="F105" s="15" t="n"/>
      <c r="G105" s="15" t="n"/>
      <c r="H105" s="285" t="n"/>
      <c r="I105" s="15" t="n"/>
      <c r="J105" s="15" t="n"/>
      <c r="K105" s="285" t="n"/>
      <c r="L105" s="15" t="n"/>
      <c r="M105" s="15" t="n"/>
      <c r="N105" s="285" t="n"/>
      <c r="O105" s="15" t="n"/>
      <c r="P105" s="15" t="n"/>
      <c r="Q105" s="285" t="n"/>
      <c r="R105" s="15" t="n"/>
      <c r="S105" s="15" t="n"/>
      <c r="T105" s="285" t="n"/>
      <c r="U105" s="15" t="n"/>
      <c r="V105" s="15" t="n"/>
      <c r="W105" s="285" t="n"/>
      <c r="X105" s="15" t="n"/>
      <c r="Y105" s="15" t="n"/>
      <c r="Z105" s="285" t="n"/>
      <c r="AA105" s="15" t="n"/>
      <c r="AB105" s="15" t="n"/>
      <c r="AC105" s="285" t="n"/>
      <c r="AD105" s="15" t="n"/>
      <c r="AE105" s="15" t="n"/>
      <c r="AF105" s="285" t="n"/>
      <c r="AG105" s="327" t="n"/>
      <c r="AH105" s="15" t="n"/>
      <c r="AI105" s="285" t="n"/>
      <c r="AJ105" s="327" t="n"/>
      <c r="AK105" s="15" t="n"/>
    </row>
    <row r="106">
      <c r="A106" s="428" t="n"/>
      <c r="B106" s="285" t="n"/>
      <c r="C106" s="15" t="n"/>
      <c r="D106" s="15" t="n"/>
      <c r="E106" s="285" t="n"/>
      <c r="F106" s="15" t="n"/>
      <c r="G106" s="15" t="n"/>
      <c r="H106" s="285" t="n"/>
      <c r="I106" s="15" t="n"/>
      <c r="J106" s="15" t="n"/>
      <c r="K106" s="285" t="n"/>
      <c r="L106" s="15" t="n"/>
      <c r="M106" s="15" t="n"/>
      <c r="N106" s="285" t="n"/>
      <c r="O106" s="15" t="n"/>
      <c r="P106" s="15" t="n"/>
      <c r="Q106" s="285" t="n"/>
      <c r="R106" s="15" t="n"/>
      <c r="S106" s="15" t="n"/>
      <c r="T106" s="285" t="n"/>
      <c r="U106" s="15" t="n"/>
      <c r="V106" s="15" t="n"/>
      <c r="W106" s="285" t="n"/>
      <c r="X106" s="15" t="n"/>
      <c r="Y106" s="15" t="n"/>
      <c r="Z106" s="285" t="n"/>
      <c r="AA106" s="15" t="n"/>
      <c r="AB106" s="15" t="n"/>
      <c r="AC106" s="285" t="n"/>
      <c r="AD106" s="15" t="n"/>
      <c r="AE106" s="15" t="n"/>
      <c r="AF106" s="285" t="n"/>
      <c r="AG106" s="327" t="n"/>
      <c r="AH106" s="15" t="n"/>
      <c r="AI106" s="285" t="n"/>
      <c r="AJ106" s="327" t="n"/>
      <c r="AK106" s="15" t="n"/>
    </row>
    <row r="107">
      <c r="A107" s="428" t="n"/>
      <c r="B107" s="285" t="n"/>
      <c r="C107" s="15" t="n"/>
      <c r="D107" s="15" t="n"/>
      <c r="E107" s="285" t="n"/>
      <c r="F107" s="15" t="n"/>
      <c r="G107" s="15" t="n"/>
      <c r="H107" s="285" t="n"/>
      <c r="I107" s="15" t="n"/>
      <c r="J107" s="15" t="n"/>
      <c r="K107" s="285" t="n"/>
      <c r="L107" s="15" t="n"/>
      <c r="M107" s="15" t="n"/>
      <c r="N107" s="285" t="n"/>
      <c r="O107" s="15" t="n"/>
      <c r="P107" s="15" t="n"/>
      <c r="Q107" s="285" t="n"/>
      <c r="R107" s="15" t="n"/>
      <c r="S107" s="15" t="n"/>
      <c r="T107" s="285" t="n"/>
      <c r="U107" s="15" t="n"/>
      <c r="V107" s="15" t="n"/>
      <c r="W107" s="285" t="n"/>
      <c r="X107" s="15" t="n"/>
      <c r="Y107" s="15" t="n"/>
      <c r="Z107" s="285" t="n"/>
      <c r="AA107" s="15" t="n"/>
      <c r="AB107" s="15" t="n"/>
      <c r="AC107" s="285" t="n"/>
      <c r="AD107" s="15" t="n"/>
      <c r="AE107" s="15" t="n"/>
      <c r="AF107" s="285" t="n"/>
      <c r="AG107" s="327" t="n"/>
      <c r="AH107" s="15" t="n"/>
      <c r="AI107" s="285" t="n"/>
      <c r="AJ107" s="327" t="n"/>
      <c r="AK107" s="15" t="n"/>
    </row>
    <row r="108">
      <c r="A108" s="428" t="n"/>
      <c r="B108" s="285" t="n"/>
      <c r="C108" s="15" t="n"/>
      <c r="D108" s="15" t="n"/>
      <c r="E108" s="285" t="n"/>
      <c r="F108" s="15" t="n"/>
      <c r="G108" s="15" t="n"/>
      <c r="H108" s="285" t="n"/>
      <c r="I108" s="15" t="n"/>
      <c r="J108" s="15" t="n"/>
      <c r="K108" s="285" t="n"/>
      <c r="L108" s="15" t="n"/>
      <c r="M108" s="15" t="n"/>
      <c r="N108" s="285" t="n"/>
      <c r="O108" s="15" t="n"/>
      <c r="P108" s="15" t="n"/>
      <c r="Q108" s="285" t="n"/>
      <c r="R108" s="15" t="n"/>
      <c r="S108" s="15" t="n"/>
      <c r="T108" s="285" t="n"/>
      <c r="U108" s="15" t="n"/>
      <c r="V108" s="15" t="n"/>
      <c r="W108" s="285" t="n"/>
      <c r="X108" s="15" t="n"/>
      <c r="Y108" s="15" t="n"/>
      <c r="Z108" s="285" t="n"/>
      <c r="AA108" s="15" t="n"/>
      <c r="AB108" s="15" t="n"/>
      <c r="AC108" s="285" t="n"/>
      <c r="AD108" s="15" t="n"/>
      <c r="AE108" s="15" t="n"/>
      <c r="AF108" s="285" t="n"/>
      <c r="AG108" s="327" t="n"/>
      <c r="AH108" s="15" t="n"/>
      <c r="AI108" s="285" t="n"/>
      <c r="AJ108" s="327" t="n"/>
      <c r="AK108" s="15" t="n"/>
    </row>
    <row r="109">
      <c r="A109" s="428" t="n"/>
      <c r="B109" s="285" t="n"/>
      <c r="C109" s="15" t="n"/>
      <c r="D109" s="15" t="n"/>
      <c r="E109" s="285" t="n"/>
      <c r="F109" s="15" t="n"/>
      <c r="G109" s="15" t="n"/>
      <c r="H109" s="285" t="n"/>
      <c r="I109" s="15" t="n"/>
      <c r="J109" s="15" t="n"/>
      <c r="K109" s="285" t="n"/>
      <c r="L109" s="15" t="n"/>
      <c r="M109" s="15" t="n"/>
      <c r="N109" s="285" t="n"/>
      <c r="O109" s="15" t="n"/>
      <c r="P109" s="15" t="n"/>
      <c r="Q109" s="285" t="n"/>
      <c r="R109" s="15" t="n"/>
      <c r="S109" s="15" t="n"/>
      <c r="T109" s="285" t="n"/>
      <c r="U109" s="15" t="n"/>
      <c r="V109" s="15" t="n"/>
      <c r="W109" s="285" t="n"/>
      <c r="X109" s="15" t="n"/>
      <c r="Y109" s="15" t="n"/>
      <c r="Z109" s="285" t="n"/>
      <c r="AA109" s="15" t="n"/>
      <c r="AB109" s="15" t="n"/>
      <c r="AC109" s="285" t="n"/>
      <c r="AD109" s="15" t="n"/>
      <c r="AE109" s="15" t="n"/>
      <c r="AF109" s="285" t="n"/>
      <c r="AG109" s="327" t="n"/>
      <c r="AH109" s="15" t="n"/>
      <c r="AI109" s="285" t="n"/>
      <c r="AJ109" s="327" t="n"/>
      <c r="AK109" s="15" t="n"/>
    </row>
    <row r="110">
      <c r="A110" s="428" t="n"/>
      <c r="B110" s="285" t="n"/>
      <c r="C110" s="15" t="n"/>
      <c r="D110" s="15" t="n"/>
      <c r="E110" s="285" t="n"/>
      <c r="F110" s="15" t="n"/>
      <c r="G110" s="15" t="n"/>
      <c r="H110" s="285" t="n"/>
      <c r="I110" s="15" t="n"/>
      <c r="J110" s="15" t="n"/>
      <c r="K110" s="285" t="n"/>
      <c r="L110" s="15" t="n"/>
      <c r="M110" s="15" t="n"/>
      <c r="N110" s="285" t="n"/>
      <c r="O110" s="15" t="n"/>
      <c r="P110" s="15" t="n"/>
      <c r="Q110" s="285" t="n"/>
      <c r="R110" s="15" t="n"/>
      <c r="S110" s="15" t="n"/>
      <c r="T110" s="285" t="n"/>
      <c r="U110" s="15" t="n"/>
      <c r="V110" s="15" t="n"/>
      <c r="W110" s="285" t="n"/>
      <c r="X110" s="15" t="n"/>
      <c r="Y110" s="15" t="n"/>
      <c r="Z110" s="285" t="n"/>
      <c r="AA110" s="15" t="n"/>
      <c r="AB110" s="15" t="n"/>
      <c r="AC110" s="285" t="n"/>
      <c r="AD110" s="15" t="n"/>
      <c r="AE110" s="15" t="n"/>
      <c r="AF110" s="285" t="n"/>
      <c r="AG110" s="327" t="n"/>
      <c r="AH110" s="15" t="n"/>
      <c r="AI110" s="285" t="n"/>
      <c r="AJ110" s="327" t="n"/>
      <c r="AK110" s="15" t="n"/>
    </row>
    <row r="111">
      <c r="A111" s="428" t="n"/>
      <c r="B111" s="285" t="n"/>
      <c r="C111" s="15" t="n"/>
      <c r="D111" s="15" t="n"/>
      <c r="E111" s="285" t="n"/>
      <c r="F111" s="15" t="n"/>
      <c r="G111" s="15" t="n"/>
      <c r="H111" s="285" t="n"/>
      <c r="I111" s="15" t="n"/>
      <c r="J111" s="15" t="n"/>
      <c r="K111" s="285" t="n"/>
      <c r="L111" s="15" t="n"/>
      <c r="M111" s="15" t="n"/>
      <c r="N111" s="285" t="n"/>
      <c r="O111" s="15" t="n"/>
      <c r="P111" s="15" t="n"/>
      <c r="Q111" s="285" t="n"/>
      <c r="R111" s="15" t="n"/>
      <c r="S111" s="15" t="n"/>
      <c r="T111" s="285" t="n"/>
      <c r="U111" s="15" t="n"/>
      <c r="V111" s="15" t="n"/>
      <c r="W111" s="285" t="n"/>
      <c r="X111" s="15" t="n"/>
      <c r="Y111" s="15" t="n"/>
      <c r="Z111" s="285" t="n"/>
      <c r="AA111" s="15" t="n"/>
      <c r="AB111" s="15" t="n"/>
      <c r="AC111" s="285" t="n"/>
      <c r="AD111" s="15" t="n"/>
      <c r="AE111" s="15" t="n"/>
      <c r="AF111" s="285" t="n"/>
      <c r="AG111" s="327" t="n"/>
      <c r="AH111" s="15" t="n"/>
      <c r="AI111" s="285" t="n"/>
      <c r="AJ111" s="327" t="n"/>
      <c r="AK111" s="15" t="n"/>
    </row>
    <row r="112">
      <c r="A112" s="429" t="n"/>
      <c r="B112" s="306" t="n"/>
      <c r="C112" s="15" t="n"/>
      <c r="D112" s="15" t="n"/>
      <c r="E112" s="306" t="n"/>
      <c r="F112" s="15" t="n"/>
      <c r="G112" s="15" t="n"/>
      <c r="H112" s="306" t="n"/>
      <c r="I112" s="15" t="n"/>
      <c r="J112" s="15" t="n"/>
      <c r="K112" s="306" t="n"/>
      <c r="L112" s="15" t="n"/>
      <c r="M112" s="15" t="n"/>
      <c r="N112" s="306" t="n"/>
      <c r="O112" s="15" t="n"/>
      <c r="P112" s="15" t="n"/>
      <c r="Q112" s="306" t="n"/>
      <c r="R112" s="15" t="n"/>
      <c r="S112" s="15" t="n"/>
      <c r="T112" s="306" t="n"/>
      <c r="U112" s="15" t="n"/>
      <c r="V112" s="15" t="n"/>
      <c r="W112" s="306" t="n"/>
      <c r="X112" s="15" t="n"/>
      <c r="Y112" s="15" t="n"/>
      <c r="Z112" s="306" t="n"/>
      <c r="AA112" s="15" t="n"/>
      <c r="AB112" s="15" t="n"/>
      <c r="AC112" s="306" t="n"/>
      <c r="AD112" s="15" t="n"/>
      <c r="AE112" s="15" t="n"/>
      <c r="AF112" s="306" t="n"/>
      <c r="AG112" s="327" t="n"/>
      <c r="AH112" s="430" t="n"/>
      <c r="AI112" s="306" t="n"/>
      <c r="AJ112" s="327" t="n"/>
      <c r="AK112" s="430" t="n"/>
    </row>
    <row r="113">
      <c r="A113" s="428" t="n"/>
      <c r="B113" s="285" t="n"/>
      <c r="C113" s="15" t="n"/>
      <c r="D113" s="15" t="n"/>
      <c r="E113" s="285" t="n"/>
      <c r="F113" s="15" t="n"/>
      <c r="G113" s="15" t="n"/>
      <c r="H113" s="285" t="n"/>
      <c r="I113" s="15" t="n"/>
      <c r="J113" s="15" t="n"/>
      <c r="K113" s="285" t="n"/>
      <c r="L113" s="15" t="n"/>
      <c r="M113" s="15" t="n"/>
      <c r="N113" s="285" t="n"/>
      <c r="O113" s="15" t="n"/>
      <c r="P113" s="15" t="n"/>
      <c r="Q113" s="285" t="n"/>
      <c r="R113" s="15" t="n"/>
      <c r="S113" s="15" t="n"/>
      <c r="T113" s="285" t="n"/>
      <c r="U113" s="15" t="n"/>
      <c r="V113" s="15" t="n"/>
      <c r="W113" s="285" t="n"/>
      <c r="X113" s="15" t="n"/>
      <c r="Y113" s="15" t="n"/>
      <c r="Z113" s="285" t="n"/>
      <c r="AA113" s="15" t="n"/>
      <c r="AB113" s="15" t="n"/>
      <c r="AC113" s="285" t="n"/>
      <c r="AD113" s="15" t="n"/>
      <c r="AE113" s="15" t="n"/>
      <c r="AF113" s="285" t="n"/>
      <c r="AG113" s="327" t="n"/>
      <c r="AH113" s="430" t="n"/>
      <c r="AI113" s="285" t="n"/>
      <c r="AJ113" s="327" t="n"/>
      <c r="AK113" s="430" t="n"/>
    </row>
    <row r="114">
      <c r="A114" s="431" t="n"/>
      <c r="B114" s="285" t="n"/>
      <c r="C114" s="15" t="n"/>
      <c r="D114" s="15" t="n"/>
      <c r="E114" s="285" t="n"/>
      <c r="F114" s="15" t="n"/>
      <c r="G114" s="15" t="n"/>
      <c r="H114" s="285" t="n"/>
      <c r="I114" s="15" t="n"/>
      <c r="J114" s="15" t="n"/>
      <c r="K114" s="285" t="n"/>
      <c r="L114" s="15" t="n"/>
      <c r="M114" s="15" t="n"/>
      <c r="N114" s="285" t="n"/>
      <c r="O114" s="15" t="n"/>
      <c r="P114" s="15" t="n"/>
      <c r="Q114" s="285" t="n"/>
      <c r="R114" s="15" t="n"/>
      <c r="S114" s="15" t="n"/>
      <c r="T114" s="285" t="n"/>
      <c r="U114" s="15" t="n"/>
      <c r="V114" s="15" t="n"/>
      <c r="W114" s="285" t="n"/>
      <c r="X114" s="15" t="n"/>
      <c r="Y114" s="15" t="n"/>
      <c r="Z114" s="285" t="n"/>
      <c r="AA114" s="15" t="n"/>
      <c r="AB114" s="15" t="n"/>
      <c r="AC114" s="285" t="n"/>
      <c r="AD114" s="15" t="n"/>
      <c r="AE114" s="15" t="n"/>
      <c r="AF114" s="285" t="n"/>
      <c r="AG114" s="327" t="n"/>
      <c r="AH114" s="430" t="n"/>
      <c r="AI114" s="285" t="n"/>
      <c r="AJ114" s="327" t="n"/>
      <c r="AK114" s="430" t="n"/>
    </row>
    <row r="115">
      <c r="A115" s="428" t="n"/>
      <c r="B115" s="285" t="n"/>
      <c r="C115" s="15" t="n"/>
      <c r="D115" s="15" t="n"/>
      <c r="E115" s="285" t="n"/>
      <c r="F115" s="15" t="n"/>
      <c r="G115" s="15" t="n"/>
      <c r="H115" s="285" t="n"/>
      <c r="I115" s="15" t="n"/>
      <c r="J115" s="15" t="n"/>
      <c r="K115" s="285" t="n"/>
      <c r="L115" s="15" t="n"/>
      <c r="M115" s="15" t="n"/>
      <c r="N115" s="285" t="n"/>
      <c r="O115" s="15" t="n"/>
      <c r="P115" s="15" t="n"/>
      <c r="Q115" s="285" t="n"/>
      <c r="R115" s="15" t="n"/>
      <c r="S115" s="15" t="n"/>
      <c r="T115" s="285" t="n"/>
      <c r="U115" s="15" t="n"/>
      <c r="V115" s="15" t="n"/>
      <c r="W115" s="285" t="n"/>
      <c r="X115" s="15" t="n"/>
      <c r="Y115" s="15" t="n"/>
      <c r="Z115" s="285" t="n"/>
      <c r="AA115" s="15" t="n"/>
      <c r="AB115" s="15" t="n"/>
      <c r="AC115" s="285" t="n"/>
      <c r="AD115" s="15" t="n"/>
      <c r="AE115" s="15" t="n"/>
      <c r="AF115" s="285" t="n"/>
      <c r="AG115" s="327" t="n"/>
      <c r="AH115" s="430" t="n"/>
      <c r="AI115" s="285" t="n"/>
      <c r="AJ115" s="327" t="n"/>
      <c r="AK115" s="430" t="n"/>
    </row>
    <row r="116">
      <c r="A116" s="428" t="n"/>
      <c r="B116" s="285" t="n"/>
      <c r="C116" s="15" t="n"/>
      <c r="D116" s="15" t="n"/>
      <c r="E116" s="285" t="n"/>
      <c r="F116" s="15" t="n"/>
      <c r="G116" s="15" t="n"/>
      <c r="H116" s="285" t="n"/>
      <c r="I116" s="15" t="n"/>
      <c r="J116" s="15" t="n"/>
      <c r="K116" s="285" t="n"/>
      <c r="L116" s="15" t="n"/>
      <c r="M116" s="15" t="n"/>
      <c r="N116" s="285" t="n"/>
      <c r="O116" s="15" t="n"/>
      <c r="P116" s="15" t="n"/>
      <c r="Q116" s="285" t="n"/>
      <c r="R116" s="15" t="n"/>
      <c r="S116" s="15" t="n"/>
      <c r="T116" s="285" t="n"/>
      <c r="U116" s="15" t="n"/>
      <c r="V116" s="15" t="n"/>
      <c r="W116" s="285" t="n"/>
      <c r="X116" s="15" t="n"/>
      <c r="Y116" s="15" t="n"/>
      <c r="Z116" s="285" t="n"/>
      <c r="AA116" s="15" t="n"/>
      <c r="AB116" s="15" t="n"/>
      <c r="AC116" s="285" t="n"/>
      <c r="AD116" s="15" t="n"/>
      <c r="AE116" s="15" t="n"/>
      <c r="AF116" s="285" t="n"/>
      <c r="AG116" s="327" t="n"/>
      <c r="AH116" s="430" t="n"/>
      <c r="AI116" s="285" t="n"/>
      <c r="AJ116" s="327" t="n"/>
      <c r="AK116" s="430" t="n"/>
    </row>
    <row r="117">
      <c r="A117" s="326" t="n"/>
      <c r="B117" s="285" t="n"/>
      <c r="C117" s="15" t="n"/>
      <c r="D117" s="15" t="n"/>
      <c r="E117" s="285" t="n"/>
      <c r="F117" s="15" t="n"/>
      <c r="G117" s="15" t="n"/>
      <c r="H117" s="285" t="n"/>
      <c r="I117" s="15" t="n"/>
      <c r="J117" s="15" t="n"/>
      <c r="K117" s="285" t="n"/>
      <c r="L117" s="15" t="n"/>
      <c r="M117" s="15" t="n"/>
      <c r="N117" s="285" t="n"/>
      <c r="O117" s="15" t="n"/>
      <c r="P117" s="15" t="n"/>
      <c r="Q117" s="285" t="n"/>
      <c r="R117" s="15" t="n"/>
      <c r="S117" s="15" t="n"/>
      <c r="T117" s="285" t="n"/>
      <c r="U117" s="15" t="n"/>
      <c r="V117" s="15" t="n"/>
      <c r="W117" s="285" t="n"/>
      <c r="X117" s="15" t="n"/>
      <c r="Y117" s="15" t="n"/>
      <c r="Z117" s="285" t="n"/>
      <c r="AA117" s="15" t="n"/>
      <c r="AB117" s="15" t="n"/>
      <c r="AC117" s="285" t="n"/>
      <c r="AD117" s="15" t="n"/>
      <c r="AE117" s="15" t="n"/>
      <c r="AF117" s="285" t="n"/>
      <c r="AG117" s="327" t="n"/>
      <c r="AH117" s="430" t="n"/>
      <c r="AI117" s="285" t="n"/>
      <c r="AJ117" s="327" t="n"/>
      <c r="AK117" s="430" t="n"/>
    </row>
    <row r="118">
      <c r="A118" s="326" t="n"/>
      <c r="B118" s="285" t="n"/>
      <c r="C118" s="15" t="n"/>
      <c r="D118" s="15" t="n"/>
      <c r="E118" s="285" t="n"/>
      <c r="F118" s="15" t="n"/>
      <c r="G118" s="15" t="n"/>
      <c r="H118" s="285" t="n"/>
      <c r="I118" s="15" t="n"/>
      <c r="J118" s="15" t="n"/>
      <c r="K118" s="285" t="n"/>
      <c r="L118" s="15" t="n"/>
      <c r="M118" s="15" t="n"/>
      <c r="N118" s="285" t="n"/>
      <c r="O118" s="15" t="n"/>
      <c r="P118" s="15" t="n"/>
      <c r="Q118" s="285" t="n"/>
      <c r="R118" s="15" t="n"/>
      <c r="S118" s="15" t="n"/>
      <c r="T118" s="285" t="n"/>
      <c r="U118" s="15" t="n"/>
      <c r="V118" s="15" t="n"/>
      <c r="W118" s="285" t="n"/>
      <c r="X118" s="15" t="n"/>
      <c r="Y118" s="15" t="n"/>
      <c r="Z118" s="285" t="n"/>
      <c r="AA118" s="15" t="n"/>
      <c r="AB118" s="15" t="n"/>
      <c r="AC118" s="285" t="n"/>
      <c r="AD118" s="15" t="n"/>
      <c r="AE118" s="15" t="n"/>
      <c r="AF118" s="285" t="n"/>
      <c r="AG118" s="327" t="n"/>
      <c r="AH118" s="430" t="n"/>
      <c r="AI118" s="285" t="n"/>
      <c r="AJ118" s="327" t="n"/>
      <c r="AK118" s="430" t="n"/>
    </row>
    <row r="119">
      <c r="A119" s="326" t="n"/>
      <c r="B119" s="285" t="n"/>
      <c r="C119" s="15" t="n"/>
      <c r="D119" s="15" t="n"/>
      <c r="E119" s="285" t="n"/>
      <c r="F119" s="15" t="n"/>
      <c r="G119" s="15" t="n"/>
      <c r="H119" s="285" t="n"/>
      <c r="I119" s="15" t="n"/>
      <c r="J119" s="15" t="n"/>
      <c r="K119" s="285" t="n"/>
      <c r="L119" s="15" t="n"/>
      <c r="M119" s="15" t="n"/>
      <c r="N119" s="285" t="n"/>
      <c r="O119" s="15" t="n"/>
      <c r="P119" s="15" t="n"/>
      <c r="Q119" s="285" t="n"/>
      <c r="R119" s="15" t="n"/>
      <c r="S119" s="15" t="n"/>
      <c r="T119" s="285" t="n"/>
      <c r="U119" s="15" t="n"/>
      <c r="V119" s="15" t="n"/>
      <c r="W119" s="285" t="n"/>
      <c r="X119" s="15" t="n"/>
      <c r="Y119" s="15" t="n"/>
      <c r="Z119" s="285" t="n"/>
      <c r="AA119" s="15" t="n"/>
      <c r="AB119" s="15" t="n"/>
      <c r="AC119" s="285" t="n"/>
      <c r="AD119" s="15" t="n"/>
      <c r="AE119" s="15" t="n"/>
      <c r="AF119" s="285" t="n"/>
      <c r="AG119" s="327" t="n"/>
      <c r="AH119" s="430" t="n"/>
      <c r="AI119" s="285" t="n"/>
      <c r="AJ119" s="327" t="n"/>
      <c r="AK119" s="430" t="n"/>
    </row>
    <row r="120">
      <c r="A120" s="326" t="n"/>
      <c r="B120" s="285" t="n"/>
      <c r="C120" s="15" t="n"/>
      <c r="D120" s="15" t="n"/>
      <c r="E120" s="285" t="n"/>
      <c r="F120" s="15" t="n"/>
      <c r="G120" s="15" t="n"/>
      <c r="H120" s="285" t="n"/>
      <c r="I120" s="15" t="n"/>
      <c r="J120" s="15" t="n"/>
      <c r="K120" s="285" t="n"/>
      <c r="L120" s="15" t="n"/>
      <c r="M120" s="15" t="n"/>
      <c r="N120" s="285" t="n"/>
      <c r="O120" s="15" t="n"/>
      <c r="P120" s="15" t="n"/>
      <c r="Q120" s="285" t="n"/>
      <c r="R120" s="15" t="n"/>
      <c r="S120" s="15" t="n"/>
      <c r="T120" s="285" t="n"/>
      <c r="U120" s="15" t="n"/>
      <c r="V120" s="15" t="n"/>
      <c r="W120" s="285" t="n"/>
      <c r="X120" s="15" t="n"/>
      <c r="Y120" s="15" t="n"/>
      <c r="Z120" s="285" t="n"/>
      <c r="AA120" s="15" t="n"/>
      <c r="AB120" s="15" t="n"/>
      <c r="AC120" s="285" t="n"/>
      <c r="AD120" s="15" t="n"/>
      <c r="AE120" s="15" t="n"/>
      <c r="AF120" s="285" t="n"/>
      <c r="AG120" s="327" t="n"/>
      <c r="AH120" s="430" t="n"/>
      <c r="AI120" s="285" t="n"/>
      <c r="AJ120" s="327" t="n"/>
      <c r="AK120" s="430" t="n"/>
    </row>
    <row r="121">
      <c r="A121" s="326" t="n"/>
      <c r="B121" s="28" t="n"/>
      <c r="C121" s="15" t="n"/>
      <c r="D121" s="15" t="n"/>
      <c r="E121" s="28" t="n"/>
      <c r="F121" s="15" t="n"/>
      <c r="G121" s="15" t="n"/>
      <c r="H121" s="28" t="n"/>
      <c r="I121" s="15" t="n"/>
      <c r="J121" s="15" t="n"/>
      <c r="K121" s="28" t="n"/>
      <c r="L121" s="15" t="n"/>
      <c r="M121" s="15" t="n"/>
      <c r="N121" s="28" t="n"/>
      <c r="O121" s="15" t="n"/>
      <c r="P121" s="15" t="n"/>
      <c r="Q121" s="28" t="n"/>
      <c r="R121" s="15" t="n"/>
      <c r="S121" s="15" t="n"/>
      <c r="T121" s="28" t="n"/>
      <c r="U121" s="15" t="n"/>
      <c r="V121" s="15" t="n"/>
      <c r="W121" s="28" t="n"/>
      <c r="X121" s="15" t="n"/>
      <c r="Y121" s="15" t="n"/>
      <c r="Z121" s="28" t="n"/>
      <c r="AA121" s="15" t="n"/>
      <c r="AB121" s="15" t="n"/>
      <c r="AC121" s="28" t="n"/>
      <c r="AD121" s="15" t="n"/>
      <c r="AE121" s="15" t="n"/>
      <c r="AF121" s="28" t="n"/>
      <c r="AG121" s="327" t="n"/>
      <c r="AH121" s="430" t="n"/>
      <c r="AI121" s="28" t="n"/>
      <c r="AJ121" s="327" t="n"/>
      <c r="AK121" s="430" t="n"/>
    </row>
    <row r="122">
      <c r="A122" s="326" t="n"/>
      <c r="B122" s="285" t="n"/>
      <c r="C122" s="15" t="n"/>
      <c r="D122" s="15" t="n"/>
      <c r="E122" s="285" t="n"/>
      <c r="F122" s="15" t="n"/>
      <c r="G122" s="15" t="n"/>
      <c r="H122" s="285" t="n"/>
      <c r="I122" s="15" t="n"/>
      <c r="J122" s="15" t="n"/>
      <c r="K122" s="285" t="n"/>
      <c r="L122" s="15" t="n"/>
      <c r="M122" s="15" t="n"/>
      <c r="N122" s="285" t="n"/>
      <c r="O122" s="15" t="n"/>
      <c r="P122" s="15" t="n"/>
      <c r="Q122" s="285" t="n"/>
      <c r="R122" s="15" t="n"/>
      <c r="S122" s="15" t="n"/>
      <c r="T122" s="285" t="n"/>
      <c r="U122" s="15" t="n"/>
      <c r="V122" s="15" t="n"/>
      <c r="W122" s="285" t="n"/>
      <c r="X122" s="15" t="n"/>
      <c r="Y122" s="15" t="n"/>
      <c r="Z122" s="285" t="n"/>
      <c r="AA122" s="15" t="n"/>
      <c r="AB122" s="15" t="n"/>
      <c r="AC122" s="285" t="n"/>
      <c r="AD122" s="15" t="n"/>
      <c r="AE122" s="15" t="n"/>
      <c r="AF122" s="285" t="n"/>
      <c r="AG122" s="327" t="n"/>
      <c r="AH122" s="430" t="n"/>
      <c r="AI122" s="285" t="n"/>
      <c r="AJ122" s="327" t="n"/>
      <c r="AK122" s="430" t="n"/>
    </row>
    <row r="123">
      <c r="A123" s="326" t="n"/>
      <c r="B123" s="315" t="n"/>
      <c r="C123" s="15" t="n"/>
      <c r="D123" s="15" t="n"/>
      <c r="E123" s="315" t="n"/>
      <c r="F123" s="15" t="n"/>
      <c r="G123" s="15" t="n"/>
      <c r="H123" s="315" t="n"/>
      <c r="I123" s="15" t="n"/>
      <c r="J123" s="15" t="n"/>
      <c r="K123" s="315" t="n"/>
      <c r="L123" s="15" t="n"/>
      <c r="M123" s="15" t="n"/>
      <c r="N123" s="315" t="n"/>
      <c r="O123" s="15" t="n"/>
      <c r="P123" s="15" t="n"/>
      <c r="Q123" s="315" t="n"/>
      <c r="R123" s="15" t="n"/>
      <c r="S123" s="15" t="n"/>
      <c r="T123" s="315" t="n"/>
      <c r="U123" s="15" t="n"/>
      <c r="V123" s="15" t="n"/>
      <c r="W123" s="315" t="n"/>
      <c r="X123" s="15" t="n"/>
      <c r="Y123" s="15" t="n"/>
      <c r="Z123" s="315" t="n"/>
      <c r="AA123" s="15" t="n"/>
      <c r="AB123" s="15" t="n"/>
      <c r="AC123" s="315" t="n"/>
      <c r="AD123" s="15" t="n"/>
      <c r="AE123" s="15" t="n"/>
      <c r="AF123" s="315" t="n"/>
      <c r="AG123" s="327" t="n"/>
      <c r="AH123" s="430" t="n"/>
      <c r="AI123" s="315" t="n"/>
      <c r="AJ123" s="327" t="n"/>
      <c r="AK123" s="430" t="n"/>
    </row>
    <row r="124">
      <c r="A124" s="330" t="n"/>
      <c r="B124" s="320" t="n"/>
      <c r="C124" s="15" t="n"/>
      <c r="D124" s="15" t="n"/>
      <c r="E124" s="320" t="n"/>
      <c r="F124" s="15" t="n"/>
      <c r="G124" s="15" t="n"/>
      <c r="H124" s="320" t="n"/>
      <c r="I124" s="15" t="n"/>
      <c r="J124" s="15" t="n"/>
      <c r="K124" s="320" t="n"/>
      <c r="L124" s="15" t="n"/>
      <c r="M124" s="15" t="n"/>
      <c r="N124" s="320" t="n"/>
      <c r="O124" s="15" t="n"/>
      <c r="P124" s="15" t="n"/>
      <c r="Q124" s="320" t="n"/>
      <c r="R124" s="15" t="n"/>
      <c r="S124" s="15" t="n"/>
      <c r="T124" s="320" t="n"/>
      <c r="U124" s="15" t="n"/>
      <c r="V124" s="15" t="n"/>
      <c r="W124" s="320" t="n"/>
      <c r="X124" s="15" t="n"/>
      <c r="Y124" s="15" t="n"/>
      <c r="Z124" s="320" t="n"/>
      <c r="AA124" s="15" t="n"/>
      <c r="AB124" s="15" t="n"/>
      <c r="AC124" s="320" t="n"/>
      <c r="AD124" s="15" t="n"/>
      <c r="AE124" s="15" t="n"/>
      <c r="AF124" s="320" t="n"/>
      <c r="AG124" s="327" t="n"/>
      <c r="AH124" s="31" t="n"/>
      <c r="AI124" s="320" t="n"/>
      <c r="AJ124" s="327" t="n"/>
      <c r="AK124" s="31" t="n"/>
    </row>
    <row r="125">
      <c r="A125" s="326" t="n"/>
      <c r="B125" s="28" t="n"/>
      <c r="C125" s="15" t="n"/>
      <c r="D125" s="15" t="n"/>
      <c r="E125" s="28" t="n"/>
      <c r="F125" s="15" t="n"/>
      <c r="G125" s="15" t="n"/>
      <c r="H125" s="28" t="n"/>
      <c r="I125" s="15" t="n"/>
      <c r="J125" s="15" t="n"/>
      <c r="K125" s="28" t="n"/>
      <c r="L125" s="15" t="n"/>
      <c r="M125" s="15" t="n"/>
      <c r="N125" s="28" t="n"/>
      <c r="O125" s="15" t="n"/>
      <c r="P125" s="15" t="n"/>
      <c r="Q125" s="28" t="n"/>
      <c r="R125" s="15" t="n"/>
      <c r="S125" s="15" t="n"/>
      <c r="T125" s="28" t="n"/>
      <c r="U125" s="15" t="n"/>
      <c r="V125" s="15" t="n"/>
      <c r="W125" s="28" t="n"/>
      <c r="X125" s="15" t="n"/>
      <c r="Y125" s="15" t="n"/>
      <c r="Z125" s="28" t="n"/>
      <c r="AA125" s="15" t="n"/>
      <c r="AB125" s="15" t="n"/>
      <c r="AC125" s="28" t="n"/>
      <c r="AD125" s="15" t="n"/>
      <c r="AE125" s="15" t="n"/>
      <c r="AF125" s="28" t="n"/>
      <c r="AG125" s="327" t="n"/>
      <c r="AH125" s="31" t="n"/>
      <c r="AI125" s="28" t="n"/>
      <c r="AJ125" s="327" t="n"/>
      <c r="AK125" s="31" t="n"/>
    </row>
    <row r="126">
      <c r="A126" s="326" t="n"/>
      <c r="B126" s="28" t="n"/>
      <c r="C126" s="15" t="n"/>
      <c r="D126" s="15" t="n"/>
      <c r="E126" s="28" t="n"/>
      <c r="F126" s="15" t="n"/>
      <c r="G126" s="15" t="n"/>
      <c r="H126" s="28" t="n"/>
      <c r="I126" s="15" t="n"/>
      <c r="J126" s="15" t="n"/>
      <c r="K126" s="28" t="n"/>
      <c r="L126" s="15" t="n"/>
      <c r="M126" s="15" t="n"/>
      <c r="N126" s="28" t="n"/>
      <c r="O126" s="15" t="n"/>
      <c r="P126" s="15" t="n"/>
      <c r="Q126" s="28" t="n"/>
      <c r="R126" s="15" t="n"/>
      <c r="S126" s="15" t="n"/>
      <c r="T126" s="28" t="n"/>
      <c r="U126" s="15" t="n"/>
      <c r="V126" s="15" t="n"/>
      <c r="W126" s="28" t="n"/>
      <c r="X126" s="15" t="n"/>
      <c r="Y126" s="15" t="n"/>
      <c r="Z126" s="28" t="n"/>
      <c r="AA126" s="15" t="n"/>
      <c r="AB126" s="15" t="n"/>
      <c r="AC126" s="28" t="n"/>
      <c r="AD126" s="15" t="n"/>
      <c r="AE126" s="15" t="n"/>
      <c r="AF126" s="28" t="n"/>
      <c r="AG126" s="327" t="n"/>
      <c r="AH126" s="31" t="n"/>
      <c r="AI126" s="28" t="n"/>
      <c r="AJ126" s="327" t="n"/>
      <c r="AK126" s="31" t="n"/>
    </row>
    <row r="127">
      <c r="A127" s="326" t="n"/>
      <c r="B127" s="28" t="n"/>
      <c r="C127" s="15" t="n"/>
      <c r="D127" s="15" t="n"/>
      <c r="E127" s="28" t="n"/>
      <c r="F127" s="15" t="n"/>
      <c r="G127" s="15" t="n"/>
      <c r="H127" s="28" t="n"/>
      <c r="I127" s="15" t="n"/>
      <c r="J127" s="15" t="n"/>
      <c r="K127" s="28" t="n"/>
      <c r="L127" s="15" t="n"/>
      <c r="M127" s="15" t="n"/>
      <c r="N127" s="28" t="n"/>
      <c r="O127" s="15" t="n"/>
      <c r="P127" s="15" t="n"/>
      <c r="Q127" s="28" t="n"/>
      <c r="R127" s="15" t="n"/>
      <c r="S127" s="15" t="n"/>
      <c r="T127" s="28" t="n"/>
      <c r="U127" s="15" t="n"/>
      <c r="V127" s="15" t="n"/>
      <c r="W127" s="28" t="n"/>
      <c r="X127" s="15" t="n"/>
      <c r="Y127" s="15" t="n"/>
      <c r="Z127" s="28" t="n"/>
      <c r="AA127" s="15" t="n"/>
      <c r="AB127" s="15" t="n"/>
      <c r="AC127" s="28" t="n"/>
      <c r="AD127" s="15" t="n"/>
      <c r="AE127" s="15" t="n"/>
      <c r="AF127" s="28" t="n"/>
      <c r="AG127" s="327" t="n"/>
      <c r="AH127" s="31" t="n"/>
      <c r="AI127" s="28" t="n"/>
      <c r="AJ127" s="327" t="n"/>
      <c r="AK127" s="31" t="n"/>
    </row>
    <row r="128">
      <c r="A128" s="326" t="n"/>
      <c r="B128" s="28" t="n"/>
      <c r="C128" s="15" t="n"/>
      <c r="D128" s="15" t="n"/>
      <c r="E128" s="28" t="n"/>
      <c r="F128" s="15" t="n"/>
      <c r="G128" s="15" t="n"/>
      <c r="H128" s="28" t="n"/>
      <c r="I128" s="15" t="n"/>
      <c r="J128" s="15" t="n"/>
      <c r="K128" s="28" t="n"/>
      <c r="L128" s="15" t="n"/>
      <c r="M128" s="15" t="n"/>
      <c r="N128" s="28" t="n"/>
      <c r="O128" s="15" t="n"/>
      <c r="P128" s="15" t="n"/>
      <c r="Q128" s="28" t="n"/>
      <c r="R128" s="15" t="n"/>
      <c r="S128" s="15" t="n"/>
      <c r="T128" s="28" t="n"/>
      <c r="U128" s="15" t="n"/>
      <c r="V128" s="15" t="n"/>
      <c r="W128" s="28" t="n"/>
      <c r="X128" s="15" t="n"/>
      <c r="Y128" s="15" t="n"/>
      <c r="Z128" s="28" t="n"/>
      <c r="AA128" s="15" t="n"/>
      <c r="AB128" s="15" t="n"/>
      <c r="AC128" s="28" t="n"/>
      <c r="AD128" s="15" t="n"/>
      <c r="AE128" s="15" t="n"/>
      <c r="AF128" s="28" t="n"/>
      <c r="AG128" s="327" t="n"/>
      <c r="AH128" s="31" t="n"/>
      <c r="AI128" s="28" t="n"/>
      <c r="AJ128" s="327" t="n"/>
      <c r="AK128" s="31" t="n"/>
    </row>
    <row r="129">
      <c r="A129" s="326" t="n"/>
      <c r="B129" s="28" t="n"/>
      <c r="C129" s="15" t="n"/>
      <c r="D129" s="15" t="n"/>
      <c r="E129" s="28" t="n"/>
      <c r="F129" s="15" t="n"/>
      <c r="G129" s="15" t="n"/>
      <c r="H129" s="28" t="n"/>
      <c r="I129" s="15" t="n"/>
      <c r="J129" s="15" t="n"/>
      <c r="K129" s="28" t="n"/>
      <c r="L129" s="15" t="n"/>
      <c r="M129" s="15" t="n"/>
      <c r="N129" s="28" t="n"/>
      <c r="O129" s="15" t="n"/>
      <c r="P129" s="15" t="n"/>
      <c r="Q129" s="28" t="n"/>
      <c r="R129" s="15" t="n"/>
      <c r="S129" s="15" t="n"/>
      <c r="T129" s="28" t="n"/>
      <c r="U129" s="15" t="n"/>
      <c r="V129" s="15" t="n"/>
      <c r="W129" s="28" t="n"/>
      <c r="X129" s="15" t="n"/>
      <c r="Y129" s="15" t="n"/>
      <c r="Z129" s="28" t="n"/>
      <c r="AA129" s="15" t="n"/>
      <c r="AB129" s="15" t="n"/>
      <c r="AC129" s="28" t="n"/>
      <c r="AD129" s="15" t="n"/>
      <c r="AE129" s="15" t="n"/>
      <c r="AF129" s="28" t="n"/>
      <c r="AG129" s="327" t="n"/>
      <c r="AH129" s="31" t="n"/>
      <c r="AI129" s="28" t="n"/>
      <c r="AJ129" s="327" t="n"/>
      <c r="AK129" s="31" t="n"/>
    </row>
    <row r="130">
      <c r="A130" s="331" t="n"/>
      <c r="B130" s="28" t="n"/>
      <c r="C130" s="15" t="n"/>
      <c r="D130" s="15" t="n"/>
      <c r="E130" s="28" t="n"/>
      <c r="F130" s="15" t="n"/>
      <c r="G130" s="15" t="n"/>
      <c r="H130" s="28" t="n"/>
      <c r="I130" s="15" t="n"/>
      <c r="J130" s="15" t="n"/>
      <c r="K130" s="28" t="n"/>
      <c r="L130" s="15" t="n"/>
      <c r="M130" s="15" t="n"/>
      <c r="N130" s="28" t="n"/>
      <c r="O130" s="15" t="n"/>
      <c r="P130" s="15" t="n"/>
      <c r="Q130" s="28" t="n"/>
      <c r="R130" s="15" t="n"/>
      <c r="S130" s="15" t="n"/>
      <c r="T130" s="28" t="n"/>
      <c r="U130" s="15" t="n"/>
      <c r="V130" s="15" t="n"/>
      <c r="W130" s="28" t="n"/>
      <c r="X130" s="15" t="n"/>
      <c r="Y130" s="15" t="n"/>
      <c r="Z130" s="28" t="n"/>
      <c r="AA130" s="15" t="n"/>
      <c r="AB130" s="15" t="n"/>
      <c r="AC130" s="28" t="n"/>
      <c r="AD130" s="15" t="n"/>
      <c r="AE130" s="15" t="n"/>
      <c r="AF130" s="28" t="n"/>
      <c r="AG130" s="327" t="n"/>
      <c r="AH130" s="327" t="n"/>
      <c r="AI130" s="28" t="n"/>
      <c r="AJ130" s="327" t="n"/>
      <c r="AK130" s="327" t="n"/>
    </row>
    <row r="131">
      <c r="A131" s="326" t="n"/>
      <c r="B131" s="28" t="n"/>
      <c r="C131" s="15" t="n"/>
      <c r="D131" s="15" t="n"/>
      <c r="E131" s="28" t="n"/>
      <c r="F131" s="15" t="n"/>
      <c r="G131" s="15" t="n"/>
      <c r="H131" s="28" t="n"/>
      <c r="I131" s="15" t="n"/>
      <c r="J131" s="15" t="n"/>
      <c r="K131" s="28" t="n"/>
      <c r="L131" s="15" t="n"/>
      <c r="M131" s="15" t="n"/>
      <c r="N131" s="28" t="n"/>
      <c r="O131" s="15" t="n"/>
      <c r="P131" s="15" t="n"/>
      <c r="Q131" s="28" t="n"/>
      <c r="R131" s="15" t="n"/>
      <c r="S131" s="15" t="n"/>
      <c r="T131" s="28" t="n"/>
      <c r="U131" s="15" t="n"/>
      <c r="V131" s="15" t="n"/>
      <c r="W131" s="28" t="n"/>
      <c r="X131" s="15" t="n"/>
      <c r="Y131" s="15" t="n"/>
      <c r="Z131" s="28" t="n"/>
      <c r="AA131" s="15" t="n"/>
      <c r="AB131" s="15" t="n"/>
      <c r="AC131" s="28" t="n"/>
      <c r="AD131" s="15" t="n"/>
      <c r="AE131" s="15" t="n"/>
      <c r="AF131" s="28" t="n"/>
      <c r="AG131" s="327" t="n"/>
      <c r="AH131" s="327" t="n"/>
      <c r="AI131" s="28" t="n"/>
      <c r="AJ131" s="327" t="n"/>
      <c r="AK131" s="327" t="n"/>
    </row>
    <row r="132">
      <c r="A132" s="326" t="n"/>
      <c r="B132" s="28" t="n"/>
      <c r="C132" s="15" t="n"/>
      <c r="D132" s="15" t="n"/>
      <c r="E132" s="28" t="n"/>
      <c r="F132" s="15" t="n"/>
      <c r="G132" s="15" t="n"/>
      <c r="H132" s="28" t="n"/>
      <c r="I132" s="15" t="n"/>
      <c r="J132" s="15" t="n"/>
      <c r="K132" s="28" t="n"/>
      <c r="L132" s="15" t="n"/>
      <c r="M132" s="15" t="n"/>
      <c r="N132" s="28" t="n"/>
      <c r="O132" s="15" t="n"/>
      <c r="P132" s="15" t="n"/>
      <c r="Q132" s="28" t="n"/>
      <c r="R132" s="15" t="n"/>
      <c r="S132" s="15" t="n"/>
      <c r="T132" s="28" t="n"/>
      <c r="U132" s="15" t="n"/>
      <c r="V132" s="15" t="n"/>
      <c r="W132" s="28" t="n"/>
      <c r="X132" s="15" t="n"/>
      <c r="Y132" s="15" t="n"/>
      <c r="Z132" s="28" t="n"/>
      <c r="AA132" s="15" t="n"/>
      <c r="AB132" s="15" t="n"/>
      <c r="AC132" s="28" t="n"/>
      <c r="AD132" s="15" t="n"/>
      <c r="AE132" s="15" t="n"/>
      <c r="AF132" s="28" t="n"/>
      <c r="AG132" s="327" t="n"/>
      <c r="AH132" s="327" t="n"/>
      <c r="AI132" s="28" t="n"/>
      <c r="AJ132" s="327" t="n"/>
      <c r="AK132" s="327" t="n"/>
    </row>
    <row r="133">
      <c r="A133" s="326" t="n"/>
      <c r="B133" s="28" t="n"/>
      <c r="C133" s="15" t="n"/>
      <c r="D133" s="15" t="n"/>
      <c r="E133" s="28" t="n"/>
      <c r="F133" s="15" t="n"/>
      <c r="G133" s="15" t="n"/>
      <c r="H133" s="28" t="n"/>
      <c r="I133" s="15" t="n"/>
      <c r="J133" s="15" t="n"/>
      <c r="K133" s="28" t="n"/>
      <c r="L133" s="15" t="n"/>
      <c r="M133" s="15" t="n"/>
      <c r="N133" s="28" t="n"/>
      <c r="O133" s="15" t="n"/>
      <c r="P133" s="15" t="n"/>
      <c r="Q133" s="28" t="n"/>
      <c r="R133" s="15" t="n"/>
      <c r="S133" s="15" t="n"/>
      <c r="T133" s="28" t="n"/>
      <c r="U133" s="15" t="n"/>
      <c r="V133" s="15" t="n"/>
      <c r="W133" s="28" t="n"/>
      <c r="X133" s="15" t="n"/>
      <c r="Y133" s="15" t="n"/>
      <c r="Z133" s="28" t="n"/>
      <c r="AA133" s="15" t="n"/>
      <c r="AB133" s="15" t="n"/>
      <c r="AC133" s="28" t="n"/>
      <c r="AD133" s="15" t="n"/>
      <c r="AE133" s="15" t="n"/>
      <c r="AF133" s="28" t="n"/>
      <c r="AG133" s="327" t="n"/>
      <c r="AH133" s="327" t="n"/>
      <c r="AI133" s="28" t="n"/>
      <c r="AJ133" s="327" t="n"/>
      <c r="AK133" s="327" t="n"/>
    </row>
    <row r="134">
      <c r="A134" s="326" t="n"/>
      <c r="B134" s="28" t="n"/>
      <c r="C134" s="15" t="n"/>
      <c r="D134" s="15" t="n"/>
      <c r="E134" s="28" t="n"/>
      <c r="F134" s="15" t="n"/>
      <c r="G134" s="15" t="n"/>
      <c r="H134" s="28" t="n"/>
      <c r="I134" s="15" t="n"/>
      <c r="J134" s="15" t="n"/>
      <c r="K134" s="28" t="n"/>
      <c r="L134" s="15" t="n"/>
      <c r="M134" s="15" t="n"/>
      <c r="N134" s="28" t="n"/>
      <c r="O134" s="15" t="n"/>
      <c r="P134" s="15" t="n"/>
      <c r="Q134" s="28" t="n"/>
      <c r="R134" s="15" t="n"/>
      <c r="S134" s="15" t="n"/>
      <c r="T134" s="28" t="n"/>
      <c r="U134" s="15" t="n"/>
      <c r="V134" s="15" t="n"/>
      <c r="W134" s="28" t="n"/>
      <c r="X134" s="15" t="n"/>
      <c r="Y134" s="15" t="n"/>
      <c r="Z134" s="28" t="n"/>
      <c r="AA134" s="15" t="n"/>
      <c r="AB134" s="15" t="n"/>
      <c r="AC134" s="28" t="n"/>
      <c r="AD134" s="15" t="n"/>
      <c r="AE134" s="15" t="n"/>
      <c r="AF134" s="28" t="n"/>
      <c r="AG134" s="327" t="n"/>
      <c r="AH134" s="327" t="n"/>
      <c r="AI134" s="28" t="n"/>
      <c r="AJ134" s="327" t="n"/>
      <c r="AK134" s="327" t="n"/>
    </row>
    <row r="135">
      <c r="A135" s="326" t="n"/>
      <c r="B135" s="28" t="n"/>
      <c r="C135" s="15" t="n"/>
      <c r="D135" s="15" t="n"/>
      <c r="E135" s="28" t="n"/>
      <c r="F135" s="15" t="n"/>
      <c r="G135" s="15" t="n"/>
      <c r="H135" s="28" t="n"/>
      <c r="I135" s="15" t="n"/>
      <c r="J135" s="15" t="n"/>
      <c r="K135" s="28" t="n"/>
      <c r="L135" s="15" t="n"/>
      <c r="M135" s="15" t="n"/>
      <c r="N135" s="28" t="n"/>
      <c r="O135" s="15" t="n"/>
      <c r="P135" s="15" t="n"/>
      <c r="Q135" s="28" t="n"/>
      <c r="R135" s="15" t="n"/>
      <c r="S135" s="15" t="n"/>
      <c r="T135" s="28" t="n"/>
      <c r="U135" s="15" t="n"/>
      <c r="V135" s="15" t="n"/>
      <c r="W135" s="28" t="n"/>
      <c r="X135" s="15" t="n"/>
      <c r="Y135" s="15" t="n"/>
      <c r="Z135" s="28" t="n"/>
      <c r="AA135" s="15" t="n"/>
      <c r="AB135" s="15" t="n"/>
      <c r="AC135" s="28" t="n"/>
      <c r="AD135" s="15" t="n"/>
      <c r="AE135" s="15" t="n"/>
      <c r="AF135" s="28" t="n"/>
      <c r="AG135" s="327" t="n"/>
      <c r="AH135" s="327" t="n"/>
      <c r="AI135" s="28" t="n"/>
      <c r="AJ135" s="327" t="n"/>
      <c r="AK135" s="327" t="n"/>
    </row>
    <row r="136">
      <c r="A136" s="330" t="n"/>
      <c r="B136" s="28" t="n"/>
      <c r="C136" s="15" t="n"/>
      <c r="D136" s="15" t="n"/>
      <c r="E136" s="28" t="n"/>
      <c r="F136" s="15" t="n"/>
      <c r="G136" s="15" t="n"/>
      <c r="H136" s="28" t="n"/>
      <c r="I136" s="15" t="n"/>
      <c r="J136" s="15" t="n"/>
      <c r="K136" s="28" t="n"/>
      <c r="L136" s="15" t="n"/>
      <c r="M136" s="15" t="n"/>
      <c r="N136" s="28" t="n"/>
      <c r="O136" s="15" t="n"/>
      <c r="P136" s="15" t="n"/>
      <c r="Q136" s="28" t="n"/>
      <c r="R136" s="15" t="n"/>
      <c r="S136" s="15" t="n"/>
      <c r="T136" s="28" t="n"/>
      <c r="U136" s="15" t="n"/>
      <c r="V136" s="15" t="n"/>
      <c r="W136" s="28" t="n"/>
      <c r="X136" s="15" t="n"/>
      <c r="Y136" s="15" t="n"/>
      <c r="Z136" s="28" t="n"/>
      <c r="AA136" s="15" t="n"/>
      <c r="AB136" s="15" t="n"/>
      <c r="AC136" s="28" t="n"/>
      <c r="AD136" s="15" t="n"/>
      <c r="AE136" s="15" t="n"/>
      <c r="AF136" s="28" t="n"/>
      <c r="AG136" s="327" t="n"/>
      <c r="AH136" s="430" t="n"/>
      <c r="AI136" s="28" t="n"/>
      <c r="AJ136" s="327" t="n"/>
      <c r="AK136" s="430" t="n"/>
    </row>
    <row r="137">
      <c r="A137" s="326" t="n"/>
      <c r="B137" s="28" t="n"/>
      <c r="C137" s="15" t="n"/>
      <c r="D137" s="15" t="n"/>
      <c r="E137" s="28" t="n"/>
      <c r="F137" s="15" t="n"/>
      <c r="G137" s="15" t="n"/>
      <c r="H137" s="28" t="n"/>
      <c r="I137" s="15" t="n"/>
      <c r="J137" s="15" t="n"/>
      <c r="K137" s="28" t="n"/>
      <c r="L137" s="15" t="n"/>
      <c r="M137" s="15" t="n"/>
      <c r="N137" s="28" t="n"/>
      <c r="O137" s="15" t="n"/>
      <c r="P137" s="15" t="n"/>
      <c r="Q137" s="28" t="n"/>
      <c r="R137" s="15" t="n"/>
      <c r="S137" s="15" t="n"/>
      <c r="T137" s="28" t="n"/>
      <c r="U137" s="15" t="n"/>
      <c r="V137" s="15" t="n"/>
      <c r="W137" s="28" t="n"/>
      <c r="X137" s="15" t="n"/>
      <c r="Y137" s="15" t="n"/>
      <c r="Z137" s="28" t="n"/>
      <c r="AA137" s="15" t="n"/>
      <c r="AB137" s="15" t="n"/>
      <c r="AC137" s="28" t="n"/>
      <c r="AD137" s="15" t="n"/>
      <c r="AE137" s="15" t="n"/>
      <c r="AF137" s="28" t="n"/>
      <c r="AG137" s="327" t="n"/>
      <c r="AH137" s="430" t="n"/>
      <c r="AI137" s="28" t="n"/>
      <c r="AJ137" s="327" t="n"/>
      <c r="AK137" s="430" t="n"/>
    </row>
    <row r="138">
      <c r="A138" s="326" t="n"/>
      <c r="B138" s="28" t="n"/>
      <c r="C138" s="15" t="n"/>
      <c r="D138" s="15" t="n"/>
      <c r="E138" s="28" t="n"/>
      <c r="F138" s="15" t="n"/>
      <c r="G138" s="15" t="n"/>
      <c r="H138" s="28" t="n"/>
      <c r="I138" s="15" t="n"/>
      <c r="J138" s="15" t="n"/>
      <c r="K138" s="28" t="n"/>
      <c r="L138" s="15" t="n"/>
      <c r="M138" s="15" t="n"/>
      <c r="N138" s="28" t="n"/>
      <c r="O138" s="15" t="n"/>
      <c r="P138" s="15" t="n"/>
      <c r="Q138" s="28" t="n"/>
      <c r="R138" s="15" t="n"/>
      <c r="S138" s="15" t="n"/>
      <c r="T138" s="28" t="n"/>
      <c r="U138" s="15" t="n"/>
      <c r="V138" s="15" t="n"/>
      <c r="W138" s="28" t="n"/>
      <c r="X138" s="15" t="n"/>
      <c r="Y138" s="15" t="n"/>
      <c r="Z138" s="28" t="n"/>
      <c r="AA138" s="15" t="n"/>
      <c r="AB138" s="15" t="n"/>
      <c r="AC138" s="28" t="n"/>
      <c r="AD138" s="15" t="n"/>
      <c r="AE138" s="15" t="n"/>
      <c r="AF138" s="28" t="n"/>
      <c r="AG138" s="327" t="n"/>
      <c r="AH138" s="430" t="n"/>
      <c r="AI138" s="28" t="n"/>
      <c r="AJ138" s="327" t="n"/>
      <c r="AK138" s="430" t="n"/>
    </row>
    <row r="139">
      <c r="A139" s="326" t="n"/>
      <c r="B139" s="28" t="n"/>
      <c r="C139" s="15" t="n"/>
      <c r="D139" s="15" t="n"/>
      <c r="E139" s="28" t="n"/>
      <c r="F139" s="15" t="n"/>
      <c r="G139" s="15" t="n"/>
      <c r="H139" s="28" t="n"/>
      <c r="I139" s="15" t="n"/>
      <c r="J139" s="15" t="n"/>
      <c r="K139" s="28" t="n"/>
      <c r="L139" s="15" t="n"/>
      <c r="M139" s="15" t="n"/>
      <c r="N139" s="28" t="n"/>
      <c r="O139" s="15" t="n"/>
      <c r="P139" s="15" t="n"/>
      <c r="Q139" s="28" t="n"/>
      <c r="R139" s="15" t="n"/>
      <c r="S139" s="15" t="n"/>
      <c r="T139" s="28" t="n"/>
      <c r="U139" s="15" t="n"/>
      <c r="V139" s="15" t="n"/>
      <c r="W139" s="28" t="n"/>
      <c r="X139" s="15" t="n"/>
      <c r="Y139" s="15" t="n"/>
      <c r="Z139" s="28" t="n"/>
      <c r="AA139" s="15" t="n"/>
      <c r="AB139" s="15" t="n"/>
      <c r="AC139" s="28" t="n"/>
      <c r="AD139" s="15" t="n"/>
      <c r="AE139" s="15" t="n"/>
      <c r="AF139" s="28" t="n"/>
      <c r="AG139" s="327" t="n"/>
      <c r="AH139" s="430" t="n"/>
      <c r="AI139" s="28" t="n"/>
      <c r="AJ139" s="327" t="n"/>
      <c r="AK139" s="430" t="n"/>
    </row>
    <row r="140">
      <c r="A140" s="326" t="n"/>
      <c r="B140" s="28" t="n"/>
      <c r="C140" s="15" t="n"/>
      <c r="D140" s="15" t="n"/>
      <c r="E140" s="28" t="n"/>
      <c r="F140" s="15" t="n"/>
      <c r="G140" s="15" t="n"/>
      <c r="H140" s="28" t="n"/>
      <c r="I140" s="15" t="n"/>
      <c r="J140" s="15" t="n"/>
      <c r="K140" s="28" t="n"/>
      <c r="L140" s="15" t="n"/>
      <c r="M140" s="15" t="n"/>
      <c r="N140" s="28" t="n"/>
      <c r="O140" s="15" t="n"/>
      <c r="P140" s="15" t="n"/>
      <c r="Q140" s="28" t="n"/>
      <c r="R140" s="15" t="n"/>
      <c r="S140" s="15" t="n"/>
      <c r="T140" s="28" t="n"/>
      <c r="U140" s="15" t="n"/>
      <c r="V140" s="15" t="n"/>
      <c r="W140" s="28" t="n"/>
      <c r="X140" s="15" t="n"/>
      <c r="Y140" s="15" t="n"/>
      <c r="Z140" s="28" t="n"/>
      <c r="AA140" s="15" t="n"/>
      <c r="AB140" s="15" t="n"/>
      <c r="AC140" s="28" t="n"/>
      <c r="AD140" s="15" t="n"/>
      <c r="AE140" s="15" t="n"/>
      <c r="AF140" s="28" t="n"/>
      <c r="AG140" s="327" t="n"/>
      <c r="AH140" s="430" t="n"/>
      <c r="AI140" s="28" t="n"/>
      <c r="AJ140" s="327" t="n"/>
      <c r="AK140" s="430" t="n"/>
    </row>
    <row r="141">
      <c r="A141" s="326" t="n"/>
      <c r="B141" s="28" t="n"/>
      <c r="C141" s="15" t="n"/>
      <c r="D141" s="15" t="n"/>
      <c r="E141" s="28" t="n"/>
      <c r="F141" s="15" t="n"/>
      <c r="G141" s="15" t="n"/>
      <c r="H141" s="28" t="n"/>
      <c r="I141" s="15" t="n"/>
      <c r="J141" s="15" t="n"/>
      <c r="K141" s="28" t="n"/>
      <c r="L141" s="15" t="n"/>
      <c r="M141" s="15" t="n"/>
      <c r="N141" s="28" t="n"/>
      <c r="O141" s="15" t="n"/>
      <c r="P141" s="15" t="n"/>
      <c r="Q141" s="28" t="n"/>
      <c r="R141" s="15" t="n"/>
      <c r="S141" s="15" t="n"/>
      <c r="T141" s="28" t="n"/>
      <c r="U141" s="15" t="n"/>
      <c r="V141" s="15" t="n"/>
      <c r="W141" s="28" t="n"/>
      <c r="X141" s="15" t="n"/>
      <c r="Y141" s="15" t="n"/>
      <c r="Z141" s="28" t="n"/>
      <c r="AA141" s="15" t="n"/>
      <c r="AB141" s="15" t="n"/>
      <c r="AC141" s="28" t="n"/>
      <c r="AD141" s="15" t="n"/>
      <c r="AE141" s="15" t="n"/>
      <c r="AF141" s="28" t="n"/>
      <c r="AG141" s="327" t="n"/>
      <c r="AH141" s="430" t="n"/>
      <c r="AI141" s="28" t="n"/>
      <c r="AJ141" s="327" t="n"/>
      <c r="AK141" s="430" t="n"/>
    </row>
    <row r="142">
      <c r="A142" s="326" t="n"/>
      <c r="B142" s="28" t="n"/>
      <c r="C142" s="15" t="n"/>
      <c r="D142" s="15" t="n"/>
      <c r="E142" s="28" t="n"/>
      <c r="F142" s="15" t="n"/>
      <c r="G142" s="15" t="n"/>
      <c r="H142" s="28" t="n"/>
      <c r="I142" s="15" t="n"/>
      <c r="J142" s="15" t="n"/>
      <c r="K142" s="28" t="n"/>
      <c r="L142" s="15" t="n"/>
      <c r="M142" s="15" t="n"/>
      <c r="N142" s="28" t="n"/>
      <c r="O142" s="15" t="n"/>
      <c r="P142" s="15" t="n"/>
      <c r="Q142" s="28" t="n"/>
      <c r="R142" s="15" t="n"/>
      <c r="S142" s="15" t="n"/>
      <c r="T142" s="28" t="n"/>
      <c r="U142" s="15" t="n"/>
      <c r="V142" s="15" t="n"/>
      <c r="W142" s="28" t="n"/>
      <c r="X142" s="15" t="n"/>
      <c r="Y142" s="15" t="n"/>
      <c r="Z142" s="28" t="n"/>
      <c r="AA142" s="15" t="n"/>
      <c r="AB142" s="15" t="n"/>
      <c r="AC142" s="28" t="n"/>
      <c r="AD142" s="15" t="n"/>
      <c r="AE142" s="15" t="n"/>
      <c r="AF142" s="28" t="n"/>
      <c r="AG142" s="327" t="n"/>
      <c r="AH142" s="430" t="n"/>
      <c r="AI142" s="28" t="n"/>
      <c r="AJ142" s="327" t="n"/>
      <c r="AK142" s="430" t="n"/>
    </row>
    <row r="143">
      <c r="A143" s="326" t="n"/>
      <c r="B143" s="28" t="n"/>
      <c r="C143" s="15" t="n"/>
      <c r="D143" s="15" t="n"/>
      <c r="E143" s="28" t="n"/>
      <c r="F143" s="15" t="n"/>
      <c r="G143" s="15" t="n"/>
      <c r="H143" s="28" t="n"/>
      <c r="I143" s="15" t="n"/>
      <c r="J143" s="15" t="n"/>
      <c r="K143" s="28" t="n"/>
      <c r="L143" s="15" t="n"/>
      <c r="M143" s="15" t="n"/>
      <c r="N143" s="28" t="n"/>
      <c r="O143" s="15" t="n"/>
      <c r="P143" s="15" t="n"/>
      <c r="Q143" s="28" t="n"/>
      <c r="R143" s="15" t="n"/>
      <c r="S143" s="15" t="n"/>
      <c r="T143" s="28" t="n"/>
      <c r="U143" s="15" t="n"/>
      <c r="V143" s="15" t="n"/>
      <c r="W143" s="28" t="n"/>
      <c r="X143" s="15" t="n"/>
      <c r="Y143" s="15" t="n"/>
      <c r="Z143" s="28" t="n"/>
      <c r="AA143" s="15" t="n"/>
      <c r="AB143" s="15" t="n"/>
      <c r="AC143" s="28" t="n"/>
      <c r="AD143" s="15" t="n"/>
      <c r="AE143" s="15" t="n"/>
      <c r="AF143" s="28" t="n"/>
      <c r="AG143" s="327" t="n"/>
      <c r="AH143" s="430" t="n"/>
      <c r="AI143" s="28" t="n"/>
      <c r="AJ143" s="327" t="n"/>
      <c r="AK143" s="430" t="n"/>
    </row>
    <row r="144">
      <c r="A144" s="326" t="n"/>
      <c r="B144" s="28" t="n"/>
      <c r="C144" s="15" t="n"/>
      <c r="D144" s="15" t="n"/>
      <c r="E144" s="28" t="n"/>
      <c r="F144" s="15" t="n"/>
      <c r="G144" s="15" t="n"/>
      <c r="H144" s="28" t="n"/>
      <c r="I144" s="15" t="n"/>
      <c r="J144" s="15" t="n"/>
      <c r="K144" s="28" t="n"/>
      <c r="L144" s="15" t="n"/>
      <c r="M144" s="15" t="n"/>
      <c r="N144" s="28" t="n"/>
      <c r="O144" s="15" t="n"/>
      <c r="P144" s="15" t="n"/>
      <c r="Q144" s="28" t="n"/>
      <c r="R144" s="15" t="n"/>
      <c r="S144" s="15" t="n"/>
      <c r="T144" s="28" t="n"/>
      <c r="U144" s="15" t="n"/>
      <c r="V144" s="15" t="n"/>
      <c r="W144" s="28" t="n"/>
      <c r="X144" s="15" t="n"/>
      <c r="Y144" s="15" t="n"/>
      <c r="Z144" s="28" t="n"/>
      <c r="AA144" s="15" t="n"/>
      <c r="AB144" s="15" t="n"/>
      <c r="AC144" s="28" t="n"/>
      <c r="AD144" s="15" t="n"/>
      <c r="AE144" s="15" t="n"/>
      <c r="AF144" s="28" t="n"/>
      <c r="AG144" s="327" t="n"/>
      <c r="AH144" s="430" t="n"/>
      <c r="AI144" s="28" t="n"/>
      <c r="AJ144" s="327" t="n"/>
      <c r="AK144" s="430" t="n"/>
    </row>
    <row r="145">
      <c r="A145" s="326" t="n"/>
      <c r="B145" s="28" t="n"/>
      <c r="C145" s="15" t="n"/>
      <c r="D145" s="15" t="n"/>
      <c r="E145" s="28" t="n"/>
      <c r="F145" s="15" t="n"/>
      <c r="G145" s="15" t="n"/>
      <c r="H145" s="28" t="n"/>
      <c r="I145" s="15" t="n"/>
      <c r="J145" s="15" t="n"/>
      <c r="K145" s="28" t="n"/>
      <c r="L145" s="15" t="n"/>
      <c r="M145" s="15" t="n"/>
      <c r="N145" s="28" t="n"/>
      <c r="O145" s="15" t="n"/>
      <c r="P145" s="15" t="n"/>
      <c r="Q145" s="28" t="n"/>
      <c r="R145" s="15" t="n"/>
      <c r="S145" s="15" t="n"/>
      <c r="T145" s="28" t="n"/>
      <c r="U145" s="15" t="n"/>
      <c r="V145" s="15" t="n"/>
      <c r="W145" s="28" t="n"/>
      <c r="X145" s="15" t="n"/>
      <c r="Y145" s="15" t="n"/>
      <c r="Z145" s="28" t="n"/>
      <c r="AA145" s="15" t="n"/>
      <c r="AB145" s="15" t="n"/>
      <c r="AC145" s="28" t="n"/>
      <c r="AD145" s="15" t="n"/>
      <c r="AE145" s="15" t="n"/>
      <c r="AF145" s="28" t="n"/>
      <c r="AG145" s="327" t="n"/>
      <c r="AH145" s="430" t="n"/>
      <c r="AI145" s="28" t="n"/>
      <c r="AJ145" s="327" t="n"/>
      <c r="AK145" s="430" t="n"/>
    </row>
    <row r="146">
      <c r="A146" s="326" t="n"/>
      <c r="B146" s="28" t="n"/>
      <c r="C146" s="15" t="n"/>
      <c r="D146" s="15" t="n"/>
      <c r="E146" s="28" t="n"/>
      <c r="F146" s="15" t="n"/>
      <c r="G146" s="15" t="n"/>
      <c r="H146" s="28" t="n"/>
      <c r="I146" s="15" t="n"/>
      <c r="J146" s="15" t="n"/>
      <c r="K146" s="28" t="n"/>
      <c r="L146" s="15" t="n"/>
      <c r="M146" s="15" t="n"/>
      <c r="N146" s="28" t="n"/>
      <c r="O146" s="15" t="n"/>
      <c r="P146" s="15" t="n"/>
      <c r="Q146" s="28" t="n"/>
      <c r="R146" s="15" t="n"/>
      <c r="S146" s="15" t="n"/>
      <c r="T146" s="28" t="n"/>
      <c r="U146" s="15" t="n"/>
      <c r="V146" s="15" t="n"/>
      <c r="W146" s="28" t="n"/>
      <c r="X146" s="15" t="n"/>
      <c r="Y146" s="15" t="n"/>
      <c r="Z146" s="28" t="n"/>
      <c r="AA146" s="15" t="n"/>
      <c r="AB146" s="15" t="n"/>
      <c r="AC146" s="28" t="n"/>
      <c r="AD146" s="15" t="n"/>
      <c r="AE146" s="15" t="n"/>
      <c r="AF146" s="28" t="n"/>
      <c r="AG146" s="327" t="n"/>
      <c r="AH146" s="430" t="n"/>
      <c r="AI146" s="28" t="n"/>
      <c r="AJ146" s="327" t="n"/>
      <c r="AK146" s="430" t="n"/>
    </row>
    <row r="147">
      <c r="A147" s="326" t="n"/>
      <c r="B147" s="28" t="n"/>
      <c r="C147" s="15" t="n"/>
      <c r="D147" s="15" t="n"/>
      <c r="E147" s="28" t="n"/>
      <c r="F147" s="15" t="n"/>
      <c r="G147" s="15" t="n"/>
      <c r="H147" s="28" t="n"/>
      <c r="I147" s="15" t="n"/>
      <c r="J147" s="15" t="n"/>
      <c r="K147" s="28" t="n"/>
      <c r="L147" s="15" t="n"/>
      <c r="M147" s="15" t="n"/>
      <c r="N147" s="28" t="n"/>
      <c r="O147" s="15" t="n"/>
      <c r="P147" s="15" t="n"/>
      <c r="Q147" s="28" t="n"/>
      <c r="R147" s="15" t="n"/>
      <c r="S147" s="15" t="n"/>
      <c r="T147" s="28" t="n"/>
      <c r="U147" s="15" t="n"/>
      <c r="V147" s="15" t="n"/>
      <c r="W147" s="28" t="n"/>
      <c r="X147" s="15" t="n"/>
      <c r="Y147" s="15" t="n"/>
      <c r="Z147" s="28" t="n"/>
      <c r="AA147" s="15" t="n"/>
      <c r="AB147" s="15" t="n"/>
      <c r="AC147" s="28" t="n"/>
      <c r="AD147" s="15" t="n"/>
      <c r="AE147" s="15" t="n"/>
      <c r="AF147" s="28" t="n"/>
      <c r="AG147" s="327" t="n"/>
      <c r="AH147" s="430" t="n"/>
      <c r="AI147" s="28" t="n"/>
      <c r="AJ147" s="327" t="n"/>
      <c r="AK147" s="430" t="n"/>
    </row>
    <row r="148">
      <c r="A148" s="326" t="n"/>
      <c r="B148" s="28" t="n"/>
      <c r="C148" s="15" t="n"/>
      <c r="D148" s="15" t="n"/>
      <c r="E148" s="28" t="n"/>
      <c r="F148" s="15" t="n"/>
      <c r="G148" s="15" t="n"/>
      <c r="H148" s="28" t="n"/>
      <c r="I148" s="15" t="n"/>
      <c r="J148" s="15" t="n"/>
      <c r="K148" s="28" t="n"/>
      <c r="L148" s="15" t="n"/>
      <c r="M148" s="15" t="n"/>
      <c r="N148" s="28" t="n"/>
      <c r="O148" s="15" t="n"/>
      <c r="P148" s="15" t="n"/>
      <c r="Q148" s="28" t="n"/>
      <c r="R148" s="15" t="n"/>
      <c r="S148" s="15" t="n"/>
      <c r="T148" s="28" t="n"/>
      <c r="U148" s="15" t="n"/>
      <c r="V148" s="15" t="n"/>
      <c r="W148" s="28" t="n"/>
      <c r="X148" s="15" t="n"/>
      <c r="Y148" s="15" t="n"/>
      <c r="Z148" s="28" t="n"/>
      <c r="AA148" s="15" t="n"/>
      <c r="AB148" s="15" t="n"/>
      <c r="AC148" s="28" t="n"/>
      <c r="AD148" s="15" t="n"/>
      <c r="AE148" s="15" t="n"/>
      <c r="AF148" s="28" t="n"/>
      <c r="AG148" s="327" t="n"/>
      <c r="AH148" s="430" t="n"/>
      <c r="AI148" s="28" t="n"/>
      <c r="AJ148" s="327" t="n"/>
      <c r="AK148" s="430" t="n"/>
    </row>
    <row r="149">
      <c r="A149" s="326" t="n"/>
      <c r="B149" s="28" t="n"/>
      <c r="C149" s="15" t="n"/>
      <c r="D149" s="15" t="n"/>
      <c r="E149" s="28" t="n"/>
      <c r="F149" s="15" t="n"/>
      <c r="G149" s="15" t="n"/>
      <c r="H149" s="28" t="n"/>
      <c r="I149" s="15" t="n"/>
      <c r="J149" s="15" t="n"/>
      <c r="K149" s="28" t="n"/>
      <c r="L149" s="15" t="n"/>
      <c r="M149" s="15" t="n"/>
      <c r="N149" s="28" t="n"/>
      <c r="O149" s="15" t="n"/>
      <c r="P149" s="15" t="n"/>
      <c r="Q149" s="28" t="n"/>
      <c r="R149" s="15" t="n"/>
      <c r="S149" s="15" t="n"/>
      <c r="T149" s="28" t="n"/>
      <c r="U149" s="15" t="n"/>
      <c r="V149" s="15" t="n"/>
      <c r="W149" s="28" t="n"/>
      <c r="X149" s="15" t="n"/>
      <c r="Y149" s="15" t="n"/>
      <c r="Z149" s="28" t="n"/>
      <c r="AA149" s="15" t="n"/>
      <c r="AB149" s="15" t="n"/>
      <c r="AC149" s="28" t="n"/>
      <c r="AD149" s="15" t="n"/>
      <c r="AE149" s="15" t="n"/>
      <c r="AF149" s="28" t="n"/>
      <c r="AG149" s="327" t="n"/>
      <c r="AH149" s="430" t="n"/>
      <c r="AI149" s="28" t="n"/>
      <c r="AJ149" s="327" t="n"/>
      <c r="AK149" s="430" t="n"/>
    </row>
    <row r="150">
      <c r="A150" s="326" t="n"/>
      <c r="B150" s="28" t="n"/>
      <c r="C150" s="15" t="n"/>
      <c r="D150" s="15" t="n"/>
      <c r="E150" s="28" t="n"/>
      <c r="F150" s="15" t="n"/>
      <c r="G150" s="15" t="n"/>
      <c r="H150" s="28" t="n"/>
      <c r="I150" s="15" t="n"/>
      <c r="J150" s="15" t="n"/>
      <c r="K150" s="28" t="n"/>
      <c r="L150" s="15" t="n"/>
      <c r="M150" s="15" t="n"/>
      <c r="N150" s="28" t="n"/>
      <c r="O150" s="15" t="n"/>
      <c r="P150" s="15" t="n"/>
      <c r="Q150" s="28" t="n"/>
      <c r="R150" s="15" t="n"/>
      <c r="S150" s="15" t="n"/>
      <c r="T150" s="28" t="n"/>
      <c r="U150" s="15" t="n"/>
      <c r="V150" s="15" t="n"/>
      <c r="W150" s="28" t="n"/>
      <c r="X150" s="15" t="n"/>
      <c r="Y150" s="15" t="n"/>
      <c r="Z150" s="28" t="n"/>
      <c r="AA150" s="15" t="n"/>
      <c r="AB150" s="15" t="n"/>
      <c r="AC150" s="28" t="n"/>
      <c r="AD150" s="15" t="n"/>
      <c r="AE150" s="15" t="n"/>
      <c r="AF150" s="28" t="n"/>
      <c r="AG150" s="327" t="n"/>
      <c r="AH150" s="430" t="n"/>
      <c r="AI150" s="28" t="n"/>
      <c r="AJ150" s="327" t="n"/>
      <c r="AK150" s="430" t="n"/>
    </row>
    <row r="151">
      <c r="A151" s="331" t="n"/>
      <c r="B151" s="28" t="n"/>
      <c r="C151" s="33" t="n"/>
      <c r="D151" s="33" t="n"/>
      <c r="E151" s="28" t="n"/>
      <c r="F151" s="33" t="n"/>
      <c r="G151" s="33" t="n"/>
      <c r="H151" s="28" t="n"/>
      <c r="I151" s="33" t="n"/>
      <c r="J151" s="33" t="n"/>
      <c r="K151" s="28" t="n"/>
      <c r="L151" s="33" t="n"/>
      <c r="M151" s="33" t="n"/>
      <c r="N151" s="28" t="n"/>
      <c r="O151" s="33" t="n"/>
      <c r="P151" s="33" t="n"/>
      <c r="Q151" s="28" t="n"/>
      <c r="R151" s="33" t="n"/>
      <c r="S151" s="33" t="n"/>
      <c r="T151" s="28" t="n"/>
      <c r="U151" s="33" t="n"/>
      <c r="V151" s="33" t="n"/>
      <c r="W151" s="28" t="n"/>
      <c r="X151" s="33" t="n"/>
      <c r="Y151" s="33" t="n"/>
      <c r="Z151" s="28" t="n"/>
      <c r="AA151" s="33" t="n"/>
      <c r="AB151" s="33" t="n"/>
      <c r="AC151" s="28" t="n"/>
      <c r="AD151" s="33" t="n"/>
      <c r="AE151" s="33" t="n"/>
      <c r="AF151" s="28" t="n"/>
      <c r="AG151" s="34" t="n"/>
      <c r="AH151" s="34" t="n"/>
      <c r="AI151" s="28" t="n"/>
      <c r="AJ151" s="34" t="n"/>
      <c r="AK151" s="34" t="n"/>
    </row>
    <row r="152">
      <c r="A152" s="335" t="n"/>
      <c r="B152" s="291" t="n"/>
      <c r="C152" s="37" t="n"/>
      <c r="D152" s="37" t="n"/>
      <c r="E152" s="291" t="n"/>
      <c r="F152" s="37" t="n"/>
      <c r="G152" s="37" t="n"/>
      <c r="H152" s="291" t="n"/>
      <c r="I152" s="37" t="n"/>
      <c r="J152" s="37" t="n"/>
      <c r="K152" s="291" t="n"/>
      <c r="L152" s="37" t="n"/>
      <c r="M152" s="37" t="n"/>
      <c r="N152" s="291" t="n"/>
      <c r="O152" s="37" t="n"/>
      <c r="P152" s="37" t="n"/>
      <c r="Q152" s="291" t="n"/>
      <c r="R152" s="37" t="n"/>
      <c r="S152" s="37" t="n"/>
      <c r="T152" s="291" t="n"/>
      <c r="U152" s="37" t="n"/>
      <c r="V152" s="37" t="n"/>
      <c r="W152" s="291" t="n"/>
      <c r="X152" s="37" t="n"/>
      <c r="Y152" s="37" t="n"/>
      <c r="Z152" s="291" t="n"/>
      <c r="AA152" s="37" t="n"/>
      <c r="AB152" s="37" t="n"/>
      <c r="AC152" s="291" t="n"/>
      <c r="AD152" s="37" t="n"/>
      <c r="AE152" s="37" t="n"/>
      <c r="AF152" s="291" t="n"/>
      <c r="AG152" s="291" t="n"/>
      <c r="AH152" s="291" t="n"/>
      <c r="AI152" s="291" t="n"/>
      <c r="AJ152" s="291" t="n"/>
      <c r="AK152" s="291" t="n"/>
    </row>
    <row r="153">
      <c r="A153" s="326" t="n"/>
      <c r="B153" s="291" t="n"/>
      <c r="C153" s="39" t="n"/>
      <c r="D153" s="39" t="n"/>
      <c r="E153" s="291" t="n"/>
      <c r="F153" s="39" t="n"/>
      <c r="G153" s="39" t="n"/>
      <c r="H153" s="291" t="n"/>
      <c r="I153" s="39" t="n"/>
      <c r="J153" s="39" t="n"/>
      <c r="K153" s="291" t="n"/>
      <c r="L153" s="39" t="n"/>
      <c r="M153" s="39" t="n"/>
      <c r="N153" s="291" t="n"/>
      <c r="O153" s="39" t="n"/>
      <c r="P153" s="39" t="n"/>
      <c r="Q153" s="291" t="n"/>
      <c r="R153" s="39" t="n"/>
      <c r="S153" s="39" t="n"/>
      <c r="T153" s="291" t="n"/>
      <c r="U153" s="39" t="n"/>
      <c r="V153" s="39" t="n"/>
      <c r="W153" s="291" t="n"/>
      <c r="X153" s="39" t="n"/>
      <c r="Y153" s="39" t="n"/>
      <c r="Z153" s="291" t="n"/>
      <c r="AA153" s="39" t="n"/>
      <c r="AB153" s="39" t="n"/>
      <c r="AC153" s="291" t="n"/>
      <c r="AD153" s="39" t="n"/>
      <c r="AE153" s="39" t="n"/>
      <c r="AF153" s="291" t="n"/>
      <c r="AG153" s="291" t="n"/>
      <c r="AH153" s="291" t="n"/>
      <c r="AI153" s="291" t="n"/>
      <c r="AJ153" s="291" t="n"/>
      <c r="AK153" s="291" t="n"/>
    </row>
    <row r="154">
      <c r="A154" s="326" t="n"/>
      <c r="B154" s="291" t="n"/>
      <c r="C154" s="39" t="n"/>
      <c r="D154" s="39" t="n"/>
      <c r="E154" s="291" t="n"/>
      <c r="F154" s="39" t="n"/>
      <c r="G154" s="39" t="n"/>
      <c r="H154" s="291" t="n"/>
      <c r="I154" s="39" t="n"/>
      <c r="J154" s="39" t="n"/>
      <c r="K154" s="291" t="n"/>
      <c r="L154" s="39" t="n"/>
      <c r="M154" s="39" t="n"/>
      <c r="N154" s="291" t="n"/>
      <c r="O154" s="39" t="n"/>
      <c r="P154" s="39" t="n"/>
      <c r="Q154" s="291" t="n"/>
      <c r="R154" s="39" t="n"/>
      <c r="S154" s="39" t="n"/>
      <c r="T154" s="291" t="n"/>
      <c r="U154" s="39" t="n"/>
      <c r="V154" s="39" t="n"/>
      <c r="W154" s="291" t="n"/>
      <c r="X154" s="39" t="n"/>
      <c r="Y154" s="39" t="n"/>
      <c r="Z154" s="291" t="n"/>
      <c r="AA154" s="39" t="n"/>
      <c r="AB154" s="39" t="n"/>
      <c r="AC154" s="291" t="n"/>
      <c r="AD154" s="39" t="n"/>
      <c r="AE154" s="39" t="n"/>
      <c r="AF154" s="291" t="n"/>
      <c r="AG154" s="291" t="n"/>
      <c r="AH154" s="291" t="n"/>
      <c r="AI154" s="291" t="n"/>
      <c r="AJ154" s="291" t="n"/>
      <c r="AK154" s="291" t="n"/>
    </row>
    <row r="155">
      <c r="A155" s="326" t="n"/>
      <c r="B155" s="291" t="n"/>
      <c r="C155" s="39" t="n"/>
      <c r="D155" s="39" t="n"/>
      <c r="E155" s="291" t="n"/>
      <c r="F155" s="39" t="n"/>
      <c r="G155" s="39" t="n"/>
      <c r="H155" s="291" t="n"/>
      <c r="I155" s="39" t="n"/>
      <c r="J155" s="39" t="n"/>
      <c r="K155" s="291" t="n"/>
      <c r="L155" s="39" t="n"/>
      <c r="M155" s="39" t="n"/>
      <c r="N155" s="291" t="n"/>
      <c r="O155" s="39" t="n"/>
      <c r="P155" s="39" t="n"/>
      <c r="Q155" s="291" t="n"/>
      <c r="R155" s="39" t="n"/>
      <c r="S155" s="39" t="n"/>
      <c r="T155" s="291" t="n"/>
      <c r="U155" s="39" t="n"/>
      <c r="V155" s="39" t="n"/>
      <c r="W155" s="291" t="n"/>
      <c r="X155" s="39" t="n"/>
      <c r="Y155" s="39" t="n"/>
      <c r="Z155" s="291" t="n"/>
      <c r="AA155" s="39" t="n"/>
      <c r="AB155" s="39" t="n"/>
      <c r="AC155" s="291" t="n"/>
      <c r="AD155" s="39" t="n"/>
      <c r="AE155" s="39" t="n"/>
      <c r="AF155" s="291" t="n"/>
      <c r="AG155" s="291" t="n"/>
      <c r="AH155" s="291" t="n"/>
      <c r="AI155" s="291" t="n"/>
      <c r="AJ155" s="291" t="n"/>
      <c r="AK155" s="291" t="n"/>
    </row>
    <row r="156">
      <c r="A156" s="326" t="n"/>
      <c r="B156" s="291" t="n"/>
      <c r="C156" s="39" t="n"/>
      <c r="D156" s="39" t="n"/>
      <c r="E156" s="291" t="n"/>
      <c r="F156" s="39" t="n"/>
      <c r="G156" s="39" t="n"/>
      <c r="H156" s="291" t="n"/>
      <c r="I156" s="39" t="n"/>
      <c r="J156" s="39" t="n"/>
      <c r="K156" s="291" t="n"/>
      <c r="L156" s="39" t="n"/>
      <c r="M156" s="39" t="n"/>
      <c r="N156" s="291" t="n"/>
      <c r="O156" s="39" t="n"/>
      <c r="P156" s="39" t="n"/>
      <c r="Q156" s="291" t="n"/>
      <c r="R156" s="39" t="n"/>
      <c r="S156" s="39" t="n"/>
      <c r="T156" s="291" t="n"/>
      <c r="U156" s="39" t="n"/>
      <c r="V156" s="39" t="n"/>
      <c r="W156" s="291" t="n"/>
      <c r="X156" s="39" t="n"/>
      <c r="Y156" s="39" t="n"/>
      <c r="Z156" s="291" t="n"/>
      <c r="AA156" s="39" t="n"/>
      <c r="AB156" s="39" t="n"/>
      <c r="AC156" s="291" t="n"/>
      <c r="AD156" s="39" t="n"/>
      <c r="AE156" s="39" t="n"/>
      <c r="AF156" s="291" t="n"/>
      <c r="AG156" s="291" t="n"/>
      <c r="AH156" s="291" t="n"/>
      <c r="AI156" s="291" t="n"/>
      <c r="AJ156" s="291" t="n"/>
      <c r="AK156" s="291" t="n"/>
    </row>
    <row r="157">
      <c r="A157" s="326" t="n"/>
      <c r="B157" s="291" t="n"/>
      <c r="C157" s="37" t="n"/>
      <c r="D157" s="37" t="n"/>
      <c r="E157" s="291" t="n"/>
      <c r="F157" s="37" t="n"/>
      <c r="G157" s="37" t="n"/>
      <c r="H157" s="291" t="n"/>
      <c r="I157" s="37" t="n"/>
      <c r="J157" s="37" t="n"/>
      <c r="K157" s="291" t="n"/>
      <c r="L157" s="37" t="n"/>
      <c r="M157" s="37" t="n"/>
      <c r="N157" s="291" t="n"/>
      <c r="O157" s="37" t="n"/>
      <c r="P157" s="37" t="n"/>
      <c r="Q157" s="291" t="n"/>
      <c r="R157" s="37" t="n"/>
      <c r="S157" s="37" t="n"/>
      <c r="T157" s="291" t="n"/>
      <c r="U157" s="37" t="n"/>
      <c r="V157" s="37" t="n"/>
      <c r="W157" s="291" t="n"/>
      <c r="X157" s="37" t="n"/>
      <c r="Y157" s="37" t="n"/>
      <c r="Z157" s="291" t="n"/>
      <c r="AA157" s="37" t="n"/>
      <c r="AB157" s="37" t="n"/>
      <c r="AC157" s="291" t="n"/>
      <c r="AD157" s="37" t="n"/>
      <c r="AE157" s="37" t="n"/>
      <c r="AF157" s="291" t="n"/>
      <c r="AG157" s="291" t="n"/>
      <c r="AH157" s="291" t="n"/>
      <c r="AI157" s="291" t="n"/>
      <c r="AJ157" s="291" t="n"/>
      <c r="AK157" s="291" t="n"/>
    </row>
    <row r="158">
      <c r="A158" s="326" t="n"/>
      <c r="B158" s="291" t="n"/>
      <c r="C158" s="39" t="n"/>
      <c r="D158" s="39" t="n"/>
      <c r="E158" s="291" t="n"/>
      <c r="F158" s="39" t="n"/>
      <c r="G158" s="39" t="n"/>
      <c r="H158" s="291" t="n"/>
      <c r="I158" s="39" t="n"/>
      <c r="J158" s="39" t="n"/>
      <c r="K158" s="291" t="n"/>
      <c r="L158" s="39" t="n"/>
      <c r="M158" s="39" t="n"/>
      <c r="N158" s="291" t="n"/>
      <c r="O158" s="39" t="n"/>
      <c r="P158" s="39" t="n"/>
      <c r="Q158" s="291" t="n"/>
      <c r="R158" s="39" t="n"/>
      <c r="S158" s="39" t="n"/>
      <c r="T158" s="291" t="n"/>
      <c r="U158" s="39" t="n"/>
      <c r="V158" s="39" t="n"/>
      <c r="W158" s="291" t="n"/>
      <c r="X158" s="39" t="n"/>
      <c r="Y158" s="39" t="n"/>
      <c r="Z158" s="291" t="n"/>
      <c r="AA158" s="39" t="n"/>
      <c r="AB158" s="39" t="n"/>
      <c r="AC158" s="291" t="n"/>
      <c r="AD158" s="39" t="n"/>
      <c r="AE158" s="39" t="n"/>
      <c r="AF158" s="291" t="n"/>
      <c r="AG158" s="291" t="n"/>
      <c r="AH158" s="291" t="n"/>
      <c r="AI158" s="291" t="n"/>
      <c r="AJ158" s="291" t="n"/>
      <c r="AK158" s="291" t="n"/>
    </row>
    <row r="159">
      <c r="A159" s="326" t="n"/>
      <c r="B159" s="291" t="n"/>
      <c r="C159" s="39" t="n"/>
      <c r="D159" s="39" t="n"/>
      <c r="E159" s="291" t="n"/>
      <c r="F159" s="39" t="n"/>
      <c r="G159" s="39" t="n"/>
      <c r="H159" s="291" t="n"/>
      <c r="I159" s="39" t="n"/>
      <c r="J159" s="39" t="n"/>
      <c r="K159" s="291" t="n"/>
      <c r="L159" s="39" t="n"/>
      <c r="M159" s="39" t="n"/>
      <c r="N159" s="291" t="n"/>
      <c r="O159" s="39" t="n"/>
      <c r="P159" s="39" t="n"/>
      <c r="Q159" s="291" t="n"/>
      <c r="R159" s="39" t="n"/>
      <c r="S159" s="39" t="n"/>
      <c r="T159" s="291" t="n"/>
      <c r="U159" s="39" t="n"/>
      <c r="V159" s="39" t="n"/>
      <c r="W159" s="291" t="n"/>
      <c r="X159" s="39" t="n"/>
      <c r="Y159" s="39" t="n"/>
      <c r="Z159" s="291" t="n"/>
      <c r="AA159" s="39" t="n"/>
      <c r="AB159" s="39" t="n"/>
      <c r="AC159" s="291" t="n"/>
      <c r="AD159" s="39" t="n"/>
      <c r="AE159" s="39" t="n"/>
      <c r="AF159" s="291" t="n"/>
      <c r="AG159" s="291" t="n"/>
      <c r="AH159" s="291" t="n"/>
      <c r="AI159" s="291" t="n"/>
      <c r="AJ159" s="291" t="n"/>
      <c r="AK159" s="291" t="n"/>
    </row>
    <row r="160">
      <c r="A160" s="326" t="n"/>
      <c r="B160" s="291" t="n"/>
      <c r="C160" s="39" t="n"/>
      <c r="D160" s="39" t="n"/>
      <c r="E160" s="291" t="n"/>
      <c r="F160" s="39" t="n"/>
      <c r="G160" s="39" t="n"/>
      <c r="H160" s="291" t="n"/>
      <c r="I160" s="39" t="n"/>
      <c r="J160" s="39" t="n"/>
      <c r="K160" s="291" t="n"/>
      <c r="L160" s="39" t="n"/>
      <c r="M160" s="39" t="n"/>
      <c r="N160" s="291" t="n"/>
      <c r="O160" s="39" t="n"/>
      <c r="P160" s="39" t="n"/>
      <c r="Q160" s="291" t="n"/>
      <c r="R160" s="39" t="n"/>
      <c r="S160" s="39" t="n"/>
      <c r="T160" s="291" t="n"/>
      <c r="U160" s="39" t="n"/>
      <c r="V160" s="39" t="n"/>
      <c r="W160" s="291" t="n"/>
      <c r="X160" s="39" t="n"/>
      <c r="Y160" s="39" t="n"/>
      <c r="Z160" s="291" t="n"/>
      <c r="AA160" s="39" t="n"/>
      <c r="AB160" s="39" t="n"/>
      <c r="AC160" s="291" t="n"/>
      <c r="AD160" s="39" t="n"/>
      <c r="AE160" s="39" t="n"/>
      <c r="AF160" s="291" t="n"/>
      <c r="AG160" s="291" t="n"/>
      <c r="AH160" s="291" t="n"/>
      <c r="AI160" s="291" t="n"/>
      <c r="AJ160" s="291" t="n"/>
      <c r="AK160" s="291" t="n"/>
    </row>
    <row r="161">
      <c r="A161" s="326" t="n"/>
      <c r="B161" s="291" t="n"/>
      <c r="C161" s="39" t="n"/>
      <c r="D161" s="39" t="n"/>
      <c r="E161" s="291" t="n"/>
      <c r="F161" s="39" t="n"/>
      <c r="G161" s="39" t="n"/>
      <c r="H161" s="291" t="n"/>
      <c r="I161" s="39" t="n"/>
      <c r="J161" s="39" t="n"/>
      <c r="K161" s="291" t="n"/>
      <c r="L161" s="39" t="n"/>
      <c r="M161" s="39" t="n"/>
      <c r="N161" s="291" t="n"/>
      <c r="O161" s="39" t="n"/>
      <c r="P161" s="39" t="n"/>
      <c r="Q161" s="291" t="n"/>
      <c r="R161" s="39" t="n"/>
      <c r="S161" s="39" t="n"/>
      <c r="T161" s="291" t="n"/>
      <c r="U161" s="39" t="n"/>
      <c r="V161" s="39" t="n"/>
      <c r="W161" s="291" t="n"/>
      <c r="X161" s="39" t="n"/>
      <c r="Y161" s="39" t="n"/>
      <c r="Z161" s="291" t="n"/>
      <c r="AA161" s="39" t="n"/>
      <c r="AB161" s="39" t="n"/>
      <c r="AC161" s="291" t="n"/>
      <c r="AD161" s="39" t="n"/>
      <c r="AE161" s="39" t="n"/>
      <c r="AF161" s="291" t="n"/>
      <c r="AG161" s="291" t="n"/>
      <c r="AH161" s="291" t="n"/>
      <c r="AI161" s="291" t="n"/>
      <c r="AJ161" s="291" t="n"/>
      <c r="AK161" s="291" t="n"/>
    </row>
    <row r="162">
      <c r="A162" s="326" t="n"/>
      <c r="B162" s="291" t="n"/>
      <c r="C162" s="37" t="n"/>
      <c r="D162" s="37" t="n"/>
      <c r="E162" s="291" t="n"/>
      <c r="F162" s="37" t="n"/>
      <c r="G162" s="37" t="n"/>
      <c r="H162" s="291" t="n"/>
      <c r="I162" s="37" t="n"/>
      <c r="J162" s="37" t="n"/>
      <c r="K162" s="291" t="n"/>
      <c r="L162" s="37" t="n"/>
      <c r="M162" s="37" t="n"/>
      <c r="N162" s="291" t="n"/>
      <c r="O162" s="37" t="n"/>
      <c r="P162" s="37" t="n"/>
      <c r="Q162" s="291" t="n"/>
      <c r="R162" s="37" t="n"/>
      <c r="S162" s="37" t="n"/>
      <c r="T162" s="291" t="n"/>
      <c r="U162" s="37" t="n"/>
      <c r="V162" s="37" t="n"/>
      <c r="W162" s="291" t="n"/>
      <c r="X162" s="37" t="n"/>
      <c r="Y162" s="37" t="n"/>
      <c r="Z162" s="291" t="n"/>
      <c r="AA162" s="37" t="n"/>
      <c r="AB162" s="37" t="n"/>
      <c r="AC162" s="291" t="n"/>
      <c r="AD162" s="37" t="n"/>
      <c r="AE162" s="37" t="n"/>
      <c r="AF162" s="291" t="n"/>
      <c r="AG162" s="291" t="n"/>
      <c r="AH162" s="291" t="n"/>
      <c r="AI162" s="291" t="n"/>
      <c r="AJ162" s="291" t="n"/>
      <c r="AK162" s="291" t="n"/>
    </row>
    <row r="163">
      <c r="A163" s="326" t="n"/>
      <c r="B163" s="291" t="n"/>
      <c r="C163" s="39" t="n"/>
      <c r="D163" s="39" t="n"/>
      <c r="E163" s="291" t="n"/>
      <c r="F163" s="39" t="n"/>
      <c r="G163" s="39" t="n"/>
      <c r="H163" s="291" t="n"/>
      <c r="I163" s="39" t="n"/>
      <c r="J163" s="39" t="n"/>
      <c r="K163" s="291" t="n"/>
      <c r="L163" s="39" t="n"/>
      <c r="M163" s="39" t="n"/>
      <c r="N163" s="291" t="n"/>
      <c r="O163" s="39" t="n"/>
      <c r="P163" s="39" t="n"/>
      <c r="Q163" s="291" t="n"/>
      <c r="R163" s="39" t="n"/>
      <c r="S163" s="39" t="n"/>
      <c r="T163" s="291" t="n"/>
      <c r="U163" s="39" t="n"/>
      <c r="V163" s="39" t="n"/>
      <c r="W163" s="291" t="n"/>
      <c r="X163" s="39" t="n"/>
      <c r="Y163" s="39" t="n"/>
      <c r="Z163" s="291" t="n"/>
      <c r="AA163" s="39" t="n"/>
      <c r="AB163" s="39" t="n"/>
      <c r="AC163" s="291" t="n"/>
      <c r="AD163" s="39" t="n"/>
      <c r="AE163" s="39" t="n"/>
      <c r="AF163" s="291" t="n"/>
      <c r="AG163" s="291" t="n"/>
      <c r="AH163" s="291" t="n"/>
      <c r="AI163" s="291" t="n"/>
      <c r="AJ163" s="291" t="n"/>
      <c r="AK163" s="291" t="n"/>
    </row>
    <row r="164">
      <c r="A164" s="326" t="n"/>
      <c r="B164" s="291" t="n"/>
      <c r="C164" s="39" t="n"/>
      <c r="D164" s="39" t="n"/>
      <c r="E164" s="291" t="n"/>
      <c r="F164" s="39" t="n"/>
      <c r="G164" s="39" t="n"/>
      <c r="H164" s="291" t="n"/>
      <c r="I164" s="39" t="n"/>
      <c r="J164" s="39" t="n"/>
      <c r="K164" s="291" t="n"/>
      <c r="L164" s="39" t="n"/>
      <c r="M164" s="39" t="n"/>
      <c r="N164" s="291" t="n"/>
      <c r="O164" s="39" t="n"/>
      <c r="P164" s="39" t="n"/>
      <c r="Q164" s="291" t="n"/>
      <c r="R164" s="39" t="n"/>
      <c r="S164" s="39" t="n"/>
      <c r="T164" s="291" t="n"/>
      <c r="U164" s="39" t="n"/>
      <c r="V164" s="39" t="n"/>
      <c r="W164" s="291" t="n"/>
      <c r="X164" s="39" t="n"/>
      <c r="Y164" s="39" t="n"/>
      <c r="Z164" s="291" t="n"/>
      <c r="AA164" s="39" t="n"/>
      <c r="AB164" s="39" t="n"/>
      <c r="AC164" s="291" t="n"/>
      <c r="AD164" s="39" t="n"/>
      <c r="AE164" s="39" t="n"/>
      <c r="AF164" s="291" t="n"/>
      <c r="AG164" s="291" t="n"/>
      <c r="AH164" s="291" t="n"/>
      <c r="AI164" s="291" t="n"/>
      <c r="AJ164" s="291" t="n"/>
      <c r="AK164" s="291" t="n"/>
    </row>
    <row r="165">
      <c r="A165" s="326" t="n"/>
      <c r="B165" s="291" t="n"/>
      <c r="C165" s="39" t="n"/>
      <c r="D165" s="39" t="n"/>
      <c r="E165" s="291" t="n"/>
      <c r="F165" s="39" t="n"/>
      <c r="G165" s="39" t="n"/>
      <c r="H165" s="291" t="n"/>
      <c r="I165" s="39" t="n"/>
      <c r="J165" s="39" t="n"/>
      <c r="K165" s="291" t="n"/>
      <c r="L165" s="39" t="n"/>
      <c r="M165" s="39" t="n"/>
      <c r="N165" s="291" t="n"/>
      <c r="O165" s="39" t="n"/>
      <c r="P165" s="39" t="n"/>
      <c r="Q165" s="291" t="n"/>
      <c r="R165" s="39" t="n"/>
      <c r="S165" s="39" t="n"/>
      <c r="T165" s="291" t="n"/>
      <c r="U165" s="39" t="n"/>
      <c r="V165" s="39" t="n"/>
      <c r="W165" s="291" t="n"/>
      <c r="X165" s="39" t="n"/>
      <c r="Y165" s="39" t="n"/>
      <c r="Z165" s="291" t="n"/>
      <c r="AA165" s="39" t="n"/>
      <c r="AB165" s="39" t="n"/>
      <c r="AC165" s="291" t="n"/>
      <c r="AD165" s="39" t="n"/>
      <c r="AE165" s="39" t="n"/>
      <c r="AF165" s="291" t="n"/>
      <c r="AG165" s="291" t="n"/>
      <c r="AH165" s="291" t="n"/>
      <c r="AI165" s="291" t="n"/>
      <c r="AJ165" s="291" t="n"/>
      <c r="AK165" s="291" t="n"/>
    </row>
    <row r="166">
      <c r="A166" s="326" t="n"/>
      <c r="B166" s="291" t="n"/>
      <c r="C166" s="39" t="n"/>
      <c r="D166" s="39" t="n"/>
      <c r="E166" s="291" t="n"/>
      <c r="F166" s="39" t="n"/>
      <c r="G166" s="39" t="n"/>
      <c r="H166" s="291" t="n"/>
      <c r="I166" s="39" t="n"/>
      <c r="J166" s="39" t="n"/>
      <c r="K166" s="291" t="n"/>
      <c r="L166" s="39" t="n"/>
      <c r="M166" s="39" t="n"/>
      <c r="N166" s="291" t="n"/>
      <c r="O166" s="39" t="n"/>
      <c r="P166" s="39" t="n"/>
      <c r="Q166" s="291" t="n"/>
      <c r="R166" s="39" t="n"/>
      <c r="S166" s="39" t="n"/>
      <c r="T166" s="291" t="n"/>
      <c r="U166" s="39" t="n"/>
      <c r="V166" s="39" t="n"/>
      <c r="W166" s="291" t="n"/>
      <c r="X166" s="39" t="n"/>
      <c r="Y166" s="39" t="n"/>
      <c r="Z166" s="291" t="n"/>
      <c r="AA166" s="39" t="n"/>
      <c r="AB166" s="39" t="n"/>
      <c r="AC166" s="291" t="n"/>
      <c r="AD166" s="39" t="n"/>
      <c r="AE166" s="39" t="n"/>
      <c r="AF166" s="291" t="n"/>
      <c r="AG166" s="291" t="n"/>
      <c r="AH166" s="291" t="n"/>
      <c r="AI166" s="291" t="n"/>
      <c r="AJ166" s="291" t="n"/>
      <c r="AK166" s="291" t="n"/>
    </row>
    <row r="167">
      <c r="A167" s="326" t="n"/>
      <c r="B167" s="291" t="n"/>
      <c r="C167" s="37" t="n"/>
      <c r="D167" s="37" t="n"/>
      <c r="E167" s="291" t="n"/>
      <c r="F167" s="37" t="n"/>
      <c r="G167" s="37" t="n"/>
      <c r="H167" s="291" t="n"/>
      <c r="I167" s="37" t="n"/>
      <c r="J167" s="37" t="n"/>
      <c r="K167" s="291" t="n"/>
      <c r="L167" s="37" t="n"/>
      <c r="M167" s="37" t="n"/>
      <c r="N167" s="291" t="n"/>
      <c r="O167" s="37" t="n"/>
      <c r="P167" s="37" t="n"/>
      <c r="Q167" s="291" t="n"/>
      <c r="R167" s="37" t="n"/>
      <c r="S167" s="37" t="n"/>
      <c r="T167" s="291" t="n"/>
      <c r="U167" s="37" t="n"/>
      <c r="V167" s="37" t="n"/>
      <c r="W167" s="291" t="n"/>
      <c r="X167" s="37" t="n"/>
      <c r="Y167" s="37" t="n"/>
      <c r="Z167" s="291" t="n"/>
      <c r="AA167" s="37" t="n"/>
      <c r="AB167" s="37" t="n"/>
      <c r="AC167" s="291" t="n"/>
      <c r="AD167" s="37" t="n"/>
      <c r="AE167" s="37" t="n"/>
      <c r="AF167" s="291" t="n"/>
      <c r="AG167" s="291" t="n"/>
      <c r="AH167" s="291" t="n"/>
      <c r="AI167" s="291" t="n"/>
      <c r="AJ167" s="291" t="n"/>
      <c r="AK167" s="291" t="n"/>
    </row>
    <row r="168">
      <c r="A168" s="326" t="n"/>
      <c r="B168" s="291" t="n"/>
      <c r="C168" s="39" t="n"/>
      <c r="D168" s="39" t="n"/>
      <c r="E168" s="291" t="n"/>
      <c r="F168" s="39" t="n"/>
      <c r="G168" s="39" t="n"/>
      <c r="H168" s="291" t="n"/>
      <c r="I168" s="39" t="n"/>
      <c r="J168" s="39" t="n"/>
      <c r="K168" s="291" t="n"/>
      <c r="L168" s="39" t="n"/>
      <c r="M168" s="39" t="n"/>
      <c r="N168" s="291" t="n"/>
      <c r="O168" s="39" t="n"/>
      <c r="P168" s="39" t="n"/>
      <c r="Q168" s="291" t="n"/>
      <c r="R168" s="39" t="n"/>
      <c r="S168" s="39" t="n"/>
      <c r="T168" s="291" t="n"/>
      <c r="U168" s="39" t="n"/>
      <c r="V168" s="39" t="n"/>
      <c r="W168" s="291" t="n"/>
      <c r="X168" s="39" t="n"/>
      <c r="Y168" s="39" t="n"/>
      <c r="Z168" s="291" t="n"/>
      <c r="AA168" s="39" t="n"/>
      <c r="AB168" s="39" t="n"/>
      <c r="AC168" s="291" t="n"/>
      <c r="AD168" s="39" t="n"/>
      <c r="AE168" s="39" t="n"/>
      <c r="AF168" s="291" t="n"/>
      <c r="AG168" s="291" t="n"/>
      <c r="AH168" s="291" t="n"/>
      <c r="AI168" s="291" t="n"/>
      <c r="AJ168" s="291" t="n"/>
      <c r="AK168" s="291" t="n"/>
    </row>
    <row r="169">
      <c r="A169" s="326" t="n"/>
      <c r="B169" s="291" t="n"/>
      <c r="C169" s="39" t="n"/>
      <c r="D169" s="39" t="n"/>
      <c r="E169" s="291" t="n"/>
      <c r="F169" s="39" t="n"/>
      <c r="G169" s="39" t="n"/>
      <c r="H169" s="291" t="n"/>
      <c r="I169" s="39" t="n"/>
      <c r="J169" s="39" t="n"/>
      <c r="K169" s="291" t="n"/>
      <c r="L169" s="39" t="n"/>
      <c r="M169" s="39" t="n"/>
      <c r="N169" s="291" t="n"/>
      <c r="O169" s="39" t="n"/>
      <c r="P169" s="39" t="n"/>
      <c r="Q169" s="291" t="n"/>
      <c r="R169" s="39" t="n"/>
      <c r="S169" s="39" t="n"/>
      <c r="T169" s="291" t="n"/>
      <c r="U169" s="39" t="n"/>
      <c r="V169" s="39" t="n"/>
      <c r="W169" s="291" t="n"/>
      <c r="X169" s="39" t="n"/>
      <c r="Y169" s="39" t="n"/>
      <c r="Z169" s="291" t="n"/>
      <c r="AA169" s="39" t="n"/>
      <c r="AB169" s="39" t="n"/>
      <c r="AC169" s="291" t="n"/>
      <c r="AD169" s="39" t="n"/>
      <c r="AE169" s="39" t="n"/>
      <c r="AF169" s="291" t="n"/>
      <c r="AG169" s="291" t="n"/>
      <c r="AH169" s="291" t="n"/>
      <c r="AI169" s="291" t="n"/>
      <c r="AJ169" s="291" t="n"/>
      <c r="AK169" s="291" t="n"/>
    </row>
    <row r="170">
      <c r="A170" s="326" t="n"/>
      <c r="B170" s="291" t="n"/>
      <c r="C170" s="39" t="n"/>
      <c r="D170" s="39" t="n"/>
      <c r="E170" s="291" t="n"/>
      <c r="F170" s="39" t="n"/>
      <c r="G170" s="39" t="n"/>
      <c r="H170" s="291" t="n"/>
      <c r="I170" s="39" t="n"/>
      <c r="J170" s="39" t="n"/>
      <c r="K170" s="291" t="n"/>
      <c r="L170" s="39" t="n"/>
      <c r="M170" s="39" t="n"/>
      <c r="N170" s="291" t="n"/>
      <c r="O170" s="39" t="n"/>
      <c r="P170" s="39" t="n"/>
      <c r="Q170" s="291" t="n"/>
      <c r="R170" s="39" t="n"/>
      <c r="S170" s="39" t="n"/>
      <c r="T170" s="291" t="n"/>
      <c r="U170" s="39" t="n"/>
      <c r="V170" s="39" t="n"/>
      <c r="W170" s="291" t="n"/>
      <c r="X170" s="39" t="n"/>
      <c r="Y170" s="39" t="n"/>
      <c r="Z170" s="291" t="n"/>
      <c r="AA170" s="39" t="n"/>
      <c r="AB170" s="39" t="n"/>
      <c r="AC170" s="291" t="n"/>
      <c r="AD170" s="39" t="n"/>
      <c r="AE170" s="39" t="n"/>
      <c r="AF170" s="291" t="n"/>
      <c r="AG170" s="291" t="n"/>
      <c r="AH170" s="291" t="n"/>
      <c r="AI170" s="291" t="n"/>
      <c r="AJ170" s="291" t="n"/>
      <c r="AK170" s="291" t="n"/>
    </row>
    <row r="171">
      <c r="A171" s="326" t="n"/>
      <c r="B171" s="291" t="n"/>
      <c r="C171" s="39" t="n"/>
      <c r="D171" s="39" t="n"/>
      <c r="E171" s="291" t="n"/>
      <c r="F171" s="39" t="n"/>
      <c r="G171" s="39" t="n"/>
      <c r="H171" s="291" t="n"/>
      <c r="I171" s="39" t="n"/>
      <c r="J171" s="39" t="n"/>
      <c r="K171" s="291" t="n"/>
      <c r="L171" s="39" t="n"/>
      <c r="M171" s="39" t="n"/>
      <c r="N171" s="291" t="n"/>
      <c r="O171" s="39" t="n"/>
      <c r="P171" s="39" t="n"/>
      <c r="Q171" s="291" t="n"/>
      <c r="R171" s="39" t="n"/>
      <c r="S171" s="39" t="n"/>
      <c r="T171" s="291" t="n"/>
      <c r="U171" s="39" t="n"/>
      <c r="V171" s="39" t="n"/>
      <c r="W171" s="291" t="n"/>
      <c r="X171" s="39" t="n"/>
      <c r="Y171" s="39" t="n"/>
      <c r="Z171" s="291" t="n"/>
      <c r="AA171" s="39" t="n"/>
      <c r="AB171" s="39" t="n"/>
      <c r="AC171" s="291" t="n"/>
      <c r="AD171" s="39" t="n"/>
      <c r="AE171" s="39" t="n"/>
      <c r="AF171" s="291" t="n"/>
      <c r="AG171" s="291" t="n"/>
      <c r="AH171" s="291" t="n"/>
      <c r="AI171" s="291" t="n"/>
      <c r="AJ171" s="291" t="n"/>
      <c r="AK171" s="291" t="n"/>
    </row>
    <row r="172">
      <c r="A172" s="40" t="n"/>
      <c r="B172" s="40" t="n"/>
      <c r="C172" s="41" t="n"/>
      <c r="D172" s="41" t="n"/>
      <c r="E172" s="40" t="n"/>
      <c r="F172" s="41" t="n"/>
      <c r="G172" s="41" t="n"/>
      <c r="H172" s="40" t="n"/>
      <c r="I172" s="41" t="n"/>
      <c r="J172" s="41" t="n"/>
      <c r="K172" s="40" t="n"/>
      <c r="L172" s="41" t="n"/>
      <c r="M172" s="41" t="n"/>
      <c r="N172" s="40" t="n"/>
      <c r="O172" s="41" t="n"/>
      <c r="P172" s="41" t="n"/>
      <c r="Q172" s="40" t="n"/>
      <c r="R172" s="41" t="n"/>
      <c r="S172" s="41" t="n"/>
      <c r="T172" s="40" t="n"/>
      <c r="U172" s="41" t="n"/>
      <c r="V172" s="41" t="n"/>
      <c r="W172" s="40" t="n"/>
      <c r="X172" s="41" t="n"/>
      <c r="Y172" s="41" t="n"/>
      <c r="Z172" s="40" t="n"/>
      <c r="AA172" s="41" t="n"/>
      <c r="AB172" s="41" t="n"/>
      <c r="AC172" s="40" t="n"/>
      <c r="AD172" s="41" t="n"/>
      <c r="AE172" s="41" t="n"/>
      <c r="AF172" s="40" t="n"/>
      <c r="AG172" s="40" t="n"/>
      <c r="AH172" s="40" t="n"/>
      <c r="AI172" s="40" t="n"/>
      <c r="AJ172" s="40" t="n"/>
      <c r="AK172" s="40" t="n"/>
    </row>
    <row r="173">
      <c r="A173" s="326" t="n"/>
      <c r="B173" s="291" t="n"/>
      <c r="C173" s="39" t="n"/>
      <c r="D173" s="39" t="n"/>
      <c r="E173" s="291" t="n"/>
      <c r="F173" s="39" t="n"/>
      <c r="G173" s="39" t="n"/>
      <c r="H173" s="291" t="n"/>
      <c r="I173" s="39" t="n"/>
      <c r="J173" s="39" t="n"/>
      <c r="K173" s="291" t="n"/>
      <c r="L173" s="39" t="n"/>
      <c r="M173" s="39" t="n"/>
      <c r="N173" s="291" t="n"/>
      <c r="O173" s="39" t="n"/>
      <c r="P173" s="39" t="n"/>
      <c r="Q173" s="291" t="n"/>
      <c r="R173" s="39" t="n"/>
      <c r="S173" s="39" t="n"/>
      <c r="T173" s="291" t="n"/>
      <c r="U173" s="39" t="n"/>
      <c r="V173" s="39" t="n"/>
      <c r="W173" s="291" t="n"/>
      <c r="X173" s="39" t="n"/>
      <c r="Y173" s="39" t="n"/>
      <c r="Z173" s="291" t="n"/>
      <c r="AA173" s="39" t="n"/>
      <c r="AB173" s="39" t="n"/>
      <c r="AC173" s="291" t="n"/>
      <c r="AD173" s="39" t="n"/>
      <c r="AE173" s="39" t="n"/>
      <c r="AF173" s="291" t="n"/>
      <c r="AG173" s="291" t="n"/>
      <c r="AH173" s="291" t="n"/>
      <c r="AI173" s="291" t="n"/>
      <c r="AJ173" s="291" t="n"/>
      <c r="AK173" s="291" t="n"/>
    </row>
    <row r="174">
      <c r="A174" s="326" t="n"/>
      <c r="B174" s="291" t="n"/>
      <c r="C174" s="39" t="n"/>
      <c r="D174" s="39" t="n"/>
      <c r="E174" s="291" t="n"/>
      <c r="F174" s="39" t="n"/>
      <c r="G174" s="39" t="n"/>
      <c r="H174" s="291" t="n"/>
      <c r="I174" s="39" t="n"/>
      <c r="J174" s="39" t="n"/>
      <c r="K174" s="291" t="n"/>
      <c r="L174" s="39" t="n"/>
      <c r="M174" s="39" t="n"/>
      <c r="N174" s="291" t="n"/>
      <c r="O174" s="39" t="n"/>
      <c r="P174" s="39" t="n"/>
      <c r="Q174" s="291" t="n"/>
      <c r="R174" s="39" t="n"/>
      <c r="S174" s="39" t="n"/>
      <c r="T174" s="291" t="n"/>
      <c r="U174" s="39" t="n"/>
      <c r="V174" s="39" t="n"/>
      <c r="W174" s="291" t="n"/>
      <c r="X174" s="39" t="n"/>
      <c r="Y174" s="39" t="n"/>
      <c r="Z174" s="291" t="n"/>
      <c r="AA174" s="39" t="n"/>
      <c r="AB174" s="39" t="n"/>
      <c r="AC174" s="291" t="n"/>
      <c r="AD174" s="39" t="n"/>
      <c r="AE174" s="39" t="n"/>
      <c r="AF174" s="291" t="n"/>
      <c r="AG174" s="291" t="n"/>
      <c r="AH174" s="291" t="n"/>
      <c r="AI174" s="291" t="n"/>
      <c r="AJ174" s="291" t="n"/>
      <c r="AK174" s="291" t="n"/>
    </row>
    <row r="175">
      <c r="A175" s="326" t="n"/>
      <c r="B175" s="291" t="n"/>
      <c r="C175" s="39" t="n"/>
      <c r="D175" s="39" t="n"/>
      <c r="E175" s="291" t="n"/>
      <c r="F175" s="39" t="n"/>
      <c r="G175" s="39" t="n"/>
      <c r="H175" s="291" t="n"/>
      <c r="I175" s="39" t="n"/>
      <c r="J175" s="39" t="n"/>
      <c r="K175" s="291" t="n"/>
      <c r="L175" s="39" t="n"/>
      <c r="M175" s="39" t="n"/>
      <c r="N175" s="291" t="n"/>
      <c r="O175" s="39" t="n"/>
      <c r="P175" s="39" t="n"/>
      <c r="Q175" s="291" t="n"/>
      <c r="R175" s="39" t="n"/>
      <c r="S175" s="39" t="n"/>
      <c r="T175" s="291" t="n"/>
      <c r="U175" s="39" t="n"/>
      <c r="V175" s="39" t="n"/>
      <c r="W175" s="291" t="n"/>
      <c r="X175" s="39" t="n"/>
      <c r="Y175" s="39" t="n"/>
      <c r="Z175" s="291" t="n"/>
      <c r="AA175" s="39" t="n"/>
      <c r="AB175" s="39" t="n"/>
      <c r="AC175" s="291" t="n"/>
      <c r="AD175" s="39" t="n"/>
      <c r="AE175" s="39" t="n"/>
      <c r="AF175" s="291" t="n"/>
      <c r="AG175" s="291" t="n"/>
      <c r="AH175" s="291" t="n"/>
      <c r="AI175" s="291" t="n"/>
      <c r="AJ175" s="291" t="n"/>
      <c r="AK175" s="291" t="n"/>
    </row>
    <row r="176">
      <c r="A176" s="326" t="n"/>
      <c r="B176" s="291" t="n"/>
      <c r="C176" s="39" t="n"/>
      <c r="D176" s="39" t="n"/>
      <c r="E176" s="291" t="n"/>
      <c r="F176" s="39" t="n"/>
      <c r="G176" s="39" t="n"/>
      <c r="H176" s="291" t="n"/>
      <c r="I176" s="39" t="n"/>
      <c r="J176" s="39" t="n"/>
      <c r="K176" s="291" t="n"/>
      <c r="L176" s="39" t="n"/>
      <c r="M176" s="39" t="n"/>
      <c r="N176" s="291" t="n"/>
      <c r="O176" s="39" t="n"/>
      <c r="P176" s="39" t="n"/>
      <c r="Q176" s="291" t="n"/>
      <c r="R176" s="39" t="n"/>
      <c r="S176" s="39" t="n"/>
      <c r="T176" s="291" t="n"/>
      <c r="U176" s="39" t="n"/>
      <c r="V176" s="39" t="n"/>
      <c r="W176" s="291" t="n"/>
      <c r="X176" s="39" t="n"/>
      <c r="Y176" s="39" t="n"/>
      <c r="Z176" s="291" t="n"/>
      <c r="AA176" s="39" t="n"/>
      <c r="AB176" s="39" t="n"/>
      <c r="AC176" s="291" t="n"/>
      <c r="AD176" s="39" t="n"/>
      <c r="AE176" s="39" t="n"/>
      <c r="AF176" s="291" t="n"/>
      <c r="AG176" s="291" t="n"/>
      <c r="AH176" s="291" t="n"/>
      <c r="AI176" s="291" t="n"/>
      <c r="AJ176" s="291" t="n"/>
      <c r="AK176" s="291" t="n"/>
    </row>
    <row r="177">
      <c r="A177" s="40" t="n"/>
      <c r="B177" s="40" t="n"/>
      <c r="C177" s="41" t="n"/>
      <c r="D177" s="41" t="n"/>
      <c r="E177" s="40" t="n"/>
      <c r="F177" s="41" t="n"/>
      <c r="G177" s="41" t="n"/>
      <c r="H177" s="40" t="n"/>
      <c r="I177" s="41" t="n"/>
      <c r="J177" s="41" t="n"/>
      <c r="K177" s="40" t="n"/>
      <c r="L177" s="41" t="n"/>
      <c r="M177" s="41" t="n"/>
      <c r="N177" s="40" t="n"/>
      <c r="O177" s="41" t="n"/>
      <c r="P177" s="41" t="n"/>
      <c r="Q177" s="40" t="n"/>
      <c r="R177" s="41" t="n"/>
      <c r="S177" s="41" t="n"/>
      <c r="T177" s="40" t="n"/>
      <c r="U177" s="41" t="n"/>
      <c r="V177" s="41" t="n"/>
      <c r="W177" s="40" t="n"/>
      <c r="X177" s="41" t="n"/>
      <c r="Y177" s="41" t="n"/>
      <c r="Z177" s="40" t="n"/>
      <c r="AA177" s="41" t="n"/>
      <c r="AB177" s="41" t="n"/>
      <c r="AC177" s="40" t="n"/>
      <c r="AD177" s="41" t="n"/>
      <c r="AE177" s="41" t="n"/>
      <c r="AF177" s="40" t="n"/>
      <c r="AG177" s="40" t="n"/>
      <c r="AH177" s="40" t="n"/>
      <c r="AI177" s="40" t="n"/>
      <c r="AJ177" s="291" t="n"/>
      <c r="AK177" s="291" t="n"/>
    </row>
    <row r="178">
      <c r="A178" s="326" t="n"/>
      <c r="B178" s="291" t="n"/>
      <c r="C178" s="39" t="n"/>
      <c r="D178" s="39" t="n"/>
      <c r="E178" s="291" t="n"/>
      <c r="F178" s="39" t="n"/>
      <c r="G178" s="39" t="n"/>
      <c r="H178" s="291" t="n"/>
      <c r="I178" s="39" t="n"/>
      <c r="J178" s="39" t="n"/>
      <c r="K178" s="291" t="n"/>
      <c r="L178" s="39" t="n"/>
      <c r="M178" s="39" t="n"/>
      <c r="N178" s="291" t="n"/>
      <c r="O178" s="39" t="n"/>
      <c r="P178" s="39" t="n"/>
      <c r="Q178" s="291" t="n"/>
      <c r="R178" s="39" t="n"/>
      <c r="S178" s="39" t="n"/>
      <c r="T178" s="291" t="n"/>
      <c r="U178" s="39" t="n"/>
      <c r="V178" s="39" t="n"/>
      <c r="W178" s="291" t="n"/>
      <c r="X178" s="39" t="n"/>
      <c r="Y178" s="39" t="n"/>
      <c r="Z178" s="291" t="n"/>
      <c r="AA178" s="39" t="n"/>
      <c r="AB178" s="39" t="n"/>
      <c r="AC178" s="291" t="n"/>
      <c r="AD178" s="39" t="n"/>
      <c r="AE178" s="39" t="n"/>
      <c r="AF178" s="291" t="n"/>
      <c r="AG178" s="338" t="n"/>
      <c r="AH178" s="179" t="n"/>
      <c r="AI178" s="291" t="n"/>
      <c r="AJ178" s="291" t="n"/>
      <c r="AK178" s="179" t="n"/>
    </row>
    <row r="179">
      <c r="A179" s="326" t="n"/>
      <c r="B179" s="291" t="n"/>
      <c r="C179" s="39" t="n"/>
      <c r="D179" s="39" t="n"/>
      <c r="E179" s="291" t="n"/>
      <c r="F179" s="39" t="n"/>
      <c r="G179" s="39" t="n"/>
      <c r="H179" s="291" t="n"/>
      <c r="I179" s="39" t="n"/>
      <c r="J179" s="39" t="n"/>
      <c r="K179" s="291" t="n"/>
      <c r="L179" s="39" t="n"/>
      <c r="M179" s="39" t="n"/>
      <c r="N179" s="291" t="n"/>
      <c r="O179" s="39" t="n"/>
      <c r="P179" s="39" t="n"/>
      <c r="Q179" s="291" t="n"/>
      <c r="R179" s="39" t="n"/>
      <c r="S179" s="39" t="n"/>
      <c r="T179" s="291" t="n"/>
      <c r="U179" s="39" t="n"/>
      <c r="V179" s="39" t="n"/>
      <c r="W179" s="291" t="n"/>
      <c r="X179" s="39" t="n"/>
      <c r="Y179" s="39" t="n"/>
      <c r="Z179" s="291" t="n"/>
      <c r="AA179" s="39" t="n"/>
      <c r="AB179" s="39" t="n"/>
      <c r="AC179" s="291" t="n"/>
      <c r="AD179" s="39" t="n"/>
      <c r="AE179" s="39" t="n"/>
      <c r="AF179" s="291" t="n"/>
      <c r="AG179" s="338" t="n"/>
      <c r="AH179" s="179" t="n"/>
      <c r="AI179" s="291" t="n"/>
      <c r="AJ179" s="291" t="n"/>
      <c r="AK179" s="179" t="n"/>
    </row>
    <row r="180">
      <c r="A180" s="326" t="n"/>
      <c r="B180" s="291" t="n"/>
      <c r="C180" s="39" t="n"/>
      <c r="D180" s="39" t="n"/>
      <c r="E180" s="291" t="n"/>
      <c r="F180" s="39" t="n"/>
      <c r="G180" s="39" t="n"/>
      <c r="H180" s="291" t="n"/>
      <c r="I180" s="39" t="n"/>
      <c r="J180" s="39" t="n"/>
      <c r="K180" s="291" t="n"/>
      <c r="L180" s="39" t="n"/>
      <c r="M180" s="39" t="n"/>
      <c r="N180" s="291" t="n"/>
      <c r="O180" s="39" t="n"/>
      <c r="P180" s="39" t="n"/>
      <c r="Q180" s="291" t="n"/>
      <c r="R180" s="39" t="n"/>
      <c r="S180" s="39" t="n"/>
      <c r="T180" s="291" t="n"/>
      <c r="U180" s="39" t="n"/>
      <c r="V180" s="39" t="n"/>
      <c r="W180" s="291" t="n"/>
      <c r="X180" s="39" t="n"/>
      <c r="Y180" s="39" t="n"/>
      <c r="Z180" s="291" t="n"/>
      <c r="AA180" s="39" t="n"/>
      <c r="AB180" s="39" t="n"/>
      <c r="AC180" s="291" t="n"/>
      <c r="AD180" s="39" t="n"/>
      <c r="AE180" s="39" t="n"/>
      <c r="AF180" s="291" t="n"/>
      <c r="AG180" s="338" t="n"/>
      <c r="AH180" s="179" t="n"/>
      <c r="AI180" s="291" t="n"/>
      <c r="AJ180" s="291" t="n"/>
      <c r="AK180" s="179" t="n"/>
    </row>
    <row r="181">
      <c r="A181" s="342" t="n"/>
      <c r="B181" s="317" t="n"/>
      <c r="C181" s="39" t="n"/>
      <c r="D181" s="39" t="n"/>
      <c r="E181" s="317" t="n"/>
      <c r="F181" s="39" t="n"/>
      <c r="G181" s="39" t="n"/>
      <c r="H181" s="317" t="n"/>
      <c r="I181" s="39" t="n"/>
      <c r="J181" s="39" t="n"/>
      <c r="K181" s="317" t="n"/>
      <c r="L181" s="39" t="n"/>
      <c r="M181" s="39" t="n"/>
      <c r="N181" s="317" t="n"/>
      <c r="O181" s="39" t="n"/>
      <c r="P181" s="39" t="n"/>
      <c r="Q181" s="317" t="n"/>
      <c r="R181" s="39" t="n"/>
      <c r="S181" s="39" t="n"/>
      <c r="T181" s="317" t="n"/>
      <c r="U181" s="39" t="n"/>
      <c r="V181" s="39" t="n"/>
      <c r="W181" s="317" t="n"/>
      <c r="X181" s="39" t="n"/>
      <c r="Y181" s="39" t="n"/>
      <c r="Z181" s="317" t="n"/>
      <c r="AA181" s="39" t="n"/>
      <c r="AB181" s="39" t="n"/>
      <c r="AC181" s="317" t="n"/>
      <c r="AD181" s="39" t="n"/>
      <c r="AE181" s="39" t="n"/>
      <c r="AF181" s="317" t="n"/>
      <c r="AG181" s="338" t="n"/>
      <c r="AH181" s="179" t="n"/>
      <c r="AI181" s="317" t="n"/>
      <c r="AJ181" s="317" t="n"/>
      <c r="AK181" s="179" t="n"/>
    </row>
    <row r="182">
      <c r="A182" s="342" t="n"/>
      <c r="B182" s="317" t="n"/>
      <c r="C182" s="39" t="n"/>
      <c r="D182" s="39" t="n"/>
      <c r="E182" s="317" t="n"/>
      <c r="F182" s="39" t="n"/>
      <c r="G182" s="39" t="n"/>
      <c r="H182" s="317" t="n"/>
      <c r="I182" s="39" t="n"/>
      <c r="J182" s="39" t="n"/>
      <c r="K182" s="317" t="n"/>
      <c r="L182" s="39" t="n"/>
      <c r="M182" s="39" t="n"/>
      <c r="N182" s="317" t="n"/>
      <c r="O182" s="39" t="n"/>
      <c r="P182" s="39" t="n"/>
      <c r="Q182" s="317" t="n"/>
      <c r="R182" s="39" t="n"/>
      <c r="S182" s="39" t="n"/>
      <c r="T182" s="317" t="n"/>
      <c r="U182" s="39" t="n"/>
      <c r="V182" s="39" t="n"/>
      <c r="W182" s="317" t="n"/>
      <c r="X182" s="39" t="n"/>
      <c r="Y182" s="39" t="n"/>
      <c r="Z182" s="317" t="n"/>
      <c r="AA182" s="39" t="n"/>
      <c r="AB182" s="39" t="n"/>
      <c r="AC182" s="317" t="n"/>
      <c r="AD182" s="39" t="n"/>
      <c r="AE182" s="39" t="n"/>
      <c r="AF182" s="317" t="n"/>
      <c r="AG182" s="338" t="n"/>
      <c r="AH182" s="39" t="n"/>
      <c r="AI182" s="317" t="n"/>
      <c r="AJ182" s="317" t="n"/>
      <c r="AK182" s="39" t="n"/>
    </row>
    <row r="183">
      <c r="A183" s="342" t="n"/>
      <c r="B183" s="317" t="n"/>
      <c r="C183" s="142" t="n"/>
      <c r="D183" s="142" t="n"/>
      <c r="E183" s="317" t="n"/>
      <c r="F183" s="142" t="n"/>
      <c r="G183" s="142" t="n"/>
      <c r="H183" s="317" t="n"/>
      <c r="I183" s="142" t="n"/>
      <c r="J183" s="142" t="n"/>
      <c r="K183" s="317" t="n"/>
      <c r="L183" s="142" t="n"/>
      <c r="M183" s="142" t="n"/>
      <c r="N183" s="317" t="n"/>
      <c r="O183" s="142" t="n"/>
      <c r="P183" s="142" t="n"/>
      <c r="Q183" s="317" t="n"/>
      <c r="R183" s="142" t="n"/>
      <c r="S183" s="142" t="n"/>
      <c r="T183" s="317" t="n"/>
      <c r="U183" s="142" t="n"/>
      <c r="V183" s="142" t="n"/>
      <c r="W183" s="317" t="n"/>
      <c r="X183" s="142" t="n"/>
      <c r="Y183" s="142" t="n"/>
      <c r="Z183" s="317" t="n"/>
      <c r="AA183" s="142" t="n"/>
      <c r="AB183" s="142" t="n"/>
      <c r="AC183" s="317" t="n"/>
      <c r="AD183" s="142" t="n"/>
      <c r="AE183" s="142" t="n"/>
      <c r="AF183" s="317" t="n"/>
      <c r="AG183" s="317" t="n"/>
      <c r="AH183" s="182" t="n"/>
      <c r="AI183" s="317" t="n"/>
      <c r="AJ183" s="317" t="n"/>
      <c r="AK183" s="182" t="n"/>
    </row>
    <row r="184">
      <c r="A184" s="342" t="n"/>
      <c r="B184" s="317" t="n"/>
      <c r="C184" s="142" t="n"/>
      <c r="D184" s="142" t="n"/>
      <c r="E184" s="317" t="n"/>
      <c r="F184" s="142" t="n"/>
      <c r="G184" s="142" t="n"/>
      <c r="H184" s="317" t="n"/>
      <c r="I184" s="142" t="n"/>
      <c r="J184" s="142" t="n"/>
      <c r="K184" s="317" t="n"/>
      <c r="L184" s="142" t="n"/>
      <c r="M184" s="142" t="n"/>
      <c r="N184" s="317" t="n"/>
      <c r="O184" s="142" t="n"/>
      <c r="P184" s="142" t="n"/>
      <c r="Q184" s="317" t="n"/>
      <c r="R184" s="142" t="n"/>
      <c r="S184" s="142" t="n"/>
      <c r="T184" s="317" t="n"/>
      <c r="U184" s="142" t="n"/>
      <c r="V184" s="142" t="n"/>
      <c r="W184" s="317" t="n"/>
      <c r="X184" s="142" t="n"/>
      <c r="Y184" s="142" t="n"/>
      <c r="Z184" s="317" t="n"/>
      <c r="AA184" s="142" t="n"/>
      <c r="AB184" s="142" t="n"/>
      <c r="AC184" s="317" t="n"/>
      <c r="AD184" s="142" t="n"/>
      <c r="AE184" s="142" t="n"/>
      <c r="AF184" s="317" t="n"/>
      <c r="AG184" s="317" t="n"/>
      <c r="AH184" s="182" t="n"/>
      <c r="AI184" s="317" t="n"/>
      <c r="AJ184" s="317" t="n"/>
      <c r="AK184" s="182" t="n"/>
    </row>
    <row r="185">
      <c r="A185" s="342" t="n"/>
      <c r="B185" s="317" t="n"/>
      <c r="C185" s="142" t="n"/>
      <c r="D185" s="142" t="n"/>
      <c r="E185" s="317" t="n"/>
      <c r="F185" s="142" t="n"/>
      <c r="G185" s="142" t="n"/>
      <c r="H185" s="317" t="n"/>
      <c r="I185" s="142" t="n"/>
      <c r="J185" s="142" t="n"/>
      <c r="K185" s="317" t="n"/>
      <c r="L185" s="142" t="n"/>
      <c r="M185" s="142" t="n"/>
      <c r="N185" s="317" t="n"/>
      <c r="O185" s="142" t="n"/>
      <c r="P185" s="142" t="n"/>
      <c r="Q185" s="317" t="n"/>
      <c r="R185" s="142" t="n"/>
      <c r="S185" s="142" t="n"/>
      <c r="T185" s="317" t="n"/>
      <c r="U185" s="142" t="n"/>
      <c r="V185" s="142" t="n"/>
      <c r="W185" s="317" t="n"/>
      <c r="X185" s="142" t="n"/>
      <c r="Y185" s="142" t="n"/>
      <c r="Z185" s="317" t="n"/>
      <c r="AA185" s="142" t="n"/>
      <c r="AB185" s="142" t="n"/>
      <c r="AC185" s="317" t="n"/>
      <c r="AD185" s="142" t="n"/>
      <c r="AE185" s="142" t="n"/>
      <c r="AF185" s="317" t="n"/>
      <c r="AG185" s="317" t="n"/>
      <c r="AH185" s="182" t="n"/>
      <c r="AI185" s="317" t="n"/>
      <c r="AJ185" s="317" t="n"/>
      <c r="AK185" s="182" t="n"/>
    </row>
    <row r="186">
      <c r="A186" s="342" t="n"/>
      <c r="B186" s="317" t="n"/>
      <c r="C186" s="142" t="n"/>
      <c r="D186" s="142" t="n"/>
      <c r="E186" s="317" t="n"/>
      <c r="F186" s="142" t="n"/>
      <c r="G186" s="142" t="n"/>
      <c r="H186" s="317" t="n"/>
      <c r="I186" s="142" t="n"/>
      <c r="J186" s="142" t="n"/>
      <c r="K186" s="317" t="n"/>
      <c r="L186" s="142" t="n"/>
      <c r="M186" s="142" t="n"/>
      <c r="N186" s="317" t="n"/>
      <c r="O186" s="142" t="n"/>
      <c r="P186" s="142" t="n"/>
      <c r="Q186" s="317" t="n"/>
      <c r="R186" s="142" t="n"/>
      <c r="S186" s="142" t="n"/>
      <c r="T186" s="317" t="n"/>
      <c r="U186" s="142" t="n"/>
      <c r="V186" s="142" t="n"/>
      <c r="W186" s="317" t="n"/>
      <c r="X186" s="142" t="n"/>
      <c r="Y186" s="142" t="n"/>
      <c r="Z186" s="317" t="n"/>
      <c r="AA186" s="142" t="n"/>
      <c r="AB186" s="142" t="n"/>
      <c r="AC186" s="317" t="n"/>
      <c r="AD186" s="142" t="n"/>
      <c r="AE186" s="142" t="n"/>
      <c r="AF186" s="317" t="n"/>
      <c r="AG186" s="317" t="n"/>
      <c r="AH186" s="182" t="n"/>
      <c r="AI186" s="317" t="n"/>
      <c r="AJ186" s="317" t="n"/>
      <c r="AK186" s="182" t="n"/>
    </row>
    <row r="187">
      <c r="A187" s="342" t="n"/>
      <c r="B187" s="317" t="n"/>
      <c r="C187" s="142" t="n"/>
      <c r="D187" s="142" t="n"/>
      <c r="E187" s="317" t="n"/>
      <c r="F187" s="142" t="n"/>
      <c r="G187" s="142" t="n"/>
      <c r="H187" s="317" t="n"/>
      <c r="I187" s="142" t="n"/>
      <c r="J187" s="142" t="n"/>
      <c r="K187" s="317" t="n"/>
      <c r="L187" s="142" t="n"/>
      <c r="M187" s="142" t="n"/>
      <c r="N187" s="317" t="n"/>
      <c r="O187" s="142" t="n"/>
      <c r="P187" s="142" t="n"/>
      <c r="Q187" s="317" t="n"/>
      <c r="R187" s="142" t="n"/>
      <c r="S187" s="142" t="n"/>
      <c r="T187" s="317" t="n"/>
      <c r="U187" s="142" t="n"/>
      <c r="V187" s="142" t="n"/>
      <c r="W187" s="317" t="n"/>
      <c r="X187" s="142" t="n"/>
      <c r="Y187" s="142" t="n"/>
      <c r="Z187" s="317" t="n"/>
      <c r="AA187" s="142" t="n"/>
      <c r="AB187" s="142" t="n"/>
      <c r="AC187" s="317" t="n"/>
      <c r="AD187" s="142" t="n"/>
      <c r="AE187" s="142" t="n"/>
      <c r="AF187" s="317" t="n"/>
      <c r="AG187" s="317" t="n"/>
      <c r="AH187" s="317" t="n"/>
      <c r="AI187" s="317" t="n"/>
      <c r="AJ187" s="317" t="n"/>
      <c r="AK187" s="317" t="n"/>
    </row>
    <row r="188">
      <c r="A188" s="342" t="n"/>
      <c r="B188" s="317" t="n"/>
      <c r="C188" s="142" t="n"/>
      <c r="D188" s="142" t="n"/>
      <c r="E188" s="317" t="n"/>
      <c r="F188" s="142" t="n"/>
      <c r="G188" s="142" t="n"/>
      <c r="H188" s="317" t="n"/>
      <c r="I188" s="142" t="n"/>
      <c r="J188" s="142" t="n"/>
      <c r="K188" s="317" t="n"/>
      <c r="L188" s="142" t="n"/>
      <c r="M188" s="142" t="n"/>
      <c r="N188" s="317" t="n"/>
      <c r="O188" s="142" t="n"/>
      <c r="P188" s="142" t="n"/>
      <c r="Q188" s="317" t="n"/>
      <c r="R188" s="142" t="n"/>
      <c r="S188" s="142" t="n"/>
      <c r="T188" s="317" t="n"/>
      <c r="U188" s="142" t="n"/>
      <c r="V188" s="142" t="n"/>
      <c r="W188" s="317" t="n"/>
      <c r="X188" s="142" t="n"/>
      <c r="Y188" s="142" t="n"/>
      <c r="Z188" s="317" t="n"/>
      <c r="AA188" s="142" t="n"/>
      <c r="AB188" s="142" t="n"/>
      <c r="AC188" s="317" t="n"/>
      <c r="AD188" s="142" t="n"/>
      <c r="AE188" s="142" t="n"/>
      <c r="AF188" s="317" t="n"/>
      <c r="AG188" s="317" t="n"/>
      <c r="AH188" s="182" t="n"/>
      <c r="AI188" s="317" t="n"/>
      <c r="AJ188" s="317" t="n"/>
      <c r="AK188" s="182" t="n"/>
    </row>
    <row r="189">
      <c r="A189" s="342" t="n"/>
      <c r="B189" s="317" t="n"/>
      <c r="C189" s="142" t="n"/>
      <c r="D189" s="142" t="n"/>
      <c r="E189" s="317" t="n"/>
      <c r="F189" s="142" t="n"/>
      <c r="G189" s="142" t="n"/>
      <c r="H189" s="317" t="n"/>
      <c r="I189" s="142" t="n"/>
      <c r="J189" s="142" t="n"/>
      <c r="K189" s="317" t="n"/>
      <c r="L189" s="142" t="n"/>
      <c r="M189" s="142" t="n"/>
      <c r="N189" s="317" t="n"/>
      <c r="O189" s="142" t="n"/>
      <c r="P189" s="142" t="n"/>
      <c r="Q189" s="317" t="n"/>
      <c r="R189" s="142" t="n"/>
      <c r="S189" s="142" t="n"/>
      <c r="T189" s="317" t="n"/>
      <c r="U189" s="142" t="n"/>
      <c r="V189" s="142" t="n"/>
      <c r="W189" s="317" t="n"/>
      <c r="X189" s="142" t="n"/>
      <c r="Y189" s="142" t="n"/>
      <c r="Z189" s="317" t="n"/>
      <c r="AA189" s="142" t="n"/>
      <c r="AB189" s="142" t="n"/>
      <c r="AC189" s="317" t="n"/>
      <c r="AD189" s="142" t="n"/>
      <c r="AE189" s="142" t="n"/>
      <c r="AF189" s="317" t="n"/>
      <c r="AG189" s="317" t="n"/>
      <c r="AH189" s="182" t="n"/>
      <c r="AI189" s="317" t="n"/>
      <c r="AJ189" s="317" t="n"/>
      <c r="AK189" s="182" t="n"/>
    </row>
    <row r="190">
      <c r="A190" s="342" t="n"/>
      <c r="B190" s="317" t="n"/>
      <c r="C190" s="142" t="n"/>
      <c r="D190" s="142" t="n"/>
      <c r="E190" s="317" t="n"/>
      <c r="F190" s="142" t="n"/>
      <c r="G190" s="142" t="n"/>
      <c r="H190" s="317" t="n"/>
      <c r="I190" s="142" t="n"/>
      <c r="J190" s="142" t="n"/>
      <c r="K190" s="317" t="n"/>
      <c r="L190" s="142" t="n"/>
      <c r="M190" s="142" t="n"/>
      <c r="N190" s="317" t="n"/>
      <c r="O190" s="142" t="n"/>
      <c r="P190" s="142" t="n"/>
      <c r="Q190" s="317" t="n"/>
      <c r="R190" s="142" t="n"/>
      <c r="S190" s="142" t="n"/>
      <c r="T190" s="317" t="n"/>
      <c r="U190" s="142" t="n"/>
      <c r="V190" s="142" t="n"/>
      <c r="W190" s="317" t="n"/>
      <c r="X190" s="142" t="n"/>
      <c r="Y190" s="142" t="n"/>
      <c r="Z190" s="317" t="n"/>
      <c r="AA190" s="142" t="n"/>
      <c r="AB190" s="142" t="n"/>
      <c r="AC190" s="317" t="n"/>
      <c r="AD190" s="142" t="n"/>
      <c r="AE190" s="142" t="n"/>
      <c r="AF190" s="317" t="n"/>
      <c r="AG190" s="317" t="n"/>
      <c r="AH190" s="182" t="n"/>
      <c r="AI190" s="317" t="n"/>
      <c r="AJ190" s="317" t="n"/>
      <c r="AK190" s="182" t="n"/>
    </row>
    <row r="191">
      <c r="A191" s="342" t="n"/>
      <c r="B191" s="317" t="n"/>
      <c r="C191" s="142" t="n"/>
      <c r="D191" s="142" t="n"/>
      <c r="E191" s="317" t="n"/>
      <c r="F191" s="142" t="n"/>
      <c r="G191" s="142" t="n"/>
      <c r="H191" s="317" t="n"/>
      <c r="I191" s="142" t="n"/>
      <c r="J191" s="142" t="n"/>
      <c r="K191" s="317" t="n"/>
      <c r="L191" s="142" t="n"/>
      <c r="M191" s="142" t="n"/>
      <c r="N191" s="317" t="n"/>
      <c r="O191" s="142" t="n"/>
      <c r="P191" s="142" t="n"/>
      <c r="Q191" s="317" t="n"/>
      <c r="R191" s="142" t="n"/>
      <c r="S191" s="142" t="n"/>
      <c r="T191" s="317" t="n"/>
      <c r="U191" s="142" t="n"/>
      <c r="V191" s="142" t="n"/>
      <c r="W191" s="317" t="n"/>
      <c r="X191" s="142" t="n"/>
      <c r="Y191" s="142" t="n"/>
      <c r="Z191" s="317" t="n"/>
      <c r="AA191" s="142" t="n"/>
      <c r="AB191" s="142" t="n"/>
      <c r="AC191" s="317" t="n"/>
      <c r="AD191" s="142" t="n"/>
      <c r="AE191" s="142" t="n"/>
      <c r="AF191" s="317" t="n"/>
      <c r="AG191" s="317" t="n"/>
      <c r="AH191" s="182" t="n"/>
      <c r="AI191" s="317" t="n"/>
      <c r="AJ191" s="317" t="n"/>
      <c r="AK191" s="182" t="n"/>
    </row>
    <row r="192">
      <c r="A192" s="342" t="n"/>
      <c r="B192" s="317" t="n"/>
      <c r="C192" s="142" t="n"/>
      <c r="D192" s="142" t="n"/>
      <c r="E192" s="317" t="n"/>
      <c r="F192" s="142" t="n"/>
      <c r="G192" s="142" t="n"/>
      <c r="H192" s="317" t="n"/>
      <c r="I192" s="142" t="n"/>
      <c r="J192" s="142" t="n"/>
      <c r="K192" s="317" t="n"/>
      <c r="L192" s="142" t="n"/>
      <c r="M192" s="142" t="n"/>
      <c r="N192" s="317" t="n"/>
      <c r="O192" s="142" t="n"/>
      <c r="P192" s="142" t="n"/>
      <c r="Q192" s="317" t="n"/>
      <c r="R192" s="142" t="n"/>
      <c r="S192" s="142" t="n"/>
      <c r="T192" s="317" t="n"/>
      <c r="U192" s="142" t="n"/>
      <c r="V192" s="142" t="n"/>
      <c r="W192" s="317" t="n"/>
      <c r="X192" s="142" t="n"/>
      <c r="Y192" s="142" t="n"/>
      <c r="Z192" s="317" t="n"/>
      <c r="AA192" s="142" t="n"/>
      <c r="AB192" s="142" t="n"/>
      <c r="AC192" s="317" t="n"/>
      <c r="AD192" s="142" t="n"/>
      <c r="AE192" s="142" t="n"/>
      <c r="AF192" s="317" t="n"/>
      <c r="AG192" s="317" t="n"/>
      <c r="AH192" s="182" t="n"/>
      <c r="AI192" s="317" t="n"/>
      <c r="AJ192" s="317" t="n"/>
      <c r="AK192" s="182" t="n"/>
    </row>
    <row r="193">
      <c r="A193" s="342" t="n"/>
      <c r="B193" s="317" t="n"/>
      <c r="C193" s="142" t="n"/>
      <c r="D193" s="142" t="n"/>
      <c r="E193" s="317" t="n"/>
      <c r="F193" s="142" t="n"/>
      <c r="G193" s="142" t="n"/>
      <c r="H193" s="317" t="n"/>
      <c r="I193" s="142" t="n"/>
      <c r="J193" s="142" t="n"/>
      <c r="K193" s="317" t="n"/>
      <c r="L193" s="142" t="n"/>
      <c r="M193" s="142" t="n"/>
      <c r="N193" s="317" t="n"/>
      <c r="O193" s="142" t="n"/>
      <c r="P193" s="142" t="n"/>
      <c r="Q193" s="317" t="n"/>
      <c r="R193" s="142" t="n"/>
      <c r="S193" s="142" t="n"/>
      <c r="T193" s="317" t="n"/>
      <c r="U193" s="142" t="n"/>
      <c r="V193" s="142" t="n"/>
      <c r="W193" s="317" t="n"/>
      <c r="X193" s="142" t="n"/>
      <c r="Y193" s="142" t="n"/>
      <c r="Z193" s="317" t="n"/>
      <c r="AA193" s="142" t="n"/>
      <c r="AB193" s="142" t="n"/>
      <c r="AC193" s="317" t="n"/>
      <c r="AD193" s="142" t="n"/>
      <c r="AE193" s="142" t="n"/>
      <c r="AF193" s="317" t="n"/>
      <c r="AG193" s="317" t="n"/>
      <c r="AH193" s="182" t="n"/>
      <c r="AI193" s="317" t="n"/>
      <c r="AJ193" s="317" t="n"/>
      <c r="AK193" s="182" t="n"/>
    </row>
    <row r="194">
      <c r="A194" s="342" t="n"/>
      <c r="B194" s="317" t="n"/>
      <c r="C194" s="142" t="n"/>
      <c r="D194" s="142" t="n"/>
      <c r="E194" s="317" t="n"/>
      <c r="F194" s="142" t="n"/>
      <c r="G194" s="142" t="n"/>
      <c r="H194" s="317" t="n"/>
      <c r="I194" s="142" t="n"/>
      <c r="J194" s="142" t="n"/>
      <c r="K194" s="317" t="n"/>
      <c r="L194" s="142" t="n"/>
      <c r="M194" s="142" t="n"/>
      <c r="N194" s="317" t="n"/>
      <c r="O194" s="142" t="n"/>
      <c r="P194" s="142" t="n"/>
      <c r="Q194" s="317" t="n"/>
      <c r="R194" s="142" t="n"/>
      <c r="S194" s="142" t="n"/>
      <c r="T194" s="317" t="n"/>
      <c r="U194" s="142" t="n"/>
      <c r="V194" s="142" t="n"/>
      <c r="W194" s="317" t="n"/>
      <c r="X194" s="142" t="n"/>
      <c r="Y194" s="142" t="n"/>
      <c r="Z194" s="317" t="n"/>
      <c r="AA194" s="142" t="n"/>
      <c r="AB194" s="142" t="n"/>
      <c r="AC194" s="317" t="n"/>
      <c r="AD194" s="142" t="n"/>
      <c r="AE194" s="142" t="n"/>
      <c r="AF194" s="317" t="n"/>
      <c r="AG194" s="317" t="n"/>
      <c r="AH194" s="317" t="n"/>
      <c r="AI194" s="317" t="n"/>
      <c r="AJ194" s="317" t="n"/>
      <c r="AK194" s="317" t="n"/>
    </row>
    <row r="195">
      <c r="A195" s="335" t="n"/>
      <c r="B195" s="291" t="n"/>
      <c r="C195" s="37" t="n"/>
      <c r="D195" s="37" t="n"/>
      <c r="E195" s="291" t="n"/>
      <c r="F195" s="37" t="n"/>
      <c r="G195" s="37" t="n"/>
      <c r="H195" s="291" t="n"/>
      <c r="I195" s="37" t="n"/>
      <c r="J195" s="37" t="n"/>
      <c r="K195" s="291" t="n"/>
      <c r="L195" s="37" t="n"/>
      <c r="M195" s="37" t="n"/>
      <c r="N195" s="291" t="n"/>
      <c r="O195" s="37" t="n"/>
      <c r="P195" s="37" t="n"/>
      <c r="Q195" s="291" t="n"/>
      <c r="R195" s="37" t="n"/>
      <c r="S195" s="37" t="n"/>
      <c r="T195" s="291" t="n"/>
      <c r="U195" s="37" t="n"/>
      <c r="V195" s="37" t="n"/>
      <c r="W195" s="291" t="n"/>
      <c r="X195" s="37" t="n"/>
      <c r="Y195" s="37" t="n"/>
      <c r="Z195" s="291" t="n"/>
      <c r="AA195" s="37" t="n"/>
      <c r="AB195" s="37" t="n"/>
      <c r="AC195" s="291" t="n"/>
      <c r="AD195" s="37" t="n"/>
      <c r="AE195" s="37" t="n"/>
      <c r="AF195" s="291" t="n"/>
      <c r="AG195" s="291" t="n"/>
      <c r="AH195" s="291" t="n"/>
      <c r="AI195" s="291" t="n"/>
      <c r="AJ195" s="291" t="n"/>
      <c r="AK195" s="291" t="n"/>
    </row>
    <row r="196">
      <c r="A196" s="40" t="n"/>
      <c r="B196" s="291" t="n"/>
      <c r="C196" s="37" t="n"/>
      <c r="D196" s="37" t="n"/>
      <c r="E196" s="291" t="n"/>
      <c r="F196" s="37" t="n"/>
      <c r="G196" s="37" t="n"/>
      <c r="H196" s="291" t="n"/>
      <c r="I196" s="37" t="n"/>
      <c r="J196" s="37" t="n"/>
      <c r="K196" s="291" t="n"/>
      <c r="L196" s="37" t="n"/>
      <c r="M196" s="37" t="n"/>
      <c r="N196" s="291" t="n"/>
      <c r="O196" s="37" t="n"/>
      <c r="P196" s="37" t="n"/>
      <c r="Q196" s="291" t="n"/>
      <c r="R196" s="37" t="n"/>
      <c r="S196" s="37" t="n"/>
      <c r="T196" s="291" t="n"/>
      <c r="U196" s="37" t="n"/>
      <c r="V196" s="37" t="n"/>
      <c r="W196" s="291" t="n"/>
      <c r="X196" s="37" t="n"/>
      <c r="Y196" s="37" t="n"/>
      <c r="Z196" s="291" t="n"/>
      <c r="AA196" s="37" t="n"/>
      <c r="AB196" s="37" t="n"/>
      <c r="AC196" s="291" t="n"/>
      <c r="AD196" s="37" t="n"/>
      <c r="AE196" s="37" t="n"/>
      <c r="AF196" s="291" t="n"/>
      <c r="AG196" s="291" t="n"/>
      <c r="AH196" s="291" t="n"/>
      <c r="AI196" s="291" t="n"/>
      <c r="AJ196" s="291" t="n"/>
      <c r="AK196" s="291" t="n"/>
    </row>
    <row r="197">
      <c r="A197" s="344" t="n"/>
      <c r="B197" s="291" t="n"/>
      <c r="C197" s="37" t="n"/>
      <c r="D197" s="37" t="n"/>
      <c r="E197" s="291" t="n"/>
      <c r="F197" s="37" t="n"/>
      <c r="G197" s="37" t="n"/>
      <c r="H197" s="291" t="n"/>
      <c r="I197" s="37" t="n"/>
      <c r="J197" s="37" t="n"/>
      <c r="K197" s="291" t="n"/>
      <c r="L197" s="37" t="n"/>
      <c r="M197" s="37" t="n"/>
      <c r="N197" s="291" t="n"/>
      <c r="O197" s="37" t="n"/>
      <c r="P197" s="37" t="n"/>
      <c r="Q197" s="291" t="n"/>
      <c r="R197" s="37" t="n"/>
      <c r="S197" s="37" t="n"/>
      <c r="T197" s="291" t="n"/>
      <c r="U197" s="37" t="n"/>
      <c r="V197" s="37" t="n"/>
      <c r="W197" s="291" t="n"/>
      <c r="X197" s="37" t="n"/>
      <c r="Y197" s="37" t="n"/>
      <c r="Z197" s="291" t="n"/>
      <c r="AA197" s="37" t="n"/>
      <c r="AB197" s="37" t="n"/>
      <c r="AC197" s="291" t="n"/>
      <c r="AD197" s="37" t="n"/>
      <c r="AE197" s="37" t="n"/>
      <c r="AF197" s="291" t="n"/>
      <c r="AG197" s="291" t="n"/>
      <c r="AH197" s="291" t="n"/>
      <c r="AI197" s="291" t="n"/>
      <c r="AJ197" s="291" t="n"/>
      <c r="AK197" s="291" t="n"/>
    </row>
    <row r="198">
      <c r="A198" s="345" t="n"/>
      <c r="B198" s="291" t="n"/>
      <c r="C198" s="97" t="n"/>
      <c r="D198" s="97" t="n"/>
      <c r="E198" s="291" t="n"/>
      <c r="F198" s="97" t="n"/>
      <c r="G198" s="97" t="n"/>
      <c r="H198" s="291" t="n"/>
      <c r="I198" s="97" t="n"/>
      <c r="J198" s="97" t="n"/>
      <c r="K198" s="291" t="n"/>
      <c r="L198" s="97" t="n"/>
      <c r="M198" s="97" t="n"/>
      <c r="N198" s="291" t="n"/>
      <c r="O198" s="97" t="n"/>
      <c r="P198" s="97" t="n"/>
      <c r="Q198" s="291" t="n"/>
      <c r="R198" s="97" t="n"/>
      <c r="S198" s="97" t="n"/>
      <c r="T198" s="291" t="n"/>
      <c r="U198" s="97" t="n"/>
      <c r="V198" s="97" t="n"/>
      <c r="W198" s="291" t="n"/>
      <c r="X198" s="97" t="n"/>
      <c r="Y198" s="97" t="n"/>
      <c r="Z198" s="291" t="n"/>
      <c r="AA198" s="97" t="n"/>
      <c r="AB198" s="97" t="n"/>
      <c r="AC198" s="291" t="n"/>
      <c r="AD198" s="97" t="n"/>
      <c r="AE198" s="97" t="n"/>
      <c r="AF198" s="291" t="n"/>
      <c r="AG198" s="186" t="n"/>
      <c r="AH198" s="97" t="n"/>
      <c r="AI198" s="291" t="n"/>
      <c r="AJ198" s="186" t="n"/>
      <c r="AK198" s="97" t="n"/>
    </row>
    <row r="199">
      <c r="A199" s="52" t="n"/>
      <c r="B199" s="291" t="n"/>
      <c r="C199" s="39" t="n"/>
      <c r="D199" s="39" t="n"/>
      <c r="E199" s="291" t="n"/>
      <c r="F199" s="39" t="n"/>
      <c r="G199" s="39" t="n"/>
      <c r="H199" s="291" t="n"/>
      <c r="I199" s="39" t="n"/>
      <c r="J199" s="39" t="n"/>
      <c r="K199" s="291" t="n"/>
      <c r="L199" s="39" t="n"/>
      <c r="M199" s="39" t="n"/>
      <c r="N199" s="291" t="n"/>
      <c r="O199" s="39" t="n"/>
      <c r="P199" s="39" t="n"/>
      <c r="Q199" s="291" t="n"/>
      <c r="R199" s="39" t="n"/>
      <c r="S199" s="39" t="n"/>
      <c r="T199" s="291" t="n"/>
      <c r="U199" s="39" t="n"/>
      <c r="V199" s="39" t="n"/>
      <c r="W199" s="291" t="n"/>
      <c r="X199" s="39" t="n"/>
      <c r="Y199" s="39" t="n"/>
      <c r="Z199" s="291" t="n"/>
      <c r="AA199" s="39" t="n"/>
      <c r="AB199" s="39" t="n"/>
      <c r="AC199" s="291" t="n"/>
      <c r="AD199" s="39" t="n"/>
      <c r="AE199" s="39" t="n"/>
      <c r="AF199" s="291" t="n"/>
      <c r="AG199" s="53" t="n"/>
      <c r="AH199" s="291" t="n"/>
      <c r="AI199" s="291" t="n"/>
      <c r="AJ199" s="53" t="n"/>
      <c r="AK199" s="291" t="n"/>
    </row>
    <row r="200">
      <c r="A200" s="345" t="n"/>
      <c r="B200" s="291" t="n"/>
      <c r="C200" s="39" t="n"/>
      <c r="D200" s="39" t="n"/>
      <c r="E200" s="291" t="n"/>
      <c r="F200" s="39" t="n"/>
      <c r="G200" s="39" t="n"/>
      <c r="H200" s="291" t="n"/>
      <c r="I200" s="39" t="n"/>
      <c r="J200" s="39" t="n"/>
      <c r="K200" s="291" t="n"/>
      <c r="L200" s="39" t="n"/>
      <c r="M200" s="39" t="n"/>
      <c r="N200" s="291" t="n"/>
      <c r="O200" s="39" t="n"/>
      <c r="P200" s="39" t="n"/>
      <c r="Q200" s="291" t="n"/>
      <c r="R200" s="39" t="n"/>
      <c r="S200" s="39" t="n"/>
      <c r="T200" s="291" t="n"/>
      <c r="U200" s="39" t="n"/>
      <c r="V200" s="39" t="n"/>
      <c r="W200" s="291" t="n"/>
      <c r="X200" s="39" t="n"/>
      <c r="Y200" s="39" t="n"/>
      <c r="Z200" s="291" t="n"/>
      <c r="AA200" s="39" t="n"/>
      <c r="AB200" s="39" t="n"/>
      <c r="AC200" s="291" t="n"/>
      <c r="AD200" s="39" t="n"/>
      <c r="AE200" s="39" t="n"/>
      <c r="AF200" s="291" t="n"/>
      <c r="AG200" s="352" t="n"/>
      <c r="AH200" s="39" t="n"/>
      <c r="AI200" s="291" t="n"/>
      <c r="AJ200" s="352" t="n"/>
      <c r="AK200" s="39" t="n"/>
    </row>
    <row r="201">
      <c r="A201" s="52" t="n"/>
      <c r="B201" s="291" t="n"/>
      <c r="C201" s="39" t="n"/>
      <c r="D201" s="39" t="n"/>
      <c r="E201" s="291" t="n"/>
      <c r="F201" s="39" t="n"/>
      <c r="G201" s="39" t="n"/>
      <c r="H201" s="291" t="n"/>
      <c r="I201" s="39" t="n"/>
      <c r="J201" s="39" t="n"/>
      <c r="K201" s="291" t="n"/>
      <c r="L201" s="39" t="n"/>
      <c r="M201" s="39" t="n"/>
      <c r="N201" s="291" t="n"/>
      <c r="O201" s="39" t="n"/>
      <c r="P201" s="39" t="n"/>
      <c r="Q201" s="291" t="n"/>
      <c r="R201" s="39" t="n"/>
      <c r="S201" s="39" t="n"/>
      <c r="T201" s="291" t="n"/>
      <c r="U201" s="39" t="n"/>
      <c r="V201" s="39" t="n"/>
      <c r="W201" s="291" t="n"/>
      <c r="X201" s="39" t="n"/>
      <c r="Y201" s="39" t="n"/>
      <c r="Z201" s="291" t="n"/>
      <c r="AA201" s="39" t="n"/>
      <c r="AB201" s="39" t="n"/>
      <c r="AC201" s="291" t="n"/>
      <c r="AD201" s="39" t="n"/>
      <c r="AE201" s="39" t="n"/>
      <c r="AF201" s="291" t="n"/>
      <c r="AG201" s="352" t="n"/>
      <c r="AH201" s="39" t="n"/>
      <c r="AI201" s="291" t="n"/>
      <c r="AJ201" s="352" t="n"/>
      <c r="AK201" s="39" t="n"/>
    </row>
    <row r="202">
      <c r="A202" s="345" t="n"/>
      <c r="B202" s="291" t="n"/>
      <c r="C202" s="39" t="n"/>
      <c r="D202" s="39" t="n"/>
      <c r="E202" s="291" t="n"/>
      <c r="F202" s="39" t="n"/>
      <c r="G202" s="39" t="n"/>
      <c r="H202" s="291" t="n"/>
      <c r="I202" s="39" t="n"/>
      <c r="J202" s="39" t="n"/>
      <c r="K202" s="291" t="n"/>
      <c r="L202" s="39" t="n"/>
      <c r="M202" s="39" t="n"/>
      <c r="N202" s="291" t="n"/>
      <c r="O202" s="39" t="n"/>
      <c r="P202" s="39" t="n"/>
      <c r="Q202" s="291" t="n"/>
      <c r="R202" s="39" t="n"/>
      <c r="S202" s="39" t="n"/>
      <c r="T202" s="291" t="n"/>
      <c r="U202" s="39" t="n"/>
      <c r="V202" s="39" t="n"/>
      <c r="W202" s="291" t="n"/>
      <c r="X202" s="39" t="n"/>
      <c r="Y202" s="39" t="n"/>
      <c r="Z202" s="291" t="n"/>
      <c r="AA202" s="39" t="n"/>
      <c r="AB202" s="39" t="n"/>
      <c r="AC202" s="291" t="n"/>
      <c r="AD202" s="39" t="n"/>
      <c r="AE202" s="39" t="n"/>
      <c r="AF202" s="291" t="n"/>
      <c r="AG202" s="352" t="n"/>
      <c r="AH202" s="39" t="n"/>
      <c r="AI202" s="291" t="n"/>
      <c r="AJ202" s="352" t="n"/>
      <c r="AK202" s="39" t="n"/>
    </row>
    <row r="203">
      <c r="A203" s="52" t="n"/>
      <c r="B203" s="291" t="n"/>
      <c r="C203" s="39" t="n"/>
      <c r="D203" s="39" t="n"/>
      <c r="E203" s="291" t="n"/>
      <c r="F203" s="39" t="n"/>
      <c r="G203" s="39" t="n"/>
      <c r="H203" s="291" t="n"/>
      <c r="I203" s="39" t="n"/>
      <c r="J203" s="39" t="n"/>
      <c r="K203" s="291" t="n"/>
      <c r="L203" s="39" t="n"/>
      <c r="M203" s="39" t="n"/>
      <c r="N203" s="291" t="n"/>
      <c r="O203" s="39" t="n"/>
      <c r="P203" s="39" t="n"/>
      <c r="Q203" s="291" t="n"/>
      <c r="R203" s="39" t="n"/>
      <c r="S203" s="39" t="n"/>
      <c r="T203" s="291" t="n"/>
      <c r="U203" s="39" t="n"/>
      <c r="V203" s="39" t="n"/>
      <c r="W203" s="291" t="n"/>
      <c r="X203" s="39" t="n"/>
      <c r="Y203" s="39" t="n"/>
      <c r="Z203" s="291" t="n"/>
      <c r="AA203" s="39" t="n"/>
      <c r="AB203" s="39" t="n"/>
      <c r="AC203" s="291" t="n"/>
      <c r="AD203" s="39" t="n"/>
      <c r="AE203" s="39" t="n"/>
      <c r="AF203" s="291" t="n"/>
      <c r="AG203" s="352" t="n"/>
      <c r="AH203" s="39" t="n"/>
      <c r="AI203" s="291" t="n"/>
      <c r="AJ203" s="352" t="n"/>
      <c r="AK203" s="39" t="n"/>
    </row>
    <row r="204">
      <c r="A204" s="345" t="n"/>
      <c r="B204" s="291" t="n"/>
      <c r="C204" s="39" t="n"/>
      <c r="D204" s="39" t="n"/>
      <c r="E204" s="291" t="n"/>
      <c r="F204" s="39" t="n"/>
      <c r="G204" s="39" t="n"/>
      <c r="H204" s="291" t="n"/>
      <c r="I204" s="39" t="n"/>
      <c r="J204" s="39" t="n"/>
      <c r="K204" s="291" t="n"/>
      <c r="L204" s="39" t="n"/>
      <c r="M204" s="39" t="n"/>
      <c r="N204" s="291" t="n"/>
      <c r="O204" s="39" t="n"/>
      <c r="P204" s="39" t="n"/>
      <c r="Q204" s="291" t="n"/>
      <c r="R204" s="39" t="n"/>
      <c r="S204" s="39" t="n"/>
      <c r="T204" s="291" t="n"/>
      <c r="U204" s="39" t="n"/>
      <c r="V204" s="39" t="n"/>
      <c r="W204" s="291" t="n"/>
      <c r="X204" s="39" t="n"/>
      <c r="Y204" s="39" t="n"/>
      <c r="Z204" s="291" t="n"/>
      <c r="AA204" s="39" t="n"/>
      <c r="AB204" s="39" t="n"/>
      <c r="AC204" s="291" t="n"/>
      <c r="AD204" s="39" t="n"/>
      <c r="AE204" s="39" t="n"/>
      <c r="AF204" s="291" t="n"/>
      <c r="AG204" s="352" t="n"/>
      <c r="AH204" s="39" t="n"/>
      <c r="AI204" s="291" t="n"/>
      <c r="AJ204" s="352" t="n"/>
      <c r="AK204" s="39" t="n"/>
    </row>
    <row r="205">
      <c r="A205" s="345" t="n"/>
      <c r="B205" s="291" t="n"/>
      <c r="C205" s="39" t="n"/>
      <c r="D205" s="39" t="n"/>
      <c r="E205" s="291" t="n"/>
      <c r="F205" s="39" t="n"/>
      <c r="G205" s="39" t="n"/>
      <c r="H205" s="291" t="n"/>
      <c r="I205" s="39" t="n"/>
      <c r="J205" s="39" t="n"/>
      <c r="K205" s="291" t="n"/>
      <c r="L205" s="39" t="n"/>
      <c r="M205" s="39" t="n"/>
      <c r="N205" s="291" t="n"/>
      <c r="O205" s="39" t="n"/>
      <c r="P205" s="39" t="n"/>
      <c r="Q205" s="291" t="n"/>
      <c r="R205" s="39" t="n"/>
      <c r="S205" s="39" t="n"/>
      <c r="T205" s="291" t="n"/>
      <c r="U205" s="39" t="n"/>
      <c r="V205" s="39" t="n"/>
      <c r="W205" s="291" t="n"/>
      <c r="X205" s="39" t="n"/>
      <c r="Y205" s="39" t="n"/>
      <c r="Z205" s="291" t="n"/>
      <c r="AA205" s="39" t="n"/>
      <c r="AB205" s="39" t="n"/>
      <c r="AC205" s="291" t="n"/>
      <c r="AD205" s="39" t="n"/>
      <c r="AE205" s="39" t="n"/>
      <c r="AF205" s="291" t="n"/>
      <c r="AG205" s="352" t="n"/>
      <c r="AH205" s="39" t="n"/>
      <c r="AI205" s="291" t="n"/>
      <c r="AJ205" s="352" t="n"/>
      <c r="AK205" s="39" t="n"/>
    </row>
    <row r="206">
      <c r="A206" s="345" t="n"/>
      <c r="B206" s="291" t="n"/>
      <c r="C206" s="39" t="n"/>
      <c r="D206" s="39" t="n"/>
      <c r="E206" s="291" t="n"/>
      <c r="F206" s="39" t="n"/>
      <c r="G206" s="39" t="n"/>
      <c r="H206" s="291" t="n"/>
      <c r="I206" s="39" t="n"/>
      <c r="J206" s="39" t="n"/>
      <c r="K206" s="291" t="n"/>
      <c r="L206" s="39" t="n"/>
      <c r="M206" s="39" t="n"/>
      <c r="N206" s="291" t="n"/>
      <c r="O206" s="39" t="n"/>
      <c r="P206" s="39" t="n"/>
      <c r="Q206" s="291" t="n"/>
      <c r="R206" s="39" t="n"/>
      <c r="S206" s="39" t="n"/>
      <c r="T206" s="291" t="n"/>
      <c r="U206" s="39" t="n"/>
      <c r="V206" s="39" t="n"/>
      <c r="W206" s="291" t="n"/>
      <c r="X206" s="39" t="n"/>
      <c r="Y206" s="39" t="n"/>
      <c r="Z206" s="291" t="n"/>
      <c r="AA206" s="39" t="n"/>
      <c r="AB206" s="39" t="n"/>
      <c r="AC206" s="291" t="n"/>
      <c r="AD206" s="39" t="n"/>
      <c r="AE206" s="39" t="n"/>
      <c r="AF206" s="291" t="n"/>
      <c r="AG206" s="352" t="n"/>
      <c r="AH206" s="39" t="n"/>
      <c r="AI206" s="291" t="n"/>
      <c r="AJ206" s="352" t="n"/>
      <c r="AK206" s="39" t="n"/>
    </row>
    <row r="207">
      <c r="A207" s="345" t="n"/>
      <c r="B207" s="291" t="n"/>
      <c r="C207" s="39" t="n"/>
      <c r="D207" s="39" t="n"/>
      <c r="E207" s="291" t="n"/>
      <c r="F207" s="39" t="n"/>
      <c r="G207" s="39" t="n"/>
      <c r="H207" s="291" t="n"/>
      <c r="I207" s="39" t="n"/>
      <c r="J207" s="39" t="n"/>
      <c r="K207" s="291" t="n"/>
      <c r="L207" s="39" t="n"/>
      <c r="M207" s="39" t="n"/>
      <c r="N207" s="291" t="n"/>
      <c r="O207" s="39" t="n"/>
      <c r="P207" s="39" t="n"/>
      <c r="Q207" s="291" t="n"/>
      <c r="R207" s="39" t="n"/>
      <c r="S207" s="39" t="n"/>
      <c r="T207" s="291" t="n"/>
      <c r="U207" s="39" t="n"/>
      <c r="V207" s="39" t="n"/>
      <c r="W207" s="291" t="n"/>
      <c r="X207" s="39" t="n"/>
      <c r="Y207" s="39" t="n"/>
      <c r="Z207" s="291" t="n"/>
      <c r="AA207" s="39" t="n"/>
      <c r="AB207" s="39" t="n"/>
      <c r="AC207" s="291" t="n"/>
      <c r="AD207" s="39" t="n"/>
      <c r="AE207" s="39" t="n"/>
      <c r="AF207" s="291" t="n"/>
      <c r="AG207" s="352" t="n"/>
      <c r="AH207" s="39" t="n"/>
      <c r="AI207" s="291" t="n"/>
      <c r="AJ207" s="352" t="n"/>
      <c r="AK207" s="39" t="n"/>
    </row>
    <row r="208">
      <c r="A208" s="351" t="n"/>
      <c r="B208" s="317" t="n"/>
      <c r="C208" s="39" t="n"/>
      <c r="D208" s="39" t="n"/>
      <c r="E208" s="317" t="n"/>
      <c r="F208" s="39" t="n"/>
      <c r="G208" s="39" t="n"/>
      <c r="H208" s="317" t="n"/>
      <c r="I208" s="39" t="n"/>
      <c r="J208" s="39" t="n"/>
      <c r="K208" s="317" t="n"/>
      <c r="L208" s="39" t="n"/>
      <c r="M208" s="39" t="n"/>
      <c r="N208" s="317" t="n"/>
      <c r="O208" s="39" t="n"/>
      <c r="P208" s="39" t="n"/>
      <c r="Q208" s="317" t="n"/>
      <c r="R208" s="39" t="n"/>
      <c r="S208" s="39" t="n"/>
      <c r="T208" s="317" t="n"/>
      <c r="U208" s="39" t="n"/>
      <c r="V208" s="39" t="n"/>
      <c r="W208" s="317" t="n"/>
      <c r="X208" s="39" t="n"/>
      <c r="Y208" s="39" t="n"/>
      <c r="Z208" s="317" t="n"/>
      <c r="AA208" s="39" t="n"/>
      <c r="AB208" s="39" t="n"/>
      <c r="AC208" s="317" t="n"/>
      <c r="AD208" s="39" t="n"/>
      <c r="AE208" s="39" t="n"/>
      <c r="AF208" s="317" t="n"/>
      <c r="AG208" s="352" t="n"/>
      <c r="AH208" s="352" t="n"/>
      <c r="AI208" s="317" t="n"/>
      <c r="AJ208" s="352" t="n"/>
      <c r="AK208" s="352" t="n"/>
    </row>
    <row r="209">
      <c r="A209" s="351" t="n"/>
      <c r="B209" s="317" t="n"/>
      <c r="C209" s="39" t="n"/>
      <c r="D209" s="39" t="n"/>
      <c r="E209" s="317" t="n"/>
      <c r="F209" s="39" t="n"/>
      <c r="G209" s="39" t="n"/>
      <c r="H209" s="317" t="n"/>
      <c r="I209" s="39" t="n"/>
      <c r="J209" s="39" t="n"/>
      <c r="K209" s="317" t="n"/>
      <c r="L209" s="39" t="n"/>
      <c r="M209" s="39" t="n"/>
      <c r="N209" s="317" t="n"/>
      <c r="O209" s="39" t="n"/>
      <c r="P209" s="39" t="n"/>
      <c r="Q209" s="317" t="n"/>
      <c r="R209" s="39" t="n"/>
      <c r="S209" s="39" t="n"/>
      <c r="T209" s="317" t="n"/>
      <c r="U209" s="39" t="n"/>
      <c r="V209" s="39" t="n"/>
      <c r="W209" s="317" t="n"/>
      <c r="X209" s="39" t="n"/>
      <c r="Y209" s="39" t="n"/>
      <c r="Z209" s="317" t="n"/>
      <c r="AA209" s="39" t="n"/>
      <c r="AB209" s="39" t="n"/>
      <c r="AC209" s="317" t="n"/>
      <c r="AD209" s="39" t="n"/>
      <c r="AE209" s="39" t="n"/>
      <c r="AF209" s="317" t="n"/>
      <c r="AG209" s="352" t="n"/>
      <c r="AH209" s="352" t="n"/>
      <c r="AI209" s="317" t="n"/>
      <c r="AJ209" s="352" t="n"/>
      <c r="AK209" s="352" t="n"/>
    </row>
    <row r="210">
      <c r="A210" s="351" t="n"/>
      <c r="B210" s="317" t="n"/>
      <c r="C210" s="39" t="n"/>
      <c r="D210" s="39" t="n"/>
      <c r="E210" s="317" t="n"/>
      <c r="F210" s="39" t="n"/>
      <c r="G210" s="39" t="n"/>
      <c r="H210" s="317" t="n"/>
      <c r="I210" s="39" t="n"/>
      <c r="J210" s="39" t="n"/>
      <c r="K210" s="317" t="n"/>
      <c r="L210" s="39" t="n"/>
      <c r="M210" s="39" t="n"/>
      <c r="N210" s="317" t="n"/>
      <c r="O210" s="39" t="n"/>
      <c r="P210" s="39" t="n"/>
      <c r="Q210" s="317" t="n"/>
      <c r="R210" s="39" t="n"/>
      <c r="S210" s="39" t="n"/>
      <c r="T210" s="317" t="n"/>
      <c r="U210" s="39" t="n"/>
      <c r="V210" s="39" t="n"/>
      <c r="W210" s="317" t="n"/>
      <c r="X210" s="39" t="n"/>
      <c r="Y210" s="39" t="n"/>
      <c r="Z210" s="317" t="n"/>
      <c r="AA210" s="39" t="n"/>
      <c r="AB210" s="39" t="n"/>
      <c r="AC210" s="317" t="n"/>
      <c r="AD210" s="39" t="n"/>
      <c r="AE210" s="39" t="n"/>
      <c r="AF210" s="317" t="n"/>
      <c r="AG210" s="352" t="n"/>
      <c r="AH210" s="352" t="n"/>
      <c r="AI210" s="317" t="n"/>
      <c r="AJ210" s="352" t="n"/>
      <c r="AK210" s="352" t="n"/>
    </row>
    <row r="211">
      <c r="A211" s="326" t="n"/>
      <c r="B211" s="291" t="n"/>
      <c r="C211" s="39" t="n"/>
      <c r="D211" s="39" t="n"/>
      <c r="E211" s="291" t="n"/>
      <c r="F211" s="39" t="n"/>
      <c r="G211" s="39" t="n"/>
      <c r="H211" s="291" t="n"/>
      <c r="I211" s="39" t="n"/>
      <c r="J211" s="39" t="n"/>
      <c r="K211" s="291" t="n"/>
      <c r="L211" s="39" t="n"/>
      <c r="M211" s="39" t="n"/>
      <c r="N211" s="291" t="n"/>
      <c r="O211" s="39" t="n"/>
      <c r="P211" s="39" t="n"/>
      <c r="Q211" s="291" t="n"/>
      <c r="R211" s="39" t="n"/>
      <c r="S211" s="39" t="n"/>
      <c r="T211" s="291" t="n"/>
      <c r="U211" s="39" t="n"/>
      <c r="V211" s="39" t="n"/>
      <c r="W211" s="291" t="n"/>
      <c r="X211" s="39" t="n"/>
      <c r="Y211" s="39" t="n"/>
      <c r="Z211" s="291" t="n"/>
      <c r="AA211" s="39" t="n"/>
      <c r="AB211" s="39" t="n"/>
      <c r="AC211" s="291" t="n"/>
      <c r="AD211" s="39" t="n"/>
      <c r="AE211" s="39" t="n"/>
      <c r="AF211" s="291" t="n"/>
      <c r="AG211" s="291" t="n"/>
      <c r="AH211" s="291" t="n"/>
      <c r="AI211" s="291" t="n"/>
      <c r="AJ211" s="291" t="n"/>
      <c r="AK211" s="291" t="n"/>
    </row>
    <row r="212">
      <c r="A212" s="335" t="n"/>
      <c r="B212" s="291" t="n"/>
      <c r="C212" s="37" t="n"/>
      <c r="D212" s="37" t="n"/>
      <c r="E212" s="291" t="n"/>
      <c r="F212" s="37" t="n"/>
      <c r="G212" s="37" t="n"/>
      <c r="H212" s="291" t="n"/>
      <c r="I212" s="37" t="n"/>
      <c r="J212" s="37" t="n"/>
      <c r="K212" s="291" t="n"/>
      <c r="L212" s="37" t="n"/>
      <c r="M212" s="37" t="n"/>
      <c r="N212" s="291" t="n"/>
      <c r="O212" s="37" t="n"/>
      <c r="P212" s="37" t="n"/>
      <c r="Q212" s="291" t="n"/>
      <c r="R212" s="37" t="n"/>
      <c r="S212" s="37" t="n"/>
      <c r="T212" s="291" t="n"/>
      <c r="U212" s="37" t="n"/>
      <c r="V212" s="37" t="n"/>
      <c r="W212" s="291" t="n"/>
      <c r="X212" s="37" t="n"/>
      <c r="Y212" s="37" t="n"/>
      <c r="Z212" s="291" t="n"/>
      <c r="AA212" s="37" t="n"/>
      <c r="AB212" s="37" t="n"/>
      <c r="AC212" s="291" t="n"/>
      <c r="AD212" s="37" t="n"/>
      <c r="AE212" s="37" t="n"/>
      <c r="AF212" s="291" t="n"/>
      <c r="AG212" s="291" t="n"/>
      <c r="AH212" s="291" t="n"/>
      <c r="AI212" s="291" t="n"/>
      <c r="AJ212" s="291" t="n"/>
      <c r="AK212" s="291" t="n"/>
    </row>
    <row r="213">
      <c r="A213" s="326" t="n"/>
      <c r="B213" s="291" t="n"/>
      <c r="C213" s="37" t="n"/>
      <c r="D213" s="37" t="n"/>
      <c r="E213" s="291" t="n"/>
      <c r="F213" s="37" t="n"/>
      <c r="G213" s="37" t="n"/>
      <c r="H213" s="291" t="n"/>
      <c r="I213" s="37" t="n"/>
      <c r="J213" s="37" t="n"/>
      <c r="K213" s="291" t="n"/>
      <c r="L213" s="37" t="n"/>
      <c r="M213" s="37" t="n"/>
      <c r="N213" s="291" t="n"/>
      <c r="O213" s="37" t="n"/>
      <c r="P213" s="37" t="n"/>
      <c r="Q213" s="291" t="n"/>
      <c r="R213" s="37" t="n"/>
      <c r="S213" s="37" t="n"/>
      <c r="T213" s="291" t="n"/>
      <c r="U213" s="37" t="n"/>
      <c r="V213" s="37" t="n"/>
      <c r="W213" s="291" t="n"/>
      <c r="X213" s="37" t="n"/>
      <c r="Y213" s="37" t="n"/>
      <c r="Z213" s="291" t="n"/>
      <c r="AA213" s="37" t="n"/>
      <c r="AB213" s="37" t="n"/>
      <c r="AC213" s="291" t="n"/>
      <c r="AD213" s="37" t="n"/>
      <c r="AE213" s="37" t="n"/>
      <c r="AF213" s="291" t="n"/>
      <c r="AG213" s="291" t="n"/>
      <c r="AH213" s="291" t="n"/>
      <c r="AI213" s="291" t="n"/>
      <c r="AJ213" s="291" t="n"/>
      <c r="AK213" s="291" t="n"/>
    </row>
    <row r="214">
      <c r="A214" s="326" t="n"/>
      <c r="B214" s="291" t="n"/>
      <c r="C214" s="37" t="n"/>
      <c r="D214" s="37" t="n"/>
      <c r="E214" s="291" t="n"/>
      <c r="F214" s="37" t="n"/>
      <c r="G214" s="37" t="n"/>
      <c r="H214" s="291" t="n"/>
      <c r="I214" s="37" t="n"/>
      <c r="J214" s="37" t="n"/>
      <c r="K214" s="291" t="n"/>
      <c r="L214" s="37" t="n"/>
      <c r="M214" s="37" t="n"/>
      <c r="N214" s="291" t="n"/>
      <c r="O214" s="37" t="n"/>
      <c r="P214" s="37" t="n"/>
      <c r="Q214" s="291" t="n"/>
      <c r="R214" s="37" t="n"/>
      <c r="S214" s="37" t="n"/>
      <c r="T214" s="291" t="n"/>
      <c r="U214" s="37" t="n"/>
      <c r="V214" s="37" t="n"/>
      <c r="W214" s="291" t="n"/>
      <c r="X214" s="37" t="n"/>
      <c r="Y214" s="37" t="n"/>
      <c r="Z214" s="291" t="n"/>
      <c r="AA214" s="37" t="n"/>
      <c r="AB214" s="37" t="n"/>
      <c r="AC214" s="291" t="n"/>
      <c r="AD214" s="37" t="n"/>
      <c r="AE214" s="37" t="n"/>
      <c r="AF214" s="291" t="n"/>
      <c r="AG214" s="291" t="n"/>
      <c r="AH214" s="291" t="n"/>
      <c r="AI214" s="291" t="n"/>
      <c r="AJ214" s="291" t="n"/>
      <c r="AK214" s="291" t="n"/>
    </row>
    <row r="215">
      <c r="A215" s="326" t="n"/>
      <c r="B215" s="291" t="n"/>
      <c r="C215" s="37" t="n"/>
      <c r="D215" s="37" t="n"/>
      <c r="E215" s="291" t="n"/>
      <c r="F215" s="37" t="n"/>
      <c r="G215" s="37" t="n"/>
      <c r="H215" s="291" t="n"/>
      <c r="I215" s="37" t="n"/>
      <c r="J215" s="37" t="n"/>
      <c r="K215" s="291" t="n"/>
      <c r="L215" s="37" t="n"/>
      <c r="M215" s="37" t="n"/>
      <c r="N215" s="291" t="n"/>
      <c r="O215" s="37" t="n"/>
      <c r="P215" s="37" t="n"/>
      <c r="Q215" s="291" t="n"/>
      <c r="R215" s="37" t="n"/>
      <c r="S215" s="37" t="n"/>
      <c r="T215" s="291" t="n"/>
      <c r="U215" s="37" t="n"/>
      <c r="V215" s="37" t="n"/>
      <c r="W215" s="291" t="n"/>
      <c r="X215" s="37" t="n"/>
      <c r="Y215" s="37" t="n"/>
      <c r="Z215" s="291" t="n"/>
      <c r="AA215" s="37" t="n"/>
      <c r="AB215" s="37" t="n"/>
      <c r="AC215" s="291" t="n"/>
      <c r="AD215" s="37" t="n"/>
      <c r="AE215" s="37" t="n"/>
      <c r="AF215" s="291" t="n"/>
      <c r="AG215" s="291" t="n"/>
      <c r="AH215" s="291" t="n"/>
      <c r="AI215" s="291" t="n"/>
      <c r="AJ215" s="291" t="n"/>
      <c r="AK215" s="291" t="n"/>
    </row>
    <row r="216">
      <c r="A216" s="326" t="n"/>
      <c r="B216" s="291" t="n"/>
      <c r="C216" s="39" t="n"/>
      <c r="D216" s="39" t="n"/>
      <c r="E216" s="291" t="n"/>
      <c r="F216" s="39" t="n"/>
      <c r="G216" s="39" t="n"/>
      <c r="H216" s="291" t="n"/>
      <c r="I216" s="39" t="n"/>
      <c r="J216" s="39" t="n"/>
      <c r="K216" s="291" t="n"/>
      <c r="L216" s="39" t="n"/>
      <c r="M216" s="39" t="n"/>
      <c r="N216" s="291" t="n"/>
      <c r="O216" s="39" t="n"/>
      <c r="P216" s="39" t="n"/>
      <c r="Q216" s="291" t="n"/>
      <c r="R216" s="39" t="n"/>
      <c r="S216" s="39" t="n"/>
      <c r="T216" s="291" t="n"/>
      <c r="U216" s="39" t="n"/>
      <c r="V216" s="39" t="n"/>
      <c r="W216" s="291" t="n"/>
      <c r="X216" s="39" t="n"/>
      <c r="Y216" s="39" t="n"/>
      <c r="Z216" s="291" t="n"/>
      <c r="AA216" s="39" t="n"/>
      <c r="AB216" s="39" t="n"/>
      <c r="AC216" s="291" t="n"/>
      <c r="AD216" s="39" t="n"/>
      <c r="AE216" s="39" t="n"/>
      <c r="AF216" s="291" t="n"/>
      <c r="AG216" s="39" t="n"/>
      <c r="AH216" s="39" t="n"/>
      <c r="AI216" s="291" t="n"/>
      <c r="AJ216" s="39" t="n"/>
      <c r="AK216" s="39" t="n"/>
    </row>
    <row r="217">
      <c r="A217" s="326" t="n"/>
      <c r="B217" s="291" t="n"/>
      <c r="C217" s="39" t="n"/>
      <c r="D217" s="39" t="n"/>
      <c r="E217" s="291" t="n"/>
      <c r="F217" s="39" t="n"/>
      <c r="G217" s="39" t="n"/>
      <c r="H217" s="291" t="n"/>
      <c r="I217" s="39" t="n"/>
      <c r="J217" s="39" t="n"/>
      <c r="K217" s="291" t="n"/>
      <c r="L217" s="39" t="n"/>
      <c r="M217" s="39" t="n"/>
      <c r="N217" s="291" t="n"/>
      <c r="O217" s="39" t="n"/>
      <c r="P217" s="39" t="n"/>
      <c r="Q217" s="291" t="n"/>
      <c r="R217" s="39" t="n"/>
      <c r="S217" s="39" t="n"/>
      <c r="T217" s="291" t="n"/>
      <c r="U217" s="39" t="n"/>
      <c r="V217" s="39" t="n"/>
      <c r="W217" s="291" t="n"/>
      <c r="X217" s="39" t="n"/>
      <c r="Y217" s="39" t="n"/>
      <c r="Z217" s="291" t="n"/>
      <c r="AA217" s="39" t="n"/>
      <c r="AB217" s="39" t="n"/>
      <c r="AC217" s="291" t="n"/>
      <c r="AD217" s="39" t="n"/>
      <c r="AE217" s="39" t="n"/>
      <c r="AF217" s="291" t="n"/>
      <c r="AG217" s="39" t="n"/>
      <c r="AH217" s="39" t="n"/>
      <c r="AI217" s="291" t="n"/>
      <c r="AJ217" s="39" t="n"/>
      <c r="AK217" s="39" t="n"/>
    </row>
    <row r="218">
      <c r="A218" s="326" t="n"/>
      <c r="B218" s="291" t="n"/>
      <c r="C218" s="39" t="n"/>
      <c r="D218" s="39" t="n"/>
      <c r="E218" s="291" t="n"/>
      <c r="F218" s="39" t="n"/>
      <c r="G218" s="39" t="n"/>
      <c r="H218" s="291" t="n"/>
      <c r="I218" s="39" t="n"/>
      <c r="J218" s="39" t="n"/>
      <c r="K218" s="291" t="n"/>
      <c r="L218" s="39" t="n"/>
      <c r="M218" s="39" t="n"/>
      <c r="N218" s="291" t="n"/>
      <c r="O218" s="39" t="n"/>
      <c r="P218" s="39" t="n"/>
      <c r="Q218" s="291" t="n"/>
      <c r="R218" s="39" t="n"/>
      <c r="S218" s="39" t="n"/>
      <c r="T218" s="291" t="n"/>
      <c r="U218" s="39" t="n"/>
      <c r="V218" s="39" t="n"/>
      <c r="W218" s="291" t="n"/>
      <c r="X218" s="39" t="n"/>
      <c r="Y218" s="39" t="n"/>
      <c r="Z218" s="291" t="n"/>
      <c r="AA218" s="39" t="n"/>
      <c r="AB218" s="39" t="n"/>
      <c r="AC218" s="291" t="n"/>
      <c r="AD218" s="39" t="n"/>
      <c r="AE218" s="39" t="n"/>
      <c r="AF218" s="291" t="n"/>
      <c r="AG218" s="39" t="n"/>
      <c r="AH218" s="39" t="n"/>
      <c r="AI218" s="291" t="n"/>
      <c r="AJ218" s="39" t="n"/>
      <c r="AK218" s="39" t="n"/>
    </row>
    <row r="219">
      <c r="A219" s="326" t="n"/>
      <c r="B219" s="291" t="n"/>
      <c r="C219" s="39" t="n"/>
      <c r="D219" s="39" t="n"/>
      <c r="E219" s="291" t="n"/>
      <c r="F219" s="39" t="n"/>
      <c r="G219" s="39" t="n"/>
      <c r="H219" s="291" t="n"/>
      <c r="I219" s="39" t="n"/>
      <c r="J219" s="39" t="n"/>
      <c r="K219" s="291" t="n"/>
      <c r="L219" s="39" t="n"/>
      <c r="M219" s="39" t="n"/>
      <c r="N219" s="291" t="n"/>
      <c r="O219" s="39" t="n"/>
      <c r="P219" s="39" t="n"/>
      <c r="Q219" s="291" t="n"/>
      <c r="R219" s="39" t="n"/>
      <c r="S219" s="39" t="n"/>
      <c r="T219" s="291" t="n"/>
      <c r="U219" s="39" t="n"/>
      <c r="V219" s="39" t="n"/>
      <c r="W219" s="291" t="n"/>
      <c r="X219" s="39" t="n"/>
      <c r="Y219" s="39" t="n"/>
      <c r="Z219" s="291" t="n"/>
      <c r="AA219" s="39" t="n"/>
      <c r="AB219" s="39" t="n"/>
      <c r="AC219" s="291" t="n"/>
      <c r="AD219" s="39" t="n"/>
      <c r="AE219" s="39" t="n"/>
      <c r="AF219" s="291" t="n"/>
      <c r="AG219" s="39" t="n"/>
      <c r="AH219" s="39" t="n"/>
      <c r="AI219" s="291" t="n"/>
      <c r="AJ219" s="39" t="n"/>
      <c r="AK219" s="39" t="n"/>
    </row>
    <row r="220">
      <c r="A220" s="326" t="n"/>
      <c r="B220" s="291" t="n"/>
      <c r="C220" s="39" t="n"/>
      <c r="D220" s="39" t="n"/>
      <c r="E220" s="291" t="n"/>
      <c r="F220" s="39" t="n"/>
      <c r="G220" s="39" t="n"/>
      <c r="H220" s="291" t="n"/>
      <c r="I220" s="39" t="n"/>
      <c r="J220" s="39" t="n"/>
      <c r="K220" s="291" t="n"/>
      <c r="L220" s="39" t="n"/>
      <c r="M220" s="39" t="n"/>
      <c r="N220" s="291" t="n"/>
      <c r="O220" s="39" t="n"/>
      <c r="P220" s="39" t="n"/>
      <c r="Q220" s="291" t="n"/>
      <c r="R220" s="39" t="n"/>
      <c r="S220" s="39" t="n"/>
      <c r="T220" s="291" t="n"/>
      <c r="U220" s="39" t="n"/>
      <c r="V220" s="39" t="n"/>
      <c r="W220" s="291" t="n"/>
      <c r="X220" s="39" t="n"/>
      <c r="Y220" s="39" t="n"/>
      <c r="Z220" s="291" t="n"/>
      <c r="AA220" s="39" t="n"/>
      <c r="AB220" s="39" t="n"/>
      <c r="AC220" s="291" t="n"/>
      <c r="AD220" s="39" t="n"/>
      <c r="AE220" s="39" t="n"/>
      <c r="AF220" s="291" t="n"/>
      <c r="AG220" s="39" t="n"/>
      <c r="AH220" s="39" t="n"/>
      <c r="AI220" s="291" t="n"/>
      <c r="AJ220" s="39" t="n"/>
      <c r="AK220" s="39" t="n"/>
    </row>
    <row r="221">
      <c r="A221" s="342" t="n"/>
      <c r="B221" s="317" t="n"/>
      <c r="C221" s="39" t="n"/>
      <c r="D221" s="39" t="n"/>
      <c r="E221" s="317" t="n"/>
      <c r="F221" s="39" t="n"/>
      <c r="G221" s="39" t="n"/>
      <c r="H221" s="317" t="n"/>
      <c r="I221" s="39" t="n"/>
      <c r="J221" s="39" t="n"/>
      <c r="K221" s="317" t="n"/>
      <c r="L221" s="39" t="n"/>
      <c r="M221" s="39" t="n"/>
      <c r="N221" s="317" t="n"/>
      <c r="O221" s="39" t="n"/>
      <c r="P221" s="39" t="n"/>
      <c r="Q221" s="317" t="n"/>
      <c r="R221" s="39" t="n"/>
      <c r="S221" s="39" t="n"/>
      <c r="T221" s="317" t="n"/>
      <c r="U221" s="39" t="n"/>
      <c r="V221" s="39" t="n"/>
      <c r="W221" s="317" t="n"/>
      <c r="X221" s="39" t="n"/>
      <c r="Y221" s="39" t="n"/>
      <c r="Z221" s="317" t="n"/>
      <c r="AA221" s="39" t="n"/>
      <c r="AB221" s="39" t="n"/>
      <c r="AC221" s="317" t="n"/>
      <c r="AD221" s="39" t="n"/>
      <c r="AE221" s="39" t="n"/>
      <c r="AF221" s="317" t="n"/>
      <c r="AG221" s="39" t="n"/>
      <c r="AH221" s="39" t="n"/>
      <c r="AI221" s="317" t="n"/>
      <c r="AJ221" s="39" t="n"/>
      <c r="AK221" s="39" t="n"/>
    </row>
    <row r="222">
      <c r="A222" s="326" t="n"/>
      <c r="B222" s="291" t="n"/>
      <c r="C222" s="39" t="n"/>
      <c r="D222" s="39" t="n"/>
      <c r="E222" s="291" t="n"/>
      <c r="F222" s="39" t="n"/>
      <c r="G222" s="39" t="n"/>
      <c r="H222" s="291" t="n"/>
      <c r="I222" s="39" t="n"/>
      <c r="J222" s="39" t="n"/>
      <c r="K222" s="291" t="n"/>
      <c r="L222" s="39" t="n"/>
      <c r="M222" s="39" t="n"/>
      <c r="N222" s="291" t="n"/>
      <c r="O222" s="39" t="n"/>
      <c r="P222" s="39" t="n"/>
      <c r="Q222" s="291" t="n"/>
      <c r="R222" s="39" t="n"/>
      <c r="S222" s="39" t="n"/>
      <c r="T222" s="291" t="n"/>
      <c r="U222" s="39" t="n"/>
      <c r="V222" s="39" t="n"/>
      <c r="W222" s="291" t="n"/>
      <c r="X222" s="39" t="n"/>
      <c r="Y222" s="39" t="n"/>
      <c r="Z222" s="291" t="n"/>
      <c r="AA222" s="39" t="n"/>
      <c r="AB222" s="39" t="n"/>
      <c r="AC222" s="291" t="n"/>
      <c r="AD222" s="39" t="n"/>
      <c r="AE222" s="39" t="n"/>
      <c r="AF222" s="291" t="n"/>
      <c r="AG222" s="39" t="n"/>
      <c r="AH222" s="39" t="n"/>
      <c r="AI222" s="291" t="n"/>
      <c r="AJ222" s="39" t="n"/>
      <c r="AK222" s="39" t="n"/>
    </row>
    <row r="223">
      <c r="A223" s="342" t="n"/>
      <c r="B223" s="317" t="n"/>
      <c r="C223" s="39" t="n"/>
      <c r="D223" s="39" t="n"/>
      <c r="E223" s="317" t="n"/>
      <c r="F223" s="39" t="n"/>
      <c r="G223" s="39" t="n"/>
      <c r="H223" s="317" t="n"/>
      <c r="I223" s="39" t="n"/>
      <c r="J223" s="39" t="n"/>
      <c r="K223" s="317" t="n"/>
      <c r="L223" s="39" t="n"/>
      <c r="M223" s="39" t="n"/>
      <c r="N223" s="317" t="n"/>
      <c r="O223" s="39" t="n"/>
      <c r="P223" s="39" t="n"/>
      <c r="Q223" s="317" t="n"/>
      <c r="R223" s="39" t="n"/>
      <c r="S223" s="39" t="n"/>
      <c r="T223" s="317" t="n"/>
      <c r="U223" s="39" t="n"/>
      <c r="V223" s="39" t="n"/>
      <c r="W223" s="317" t="n"/>
      <c r="X223" s="39" t="n"/>
      <c r="Y223" s="39" t="n"/>
      <c r="Z223" s="317" t="n"/>
      <c r="AA223" s="39" t="n"/>
      <c r="AB223" s="39" t="n"/>
      <c r="AC223" s="317" t="n"/>
      <c r="AD223" s="39" t="n"/>
      <c r="AE223" s="39" t="n"/>
      <c r="AF223" s="317" t="n"/>
      <c r="AG223" s="39" t="n"/>
      <c r="AH223" s="39" t="n"/>
      <c r="AI223" s="317" t="n"/>
      <c r="AJ223" s="39" t="n"/>
      <c r="AK223" s="39" t="n"/>
    </row>
    <row r="224">
      <c r="A224" s="358" t="n"/>
      <c r="B224" s="357" t="n"/>
      <c r="C224" s="39" t="n"/>
      <c r="D224" s="39" t="n"/>
      <c r="E224" s="357" t="n"/>
      <c r="F224" s="39" t="n"/>
      <c r="G224" s="39" t="n"/>
      <c r="H224" s="357" t="n"/>
      <c r="I224" s="39" t="n"/>
      <c r="J224" s="39" t="n"/>
      <c r="K224" s="357" t="n"/>
      <c r="L224" s="39" t="n"/>
      <c r="M224" s="39" t="n"/>
      <c r="N224" s="357" t="n"/>
      <c r="O224" s="39" t="n"/>
      <c r="P224" s="39" t="n"/>
      <c r="Q224" s="357" t="n"/>
      <c r="R224" s="39" t="n"/>
      <c r="S224" s="39" t="n"/>
      <c r="T224" s="357" t="n"/>
      <c r="U224" s="39" t="n"/>
      <c r="V224" s="39" t="n"/>
      <c r="W224" s="357" t="n"/>
      <c r="X224" s="39" t="n"/>
      <c r="Y224" s="39" t="n"/>
      <c r="Z224" s="357" t="n"/>
      <c r="AA224" s="39" t="n"/>
      <c r="AB224" s="39" t="n"/>
      <c r="AC224" s="357" t="n"/>
      <c r="AD224" s="39" t="n"/>
      <c r="AE224" s="39" t="n"/>
      <c r="AF224" s="357" t="n"/>
      <c r="AG224" s="357" t="n"/>
      <c r="AH224" s="357" t="n"/>
      <c r="AI224" s="357" t="n"/>
      <c r="AJ224" s="357" t="n"/>
      <c r="AK224" s="357" t="n"/>
    </row>
    <row r="225">
      <c r="A225" s="326" t="n"/>
      <c r="B225" s="291" t="n"/>
      <c r="C225" s="37" t="n"/>
      <c r="D225" s="37" t="n"/>
      <c r="E225" s="291" t="n"/>
      <c r="F225" s="37" t="n"/>
      <c r="G225" s="37" t="n"/>
      <c r="H225" s="291" t="n"/>
      <c r="I225" s="37" t="n"/>
      <c r="J225" s="37" t="n"/>
      <c r="K225" s="291" t="n"/>
      <c r="L225" s="37" t="n"/>
      <c r="M225" s="37" t="n"/>
      <c r="N225" s="291" t="n"/>
      <c r="O225" s="37" t="n"/>
      <c r="P225" s="37" t="n"/>
      <c r="Q225" s="291" t="n"/>
      <c r="R225" s="37" t="n"/>
      <c r="S225" s="37" t="n"/>
      <c r="T225" s="291" t="n"/>
      <c r="U225" s="37" t="n"/>
      <c r="V225" s="37" t="n"/>
      <c r="W225" s="291" t="n"/>
      <c r="X225" s="37" t="n"/>
      <c r="Y225" s="37" t="n"/>
      <c r="Z225" s="291" t="n"/>
      <c r="AA225" s="37" t="n"/>
      <c r="AB225" s="37" t="n"/>
      <c r="AC225" s="291" t="n"/>
      <c r="AD225" s="37" t="n"/>
      <c r="AE225" s="37" t="n"/>
      <c r="AF225" s="291" t="n"/>
      <c r="AG225" s="291" t="n"/>
      <c r="AH225" s="291" t="n"/>
      <c r="AI225" s="291" t="n"/>
      <c r="AJ225" s="291" t="n"/>
      <c r="AK225" s="291" t="n"/>
    </row>
    <row r="226">
      <c r="A226" s="358" t="n"/>
      <c r="B226" s="357" t="n"/>
      <c r="C226" s="58" t="n"/>
      <c r="D226" s="58" t="n"/>
      <c r="E226" s="357" t="n"/>
      <c r="F226" s="58" t="n"/>
      <c r="G226" s="58" t="n"/>
      <c r="H226" s="357" t="n"/>
      <c r="I226" s="58" t="n"/>
      <c r="J226" s="58" t="n"/>
      <c r="K226" s="357" t="n"/>
      <c r="L226" s="58" t="n"/>
      <c r="M226" s="58" t="n"/>
      <c r="N226" s="357" t="n"/>
      <c r="O226" s="58" t="n"/>
      <c r="P226" s="58" t="n"/>
      <c r="Q226" s="357" t="n"/>
      <c r="R226" s="58" t="n"/>
      <c r="S226" s="58" t="n"/>
      <c r="T226" s="357" t="n"/>
      <c r="U226" s="58" t="n"/>
      <c r="V226" s="58" t="n"/>
      <c r="W226" s="357" t="n"/>
      <c r="X226" s="58" t="n"/>
      <c r="Y226" s="58" t="n"/>
      <c r="Z226" s="357" t="n"/>
      <c r="AA226" s="58" t="n"/>
      <c r="AB226" s="58" t="n"/>
      <c r="AC226" s="357" t="n"/>
      <c r="AD226" s="58" t="n"/>
      <c r="AE226" s="58" t="n"/>
      <c r="AF226" s="357" t="n"/>
      <c r="AG226" s="357" t="n"/>
      <c r="AH226" s="357" t="n"/>
      <c r="AI226" s="357" t="n"/>
      <c r="AJ226" s="357" t="n"/>
      <c r="AK226" s="357" t="n"/>
    </row>
    <row r="227">
      <c r="A227" s="358" t="n"/>
      <c r="B227" s="357" t="n"/>
      <c r="C227" s="58" t="n"/>
      <c r="D227" s="58" t="n"/>
      <c r="E227" s="357" t="n"/>
      <c r="F227" s="58" t="n"/>
      <c r="G227" s="58" t="n"/>
      <c r="H227" s="357" t="n"/>
      <c r="I227" s="58" t="n"/>
      <c r="J227" s="58" t="n"/>
      <c r="K227" s="357" t="n"/>
      <c r="L227" s="58" t="n"/>
      <c r="M227" s="58" t="n"/>
      <c r="N227" s="357" t="n"/>
      <c r="O227" s="58" t="n"/>
      <c r="P227" s="58" t="n"/>
      <c r="Q227" s="357" t="n"/>
      <c r="R227" s="58" t="n"/>
      <c r="S227" s="58" t="n"/>
      <c r="T227" s="357" t="n"/>
      <c r="U227" s="58" t="n"/>
      <c r="V227" s="58" t="n"/>
      <c r="W227" s="357" t="n"/>
      <c r="X227" s="58" t="n"/>
      <c r="Y227" s="58" t="n"/>
      <c r="Z227" s="357" t="n"/>
      <c r="AA227" s="58" t="n"/>
      <c r="AB227" s="58" t="n"/>
      <c r="AC227" s="357" t="n"/>
      <c r="AD227" s="58" t="n"/>
      <c r="AE227" s="58" t="n"/>
      <c r="AF227" s="357" t="n"/>
      <c r="AG227" s="357" t="n"/>
      <c r="AH227" s="357" t="n"/>
      <c r="AI227" s="357" t="n"/>
      <c r="AJ227" s="357" t="n"/>
      <c r="AK227" s="357" t="n"/>
    </row>
    <row r="228">
      <c r="A228" s="358" t="n"/>
      <c r="B228" s="357" t="n"/>
      <c r="C228" s="58" t="n"/>
      <c r="D228" s="58" t="n"/>
      <c r="E228" s="357" t="n"/>
      <c r="F228" s="58" t="n"/>
      <c r="G228" s="58" t="n"/>
      <c r="H228" s="357" t="n"/>
      <c r="I228" s="58" t="n"/>
      <c r="J228" s="58" t="n"/>
      <c r="K228" s="357" t="n"/>
      <c r="L228" s="58" t="n"/>
      <c r="M228" s="58" t="n"/>
      <c r="N228" s="357" t="n"/>
      <c r="O228" s="58" t="n"/>
      <c r="P228" s="58" t="n"/>
      <c r="Q228" s="357" t="n"/>
      <c r="R228" s="58" t="n"/>
      <c r="S228" s="58" t="n"/>
      <c r="T228" s="357" t="n"/>
      <c r="U228" s="58" t="n"/>
      <c r="V228" s="58" t="n"/>
      <c r="W228" s="357" t="n"/>
      <c r="X228" s="58" t="n"/>
      <c r="Y228" s="58" t="n"/>
      <c r="Z228" s="357" t="n"/>
      <c r="AA228" s="58" t="n"/>
      <c r="AB228" s="58" t="n"/>
      <c r="AC228" s="357" t="n"/>
      <c r="AD228" s="58" t="n"/>
      <c r="AE228" s="58" t="n"/>
      <c r="AF228" s="357" t="n"/>
      <c r="AG228" s="357" t="n"/>
      <c r="AH228" s="357" t="n"/>
      <c r="AI228" s="357" t="n"/>
      <c r="AJ228" s="357" t="n"/>
      <c r="AK228" s="357" t="n"/>
    </row>
    <row r="229">
      <c r="A229" s="358" t="n"/>
      <c r="B229" s="357" t="n"/>
      <c r="C229" s="58" t="n"/>
      <c r="D229" s="58" t="n"/>
      <c r="E229" s="357" t="n"/>
      <c r="F229" s="58" t="n"/>
      <c r="G229" s="58" t="n"/>
      <c r="H229" s="357" t="n"/>
      <c r="I229" s="58" t="n"/>
      <c r="J229" s="58" t="n"/>
      <c r="K229" s="357" t="n"/>
      <c r="L229" s="58" t="n"/>
      <c r="M229" s="58" t="n"/>
      <c r="N229" s="357" t="n"/>
      <c r="O229" s="58" t="n"/>
      <c r="P229" s="58" t="n"/>
      <c r="Q229" s="357" t="n"/>
      <c r="R229" s="58" t="n"/>
      <c r="S229" s="58" t="n"/>
      <c r="T229" s="357" t="n"/>
      <c r="U229" s="58" t="n"/>
      <c r="V229" s="58" t="n"/>
      <c r="W229" s="357" t="n"/>
      <c r="X229" s="58" t="n"/>
      <c r="Y229" s="58" t="n"/>
      <c r="Z229" s="357" t="n"/>
      <c r="AA229" s="58" t="n"/>
      <c r="AB229" s="58" t="n"/>
      <c r="AC229" s="357" t="n"/>
      <c r="AD229" s="58" t="n"/>
      <c r="AE229" s="58" t="n"/>
      <c r="AF229" s="357" t="n"/>
      <c r="AG229" s="357" t="n"/>
      <c r="AH229" s="357" t="n"/>
      <c r="AI229" s="357" t="n"/>
      <c r="AJ229" s="357" t="n"/>
      <c r="AK229" s="357" t="n"/>
    </row>
    <row r="230">
      <c r="A230" s="358" t="n"/>
      <c r="B230" s="357" t="n"/>
      <c r="C230" s="58" t="n"/>
      <c r="D230" s="58" t="n"/>
      <c r="E230" s="357" t="n"/>
      <c r="F230" s="58" t="n"/>
      <c r="G230" s="58" t="n"/>
      <c r="H230" s="357" t="n"/>
      <c r="I230" s="58" t="n"/>
      <c r="J230" s="58" t="n"/>
      <c r="K230" s="357" t="n"/>
      <c r="L230" s="58" t="n"/>
      <c r="M230" s="58" t="n"/>
      <c r="N230" s="357" t="n"/>
      <c r="O230" s="58" t="n"/>
      <c r="P230" s="58" t="n"/>
      <c r="Q230" s="357" t="n"/>
      <c r="R230" s="58" t="n"/>
      <c r="S230" s="58" t="n"/>
      <c r="T230" s="357" t="n"/>
      <c r="U230" s="58" t="n"/>
      <c r="V230" s="58" t="n"/>
      <c r="W230" s="357" t="n"/>
      <c r="X230" s="58" t="n"/>
      <c r="Y230" s="58" t="n"/>
      <c r="Z230" s="357" t="n"/>
      <c r="AA230" s="58" t="n"/>
      <c r="AB230" s="58" t="n"/>
      <c r="AC230" s="357" t="n"/>
      <c r="AD230" s="58" t="n"/>
      <c r="AE230" s="58" t="n"/>
      <c r="AF230" s="357" t="n"/>
      <c r="AG230" s="357" t="n"/>
      <c r="AH230" s="357" t="n"/>
      <c r="AI230" s="357" t="n"/>
      <c r="AJ230" s="357" t="n"/>
      <c r="AK230" s="357" t="n"/>
    </row>
    <row r="231">
      <c r="A231" s="358" t="n"/>
      <c r="B231" s="357" t="n"/>
      <c r="C231" s="58" t="n"/>
      <c r="D231" s="58" t="n"/>
      <c r="E231" s="357" t="n"/>
      <c r="F231" s="58" t="n"/>
      <c r="G231" s="58" t="n"/>
      <c r="H231" s="357" t="n"/>
      <c r="I231" s="58" t="n"/>
      <c r="J231" s="58" t="n"/>
      <c r="K231" s="357" t="n"/>
      <c r="L231" s="58" t="n"/>
      <c r="M231" s="58" t="n"/>
      <c r="N231" s="357" t="n"/>
      <c r="O231" s="58" t="n"/>
      <c r="P231" s="58" t="n"/>
      <c r="Q231" s="357" t="n"/>
      <c r="R231" s="58" t="n"/>
      <c r="S231" s="58" t="n"/>
      <c r="T231" s="357" t="n"/>
      <c r="U231" s="58" t="n"/>
      <c r="V231" s="58" t="n"/>
      <c r="W231" s="357" t="n"/>
      <c r="X231" s="58" t="n"/>
      <c r="Y231" s="58" t="n"/>
      <c r="Z231" s="357" t="n"/>
      <c r="AA231" s="58" t="n"/>
      <c r="AB231" s="58" t="n"/>
      <c r="AC231" s="357" t="n"/>
      <c r="AD231" s="58" t="n"/>
      <c r="AE231" s="58" t="n"/>
      <c r="AF231" s="357" t="n"/>
      <c r="AG231" s="357" t="n"/>
      <c r="AH231" s="357" t="n"/>
      <c r="AI231" s="357" t="n"/>
      <c r="AJ231" s="357" t="n"/>
      <c r="AK231" s="35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杜嘉玮</dc:creator>
  <dcterms:created xmlns:dcterms="http://purl.org/dc/terms/" xmlns:xsi="http://www.w3.org/2001/XMLSchema-instance" xsi:type="dcterms:W3CDTF">2025-05-13T08:50:00Z</dcterms:created>
  <dcterms:modified xmlns:dcterms="http://purl.org/dc/terms/" xmlns:xsi="http://www.w3.org/2001/XMLSchema-instance" xsi:type="dcterms:W3CDTF">2026-05-11T05:21:03Z</dcterms:modified>
  <cp:lastModifiedBy>JD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344C6DD638E74914B323690C487C80D1_12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